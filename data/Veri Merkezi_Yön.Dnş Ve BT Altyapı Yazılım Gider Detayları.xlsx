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rkkepcomtr-my.sharepoint.com/personal/burcin_tolga_turkkep_com_tr/Documents/Desktop/Budget Files/2026 Bütçe hazırlık dosyaları/"/>
    </mc:Choice>
  </mc:AlternateContent>
  <xr:revisionPtr revIDLastSave="0" documentId="8_{2C68D51F-CE00-4567-B08F-8C38FD7BF1E4}" xr6:coauthVersionLast="47" xr6:coauthVersionMax="47" xr10:uidLastSave="{00000000-0000-0000-0000-000000000000}"/>
  <bookViews>
    <workbookView xWindow="-108" yWindow="-108" windowWidth="23256" windowHeight="12456" xr2:uid="{8B35DCA3-405E-46BC-AB4B-1E62E32B6899}"/>
  </bookViews>
  <sheets>
    <sheet name="Veri Merkezi ve Yön. Dan.Gi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54" i="1"/>
  <c r="D53" i="1"/>
  <c r="D52" i="1"/>
  <c r="D51" i="1"/>
  <c r="D50" i="1"/>
  <c r="D49" i="1"/>
  <c r="D48" i="1"/>
  <c r="D47" i="1"/>
  <c r="E46" i="1"/>
  <c r="D46" i="1" s="1"/>
  <c r="E43" i="1"/>
  <c r="D43" i="1" s="1"/>
  <c r="E42" i="1"/>
  <c r="D42" i="1" s="1"/>
  <c r="E41" i="1"/>
  <c r="D41" i="1" s="1"/>
  <c r="E40" i="1"/>
  <c r="D40" i="1" s="1"/>
  <c r="E39" i="1"/>
  <c r="D39" i="1" s="1"/>
  <c r="E38" i="1"/>
  <c r="D38" i="1" s="1"/>
  <c r="E37" i="1"/>
  <c r="D37" i="1" s="1"/>
  <c r="E36" i="1"/>
  <c r="D36" i="1" s="1"/>
  <c r="E35" i="1"/>
  <c r="D35" i="1" s="1"/>
  <c r="E34" i="1"/>
  <c r="D34" i="1" s="1"/>
  <c r="E33" i="1"/>
  <c r="D33" i="1" s="1"/>
  <c r="E32" i="1"/>
  <c r="D32" i="1" s="1"/>
  <c r="E31" i="1"/>
  <c r="D31" i="1" s="1"/>
  <c r="E30" i="1"/>
  <c r="D30" i="1" s="1"/>
  <c r="E29" i="1"/>
  <c r="D29" i="1" s="1"/>
  <c r="E28" i="1"/>
  <c r="D28" i="1"/>
  <c r="E27" i="1"/>
  <c r="D27" i="1" s="1"/>
  <c r="E26" i="1"/>
  <c r="D26" i="1" s="1"/>
  <c r="E25" i="1"/>
  <c r="D25" i="1" s="1"/>
  <c r="E24" i="1"/>
  <c r="D24" i="1" s="1"/>
</calcChain>
</file>

<file path=xl/sharedStrings.xml><?xml version="1.0" encoding="utf-8"?>
<sst xmlns="http://schemas.openxmlformats.org/spreadsheetml/2006/main" count="122" uniqueCount="100">
  <si>
    <t>VERİ MERKEZİ HİZMETİ GİDERLERİ</t>
  </si>
  <si>
    <t>2025 Aylık Ort. Tutar</t>
  </si>
  <si>
    <t>VAULT</t>
  </si>
  <si>
    <t>aylık</t>
  </si>
  <si>
    <t>Ankara Veri merkezi</t>
  </si>
  <si>
    <t>TURKCELL DİJİTAL İŞ SERVİSLERİ A.Ş.</t>
  </si>
  <si>
    <t>240k ile başlayıp 372k ile devam etmiş</t>
  </si>
  <si>
    <t>Gebze veri merkezi interneti</t>
  </si>
  <si>
    <t>SUPERONLINE İLETİŞİM HİZMETLERİ A.Ş.</t>
  </si>
  <si>
    <t>48k ile başlayıp 78k ya yükselmiş</t>
  </si>
  <si>
    <t>Veri merkezi interneti</t>
  </si>
  <si>
    <t>YÖNETİM, TEKNOLOJİ DANIŞ. HİZMETİ GİD.</t>
  </si>
  <si>
    <t>NETLORE SİBER GÜVENLİK HİZMETLERİ LTD. ŞTİ..FT.NIZ NO:EF02025000000002</t>
  </si>
  <si>
    <t>Ocak ve Nisan da 2 faturası var</t>
  </si>
  <si>
    <t>Siber güvenlik danışmanlığı</t>
  </si>
  <si>
    <t>ALBERN BİLİŞİM HİZMETLERİ SAN. VE TİC. LTD.ŞTİ..FT.NIZ NO:ALB2025000000017</t>
  </si>
  <si>
    <t>Tek fatura Mart ayında</t>
  </si>
  <si>
    <t>MS365 Danışmanlığı</t>
  </si>
  <si>
    <t>GÜRELİ YMM VE BAĞIMSIZ DENETİM HİZ. A.Ş..FT.NIZ NO:GRV2024000007429</t>
  </si>
  <si>
    <t>GİB denetimi</t>
  </si>
  <si>
    <t>ÖNSOY BİLGİ HİZMETLERİ LİMİTED ŞİRKETİ.FT.NIZ NO:ON02024000000154</t>
  </si>
  <si>
    <t>Nisandan itibaren 90k</t>
  </si>
  <si>
    <t>Log Danışmanlığı(CRM)</t>
  </si>
  <si>
    <t>YÖNETIM BELGELENDIRME MERKEZI TEST VE GÖZETIM HIZMETLERI LTD.STI.FT.NIZ NO:YB02024000000085</t>
  </si>
  <si>
    <t>Uyum</t>
  </si>
  <si>
    <t>BT YAZILIM SERVİS, BAKIM ÜCRETLERİ</t>
  </si>
  <si>
    <t>IHS TELEKOMINIKASYON SAN.TIC.LTD.STI..FT.NIZ NO:0002024040103-12</t>
  </si>
  <si>
    <t>Aylık olarak değişiyor</t>
  </si>
  <si>
    <t>Alan adı hizmetleri (Tan Bey talep ediyor)</t>
  </si>
  <si>
    <t>Lisans ve Diğerleri</t>
  </si>
  <si>
    <t>Aylık Tutar (2024-2025)</t>
  </si>
  <si>
    <t>Senelik Toplam Tutar</t>
  </si>
  <si>
    <t>Süre</t>
  </si>
  <si>
    <t>MS TEAMS (133 Ad)</t>
  </si>
  <si>
    <t>EVERHUB</t>
  </si>
  <si>
    <t>ARVENTO Cihaz Lisans</t>
  </si>
  <si>
    <t>BAYLAN MOBİL</t>
  </si>
  <si>
    <t>FORTİNAC Lisans</t>
  </si>
  <si>
    <t>F1 TEKNOLOJİ</t>
  </si>
  <si>
    <t>Kalite Değerlendirme Modülü</t>
  </si>
  <si>
    <t>ARTPRO</t>
  </si>
  <si>
    <t>ŞikayetVar Yönetim Yazılımı</t>
  </si>
  <si>
    <t>ŞİKAYETVAR</t>
  </si>
  <si>
    <t>Microsoft 365 Apps For Business</t>
  </si>
  <si>
    <t>Nessus Pro Subscription Lisans</t>
  </si>
  <si>
    <t>SECURE FUTURE</t>
  </si>
  <si>
    <t>Gitlab Premium Lisans</t>
  </si>
  <si>
    <t xml:space="preserve">SHARPWARE </t>
  </si>
  <si>
    <t>Power BI Projesi Yıllık Kullanım</t>
  </si>
  <si>
    <t>Power BI Projesi Kullanım Lisansı</t>
  </si>
  <si>
    <t>TURKCELL DİJİTAL İŞ</t>
  </si>
  <si>
    <t>AnyDesk Lisans (Banka/Finans)</t>
  </si>
  <si>
    <t>NETSİS 3 Enterprise LEM</t>
  </si>
  <si>
    <t>KARYA SOFTWARE</t>
  </si>
  <si>
    <t>CRM IDE Uygulama Lisans</t>
  </si>
  <si>
    <t>Gebze veri merkezi firewall yenileme</t>
  </si>
  <si>
    <t>Bitdefender Gravityzone Security lisans</t>
  </si>
  <si>
    <t>SCSC - Servicecore Lisans</t>
  </si>
  <si>
    <t>SERVICECORE</t>
  </si>
  <si>
    <t>Fortify Lisans - statik kod güvenlik testi</t>
  </si>
  <si>
    <t>KAFEİN YAZILIM</t>
  </si>
  <si>
    <t>Süresi/Kullanımı Bitenler</t>
  </si>
  <si>
    <t xml:space="preserve">CRM Destek Bakım </t>
  </si>
  <si>
    <t>ADVOCOTEK</t>
  </si>
  <si>
    <t>Ekransystem Lisans</t>
  </si>
  <si>
    <t>İSTAR</t>
  </si>
  <si>
    <t>İmzalama Kütüphanesi Lisans</t>
  </si>
  <si>
    <t>N/SOFTWARE</t>
  </si>
  <si>
    <t>Alpemix YV4 35 Pro kullanıcı</t>
  </si>
  <si>
    <t>Teknopars</t>
  </si>
  <si>
    <t>HSM Cihaz Standart Support</t>
  </si>
  <si>
    <t>NETSMART</t>
  </si>
  <si>
    <t>SOC L1-L2, Log Vis, Kütüphane</t>
  </si>
  <si>
    <t>PLATİN BİLİŞİM</t>
  </si>
  <si>
    <t>Qradar V1 Lisans</t>
  </si>
  <si>
    <t>Robusta Dijital Çalışan Modülü</t>
  </si>
  <si>
    <t>ROBUSTA</t>
  </si>
  <si>
    <t>Annual subscription (merkezi yönetim uygulaması)</t>
  </si>
  <si>
    <t>VMİND</t>
  </si>
  <si>
    <t>Sabit Kıymet Olarak Alınanlar</t>
  </si>
  <si>
    <t>Adet</t>
  </si>
  <si>
    <t>Kayıtlı Değer</t>
  </si>
  <si>
    <t>APPLE MACBOOK PRO14 inç 48 gb RA</t>
  </si>
  <si>
    <t>Vmind Bilgi Tek.</t>
  </si>
  <si>
    <t>147492 NL LEASING - HSM SUNUCU</t>
  </si>
  <si>
    <t>BNP PARİBAS</t>
  </si>
  <si>
    <t>147267 NL LEASING - SUNUCU</t>
  </si>
  <si>
    <t>Sunucu Barındırma Kabini ve Kafes Kilit</t>
  </si>
  <si>
    <t>Turkcell Dijital İş</t>
  </si>
  <si>
    <t>Server Odası Nem Önleyici - sysguard - smoke detector</t>
  </si>
  <si>
    <t>Everhub Bilişim</t>
  </si>
  <si>
    <t>Veri Merkezi - AC POWER SUPPLY</t>
  </si>
  <si>
    <t>F1 Teknoloji</t>
  </si>
  <si>
    <t>Veri Merkezi - Aynalama Kabloları</t>
  </si>
  <si>
    <t>Veri Merkezi - Kamera Sistemleri (İstanbul)</t>
  </si>
  <si>
    <t>Acil Elektronik</t>
  </si>
  <si>
    <t>Veri Merkezi - Kablo</t>
  </si>
  <si>
    <t xml:space="preserve">FORTIGATE-100F BUNDLE </t>
  </si>
  <si>
    <t xml:space="preserve">UPS Akü 12V 18 Ab </t>
  </si>
  <si>
    <t>2A 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</si>
</sst>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62"/>
    </font>
    <font>
      <b/>
      <sz val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 Narrow"/>
      <family val="2"/>
      <charset val="162"/>
    </font>
    <font>
      <b/>
      <u/>
      <sz val="10"/>
      <name val="Arial"/>
      <family val="2"/>
      <charset val="162"/>
    </font>
    <font>
      <b/>
      <u/>
      <sz val="9"/>
      <color theme="1"/>
      <name val="Aptos Narrow"/>
      <family val="2"/>
      <scheme val="minor"/>
    </font>
    <font>
      <sz val="11"/>
      <name val="Arial Narrow"/>
      <family val="2"/>
      <charset val="162"/>
    </font>
    <font>
      <sz val="9"/>
      <name val="Arial Narrow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25">
    <xf numFmtId="0" fontId="0" fillId="0" borderId="0" xfId="0"/>
    <xf numFmtId="0" fontId="4" fillId="0" borderId="0" xfId="2" applyFont="1"/>
    <xf numFmtId="164" fontId="0" fillId="0" borderId="0" xfId="1" applyFont="1"/>
    <xf numFmtId="0" fontId="5" fillId="0" borderId="0" xfId="0" applyFont="1"/>
    <xf numFmtId="164" fontId="2" fillId="0" borderId="1" xfId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0" fontId="5" fillId="0" borderId="0" xfId="0" applyFont="1" applyAlignment="1">
      <alignment wrapText="1"/>
    </xf>
    <xf numFmtId="4" fontId="0" fillId="0" borderId="0" xfId="0" applyNumberFormat="1"/>
    <xf numFmtId="0" fontId="0" fillId="0" borderId="2" xfId="0" applyBorder="1"/>
    <xf numFmtId="3" fontId="6" fillId="0" borderId="0" xfId="0" applyNumberFormat="1" applyFont="1"/>
    <xf numFmtId="0" fontId="7" fillId="0" borderId="0" xfId="0" applyFont="1"/>
    <xf numFmtId="0" fontId="2" fillId="0" borderId="0" xfId="0" applyFont="1" applyAlignment="1">
      <alignment horizontal="center"/>
    </xf>
    <xf numFmtId="0" fontId="3" fillId="0" borderId="3" xfId="3" applyBorder="1" applyAlignment="1">
      <alignment horizontal="left" vertical="center" indent="1"/>
    </xf>
    <xf numFmtId="0" fontId="8" fillId="0" borderId="3" xfId="3" applyFont="1" applyBorder="1" applyAlignment="1">
      <alignment horizontal="left" vertical="center"/>
    </xf>
    <xf numFmtId="164" fontId="5" fillId="0" borderId="0" xfId="1" applyFont="1"/>
    <xf numFmtId="0" fontId="3" fillId="0" borderId="0" xfId="3" applyAlignment="1">
      <alignment horizontal="left" vertical="center" indent="1"/>
    </xf>
    <xf numFmtId="0" fontId="8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 indent="1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quotePrefix="1" applyFont="1" applyAlignment="1">
      <alignment horizontal="left" vertical="center" indent="2"/>
    </xf>
    <xf numFmtId="0" fontId="11" fillId="0" borderId="0" xfId="0" quotePrefix="1" applyFont="1" applyAlignment="1">
      <alignment horizontal="left" vertical="center"/>
    </xf>
    <xf numFmtId="0" fontId="12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AEBE7839-6E99-4EB3-A981-04F557835907}"/>
    <cellStyle name="Normal 6" xfId="3" xr:uid="{B6A4E38F-81E8-424E-A3EF-EED238BBA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urkkepcomtr-my.sharepoint.com/personal/burcin_tolga_turkkep_com_tr/Documents/Desktop/Budget%20Files/2026%20B&#252;t&#231;e%20haz&#305;rl&#305;k%20dosyalar&#305;/2025_Ertelenmi&#351;Gider.xlsx" TargetMode="External"/><Relationship Id="rId1" Type="http://schemas.openxmlformats.org/officeDocument/2006/relationships/externalLinkPath" Target="2025_Ertelenmi&#351;Gi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ğlık"/>
      <sheetName val="kira"/>
      <sheetName val="demir"/>
      <sheetName val="araç"/>
      <sheetName val="nes"/>
      <sheetName val="token"/>
      <sheetName val="zaman"/>
      <sheetName val="bakım"/>
      <sheetName val="lisans"/>
      <sheetName val="hsm"/>
      <sheetName val="kontrol"/>
      <sheetName val="parametre"/>
      <sheetName val="SiGORTALAR"/>
      <sheetName val="Şişli_Taşınabilir_Cihazlar"/>
      <sheetName val="Şişli_Sabit_Cihaz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5">
          <cell r="A15" t="str">
            <v>MS TEAMS (133 Ad)</v>
          </cell>
          <cell r="B15" t="str">
            <v>EVERHUB</v>
          </cell>
          <cell r="C15" t="str">
            <v>EHF2025000000016</v>
          </cell>
          <cell r="D15">
            <v>45674</v>
          </cell>
          <cell r="E15">
            <v>2025</v>
          </cell>
          <cell r="F15" t="str">
            <v>ocak</v>
          </cell>
          <cell r="G15">
            <v>12</v>
          </cell>
          <cell r="H15">
            <v>186250.88</v>
          </cell>
        </row>
        <row r="16">
          <cell r="A16" t="str">
            <v>ARVENTO Cihaz Lisans</v>
          </cell>
          <cell r="B16" t="str">
            <v>BAYLAN MOBİL</v>
          </cell>
          <cell r="C16" t="str">
            <v>NIS20250000000077</v>
          </cell>
          <cell r="D16">
            <v>45688</v>
          </cell>
          <cell r="E16">
            <v>2025</v>
          </cell>
          <cell r="F16" t="str">
            <v>ocak</v>
          </cell>
          <cell r="G16">
            <v>12</v>
          </cell>
          <cell r="H16">
            <v>37024.730000000003</v>
          </cell>
        </row>
        <row r="17">
          <cell r="A17" t="str">
            <v>FORTİNAC Lisans</v>
          </cell>
          <cell r="B17" t="str">
            <v>F1 TEKNOLOJİ</v>
          </cell>
          <cell r="C17" t="str">
            <v>FTB2025000000004</v>
          </cell>
          <cell r="D17">
            <v>45659</v>
          </cell>
          <cell r="E17">
            <v>2025</v>
          </cell>
          <cell r="F17" t="str">
            <v>ocak</v>
          </cell>
          <cell r="G17">
            <v>12</v>
          </cell>
          <cell r="H17">
            <v>367575.52</v>
          </cell>
        </row>
        <row r="18">
          <cell r="A18" t="str">
            <v>Kalite Değerlendirme Modülü</v>
          </cell>
          <cell r="B18" t="str">
            <v>ARTPRO</v>
          </cell>
          <cell r="C18" t="str">
            <v>ART2025000000069</v>
          </cell>
          <cell r="D18">
            <v>45666</v>
          </cell>
          <cell r="E18">
            <v>2025</v>
          </cell>
          <cell r="F18" t="str">
            <v>ocak</v>
          </cell>
          <cell r="G18">
            <v>12</v>
          </cell>
          <cell r="H18">
            <v>176200</v>
          </cell>
        </row>
        <row r="19">
          <cell r="A19" t="str">
            <v>Kalite Değerlendirme Modülü</v>
          </cell>
          <cell r="B19" t="str">
            <v>ARTPRO</v>
          </cell>
          <cell r="C19" t="str">
            <v>ART2025000000068</v>
          </cell>
          <cell r="D19">
            <v>45666</v>
          </cell>
          <cell r="E19">
            <v>2025</v>
          </cell>
          <cell r="F19" t="str">
            <v>ocak</v>
          </cell>
          <cell r="G19">
            <v>12</v>
          </cell>
          <cell r="H19">
            <v>27000</v>
          </cell>
        </row>
        <row r="20">
          <cell r="A20" t="str">
            <v>ARVENTO Cihaz Lisans</v>
          </cell>
          <cell r="B20" t="str">
            <v>BAYLAN MOBİL</v>
          </cell>
          <cell r="C20" t="str">
            <v>NIS20250000000102</v>
          </cell>
          <cell r="D20">
            <v>45694</v>
          </cell>
          <cell r="E20">
            <v>2025</v>
          </cell>
          <cell r="F20" t="str">
            <v>şubat</v>
          </cell>
          <cell r="G20">
            <v>12</v>
          </cell>
          <cell r="H20">
            <v>8333.33</v>
          </cell>
        </row>
        <row r="21">
          <cell r="A21" t="str">
            <v>ŞikayetVar Yönetim Yazılımı</v>
          </cell>
          <cell r="B21" t="str">
            <v>ŞİKAYETVAR</v>
          </cell>
          <cell r="C21" t="str">
            <v>SV120250000000222</v>
          </cell>
          <cell r="D21">
            <v>45699</v>
          </cell>
          <cell r="E21">
            <v>2025</v>
          </cell>
          <cell r="F21" t="str">
            <v>şubat</v>
          </cell>
          <cell r="G21">
            <v>12</v>
          </cell>
          <cell r="H21">
            <v>95000</v>
          </cell>
        </row>
        <row r="22">
          <cell r="A22" t="str">
            <v>Microsoft 365 Apps For Business</v>
          </cell>
          <cell r="B22" t="str">
            <v>EVERHUB</v>
          </cell>
          <cell r="C22" t="str">
            <v>EH02025000000034</v>
          </cell>
          <cell r="D22">
            <v>45708</v>
          </cell>
          <cell r="E22">
            <v>2025</v>
          </cell>
          <cell r="F22" t="str">
            <v>şubat</v>
          </cell>
          <cell r="G22">
            <v>12</v>
          </cell>
          <cell r="H22">
            <v>473335.87</v>
          </cell>
        </row>
        <row r="23">
          <cell r="A23" t="str">
            <v>Nessus Pro Subscription Lisans</v>
          </cell>
          <cell r="B23" t="str">
            <v>SECURE FUTURE</v>
          </cell>
          <cell r="C23" t="str">
            <v>SE02025000000011</v>
          </cell>
          <cell r="D23">
            <v>45721</v>
          </cell>
          <cell r="E23">
            <v>2025</v>
          </cell>
          <cell r="F23" t="str">
            <v>mart</v>
          </cell>
          <cell r="G23">
            <v>12</v>
          </cell>
          <cell r="H23">
            <v>158630.15</v>
          </cell>
        </row>
        <row r="24">
          <cell r="A24" t="str">
            <v xml:space="preserve">CRM Destek Bakım </v>
          </cell>
          <cell r="B24" t="str">
            <v>ADVOCOTEK</v>
          </cell>
          <cell r="C24" t="str">
            <v>GIB2024000000014</v>
          </cell>
          <cell r="D24">
            <v>45365</v>
          </cell>
          <cell r="E24">
            <v>2024</v>
          </cell>
          <cell r="F24" t="str">
            <v>mart</v>
          </cell>
          <cell r="G24">
            <v>12</v>
          </cell>
          <cell r="H24">
            <v>154035</v>
          </cell>
        </row>
        <row r="25">
          <cell r="A25" t="str">
            <v>Gitlab Premium Lisans</v>
          </cell>
          <cell r="B25" t="str">
            <v xml:space="preserve">SHARPWARE </v>
          </cell>
          <cell r="C25" t="str">
            <v>SWR202500000013</v>
          </cell>
          <cell r="D25">
            <v>45734</v>
          </cell>
          <cell r="E25">
            <v>2025</v>
          </cell>
          <cell r="F25" t="str">
            <v>mart</v>
          </cell>
          <cell r="G25">
            <v>12</v>
          </cell>
          <cell r="H25">
            <v>244775.73</v>
          </cell>
        </row>
        <row r="26">
          <cell r="A26" t="str">
            <v>Power BI Projesi Yıllık Kullanım</v>
          </cell>
          <cell r="B26" t="str">
            <v>EVERHUB</v>
          </cell>
          <cell r="C26" t="str">
            <v>EH02025000000065</v>
          </cell>
          <cell r="D26">
            <v>45743</v>
          </cell>
          <cell r="E26">
            <v>2025</v>
          </cell>
          <cell r="F26" t="str">
            <v>mart</v>
          </cell>
          <cell r="G26">
            <v>12</v>
          </cell>
          <cell r="H26">
            <v>19534.259999999998</v>
          </cell>
        </row>
        <row r="27">
          <cell r="A27" t="str">
            <v>Power BI Projesi Kullanım Lisansı</v>
          </cell>
          <cell r="B27" t="str">
            <v>TURKCELL DİJİTAL İŞ</v>
          </cell>
          <cell r="C27" t="str">
            <v>CS12025000011456</v>
          </cell>
          <cell r="D27">
            <v>45744</v>
          </cell>
          <cell r="E27">
            <v>2025</v>
          </cell>
          <cell r="F27" t="str">
            <v>mart</v>
          </cell>
          <cell r="G27">
            <v>12</v>
          </cell>
          <cell r="H27">
            <v>502375.38</v>
          </cell>
        </row>
        <row r="28">
          <cell r="A28" t="str">
            <v>AnyDesk Lisans (Banka/Finans)</v>
          </cell>
          <cell r="B28" t="str">
            <v>EVERHUB</v>
          </cell>
          <cell r="C28" t="str">
            <v>EH02025000000098</v>
          </cell>
          <cell r="D28">
            <v>45782</v>
          </cell>
          <cell r="E28">
            <v>2025</v>
          </cell>
          <cell r="F28" t="str">
            <v>mayıs</v>
          </cell>
          <cell r="G28">
            <v>12</v>
          </cell>
          <cell r="H28">
            <v>125098.42</v>
          </cell>
        </row>
        <row r="29">
          <cell r="A29" t="str">
            <v>NETSİS 3 Enterprise LEM</v>
          </cell>
          <cell r="B29" t="str">
            <v>KARYA SOFTWARE</v>
          </cell>
          <cell r="C29" t="str">
            <v>KSM202500000091</v>
          </cell>
          <cell r="D29">
            <v>45797</v>
          </cell>
          <cell r="E29">
            <v>2025</v>
          </cell>
          <cell r="F29" t="str">
            <v>mayıs</v>
          </cell>
          <cell r="G29">
            <v>12</v>
          </cell>
          <cell r="H29">
            <v>115920</v>
          </cell>
        </row>
        <row r="30">
          <cell r="A30" t="str">
            <v>CRM IDE Uygulama Lisans</v>
          </cell>
          <cell r="B30" t="str">
            <v>EVERHUB</v>
          </cell>
          <cell r="C30" t="str">
            <v>EH02025000000109</v>
          </cell>
          <cell r="D30">
            <v>45806</v>
          </cell>
          <cell r="E30">
            <v>2025</v>
          </cell>
          <cell r="F30" t="str">
            <v>mayıs</v>
          </cell>
          <cell r="G30">
            <v>12</v>
          </cell>
          <cell r="H30">
            <v>145425.92000000001</v>
          </cell>
        </row>
        <row r="31">
          <cell r="A31" t="str">
            <v>Microsoft 365 Apps For Business</v>
          </cell>
          <cell r="B31" t="str">
            <v>EVERHUB</v>
          </cell>
          <cell r="C31" t="str">
            <v>EHF202400000176</v>
          </cell>
          <cell r="D31">
            <v>45478</v>
          </cell>
          <cell r="E31">
            <v>2024</v>
          </cell>
          <cell r="F31" t="str">
            <v>temmuz</v>
          </cell>
          <cell r="G31">
            <v>12</v>
          </cell>
          <cell r="H31">
            <v>294628.89</v>
          </cell>
        </row>
        <row r="32">
          <cell r="A32" t="str">
            <v>Gebze veri merkezi firewall yenileme</v>
          </cell>
          <cell r="B32" t="str">
            <v>F1 TEKNOLOJİ</v>
          </cell>
          <cell r="C32" t="str">
            <v>FTB2025000000192</v>
          </cell>
          <cell r="D32">
            <v>45846</v>
          </cell>
          <cell r="E32">
            <v>2025</v>
          </cell>
          <cell r="F32" t="str">
            <v>temmuz</v>
          </cell>
          <cell r="G32">
            <v>12</v>
          </cell>
          <cell r="H32">
            <v>559633.19999999995</v>
          </cell>
        </row>
        <row r="33">
          <cell r="A33" t="str">
            <v>Bitdefender Gravityzone Security lisans</v>
          </cell>
          <cell r="B33" t="str">
            <v>EVERHUB</v>
          </cell>
          <cell r="C33" t="str">
            <v>EH02025000000156</v>
          </cell>
          <cell r="D33">
            <v>45859</v>
          </cell>
          <cell r="E33">
            <v>2025</v>
          </cell>
          <cell r="F33" t="str">
            <v>temmuz</v>
          </cell>
          <cell r="G33">
            <v>12</v>
          </cell>
          <cell r="H33">
            <v>180045.05</v>
          </cell>
        </row>
        <row r="34">
          <cell r="A34" t="str">
            <v>SCSC - Servicecore Lisans</v>
          </cell>
          <cell r="B34" t="str">
            <v>SERVICECORE</v>
          </cell>
          <cell r="C34" t="str">
            <v>SC0202500000044</v>
          </cell>
          <cell r="D34">
            <v>45878</v>
          </cell>
          <cell r="E34">
            <v>2025</v>
          </cell>
          <cell r="F34" t="str">
            <v>ağustos</v>
          </cell>
          <cell r="G34">
            <v>12</v>
          </cell>
          <cell r="H34">
            <v>586255.68000000005</v>
          </cell>
        </row>
        <row r="35">
          <cell r="A35" t="str">
            <v>Fortify Lisans - statik kod güvenlik testi</v>
          </cell>
          <cell r="B35" t="str">
            <v>KAFEİN YAZILIM</v>
          </cell>
          <cell r="C35" t="str">
            <v>KFN202500001994</v>
          </cell>
          <cell r="D35">
            <v>45910</v>
          </cell>
          <cell r="E35">
            <v>2025</v>
          </cell>
          <cell r="F35" t="str">
            <v>eylül</v>
          </cell>
          <cell r="G35">
            <v>12</v>
          </cell>
          <cell r="H35">
            <v>1235760</v>
          </cell>
        </row>
        <row r="36">
          <cell r="A36" t="str">
            <v>Ekransystem Lisans</v>
          </cell>
          <cell r="B36" t="str">
            <v>İSTAR</v>
          </cell>
          <cell r="C36" t="str">
            <v>IAE20240000000296</v>
          </cell>
          <cell r="D36">
            <v>45572</v>
          </cell>
          <cell r="E36">
            <v>2024</v>
          </cell>
          <cell r="F36" t="str">
            <v>ekim</v>
          </cell>
          <cell r="G36">
            <v>12</v>
          </cell>
          <cell r="H36">
            <v>134453.85999999999</v>
          </cell>
        </row>
        <row r="37">
          <cell r="A37" t="str">
            <v>Mİcrosoft Teams</v>
          </cell>
          <cell r="B37" t="str">
            <v>EVERHUB</v>
          </cell>
          <cell r="C37" t="str">
            <v>EHF2024000000285</v>
          </cell>
          <cell r="D37">
            <v>45583</v>
          </cell>
          <cell r="E37">
            <v>2024</v>
          </cell>
          <cell r="F37" t="str">
            <v>ekim</v>
          </cell>
          <cell r="G37">
            <v>12</v>
          </cell>
          <cell r="H37">
            <v>11033.19</v>
          </cell>
        </row>
        <row r="38">
          <cell r="A38" t="str">
            <v>İmzalama Kütüphanesi Lisans</v>
          </cell>
          <cell r="B38" t="str">
            <v>N/SOFTWARE</v>
          </cell>
          <cell r="C38">
            <v>723222</v>
          </cell>
          <cell r="D38">
            <v>45621</v>
          </cell>
          <cell r="E38">
            <v>2024</v>
          </cell>
          <cell r="F38" t="str">
            <v>kasım</v>
          </cell>
          <cell r="G38">
            <v>12</v>
          </cell>
          <cell r="H38">
            <v>306310.15088888886</v>
          </cell>
        </row>
        <row r="39">
          <cell r="A39" t="str">
            <v>Alpemix YV4 35 Pro kullanıcı</v>
          </cell>
          <cell r="B39" t="str">
            <v>Teknopars</v>
          </cell>
          <cell r="C39" t="str">
            <v>ALE2024000004669</v>
          </cell>
          <cell r="D39">
            <v>45637</v>
          </cell>
          <cell r="E39">
            <v>2024</v>
          </cell>
          <cell r="F39" t="str">
            <v>aralık</v>
          </cell>
          <cell r="G39">
            <v>12</v>
          </cell>
          <cell r="H39">
            <v>45424.17</v>
          </cell>
        </row>
        <row r="40">
          <cell r="A40" t="str">
            <v>HSM Cihaz Standart Support</v>
          </cell>
          <cell r="B40" t="str">
            <v>NETSMART</v>
          </cell>
          <cell r="C40" t="str">
            <v>NET202400000812</v>
          </cell>
          <cell r="D40">
            <v>45656</v>
          </cell>
          <cell r="E40">
            <v>2024</v>
          </cell>
          <cell r="F40" t="str">
            <v>aralık</v>
          </cell>
          <cell r="G40">
            <v>12</v>
          </cell>
          <cell r="H40">
            <v>106186.87</v>
          </cell>
        </row>
        <row r="41">
          <cell r="A41" t="str">
            <v>SOC L1-L2, Log Vis, Kütüphane</v>
          </cell>
          <cell r="B41" t="str">
            <v>PLATİN BİLİŞİM</v>
          </cell>
          <cell r="C41" t="str">
            <v>PLE2024000000687</v>
          </cell>
          <cell r="D41">
            <v>45639</v>
          </cell>
          <cell r="E41">
            <v>2024</v>
          </cell>
          <cell r="F41" t="str">
            <v>aralık</v>
          </cell>
          <cell r="G41">
            <v>12</v>
          </cell>
          <cell r="H41">
            <v>765989.4</v>
          </cell>
        </row>
        <row r="42">
          <cell r="A42" t="str">
            <v>Qradar V1 Lisans</v>
          </cell>
          <cell r="B42" t="str">
            <v>PLATİN BİLİŞİM</v>
          </cell>
          <cell r="C42" t="str">
            <v>PLE2024000000688</v>
          </cell>
          <cell r="D42">
            <v>45639</v>
          </cell>
          <cell r="E42">
            <v>2024</v>
          </cell>
          <cell r="F42" t="str">
            <v>aralık</v>
          </cell>
          <cell r="G42">
            <v>12</v>
          </cell>
          <cell r="H42">
            <v>278541.59999999998</v>
          </cell>
        </row>
        <row r="43">
          <cell r="A43" t="str">
            <v>Robusta Dijital Çalışan Modülü</v>
          </cell>
          <cell r="B43" t="str">
            <v>ROBUSTA</v>
          </cell>
          <cell r="C43" t="str">
            <v>RBE2024000000201</v>
          </cell>
          <cell r="D43">
            <v>45636</v>
          </cell>
          <cell r="E43">
            <v>2024</v>
          </cell>
          <cell r="F43" t="str">
            <v>aralık</v>
          </cell>
          <cell r="G43">
            <v>12</v>
          </cell>
          <cell r="H43">
            <v>207000</v>
          </cell>
        </row>
        <row r="44">
          <cell r="A44" t="str">
            <v>Annual subscription (merkezi yönetim uygulaması)</v>
          </cell>
          <cell r="B44" t="str">
            <v>VMİND</v>
          </cell>
          <cell r="C44" t="str">
            <v>VMD2024000001326</v>
          </cell>
          <cell r="D44">
            <v>45645</v>
          </cell>
          <cell r="E44">
            <v>2024</v>
          </cell>
          <cell r="F44" t="str">
            <v>aralık</v>
          </cell>
          <cell r="G44">
            <v>12</v>
          </cell>
          <cell r="H44">
            <v>595270.30000000005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CF9A-D23C-4C9C-A13C-A33B9CC53380}">
  <dimension ref="B3:L68"/>
  <sheetViews>
    <sheetView tabSelected="1" workbookViewId="0">
      <selection activeCell="B25" sqref="B25"/>
    </sheetView>
  </sheetViews>
  <sheetFormatPr defaultRowHeight="14.4" x14ac:dyDescent="0.3"/>
  <cols>
    <col min="2" max="2" width="65.44140625" bestFit="1" customWidth="1"/>
    <col min="3" max="3" width="16.6640625" style="2" bestFit="1" customWidth="1"/>
    <col min="4" max="4" width="21.6640625" style="3" customWidth="1"/>
    <col min="5" max="5" width="25" customWidth="1"/>
    <col min="7" max="7" width="0.88671875" customWidth="1"/>
    <col min="9" max="9" width="1.33203125" customWidth="1"/>
    <col min="11" max="11" width="0.88671875" customWidth="1"/>
  </cols>
  <sheetData>
    <row r="3" spans="2:12" x14ac:dyDescent="0.3">
      <c r="B3" s="1" t="s">
        <v>0</v>
      </c>
    </row>
    <row r="4" spans="2:12" ht="28.8" x14ac:dyDescent="0.3">
      <c r="B4" s="1"/>
      <c r="C4" s="4" t="s">
        <v>1</v>
      </c>
      <c r="H4" s="5">
        <v>2026</v>
      </c>
      <c r="I4" s="5"/>
      <c r="J4" s="5">
        <v>2027</v>
      </c>
      <c r="K4" s="5"/>
      <c r="L4" s="5">
        <v>2028</v>
      </c>
    </row>
    <row r="5" spans="2:12" x14ac:dyDescent="0.3">
      <c r="B5" t="s">
        <v>2</v>
      </c>
      <c r="C5" s="2">
        <v>155000</v>
      </c>
      <c r="D5" s="3" t="s">
        <v>3</v>
      </c>
      <c r="E5" t="s">
        <v>4</v>
      </c>
    </row>
    <row r="6" spans="2:12" ht="24.6" x14ac:dyDescent="0.3">
      <c r="B6" s="6" t="s">
        <v>5</v>
      </c>
      <c r="C6" s="2">
        <v>302747</v>
      </c>
      <c r="D6" s="7" t="s">
        <v>6</v>
      </c>
      <c r="E6" t="s">
        <v>7</v>
      </c>
    </row>
    <row r="7" spans="2:12" ht="24.6" x14ac:dyDescent="0.3">
      <c r="B7" t="s">
        <v>8</v>
      </c>
      <c r="C7" s="2">
        <v>77000</v>
      </c>
      <c r="D7" s="7" t="s">
        <v>9</v>
      </c>
      <c r="E7" t="s">
        <v>10</v>
      </c>
    </row>
    <row r="8" spans="2:12" x14ac:dyDescent="0.3">
      <c r="D8" s="7"/>
    </row>
    <row r="9" spans="2:12" x14ac:dyDescent="0.3">
      <c r="D9" s="7"/>
    </row>
    <row r="10" spans="2:12" x14ac:dyDescent="0.3">
      <c r="B10" s="1" t="s">
        <v>11</v>
      </c>
      <c r="D10" s="7"/>
    </row>
    <row r="11" spans="2:12" ht="28.8" x14ac:dyDescent="0.3">
      <c r="B11" s="1"/>
      <c r="C11" s="4" t="s">
        <v>1</v>
      </c>
      <c r="D11" s="7"/>
    </row>
    <row r="12" spans="2:12" ht="24.6" x14ac:dyDescent="0.3">
      <c r="B12" s="6" t="s">
        <v>12</v>
      </c>
      <c r="C12" s="2">
        <v>320000</v>
      </c>
      <c r="D12" s="7" t="s">
        <v>13</v>
      </c>
      <c r="E12" t="s">
        <v>14</v>
      </c>
    </row>
    <row r="13" spans="2:12" x14ac:dyDescent="0.3">
      <c r="B13" s="6" t="s">
        <v>15</v>
      </c>
      <c r="C13" s="8">
        <v>54660</v>
      </c>
      <c r="D13" s="7" t="s">
        <v>16</v>
      </c>
      <c r="E13" t="s">
        <v>17</v>
      </c>
    </row>
    <row r="14" spans="2:12" x14ac:dyDescent="0.3">
      <c r="B14" t="s">
        <v>18</v>
      </c>
      <c r="C14" s="2">
        <v>107323</v>
      </c>
      <c r="D14" s="7" t="s">
        <v>16</v>
      </c>
      <c r="E14" t="s">
        <v>19</v>
      </c>
    </row>
    <row r="15" spans="2:12" x14ac:dyDescent="0.3">
      <c r="B15" s="9" t="s">
        <v>20</v>
      </c>
      <c r="C15" s="2">
        <v>90000</v>
      </c>
      <c r="D15" s="7" t="s">
        <v>21</v>
      </c>
      <c r="E15" t="s">
        <v>22</v>
      </c>
    </row>
    <row r="16" spans="2:12" x14ac:dyDescent="0.3">
      <c r="B16" s="9" t="s">
        <v>23</v>
      </c>
      <c r="C16" s="8">
        <v>82500</v>
      </c>
      <c r="D16" s="7" t="s">
        <v>24</v>
      </c>
    </row>
    <row r="19" spans="2:6" x14ac:dyDescent="0.3">
      <c r="B19" s="1" t="s">
        <v>25</v>
      </c>
    </row>
    <row r="20" spans="2:6" ht="28.8" x14ac:dyDescent="0.3">
      <c r="C20" s="4" t="s">
        <v>1</v>
      </c>
    </row>
    <row r="21" spans="2:6" x14ac:dyDescent="0.3">
      <c r="B21" s="6" t="s">
        <v>26</v>
      </c>
      <c r="C21" s="2">
        <v>4038.6</v>
      </c>
      <c r="D21" s="7" t="s">
        <v>27</v>
      </c>
      <c r="E21" t="s">
        <v>28</v>
      </c>
    </row>
    <row r="22" spans="2:6" x14ac:dyDescent="0.3">
      <c r="B22" s="6"/>
    </row>
    <row r="23" spans="2:6" x14ac:dyDescent="0.3">
      <c r="B23" s="10" t="s">
        <v>29</v>
      </c>
      <c r="D23" s="11" t="s">
        <v>30</v>
      </c>
      <c r="E23" s="12" t="s">
        <v>31</v>
      </c>
      <c r="F23" s="12" t="s">
        <v>32</v>
      </c>
    </row>
    <row r="24" spans="2:6" x14ac:dyDescent="0.3">
      <c r="B24" s="13" t="s">
        <v>33</v>
      </c>
      <c r="C24" s="14" t="s">
        <v>34</v>
      </c>
      <c r="D24" s="15">
        <f t="shared" ref="D24:D43" si="0">+E24/F24</f>
        <v>15520.906666666668</v>
      </c>
      <c r="E24" s="2">
        <f>VLOOKUP(B24,[1]lisans!$A$15:$H$44,8,0)</f>
        <v>186250.88</v>
      </c>
      <c r="F24">
        <v>12</v>
      </c>
    </row>
    <row r="25" spans="2:6" x14ac:dyDescent="0.3">
      <c r="B25" s="13" t="s">
        <v>35</v>
      </c>
      <c r="C25" s="14" t="s">
        <v>36</v>
      </c>
      <c r="D25" s="15">
        <f t="shared" si="0"/>
        <v>3085.3941666666669</v>
      </c>
      <c r="E25" s="2">
        <f>VLOOKUP(B25,[1]lisans!$A$15:$H$44,8,0)</f>
        <v>37024.730000000003</v>
      </c>
      <c r="F25">
        <v>12</v>
      </c>
    </row>
    <row r="26" spans="2:6" x14ac:dyDescent="0.3">
      <c r="B26" s="13" t="s">
        <v>37</v>
      </c>
      <c r="C26" s="14" t="s">
        <v>38</v>
      </c>
      <c r="D26" s="15">
        <f t="shared" si="0"/>
        <v>30631.293333333335</v>
      </c>
      <c r="E26" s="2">
        <f>VLOOKUP(B26,[1]lisans!$A$15:$H$44,8,0)</f>
        <v>367575.52</v>
      </c>
      <c r="F26">
        <v>12</v>
      </c>
    </row>
    <row r="27" spans="2:6" x14ac:dyDescent="0.3">
      <c r="B27" s="13" t="s">
        <v>39</v>
      </c>
      <c r="C27" s="14" t="s">
        <v>40</v>
      </c>
      <c r="D27" s="15">
        <f t="shared" si="0"/>
        <v>14683.333333333334</v>
      </c>
      <c r="E27" s="2">
        <f>VLOOKUP(B27,[1]lisans!$A$15:$H$44,8,0)</f>
        <v>176200</v>
      </c>
      <c r="F27">
        <v>12</v>
      </c>
    </row>
    <row r="28" spans="2:6" x14ac:dyDescent="0.3">
      <c r="B28" s="13" t="s">
        <v>39</v>
      </c>
      <c r="C28" s="14" t="s">
        <v>40</v>
      </c>
      <c r="D28" s="15">
        <f t="shared" si="0"/>
        <v>14683.333333333334</v>
      </c>
      <c r="E28" s="2">
        <f>VLOOKUP(B28,[1]lisans!$A$15:$H$44,8,0)</f>
        <v>176200</v>
      </c>
      <c r="F28">
        <v>12</v>
      </c>
    </row>
    <row r="29" spans="2:6" x14ac:dyDescent="0.3">
      <c r="B29" s="13" t="s">
        <v>35</v>
      </c>
      <c r="C29" s="14" t="s">
        <v>36</v>
      </c>
      <c r="D29" s="15">
        <f t="shared" si="0"/>
        <v>3085.3941666666669</v>
      </c>
      <c r="E29" s="2">
        <f>VLOOKUP(B29,[1]lisans!$A$15:$H$44,8,0)</f>
        <v>37024.730000000003</v>
      </c>
      <c r="F29">
        <v>12</v>
      </c>
    </row>
    <row r="30" spans="2:6" x14ac:dyDescent="0.3">
      <c r="B30" s="13" t="s">
        <v>41</v>
      </c>
      <c r="C30" s="14" t="s">
        <v>42</v>
      </c>
      <c r="D30" s="15">
        <f t="shared" si="0"/>
        <v>7916.666666666667</v>
      </c>
      <c r="E30" s="2">
        <f>VLOOKUP(B30,[1]lisans!$A$15:$H$44,8,0)</f>
        <v>95000</v>
      </c>
      <c r="F30">
        <v>12</v>
      </c>
    </row>
    <row r="31" spans="2:6" x14ac:dyDescent="0.3">
      <c r="B31" s="13" t="s">
        <v>43</v>
      </c>
      <c r="C31" s="14" t="s">
        <v>34</v>
      </c>
      <c r="D31" s="15">
        <f t="shared" si="0"/>
        <v>39444.655833333331</v>
      </c>
      <c r="E31" s="2">
        <f>VLOOKUP(B31,[1]lisans!$A$15:$H$44,8,0)</f>
        <v>473335.87</v>
      </c>
      <c r="F31">
        <v>12</v>
      </c>
    </row>
    <row r="32" spans="2:6" x14ac:dyDescent="0.3">
      <c r="B32" s="13" t="s">
        <v>44</v>
      </c>
      <c r="C32" s="14" t="s">
        <v>45</v>
      </c>
      <c r="D32" s="15">
        <f t="shared" si="0"/>
        <v>13219.179166666667</v>
      </c>
      <c r="E32" s="2">
        <f>VLOOKUP(B32,[1]lisans!$A$15:$H$44,8,0)</f>
        <v>158630.15</v>
      </c>
      <c r="F32">
        <v>12</v>
      </c>
    </row>
    <row r="33" spans="2:6" x14ac:dyDescent="0.3">
      <c r="B33" s="13" t="s">
        <v>46</v>
      </c>
      <c r="C33" s="14" t="s">
        <v>47</v>
      </c>
      <c r="D33" s="15">
        <f t="shared" si="0"/>
        <v>20397.977500000001</v>
      </c>
      <c r="E33" s="2">
        <f>VLOOKUP(B33,[1]lisans!$A$15:$H$44,8,0)</f>
        <v>244775.73</v>
      </c>
      <c r="F33">
        <v>12</v>
      </c>
    </row>
    <row r="34" spans="2:6" x14ac:dyDescent="0.3">
      <c r="B34" s="13" t="s">
        <v>48</v>
      </c>
      <c r="C34" s="14" t="s">
        <v>34</v>
      </c>
      <c r="D34" s="15">
        <f t="shared" si="0"/>
        <v>1627.8549999999998</v>
      </c>
      <c r="E34" s="2">
        <f>VLOOKUP(B34,[1]lisans!$A$15:$H$44,8,0)</f>
        <v>19534.259999999998</v>
      </c>
      <c r="F34">
        <v>12</v>
      </c>
    </row>
    <row r="35" spans="2:6" x14ac:dyDescent="0.3">
      <c r="B35" s="13" t="s">
        <v>49</v>
      </c>
      <c r="C35" s="14" t="s">
        <v>50</v>
      </c>
      <c r="D35" s="15">
        <f t="shared" si="0"/>
        <v>41864.614999999998</v>
      </c>
      <c r="E35" s="2">
        <f>VLOOKUP(B35,[1]lisans!$A$15:$H$44,8,0)</f>
        <v>502375.38</v>
      </c>
      <c r="F35">
        <v>12</v>
      </c>
    </row>
    <row r="36" spans="2:6" x14ac:dyDescent="0.3">
      <c r="B36" s="13" t="s">
        <v>51</v>
      </c>
      <c r="C36" s="14" t="s">
        <v>34</v>
      </c>
      <c r="D36" s="15">
        <f t="shared" si="0"/>
        <v>10424.868333333334</v>
      </c>
      <c r="E36" s="2">
        <f>VLOOKUP(B36,[1]lisans!$A$15:$H$44,8,0)</f>
        <v>125098.42</v>
      </c>
      <c r="F36">
        <v>12</v>
      </c>
    </row>
    <row r="37" spans="2:6" x14ac:dyDescent="0.3">
      <c r="B37" s="13" t="s">
        <v>52</v>
      </c>
      <c r="C37" s="14" t="s">
        <v>53</v>
      </c>
      <c r="D37" s="15">
        <f t="shared" si="0"/>
        <v>9660</v>
      </c>
      <c r="E37" s="2">
        <f>VLOOKUP(B37,[1]lisans!$A$15:$H$44,8,0)</f>
        <v>115920</v>
      </c>
      <c r="F37">
        <v>12</v>
      </c>
    </row>
    <row r="38" spans="2:6" x14ac:dyDescent="0.3">
      <c r="B38" s="13" t="s">
        <v>54</v>
      </c>
      <c r="C38" s="14" t="s">
        <v>34</v>
      </c>
      <c r="D38" s="15">
        <f t="shared" si="0"/>
        <v>12118.826666666668</v>
      </c>
      <c r="E38" s="2">
        <f>VLOOKUP(B38,[1]lisans!$A$15:$H$44,8,0)</f>
        <v>145425.92000000001</v>
      </c>
      <c r="F38">
        <v>12</v>
      </c>
    </row>
    <row r="39" spans="2:6" x14ac:dyDescent="0.3">
      <c r="B39" s="13" t="s">
        <v>43</v>
      </c>
      <c r="C39" s="14" t="s">
        <v>34</v>
      </c>
      <c r="D39" s="15">
        <f t="shared" si="0"/>
        <v>39444.655833333331</v>
      </c>
      <c r="E39" s="2">
        <f>VLOOKUP(B39,[1]lisans!$A$15:$H$44,8,0)</f>
        <v>473335.87</v>
      </c>
      <c r="F39">
        <v>12</v>
      </c>
    </row>
    <row r="40" spans="2:6" x14ac:dyDescent="0.3">
      <c r="B40" s="13" t="s">
        <v>55</v>
      </c>
      <c r="C40" s="14" t="s">
        <v>38</v>
      </c>
      <c r="D40" s="15">
        <f t="shared" si="0"/>
        <v>46636.1</v>
      </c>
      <c r="E40" s="2">
        <f>VLOOKUP(B40,[1]lisans!$A$15:$H$44,8,0)</f>
        <v>559633.19999999995</v>
      </c>
      <c r="F40">
        <v>12</v>
      </c>
    </row>
    <row r="41" spans="2:6" x14ac:dyDescent="0.3">
      <c r="B41" s="13" t="s">
        <v>56</v>
      </c>
      <c r="C41" s="14" t="s">
        <v>34</v>
      </c>
      <c r="D41" s="15">
        <f t="shared" si="0"/>
        <v>15003.754166666666</v>
      </c>
      <c r="E41" s="2">
        <f>VLOOKUP(B41,[1]lisans!$A$15:$H$44,8,0)</f>
        <v>180045.05</v>
      </c>
      <c r="F41">
        <v>12</v>
      </c>
    </row>
    <row r="42" spans="2:6" x14ac:dyDescent="0.3">
      <c r="B42" s="13" t="s">
        <v>57</v>
      </c>
      <c r="C42" s="14" t="s">
        <v>58</v>
      </c>
      <c r="D42" s="15">
        <f t="shared" si="0"/>
        <v>48854.640000000007</v>
      </c>
      <c r="E42" s="2">
        <f>VLOOKUP(B42,[1]lisans!$A$15:$H$44,8,0)</f>
        <v>586255.68000000005</v>
      </c>
      <c r="F42">
        <v>12</v>
      </c>
    </row>
    <row r="43" spans="2:6" x14ac:dyDescent="0.3">
      <c r="B43" s="13" t="s">
        <v>59</v>
      </c>
      <c r="C43" s="14" t="s">
        <v>60</v>
      </c>
      <c r="D43" s="15">
        <f t="shared" si="0"/>
        <v>102980</v>
      </c>
      <c r="E43" s="2">
        <f>VLOOKUP(B43,[1]lisans!$A$15:$H$44,8,0)</f>
        <v>1235760</v>
      </c>
      <c r="F43">
        <v>12</v>
      </c>
    </row>
    <row r="44" spans="2:6" x14ac:dyDescent="0.3">
      <c r="B44" s="16"/>
      <c r="C44" s="17"/>
      <c r="D44" s="15"/>
      <c r="E44" s="2"/>
    </row>
    <row r="45" spans="2:6" x14ac:dyDescent="0.3">
      <c r="B45" s="18" t="s">
        <v>61</v>
      </c>
    </row>
    <row r="46" spans="2:6" x14ac:dyDescent="0.3">
      <c r="B46" s="13" t="s">
        <v>62</v>
      </c>
      <c r="C46" s="14" t="s">
        <v>63</v>
      </c>
      <c r="D46" s="15">
        <f>+E46/F46</f>
        <v>12836.25</v>
      </c>
      <c r="E46" s="2">
        <f>VLOOKUP(B46,[1]lisans!$A$15:$H$44,8,0)</f>
        <v>154035</v>
      </c>
      <c r="F46">
        <v>12</v>
      </c>
    </row>
    <row r="47" spans="2:6" x14ac:dyDescent="0.3">
      <c r="B47" s="13" t="s">
        <v>64</v>
      </c>
      <c r="C47" s="14" t="s">
        <v>65</v>
      </c>
      <c r="D47" s="15">
        <f t="shared" ref="D47:D55" si="1">+E47/F47</f>
        <v>11204.488333333333</v>
      </c>
      <c r="E47" s="2">
        <v>134453.85999999999</v>
      </c>
      <c r="F47">
        <v>12</v>
      </c>
    </row>
    <row r="48" spans="2:6" x14ac:dyDescent="0.3">
      <c r="B48" s="13" t="s">
        <v>66</v>
      </c>
      <c r="C48" s="14" t="s">
        <v>67</v>
      </c>
      <c r="D48" s="15">
        <f t="shared" si="1"/>
        <v>25525.845907407405</v>
      </c>
      <c r="E48" s="2">
        <v>306310.15088888886</v>
      </c>
      <c r="F48">
        <v>12</v>
      </c>
    </row>
    <row r="49" spans="2:6" x14ac:dyDescent="0.3">
      <c r="B49" s="13" t="s">
        <v>68</v>
      </c>
      <c r="C49" s="14" t="s">
        <v>69</v>
      </c>
      <c r="D49" s="15">
        <f t="shared" si="1"/>
        <v>3785.3474999999999</v>
      </c>
      <c r="E49" s="2">
        <v>45424.17</v>
      </c>
      <c r="F49">
        <v>12</v>
      </c>
    </row>
    <row r="50" spans="2:6" x14ac:dyDescent="0.3">
      <c r="B50" s="13" t="s">
        <v>70</v>
      </c>
      <c r="C50" s="14" t="s">
        <v>71</v>
      </c>
      <c r="D50" s="15">
        <f t="shared" si="1"/>
        <v>8848.9058333333323</v>
      </c>
      <c r="E50" s="2">
        <v>106186.87</v>
      </c>
      <c r="F50">
        <v>12</v>
      </c>
    </row>
    <row r="51" spans="2:6" x14ac:dyDescent="0.3">
      <c r="B51" s="13" t="s">
        <v>72</v>
      </c>
      <c r="C51" s="14" t="s">
        <v>73</v>
      </c>
      <c r="D51" s="15">
        <f t="shared" si="1"/>
        <v>63832.450000000004</v>
      </c>
      <c r="E51" s="2">
        <v>765989.4</v>
      </c>
      <c r="F51">
        <v>12</v>
      </c>
    </row>
    <row r="52" spans="2:6" x14ac:dyDescent="0.3">
      <c r="B52" s="13" t="s">
        <v>74</v>
      </c>
      <c r="C52" s="14" t="s">
        <v>73</v>
      </c>
      <c r="D52" s="15">
        <f t="shared" si="1"/>
        <v>23211.8</v>
      </c>
      <c r="E52" s="2">
        <v>278541.59999999998</v>
      </c>
      <c r="F52">
        <v>12</v>
      </c>
    </row>
    <row r="53" spans="2:6" x14ac:dyDescent="0.3">
      <c r="B53" s="13" t="s">
        <v>75</v>
      </c>
      <c r="C53" s="14" t="s">
        <v>76</v>
      </c>
      <c r="D53" s="15">
        <f t="shared" si="1"/>
        <v>17250</v>
      </c>
      <c r="E53" s="2">
        <v>207000</v>
      </c>
      <c r="F53">
        <v>12</v>
      </c>
    </row>
    <row r="54" spans="2:6" x14ac:dyDescent="0.3">
      <c r="B54" s="13" t="s">
        <v>77</v>
      </c>
      <c r="C54" s="14" t="s">
        <v>78</v>
      </c>
      <c r="D54" s="15">
        <f t="shared" si="1"/>
        <v>49605.858333333337</v>
      </c>
      <c r="E54" s="2">
        <v>595270.30000000005</v>
      </c>
      <c r="F54">
        <v>12</v>
      </c>
    </row>
    <row r="55" spans="2:6" x14ac:dyDescent="0.3">
      <c r="B55" s="13" t="s">
        <v>66</v>
      </c>
      <c r="C55" s="14" t="s">
        <v>67</v>
      </c>
      <c r="D55" s="15">
        <f t="shared" si="1"/>
        <v>16008.942499999999</v>
      </c>
      <c r="E55" s="2">
        <v>192107.31</v>
      </c>
      <c r="F55">
        <v>12</v>
      </c>
    </row>
    <row r="57" spans="2:6" x14ac:dyDescent="0.3">
      <c r="B57" s="18" t="s">
        <v>79</v>
      </c>
      <c r="D57" s="19" t="s">
        <v>80</v>
      </c>
      <c r="E57" s="20" t="s">
        <v>81</v>
      </c>
    </row>
    <row r="58" spans="2:6" x14ac:dyDescent="0.3">
      <c r="B58" s="21" t="s">
        <v>82</v>
      </c>
      <c r="C58" s="22" t="s">
        <v>83</v>
      </c>
      <c r="D58" s="23">
        <v>10</v>
      </c>
      <c r="E58" s="2">
        <v>885000</v>
      </c>
    </row>
    <row r="59" spans="2:6" x14ac:dyDescent="0.3">
      <c r="B59" s="21" t="s">
        <v>84</v>
      </c>
      <c r="C59" s="22" t="s">
        <v>85</v>
      </c>
      <c r="D59" s="23">
        <v>1</v>
      </c>
      <c r="E59" s="2">
        <v>2361412.84</v>
      </c>
    </row>
    <row r="60" spans="2:6" x14ac:dyDescent="0.3">
      <c r="B60" s="21" t="s">
        <v>86</v>
      </c>
      <c r="C60" s="22" t="s">
        <v>85</v>
      </c>
      <c r="D60" s="23">
        <v>1</v>
      </c>
      <c r="E60" s="2">
        <v>17437438.5</v>
      </c>
    </row>
    <row r="61" spans="2:6" x14ac:dyDescent="0.3">
      <c r="B61" s="21" t="s">
        <v>87</v>
      </c>
      <c r="C61" s="22" t="s">
        <v>88</v>
      </c>
      <c r="D61" s="23">
        <v>1</v>
      </c>
      <c r="E61" s="2">
        <v>341436.01</v>
      </c>
    </row>
    <row r="62" spans="2:6" x14ac:dyDescent="0.3">
      <c r="B62" s="21" t="s">
        <v>89</v>
      </c>
      <c r="C62" s="22" t="s">
        <v>90</v>
      </c>
      <c r="D62" s="23">
        <v>1</v>
      </c>
      <c r="E62" s="2">
        <v>53247.360000000001</v>
      </c>
    </row>
    <row r="63" spans="2:6" x14ac:dyDescent="0.3">
      <c r="B63" s="21" t="s">
        <v>91</v>
      </c>
      <c r="C63" s="22" t="s">
        <v>92</v>
      </c>
      <c r="D63" s="23">
        <v>1</v>
      </c>
      <c r="E63" s="2">
        <v>35423.410000000003</v>
      </c>
    </row>
    <row r="64" spans="2:6" x14ac:dyDescent="0.3">
      <c r="B64" s="21" t="s">
        <v>93</v>
      </c>
      <c r="C64" s="22" t="s">
        <v>83</v>
      </c>
      <c r="D64" s="23">
        <v>1</v>
      </c>
      <c r="E64" s="2">
        <v>173230.51</v>
      </c>
    </row>
    <row r="65" spans="2:5" x14ac:dyDescent="0.3">
      <c r="B65" s="21" t="s">
        <v>94</v>
      </c>
      <c r="C65" s="22" t="s">
        <v>95</v>
      </c>
      <c r="D65" s="23">
        <v>1</v>
      </c>
      <c r="E65" s="2">
        <v>59960</v>
      </c>
    </row>
    <row r="66" spans="2:5" x14ac:dyDescent="0.3">
      <c r="B66" s="21" t="s">
        <v>96</v>
      </c>
      <c r="C66" s="22" t="s">
        <v>83</v>
      </c>
      <c r="D66" s="23">
        <v>1</v>
      </c>
      <c r="E66" s="2">
        <v>32250.3</v>
      </c>
    </row>
    <row r="67" spans="2:5" x14ac:dyDescent="0.3">
      <c r="B67" s="21" t="s">
        <v>97</v>
      </c>
      <c r="C67" s="22" t="s">
        <v>92</v>
      </c>
      <c r="D67" s="23">
        <v>1</v>
      </c>
      <c r="E67" s="2">
        <v>768839.68000000005</v>
      </c>
    </row>
    <row r="68" spans="2:5" x14ac:dyDescent="0.3">
      <c r="B68" s="21" t="s">
        <v>98</v>
      </c>
      <c r="C68" s="22" t="s">
        <v>99</v>
      </c>
      <c r="D68" s="24">
        <v>64</v>
      </c>
      <c r="E68" s="2">
        <v>70382.539999999994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 Merkezi ve Yön. Dan.Gid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Burcin Tolga</dc:creator>
  <cp:lastModifiedBy>Burcin Tolga</cp:lastModifiedBy>
  <dcterms:created xsi:type="dcterms:W3CDTF">2025-11-17T13:21:53Z</dcterms:created>
  <dcterms:modified xsi:type="dcterms:W3CDTF">2025-11-17T13:24:05Z</dcterms:modified>
</cp:coreProperties>
</file>