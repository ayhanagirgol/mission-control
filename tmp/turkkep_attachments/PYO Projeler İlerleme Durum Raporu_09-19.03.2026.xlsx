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BuÇalışmaKitabı"/>
  <mc:AlternateContent xmlns:mc="http://schemas.openxmlformats.org/markup-compatibility/2006">
    <mc:Choice Requires="x15">
      <x15ac:absPath xmlns:x15ac="http://schemas.microsoft.com/office/spreadsheetml/2010/11/ac" url="C:\Users\aykut.kutlusan\Documents\"/>
    </mc:Choice>
  </mc:AlternateContent>
  <xr:revisionPtr revIDLastSave="0" documentId="13_ncr:1_{7B50C59F-D80C-4C85-A1AB-0F84A89B75FB}" xr6:coauthVersionLast="47" xr6:coauthVersionMax="47" xr10:uidLastSave="{00000000-0000-0000-0000-000000000000}"/>
  <bookViews>
    <workbookView xWindow="765" yWindow="225" windowWidth="26070" windowHeight="14580" tabRatio="733" xr2:uid="{00000000-000D-0000-FFFF-FFFF00000000}"/>
  </bookViews>
  <sheets>
    <sheet name="Klasik Prj-Hibrit Prj ilerleme" sheetId="1" r:id="rId1"/>
    <sheet name="Çevik Prj İlerleme" sheetId="2" r:id="rId2"/>
    <sheet name="Jira Worklog Analizi-Sprint" sheetId="7" r:id="rId3"/>
    <sheet name="Jira Worklog Analizi-Kümüle" sheetId="8" r:id="rId4"/>
    <sheet name="Ar-Ge Yazılım Personelleri" sheetId="3" r:id="rId5"/>
    <sheet name="İş Dağılımı - Jira" sheetId="5" r:id="rId6"/>
    <sheet name="İş Dağılımı - Servicecore" sheetId="6" r:id="rId7"/>
  </sheets>
  <externalReferences>
    <externalReference r:id="rId8"/>
  </externalReferences>
  <definedNames>
    <definedName name="_xlnm._FilterDatabase" localSheetId="1" hidden="1">'Çevik Prj İlerleme'!#REF!</definedName>
    <definedName name="_xlnm._FilterDatabase" localSheetId="3" hidden="1">'Jira Worklog Analizi-Kümüle'!$D$10:$H$10</definedName>
    <definedName name="_xlnm._FilterDatabase" localSheetId="2" hidden="1">'Jira Worklog Analizi-Sprint'!$D$29:$H$52</definedName>
    <definedName name="_xlnm._FilterDatabase" localSheetId="0" hidden="1">'Klasik Prj-Hibrit Prj ilerleme'!$A$2:$K$402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0" i="7" l="1"/>
  <c r="H50" i="7" s="1"/>
  <c r="H51" i="7"/>
  <c r="H49" i="7"/>
  <c r="H48" i="7"/>
  <c r="H47" i="7"/>
  <c r="H46" i="7"/>
  <c r="H45" i="7"/>
  <c r="H44" i="7"/>
  <c r="H43" i="7"/>
  <c r="H42" i="7"/>
  <c r="H41" i="7"/>
  <c r="H40" i="7"/>
  <c r="H39" i="7"/>
  <c r="H38" i="7"/>
  <c r="H37" i="7"/>
  <c r="H36" i="7"/>
  <c r="H35" i="7"/>
  <c r="H34" i="7"/>
  <c r="H33" i="7"/>
  <c r="H32" i="7"/>
  <c r="H31" i="7"/>
  <c r="H30" i="7"/>
  <c r="G51" i="7"/>
  <c r="G49" i="7"/>
  <c r="G48" i="7"/>
  <c r="G47" i="7"/>
  <c r="G46" i="7"/>
  <c r="G45" i="7"/>
  <c r="G44" i="7"/>
  <c r="G43" i="7"/>
  <c r="G42" i="7"/>
  <c r="G41" i="7"/>
  <c r="G40" i="7"/>
  <c r="G39" i="7"/>
  <c r="G38" i="7"/>
  <c r="G37" i="7"/>
  <c r="G36" i="7"/>
  <c r="G35" i="7"/>
  <c r="G34" i="7"/>
  <c r="G33" i="7"/>
  <c r="G32" i="7"/>
  <c r="G31" i="7"/>
  <c r="G30" i="7"/>
</calcChain>
</file>

<file path=xl/sharedStrings.xml><?xml version="1.0" encoding="utf-8"?>
<sst xmlns="http://schemas.openxmlformats.org/spreadsheetml/2006/main" count="2642" uniqueCount="765">
  <si>
    <t>Proje Grup Kodu</t>
  </si>
  <si>
    <t>Proje Adı</t>
  </si>
  <si>
    <t>Proje Sponsoru</t>
  </si>
  <si>
    <t>Proje Yöneticisi</t>
  </si>
  <si>
    <t>Proje Aktiviteleri 
(Yapılan ve Yapılması Planlanan)</t>
  </si>
  <si>
    <t>Tamamlanma Oranı</t>
  </si>
  <si>
    <t>Proje İlerleme Durumu
(Bu alan için projenin gidişat durumuna göre renk kodları kullanılmaktadır)</t>
  </si>
  <si>
    <t>Projede Takip Edilen Riskler</t>
  </si>
  <si>
    <t>Proje Başlangıç Tarihi</t>
  </si>
  <si>
    <t>Proje Bitiş Tarihi</t>
  </si>
  <si>
    <t>E-Dönüşüm Paketi Yazılım Geliştirme Projesi</t>
  </si>
  <si>
    <t xml:space="preserve">Proje Yönlendirme Komitesi
-Ayhan Ağırgöl
-Hülya Yemşen
-Sibel Aka
-Cemal Doğan
-Aykut Kutlusan </t>
  </si>
  <si>
    <t>Hüseyin Pekgöz</t>
  </si>
  <si>
    <t>Proje maddelerinde sarkma olmamış ve proje bitiş tarihinde tamamlanacağı varsayılmıştır.</t>
  </si>
  <si>
    <t>2024-URB-001</t>
  </si>
  <si>
    <t>CB DDO Denetim Bulgu Takip Projesi</t>
  </si>
  <si>
    <t>Murat Mustafaoğlu</t>
  </si>
  <si>
    <t>İlkem Alvanoğlu</t>
  </si>
  <si>
    <r>
      <t xml:space="preserve">Proje maddelerinde sarkma olmuş fakat proje bitiş tarihinde değişiklik olmayacağı varsayılmıştır.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zamansal olarak sapma bulunmaktadır.</t>
    </r>
  </si>
  <si>
    <t>2024-PYO-001</t>
  </si>
  <si>
    <t>GİB 2024 Denetim Bulgu Takip Projesi</t>
  </si>
  <si>
    <t>Cemal Önder Doğan</t>
  </si>
  <si>
    <t>Elvan Gürler</t>
  </si>
  <si>
    <r>
      <rPr>
        <b/>
        <sz val="11"/>
        <color theme="1"/>
        <rFont val="Calibri"/>
        <family val="2"/>
        <charset val="162"/>
        <scheme val="minor"/>
      </rPr>
      <t>Yapılan:</t>
    </r>
    <r>
      <rPr>
        <sz val="11"/>
        <color theme="1"/>
        <rFont val="Calibri"/>
        <family val="2"/>
        <scheme val="minor"/>
      </rPr>
      <t xml:space="preserve">
Servicecore'da girişi sağlanan maddeler tamamlanmıştır.
</t>
    </r>
    <r>
      <rPr>
        <b/>
        <sz val="11"/>
        <color theme="1"/>
        <rFont val="Calibri"/>
        <family val="2"/>
        <charset val="162"/>
        <scheme val="minor"/>
      </rPr>
      <t xml:space="preserve">Yapılması Planlanan:
</t>
    </r>
    <r>
      <rPr>
        <sz val="11"/>
        <color theme="1"/>
        <rFont val="Calibri"/>
        <family val="2"/>
        <scheme val="minor"/>
      </rPr>
      <t>Maddeler için Servicecore'a kanıtlar eklenecek ve tamamlanmış statüsüne alınacaktır.</t>
    </r>
  </si>
  <si>
    <t>Servicecore ITSM Uygulaması Yaygınlaştırma Projesi</t>
  </si>
  <si>
    <t>Aykut Kutlusan</t>
  </si>
  <si>
    <t>Büşra Gümüşsoy</t>
  </si>
  <si>
    <r>
      <rPr>
        <b/>
        <sz val="11"/>
        <color theme="1"/>
        <rFont val="Calibri"/>
        <family val="2"/>
        <charset val="162"/>
        <scheme val="minor"/>
      </rPr>
      <t>Yapılan:</t>
    </r>
    <r>
      <rPr>
        <sz val="11"/>
        <color theme="1"/>
        <rFont val="Calibri"/>
        <family val="2"/>
        <scheme val="minor"/>
      </rPr>
      <t xml:space="preserve">
Servicecore yetkilisi ile toplantı yapılacaktır,Proje detayındaki dolduralamayan alanlar toplantıdaki yönlendirmeye istinaden tamamlanmıştır. 
PYO ve Ürün Yönetimi için katalog hazırlıkları tamamlanmıştır.
</t>
    </r>
    <r>
      <rPr>
        <b/>
        <sz val="11"/>
        <color theme="1"/>
        <rFont val="Calibri"/>
        <family val="2"/>
        <charset val="162"/>
        <scheme val="minor"/>
      </rPr>
      <t>Yapılması Planlanan:</t>
    </r>
    <r>
      <rPr>
        <sz val="11"/>
        <color theme="1"/>
        <rFont val="Calibri"/>
        <family val="2"/>
        <scheme val="minor"/>
      </rPr>
      <t xml:space="preserve">
Kullanıcı tanımlarını sağlanacaktır.
Proje başlatma belgesi proje üyeleri ile paylaşılacaktır.</t>
    </r>
  </si>
  <si>
    <t>Yapay Zeka Destekli Çağrı Karşılama Projesi</t>
  </si>
  <si>
    <t>Proje Yönlendirme Komitesi
-Ayhan Ağırgöl
-Sibel Aka
-Cemal Önder Doğan
-Aykut Kutlusan</t>
  </si>
  <si>
    <t>Hasan Coşkun</t>
  </si>
  <si>
    <t>Dijital Arşiv ve Saklama Platformu Geliştirilmesi Projesi</t>
  </si>
  <si>
    <r>
      <rPr>
        <b/>
        <sz val="11"/>
        <color theme="1"/>
        <rFont val="Calibri"/>
        <family val="2"/>
        <charset val="162"/>
        <scheme val="minor"/>
      </rPr>
      <t>Yapılan:</t>
    </r>
    <r>
      <rPr>
        <sz val="11"/>
        <color theme="1"/>
        <rFont val="Calibri"/>
        <family val="2"/>
        <scheme val="minor"/>
      </rPr>
      <t xml:space="preserve">
Proje ekibiyle proje detaylarının netleştirilmesi için ilk toplantı gerçekleştirilmiştir.
</t>
    </r>
    <r>
      <rPr>
        <b/>
        <sz val="11"/>
        <color theme="1"/>
        <rFont val="Calibri"/>
        <family val="2"/>
        <charset val="162"/>
        <scheme val="minor"/>
      </rPr>
      <t>Yapılmasını Planlanan:</t>
    </r>
    <r>
      <rPr>
        <sz val="11"/>
        <color theme="1"/>
        <rFont val="Calibri"/>
        <family val="2"/>
        <scheme val="minor"/>
      </rPr>
      <t xml:space="preserve">
Proje detaylarının netleştirilmesi için haftalık ilerleme toplantı gerçekleştirilecektir.</t>
    </r>
  </si>
  <si>
    <t>Türkkep Mobil KEP Projesi</t>
  </si>
  <si>
    <t>Ayhan Ağırgöl</t>
  </si>
  <si>
    <r>
      <rPr>
        <b/>
        <sz val="11"/>
        <color theme="1"/>
        <rFont val="Calibri"/>
        <family val="2"/>
        <charset val="162"/>
        <scheme val="minor"/>
      </rPr>
      <t xml:space="preserve">Yapılan: </t>
    </r>
    <r>
      <rPr>
        <sz val="11"/>
        <color theme="1"/>
        <rFont val="Calibri"/>
        <family val="2"/>
        <scheme val="minor"/>
      </rPr>
      <t xml:space="preserve">
Proje kartı ve başlatma belgesi hazırlanmıştır.
</t>
    </r>
    <r>
      <rPr>
        <b/>
        <sz val="11"/>
        <color theme="1"/>
        <rFont val="Calibri"/>
        <family val="2"/>
        <charset val="162"/>
        <scheme val="minor"/>
      </rPr>
      <t>Yapılması Planlanan:</t>
    </r>
    <r>
      <rPr>
        <sz val="11"/>
        <color theme="1"/>
        <rFont val="Calibri"/>
        <family val="2"/>
        <scheme val="minor"/>
      </rPr>
      <t xml:space="preserve">
Geliştirmelerin canlı ortama aktarılması sağlanacaktır.
Tasarımsal düzenlemeler yapılacaktır.</t>
    </r>
  </si>
  <si>
    <t>Teknoloji Çözüm Merkezi Platformu Geliştirilmesi Projesi</t>
  </si>
  <si>
    <r>
      <rPr>
        <b/>
        <sz val="11"/>
        <color theme="1"/>
        <rFont val="Calibri"/>
        <family val="2"/>
        <charset val="162"/>
        <scheme val="minor"/>
      </rPr>
      <t>Yapılan:</t>
    </r>
    <r>
      <rPr>
        <sz val="11"/>
        <color theme="1"/>
        <rFont val="Calibri"/>
        <family val="2"/>
        <scheme val="minor"/>
      </rPr>
      <t xml:space="preserve"> 
Proje kartı ve başlatma belgesi hazırlanmıştır.
KEP Assist uygulamasına yönelik geliştirmeler tamamlanmıştır.Test ve canlı ortamda kontroller sağlanmıştır.
</t>
    </r>
    <r>
      <rPr>
        <b/>
        <sz val="11"/>
        <color theme="1"/>
        <rFont val="Calibri"/>
        <family val="2"/>
        <charset val="162"/>
        <scheme val="minor"/>
      </rPr>
      <t xml:space="preserve">Yapılması Planlanan:
</t>
    </r>
    <r>
      <rPr>
        <sz val="11"/>
        <color theme="1"/>
        <rFont val="Calibri"/>
        <family val="2"/>
        <scheme val="minor"/>
      </rPr>
      <t>Utility servis entegrasyonu planlanacaktır.</t>
    </r>
  </si>
  <si>
    <r>
      <rPr>
        <b/>
        <sz val="11"/>
        <color theme="1"/>
        <rFont val="Calibri"/>
        <family val="2"/>
        <charset val="162"/>
        <scheme val="minor"/>
      </rPr>
      <t>Yapılan :</t>
    </r>
    <r>
      <rPr>
        <sz val="11"/>
        <color theme="1"/>
        <rFont val="Calibri"/>
        <family val="2"/>
        <scheme val="minor"/>
      </rPr>
      <t xml:space="preserve">
E-Dönüşüm paketi Yazılım Altyapı Belirlenmesi ve Yazılım Geliştirme Ortamının Belirlenmesi çalışmaları tamamlanmıştır.
E-Fatura için Alt Sistem Tanımlama (SAT), Yazılım Gereksinim Dokümanı (SRS) ve Yazılım Test Dokümanı (STD) hazırlığına devam edilmiştir.
</t>
    </r>
    <r>
      <rPr>
        <b/>
        <sz val="11"/>
        <color theme="1"/>
        <rFont val="Calibri"/>
        <family val="2"/>
        <charset val="162"/>
        <scheme val="minor"/>
      </rPr>
      <t>Yapılması Planlanan :</t>
    </r>
    <r>
      <rPr>
        <sz val="11"/>
        <color theme="1"/>
        <rFont val="Calibri"/>
        <family val="2"/>
        <scheme val="minor"/>
      </rPr>
      <t xml:space="preserve">
Haftalık ilerleme toplantısı yapılacaktır.
E-Fatura için SAT tamamlanacaktır. E-Fatura için SRS ve STD dokümantasyon çalışmalarına devam edilecek.
Altyapı hazırlıkları tamamlanacaktır.</t>
    </r>
  </si>
  <si>
    <t xml:space="preserve">Proje Planına göre proje süresini etkileyecek bir gecikme olmamakla birlikte Yazılım Gereksinim Dokümanı (SRS) ve Yazılım Test Dokümanı (STD) için Şubat ayı içerisinde daha yoğun bir çalışma yapılması planlanmıştır.
</t>
  </si>
  <si>
    <r>
      <t xml:space="preserve">Proje zaman çizelgesine göre bazı görevlerde gecikme olmakla birlikte proje bitiş tarihinde değişiklik olmayacağı öngörülmektedir.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zamansal olarak sapma bulunmaktadır.</t>
    </r>
  </si>
  <si>
    <t>CRM</t>
  </si>
  <si>
    <t>Destek Portal</t>
  </si>
  <si>
    <t>E-Defter</t>
  </si>
  <si>
    <t>E-Fatura</t>
  </si>
  <si>
    <t>Entegrasyon Suit</t>
  </si>
  <si>
    <t>KEP</t>
  </si>
  <si>
    <t>Kep Assist</t>
  </si>
  <si>
    <t>KEP İK BULUT</t>
  </si>
  <si>
    <t>Mobil Uygulama</t>
  </si>
  <si>
    <t>Muhaberat Yönetim Sistemi</t>
  </si>
  <si>
    <t>TÜRKKEP İMZA</t>
  </si>
  <si>
    <t>UETS</t>
  </si>
  <si>
    <t>UZAKTAN KİMLİK DOĞRULAMA</t>
  </si>
  <si>
    <t>Ürünler</t>
  </si>
  <si>
    <t>Tamamlanan Sprint Perf. Oranı</t>
  </si>
  <si>
    <t>Proje Yöneticisinin işten ayrılma ihtimali nedeni ile alternatif çözümler değerlendirilmektedir.
Projeye alınması planlanan iki backend bir frontend bir test ve bir analist personel alımı henüz gerçekleşmemiştir.
Mevcut personellerin iş planlamalarının proje görevlerine uygun olarak yapılmaması takvimi olumsuz etkilemktedir.</t>
  </si>
  <si>
    <t>Yazılım personel kaynakları için farklı projelerde de kullanım söz konusu olduğından olası aksaklıkların engellenmesi adına planlama yoğun şekilde takip edilecektir.</t>
  </si>
  <si>
    <r>
      <rPr>
        <b/>
        <sz val="11"/>
        <color theme="1"/>
        <rFont val="Calibri"/>
        <family val="2"/>
        <charset val="162"/>
        <scheme val="minor"/>
      </rPr>
      <t>Yapılan:</t>
    </r>
    <r>
      <rPr>
        <sz val="11"/>
        <color theme="1"/>
        <rFont val="Calibri"/>
        <family val="2"/>
        <scheme val="minor"/>
      </rPr>
      <t xml:space="preserve">
Proje kartı ve proje başlatma belgesi hazırlanıp proje üyeleri ile paylaşılmıştır.
Proje kapsamında alınması planlanan eğitim için PatikaDEV firması ile görüşülmüştür. Müfredat beklenmektedir.
Mevcut tedarikçilerden olan Tegsoft ile Çağrı Merkezi süreçlerinde yapay zeka kullanımı ile ilgili yeni gelişmeleri hakkında bilgi alınmıştır. 
Proje kickoff toplantısı yapılmıştır.
</t>
    </r>
    <r>
      <rPr>
        <b/>
        <sz val="11"/>
        <color theme="1"/>
        <rFont val="Calibri"/>
        <family val="2"/>
        <charset val="162"/>
        <scheme val="minor"/>
      </rPr>
      <t>Yapılması Planlanan:</t>
    </r>
    <r>
      <rPr>
        <sz val="11"/>
        <color theme="1"/>
        <rFont val="Calibri"/>
        <family val="2"/>
        <scheme val="minor"/>
      </rPr>
      <t xml:space="preserve">
</t>
    </r>
    <r>
      <rPr>
        <sz val="11"/>
        <color theme="1"/>
        <rFont val="Calibri"/>
        <family val="2"/>
        <charset val="162"/>
        <scheme val="minor"/>
      </rPr>
      <t>Üniversite ile iş birliği ve akademik danışman desteği araştırması yapılacaktır.
Eğitim programı üzerinde çalışılacaktır.</t>
    </r>
  </si>
  <si>
    <t>Mevcut personellerin iş planlamalarının proje görevlerine uygun olarak yapılmaması takvimi olumsuz etkilemktedir.</t>
  </si>
  <si>
    <t>Mevcut personellerin iş planlamalarının proje görevlerine uygun olarak yapılmaması takvimi olumsuz etkilemktedir.
Proje kapsamının saklamaya ilişkin kriterlerinin netleştirilmesine ihtiyaç vardır.</t>
  </si>
  <si>
    <t xml:space="preserve"> Product Backlog Eritme oranı</t>
  </si>
  <si>
    <t>Ar-Ge Yazılım Personelleri</t>
  </si>
  <si>
    <t>Çalıştıkları Çevik Projeler</t>
  </si>
  <si>
    <t>E-Dönüşüm Paketi Yazılım</t>
  </si>
  <si>
    <t>Barış Tunç</t>
  </si>
  <si>
    <t>Batıkan Öztürk</t>
  </si>
  <si>
    <t>E-Defter, Destek Portal,</t>
  </si>
  <si>
    <t>Batuhan Tufan</t>
  </si>
  <si>
    <t>Kep Assist, Kep Asistan, MYS, Detsis Servisi</t>
  </si>
  <si>
    <t>Berrin Akan</t>
  </si>
  <si>
    <t>Entegrasyon Suit, KEP WS</t>
  </si>
  <si>
    <t>Cemil Mert Tanel</t>
  </si>
  <si>
    <t>E-Fatura / E-İrsaliye/MYS</t>
  </si>
  <si>
    <t>Emre Yılmaz</t>
  </si>
  <si>
    <t>E-Fatura / E-İrsaliye</t>
  </si>
  <si>
    <t>Mehmet Can Olgun</t>
  </si>
  <si>
    <t>Türkkep İmza,KEP İK Bulut, BOSCH İK</t>
  </si>
  <si>
    <t>Muhammed Can Macit</t>
  </si>
  <si>
    <t>Ömer Türkmen</t>
  </si>
  <si>
    <t>Entegrasyon Suit, KEP WS, Mobil Uygulama, Bosch İk</t>
  </si>
  <si>
    <t>Recep Şimşek</t>
  </si>
  <si>
    <t>Kep Assist, Kep Asistan</t>
  </si>
  <si>
    <t>Şevket Önder Bar</t>
  </si>
  <si>
    <t>Uğur Açık</t>
  </si>
  <si>
    <t>Entegrasyon Suit, KEP WS, Mobil Uygulama, Bosch İK</t>
  </si>
  <si>
    <t>Uğur Dündar</t>
  </si>
  <si>
    <t>KEP İK ,MULTİKEP</t>
  </si>
  <si>
    <t xml:space="preserve">Proje başlangıcında kapsam içerisinde yer alan ürünlerin satın alımı 2.çeyrek olarak planlanmıştır bu sebeple ilgili maddelerin kapatılması proje kapanışı sonrasında ayrıca takip edilecektir.
</t>
  </si>
  <si>
    <t>Bulut</t>
  </si>
  <si>
    <t>Uzaktan Kimlik Doğrulama Sistemi</t>
  </si>
  <si>
    <t>UETS Entegratör Portal</t>
  </si>
  <si>
    <t>Yerinde Kurulum</t>
  </si>
  <si>
    <t>İç Sistem</t>
  </si>
  <si>
    <t>Türkkep SMS GW</t>
  </si>
  <si>
    <t>Mobil</t>
  </si>
  <si>
    <t>SAP - Entegrasyon</t>
  </si>
  <si>
    <t>TÜRKKEP İmza</t>
  </si>
  <si>
    <t>Bulut / Yerinde Kurulum</t>
  </si>
  <si>
    <t>E-SMM / E-MM</t>
  </si>
  <si>
    <t>TÜRKKEP Captcha</t>
  </si>
  <si>
    <t>Masaüstü</t>
  </si>
  <si>
    <t>E-Saklama</t>
  </si>
  <si>
    <t>KEP Asistan</t>
  </si>
  <si>
    <t>MultiKEP</t>
  </si>
  <si>
    <t>Entegrasyon Suite</t>
  </si>
  <si>
    <t>KEP İK Bulut</t>
  </si>
  <si>
    <t>DETSİS Servisi</t>
  </si>
  <si>
    <t>Kep IK</t>
  </si>
  <si>
    <t>Bosch IK</t>
  </si>
  <si>
    <t>Ceren Sertkaya</t>
  </si>
  <si>
    <t>İç / PY</t>
  </si>
  <si>
    <t>Ar-Ge / PY</t>
  </si>
  <si>
    <t xml:space="preserve">Ar-Ge / Proje Grubu Üyesi </t>
  </si>
  <si>
    <t>e-Dönüşüm Paketi Yazılım Geliştirme Projesi</t>
  </si>
  <si>
    <t>Dijital Arşiv ve Saklama Platformu Geliştirme Projesi</t>
  </si>
  <si>
    <t>Bilgi sistemleri organizasyon şeması ve bağlı kadro planı Yönetim kurulu onayı beklenmektedir. Onayın kısa sürede sağlanması olası gecikme riskini azaltacaktır.
Hizmetin sürekliliğinin gerçekleşmesine ilişkin kayıtlar Uptime Institute Tier 2 standartlarına uygun tutulmasını ilişkin bulgu gereği VAULTR firmasından talep edilen Tier sertifikasını sağlayamamaktadır. Bulgu karşılanamamasına karşılık bu durumun denetim sonucunu olumusz etkilemeyeceği bilgisi denetim firmasından alınmıştır.</t>
  </si>
  <si>
    <r>
      <rPr>
        <b/>
        <sz val="11"/>
        <color theme="1"/>
        <rFont val="Calibri"/>
        <family val="2"/>
        <charset val="162"/>
        <scheme val="minor"/>
      </rPr>
      <t>Yapılan:</t>
    </r>
    <r>
      <rPr>
        <sz val="11"/>
        <color theme="1"/>
        <rFont val="Calibri"/>
        <family val="2"/>
        <scheme val="minor"/>
      </rPr>
      <t xml:space="preserve">
Haftalık ilerleme toplantısı yapılmıştır. 
Bulgu kapamadaki güncel statülerin üzerinden geçilmişitr.
</t>
    </r>
    <r>
      <rPr>
        <b/>
        <sz val="11"/>
        <color theme="1"/>
        <rFont val="Calibri"/>
        <family val="2"/>
        <charset val="162"/>
        <scheme val="minor"/>
      </rPr>
      <t>Yapılması Planlanan:</t>
    </r>
    <r>
      <rPr>
        <sz val="11"/>
        <color theme="1"/>
        <rFont val="Calibri"/>
        <family val="2"/>
        <scheme val="minor"/>
      </rPr>
      <t xml:space="preserve">
Haftalık ilerleme toplantısı yapılacaktır.
20 maddenin kapatılması sağlanacaktır.</t>
    </r>
    <r>
      <rPr>
        <sz val="11"/>
        <color theme="1"/>
        <rFont val="Calibri"/>
        <family val="2"/>
        <charset val="162"/>
        <scheme val="minor"/>
      </rPr>
      <t xml:space="preserve">
</t>
    </r>
  </si>
  <si>
    <r>
      <rPr>
        <b/>
        <sz val="11"/>
        <color theme="1"/>
        <rFont val="Calibri"/>
        <family val="2"/>
        <charset val="162"/>
        <scheme val="minor"/>
      </rPr>
      <t>Yapılan :</t>
    </r>
    <r>
      <rPr>
        <sz val="11"/>
        <color theme="1"/>
        <rFont val="Calibri"/>
        <family val="2"/>
        <scheme val="minor"/>
      </rPr>
      <t xml:space="preserve">
Yazılım Gereksinim Dokümanı (SRS) ve Yazılım Test Dokümanı (STD) hazırlığına devam edilmiştir.
E-Fatura için SAT tamamlanmıştır.
Proje için alınması planlanan teknik lider desteği için görüşmeler yapılmış, süreç takip edilmektedir.
Tasarım süreçleri için tedarikçilerle toplantı yapılmış, gizlilik sözleşme süreci işletilmektedir. 
</t>
    </r>
    <r>
      <rPr>
        <b/>
        <sz val="11"/>
        <color theme="1"/>
        <rFont val="Calibri"/>
        <family val="2"/>
        <charset val="162"/>
        <scheme val="minor"/>
      </rPr>
      <t>Yapılması Planlanan :</t>
    </r>
    <r>
      <rPr>
        <sz val="11"/>
        <color theme="1"/>
        <rFont val="Calibri"/>
        <family val="2"/>
        <scheme val="minor"/>
      </rPr>
      <t xml:space="preserve">
Haftalık ilerleme toplantısı yapılacaktır.
E-Fatura için SRS ve STD dokümantasyon çalışmalarına devam edilecek.
Altyapı hazırlıkları tamamlanacaktır.
Tasarım süreçleri için tedarikçilerle demo süreci işletilecektir.</t>
    </r>
    <r>
      <rPr>
        <sz val="11"/>
        <color theme="1"/>
        <rFont val="Calibri"/>
        <family val="2"/>
        <charset val="162"/>
        <scheme val="minor"/>
      </rPr>
      <t xml:space="preserve">
</t>
    </r>
  </si>
  <si>
    <t>Zeynep Oran</t>
  </si>
  <si>
    <t>İlk atanan Proje Yöneticisinin(Hüseyin Pekgöz) işten ayrılması nedeni ile teknik lider ihtiyacı oluşmuştur.Bu ihtiyacın karşılanması için alternatif çözümler değerlendirilmektedir. 
Projeye alınması planlanan iki backend bir frontend bir test ve bir analist personel alımı henüz gerçekleşmemiştir.
Mevcut personellerin iş planlamalarının proje görevlerine uygun olarak yapılmaması takvimi olumsuz etkilemktedir.</t>
  </si>
  <si>
    <r>
      <rPr>
        <b/>
        <sz val="11"/>
        <color theme="1"/>
        <rFont val="Calibri"/>
        <family val="2"/>
        <charset val="162"/>
        <scheme val="minor"/>
      </rPr>
      <t>Yapılan:</t>
    </r>
    <r>
      <rPr>
        <sz val="11"/>
        <color theme="1"/>
        <rFont val="Calibri"/>
        <family val="2"/>
        <scheme val="minor"/>
      </rPr>
      <t xml:space="preserve">
Servicecore içerisine yüklenen kanıtların gizlilik hassasiyeti sebebiyle, Uyum ekibinden onay alınarak erişim kontrolü ile ortak alanda yer almasına karar verilmiştir.
</t>
    </r>
    <r>
      <rPr>
        <b/>
        <sz val="11"/>
        <color theme="1"/>
        <rFont val="Calibri"/>
        <family val="2"/>
        <charset val="162"/>
        <scheme val="minor"/>
      </rPr>
      <t xml:space="preserve">Yapılması Planlanan:
</t>
    </r>
    <r>
      <rPr>
        <sz val="11"/>
        <color theme="1"/>
        <rFont val="Calibri"/>
        <family val="2"/>
        <charset val="162"/>
        <scheme val="minor"/>
      </rPr>
      <t>Ortak alan tanımlaması sağlanacak.
Kanıtlar ortak alana yüklenecektir.</t>
    </r>
  </si>
  <si>
    <r>
      <rPr>
        <b/>
        <sz val="11"/>
        <color theme="1"/>
        <rFont val="Calibri"/>
        <family val="2"/>
        <charset val="162"/>
        <scheme val="minor"/>
      </rPr>
      <t>Yapılan:</t>
    </r>
    <r>
      <rPr>
        <sz val="11"/>
        <color theme="1"/>
        <rFont val="Calibri"/>
        <family val="2"/>
        <scheme val="minor"/>
      </rPr>
      <t xml:space="preserve">
Danışman ve firma yetkilisi ile toplantılar gerçekleştirilmiştir.
Ürün yönetimi kullanıcı yetkilendirme kontrolleri sağlanmıştır.
TBM Servicecore kullanım ekranları oluşturulmuştur.
Sistemde yer alan kullanıcı yetki matrisi talep edilmiştir.
</t>
    </r>
    <r>
      <rPr>
        <b/>
        <sz val="11"/>
        <color theme="1"/>
        <rFont val="Calibri"/>
        <family val="2"/>
        <charset val="162"/>
        <scheme val="minor"/>
      </rPr>
      <t>Yapılması Planlanan:</t>
    </r>
    <r>
      <rPr>
        <sz val="11"/>
        <color theme="1"/>
        <rFont val="Calibri"/>
        <family val="2"/>
        <scheme val="minor"/>
      </rPr>
      <t xml:space="preserve">
Danışman tarafından ön analiz raporu beklenecektir.
Firma yetkilisine iletilen soruların dönüşleri beklenecektir.
Sistemde yer alan kullanıcı yetki matrisi için Bilgi Güvenliği ekibi ile koordineli düzenleme çalışması yapılacaktır.</t>
    </r>
  </si>
  <si>
    <r>
      <rPr>
        <b/>
        <sz val="11"/>
        <color theme="1"/>
        <rFont val="Calibri"/>
        <family val="2"/>
        <charset val="162"/>
        <scheme val="minor"/>
      </rPr>
      <t>Yapılan:</t>
    </r>
    <r>
      <rPr>
        <sz val="11"/>
        <color theme="1"/>
        <rFont val="Calibri"/>
        <family val="2"/>
        <scheme val="minor"/>
      </rPr>
      <t xml:space="preserve">
Analiz için yazılım ekibi ile toplantı gerçekleştirilmiştir.
</t>
    </r>
    <r>
      <rPr>
        <b/>
        <sz val="11"/>
        <color theme="1"/>
        <rFont val="Calibri"/>
        <family val="2"/>
        <charset val="162"/>
        <scheme val="minor"/>
      </rPr>
      <t>Yapılmasını Planlanan:</t>
    </r>
    <r>
      <rPr>
        <sz val="11"/>
        <color theme="1"/>
        <rFont val="Calibri"/>
        <family val="2"/>
        <scheme val="minor"/>
      </rPr>
      <t xml:space="preserve">
Proje haftalık ilerleme toplantı gerçekleştirilecektir.</t>
    </r>
  </si>
  <si>
    <r>
      <rPr>
        <b/>
        <sz val="11"/>
        <color theme="1"/>
        <rFont val="Calibri"/>
        <family val="2"/>
        <charset val="162"/>
        <scheme val="minor"/>
      </rPr>
      <t xml:space="preserve">Yapılan: </t>
    </r>
    <r>
      <rPr>
        <sz val="11"/>
        <color theme="1"/>
        <rFont val="Calibri"/>
        <family val="2"/>
        <scheme val="minor"/>
      </rPr>
      <t xml:space="preserve">
Tasarımsal düzenlemeler için Figma çıktıları temin edilmiştir.
UKDS hata maddeleri düzeltilmiş ve canlıya alınmıştır.
</t>
    </r>
    <r>
      <rPr>
        <b/>
        <sz val="11"/>
        <color theme="1"/>
        <rFont val="Calibri"/>
        <family val="2"/>
        <charset val="162"/>
        <scheme val="minor"/>
      </rPr>
      <t>Yapılması Planlanan:</t>
    </r>
    <r>
      <rPr>
        <sz val="11"/>
        <color theme="1"/>
        <rFont val="Calibri"/>
        <family val="2"/>
        <scheme val="minor"/>
      </rPr>
      <t xml:space="preserve">
Mobil imza ile login özelliğinin eklenmesi sağlanacaktır.</t>
    </r>
  </si>
  <si>
    <r>
      <rPr>
        <b/>
        <sz val="11"/>
        <color theme="1"/>
        <rFont val="Calibri"/>
        <family val="2"/>
        <charset val="162"/>
        <scheme val="minor"/>
      </rPr>
      <t>Yapılan:</t>
    </r>
    <r>
      <rPr>
        <sz val="11"/>
        <color theme="1"/>
        <rFont val="Calibri"/>
        <family val="2"/>
        <scheme val="minor"/>
      </rPr>
      <t xml:space="preserve">
Üniversite ile iş birliği ve akademik danışman desteği araştırması yapılmıştır.
</t>
    </r>
    <r>
      <rPr>
        <b/>
        <sz val="11"/>
        <color theme="1"/>
        <rFont val="Calibri"/>
        <family val="2"/>
        <charset val="162"/>
        <scheme val="minor"/>
      </rPr>
      <t>Yapılması Planlanan:</t>
    </r>
    <r>
      <rPr>
        <sz val="11"/>
        <color theme="1"/>
        <rFont val="Calibri"/>
        <family val="2"/>
        <charset val="162"/>
        <scheme val="minor"/>
      </rPr>
      <t xml:space="preserve">
Eğitim programı üzerinde çalışılacaktır.</t>
    </r>
  </si>
  <si>
    <r>
      <rPr>
        <b/>
        <sz val="11"/>
        <color theme="1"/>
        <rFont val="Calibri"/>
        <family val="2"/>
        <charset val="162"/>
        <scheme val="minor"/>
      </rPr>
      <t>Yapılan:</t>
    </r>
    <r>
      <rPr>
        <sz val="11"/>
        <color theme="1"/>
        <rFont val="Calibri"/>
        <family val="2"/>
        <scheme val="minor"/>
      </rPr>
      <t xml:space="preserve">
Haftalık ilerleme toplantısı yapılmıştır. 
2.çeyrek olarak planlanan ürün satın alımları nedeniyle 4 madde kapatılmıştır.
</t>
    </r>
    <r>
      <rPr>
        <b/>
        <sz val="11"/>
        <color theme="1"/>
        <rFont val="Calibri"/>
        <family val="2"/>
        <charset val="162"/>
        <scheme val="minor"/>
      </rPr>
      <t>Yapılması Planlanan:</t>
    </r>
    <r>
      <rPr>
        <sz val="11"/>
        <color theme="1"/>
        <rFont val="Calibri"/>
        <family val="2"/>
        <scheme val="minor"/>
      </rPr>
      <t xml:space="preserve">
</t>
    </r>
    <r>
      <rPr>
        <sz val="11"/>
        <color theme="1"/>
        <rFont val="Calibri"/>
        <family val="2"/>
        <charset val="162"/>
        <scheme val="minor"/>
      </rPr>
      <t>Haftalık ilerleme toplantısı yapılacaktır.</t>
    </r>
  </si>
  <si>
    <r>
      <rPr>
        <b/>
        <sz val="11"/>
        <color theme="1"/>
        <rFont val="Calibri"/>
        <family val="2"/>
        <charset val="162"/>
        <scheme val="minor"/>
      </rPr>
      <t>Yapılan:</t>
    </r>
    <r>
      <rPr>
        <sz val="11"/>
        <color theme="1"/>
        <rFont val="Calibri"/>
        <family val="2"/>
        <scheme val="minor"/>
      </rPr>
      <t xml:space="preserve"> 
KEP Utility Servisi Evidence-controller ve KEP Utility Servisi Mailbox-controller metotları eklenmiştir.
Analiz, mock-up ve kullanıcı dokümanları oluşturulmuştur.
</t>
    </r>
    <r>
      <rPr>
        <b/>
        <sz val="11"/>
        <color theme="1"/>
        <rFont val="Calibri"/>
        <family val="2"/>
        <charset val="162"/>
        <scheme val="minor"/>
      </rPr>
      <t xml:space="preserve">Yapılması Planlanan:
</t>
    </r>
    <r>
      <rPr>
        <sz val="11"/>
        <color theme="1"/>
        <rFont val="Calibri"/>
        <family val="2"/>
        <charset val="162"/>
        <scheme val="minor"/>
      </rPr>
      <t>MVP (Minimum Viable Product) için temel  işlevlerin geliştirilmesi devam edecektir.
Analiz, mock-up ve kullanıcı dokümanlarında güncelleme yapılacaktır.</t>
    </r>
  </si>
  <si>
    <t>Hizmetin sürekliliğinin gerçekleşmesine ilişkin kayıtlar Uptime Institute Tier 2 standartlarına uygun tutulmasını ilişkin bulgu gereği VAULTR firmasından talep edilen Tier sertifikasını sağlayamamaktadır. Bulgu karşılanamamasına karşılık bu durumun denetim sonucunu olumusz etkilemeyeceği bilgisi denetim firmasından alınmıştır.</t>
  </si>
  <si>
    <t xml:space="preserve">Proje Yönlendirme Komitesi
-Ayhan Ağırgöl
-Hülya Yemşen
-Sibel Aka
-Cemal Doğan
-Aykut Kutlusan </t>
  </si>
  <si>
    <r>
      <rPr>
        <b/>
        <sz val="11"/>
        <rFont val="Calibri"/>
        <family val="2"/>
        <scheme val="minor"/>
      </rPr>
      <t xml:space="preserve">Yapılan: </t>
    </r>
    <r>
      <rPr>
        <sz val="11"/>
        <rFont val="Calibri"/>
        <family val="2"/>
        <scheme val="minor"/>
      </rPr>
      <t xml:space="preserve">
Yapılan son geliştirmeler canlı ortama aktarılmıştır.
</t>
    </r>
    <r>
      <rPr>
        <b/>
        <sz val="11"/>
        <rFont val="Calibri"/>
        <family val="2"/>
        <scheme val="minor"/>
      </rPr>
      <t>Yapılması Planlanan:</t>
    </r>
    <r>
      <rPr>
        <sz val="11"/>
        <rFont val="Calibri"/>
        <family val="2"/>
        <scheme val="minor"/>
      </rPr>
      <t xml:space="preserve">
Mobil imza ile login özelliğinin eklenmesi sağlanacaktır.</t>
    </r>
  </si>
  <si>
    <t xml:space="preserve">Proje kapsamında görev alan mobil yazılım geliştirme sorumlusu işten ayrılması nedeniyle proje kaynak planlamasında alternatif çözümler değerlendirilmektedir. </t>
  </si>
  <si>
    <t>Belirlenecektir.</t>
  </si>
  <si>
    <r>
      <rPr>
        <b/>
        <sz val="11"/>
        <color theme="1"/>
        <rFont val="Calibri"/>
        <family val="2"/>
        <charset val="162"/>
        <scheme val="minor"/>
      </rPr>
      <t xml:space="preserve">Yapılan: </t>
    </r>
    <r>
      <rPr>
        <sz val="11"/>
        <color theme="1"/>
        <rFont val="Calibri"/>
        <family val="2"/>
        <scheme val="minor"/>
      </rPr>
      <t xml:space="preserve">
Proje süreçleri başlatılmıştır.
Halkbank ile ön değerlendirme toplantıları yapılmaktadır.
</t>
    </r>
    <r>
      <rPr>
        <b/>
        <sz val="11"/>
        <color theme="1"/>
        <rFont val="Calibri"/>
        <family val="2"/>
        <charset val="162"/>
        <scheme val="minor"/>
      </rPr>
      <t xml:space="preserve">
Yapılması Planlanan:
</t>
    </r>
    <r>
      <rPr>
        <sz val="11"/>
        <color theme="1"/>
        <rFont val="Calibri"/>
        <family val="2"/>
        <scheme val="minor"/>
      </rPr>
      <t>Proje süreçleri devam etmektedir.</t>
    </r>
  </si>
  <si>
    <r>
      <rPr>
        <b/>
        <sz val="11"/>
        <color theme="1"/>
        <rFont val="Calibri"/>
        <family val="2"/>
        <charset val="162"/>
        <scheme val="minor"/>
      </rPr>
      <t>Yapılan:</t>
    </r>
    <r>
      <rPr>
        <sz val="11"/>
        <color theme="1"/>
        <rFont val="Calibri"/>
        <family val="2"/>
        <scheme val="minor"/>
      </rPr>
      <t xml:space="preserve">
Danışman tarafından ön analiz raporu iletilmiştir.
Sistemde yer alan kullanıcı yetki matrisi talep edilmiştir.
</t>
    </r>
    <r>
      <rPr>
        <b/>
        <sz val="11"/>
        <color theme="1"/>
        <rFont val="Calibri"/>
        <family val="2"/>
        <charset val="162"/>
        <scheme val="minor"/>
      </rPr>
      <t>Yapılması Planlanan:</t>
    </r>
    <r>
      <rPr>
        <sz val="11"/>
        <color theme="1"/>
        <rFont val="Calibri"/>
        <family val="2"/>
        <scheme val="minor"/>
      </rPr>
      <t xml:space="preserve">
Firma yetkilisine iletilen soruların dönüşleri beklenecektir.
Sistemde yer alan kullanıcı yetki matrisi için Bilgi Güvenliği ekibi ile koordineli düzenleme çalışması yapılacaktır.</t>
    </r>
  </si>
  <si>
    <t>Satış / PY</t>
  </si>
  <si>
    <t>Proje Açılış Aşamasındadır</t>
  </si>
  <si>
    <t>%</t>
  </si>
  <si>
    <t xml:space="preserve"> Kuveyt Türk Bankası &amp; Türkkep - KEP Satış Projesi</t>
  </si>
  <si>
    <t xml:space="preserve"> Halkbank KEP'leştirme Projesi</t>
  </si>
  <si>
    <t xml:space="preserve"> Kuveyt Türk Bankası KEP'leştirme  Projesi</t>
  </si>
  <si>
    <t xml:space="preserve"> Albil Merkezi Hizmetler KEP'leştirme Projesi</t>
  </si>
  <si>
    <r>
      <rPr>
        <b/>
        <sz val="11"/>
        <color theme="1"/>
        <rFont val="Calibri"/>
        <family val="2"/>
        <charset val="162"/>
        <scheme val="minor"/>
      </rPr>
      <t>Yapılan :</t>
    </r>
    <r>
      <rPr>
        <sz val="11"/>
        <color theme="1"/>
        <rFont val="Calibri"/>
        <family val="2"/>
        <scheme val="minor"/>
      </rPr>
      <t xml:space="preserve">
Yazılım Gereksinim Dokümanı (SRS) ve Yazılım Test Dokümanı (STD) hazırlığına devam edilmiştir.
Proje için alınması planlanan teknik lider desteği için görüşmeler yapılmış, süreç takip edilmektedir.
Tasarım süreçleri için tedarikçilerle toplantı yapılmış, gizlilik sözleşme süreci işletilmektedir. 
</t>
    </r>
    <r>
      <rPr>
        <b/>
        <sz val="11"/>
        <color theme="1"/>
        <rFont val="Calibri"/>
        <family val="2"/>
        <charset val="162"/>
        <scheme val="minor"/>
      </rPr>
      <t>Yapılması Planlanan :</t>
    </r>
    <r>
      <rPr>
        <sz val="11"/>
        <color theme="1"/>
        <rFont val="Calibri"/>
        <family val="2"/>
        <scheme val="minor"/>
      </rPr>
      <t xml:space="preserve">
E-Fatura için SRS ve STD dokümantasyon çalışmaları tamamlanacaktır.
Altyapı hazırlıkları tamamlanacaktır.
Tasarım süreçleri için tedarikçilerle demo süreci işletilecektir.</t>
    </r>
  </si>
  <si>
    <t xml:space="preserve">Proje Planı'na göre proje süresini etkileyecek bir gecikme olmamakla birlikte Proje Teknik Lideri ve Yazılım Geliştirme Ekibi eksiklerinin acilen  tamamlanması gerekmektedir.
</t>
  </si>
  <si>
    <t>İlk atanan Proje Yöneticisinin(Hüseyin Pekgöz) işten ayrılması nedeni ile teknik lider ihtiyacı oluşmuştur.Bu ihtiyacın karşılanması için alternatif çözümler değerlendirilmektedir. 
Projeye alınması planlanan iki backend bir frontend bir test ve bir analist personel alımı henüz gerçekleşmemiştir.
Mevcut personellerin iş planlamalarının proje görevlerine uygun olarak yapılmaması proje ilerleme hızını olumsuz etkilemektedir.</t>
  </si>
  <si>
    <r>
      <rPr>
        <b/>
        <sz val="11"/>
        <color theme="1"/>
        <rFont val="Calibri"/>
        <family val="2"/>
        <charset val="162"/>
        <scheme val="minor"/>
      </rPr>
      <t>Yapılan:</t>
    </r>
    <r>
      <rPr>
        <sz val="11"/>
        <color theme="1"/>
        <rFont val="Calibri"/>
        <family val="2"/>
        <scheme val="minor"/>
      </rPr>
      <t xml:space="preserve">
Haftalık ilerleme toplantısı yapılmıştır. 
</t>
    </r>
    <r>
      <rPr>
        <b/>
        <sz val="11"/>
        <color theme="1"/>
        <rFont val="Calibri"/>
        <family val="2"/>
        <charset val="162"/>
        <scheme val="minor"/>
      </rPr>
      <t>Yapılması Planlanan:</t>
    </r>
    <r>
      <rPr>
        <sz val="11"/>
        <color theme="1"/>
        <rFont val="Calibri"/>
        <family val="2"/>
        <scheme val="minor"/>
      </rPr>
      <t xml:space="preserve">
</t>
    </r>
    <r>
      <rPr>
        <sz val="11"/>
        <color theme="1"/>
        <rFont val="Calibri"/>
        <family val="2"/>
        <charset val="162"/>
        <scheme val="minor"/>
      </rPr>
      <t>Bulgu kapama sürecine devam edilecektir.</t>
    </r>
  </si>
  <si>
    <r>
      <t xml:space="preserve">Proje zaman çizelgesine göre bazı görevlerde gecikme olmakla birlikte proje bitiş tarihinde değişiklik olmayacağı öngörülmektedir.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süre bazlı sapma bulunmaktadır.</t>
    </r>
  </si>
  <si>
    <t>Hizmetin sürekliliğine ilişkin  Uptime Institute Tier 2 standartlarına uyum sertifikası VAULTR firmasından temin edilememiştir.</t>
  </si>
  <si>
    <r>
      <rPr>
        <b/>
        <sz val="11"/>
        <color theme="1"/>
        <rFont val="Calibri"/>
        <family val="2"/>
        <charset val="162"/>
        <scheme val="minor"/>
      </rPr>
      <t>Yapılan:</t>
    </r>
    <r>
      <rPr>
        <sz val="11"/>
        <color theme="1"/>
        <rFont val="Calibri"/>
        <family val="2"/>
        <scheme val="minor"/>
      </rPr>
      <t xml:space="preserve">
Özel bir firmadan (Patika) eğitim için fiyat teklifi alınmış, revize teklif istenmiştir.
İTÜ ile eğitim desteği alınması konusunda toplantı yapılmıştır.
Sözlü/yazılı L0/L1 çağrı karşılama sürecinde yapay zeka kullanımı konusunda hızlı bir çözüm üretmek üzere bir chatbot satın alma veya kiralama seçenekleri değerlendirilme üzere teklif talep edilmiştir.
</t>
    </r>
    <r>
      <rPr>
        <b/>
        <sz val="11"/>
        <color theme="1"/>
        <rFont val="Calibri"/>
        <family val="2"/>
        <charset val="162"/>
        <scheme val="minor"/>
      </rPr>
      <t>Yapılması Planlanan:</t>
    </r>
    <r>
      <rPr>
        <sz val="11"/>
        <color theme="1"/>
        <rFont val="Calibri"/>
        <family val="2"/>
        <charset val="162"/>
        <scheme val="minor"/>
      </rPr>
      <t xml:space="preserve">
Patika'dan revize teklif beklenmektedir.
İTÜ'den eğitim için fiyat teklifi beklenmektedir.</t>
    </r>
  </si>
  <si>
    <r>
      <rPr>
        <b/>
        <sz val="11"/>
        <color theme="1"/>
        <rFont val="Calibri"/>
        <family val="2"/>
        <charset val="162"/>
        <scheme val="minor"/>
      </rPr>
      <t>Yapılan:</t>
    </r>
    <r>
      <rPr>
        <sz val="11"/>
        <color theme="1"/>
        <rFont val="Calibri"/>
        <family val="2"/>
        <scheme val="minor"/>
      </rPr>
      <t xml:space="preserve">
Analiz için yazılım ekibi ile toplantı gerçekleştirilmiştir.
</t>
    </r>
    <r>
      <rPr>
        <b/>
        <sz val="11"/>
        <color theme="1"/>
        <rFont val="Calibri"/>
        <family val="2"/>
        <charset val="162"/>
        <scheme val="minor"/>
      </rPr>
      <t>Yapılmasını Planlanan:</t>
    </r>
    <r>
      <rPr>
        <sz val="11"/>
        <color theme="1"/>
        <rFont val="Calibri"/>
        <family val="2"/>
        <scheme val="minor"/>
      </rPr>
      <t xml:space="preserve">
Proje haftalık ilerleme toplantı gerçekleştirilecektir.
Sistem mimarisi ve veri tabanı tasarımı oluşturulması için çalışma yapılacaktır.</t>
    </r>
  </si>
  <si>
    <r>
      <t xml:space="preserve">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maddelerinde zamansal olarak sapma bulunmaktadır.</t>
    </r>
  </si>
  <si>
    <r>
      <t xml:space="preserve">
</t>
    </r>
    <r>
      <rPr>
        <b/>
        <sz val="11"/>
        <color theme="1"/>
        <rFont val="Calibri"/>
        <family val="2"/>
        <charset val="162"/>
        <scheme val="minor"/>
      </rPr>
      <t xml:space="preserve">Gecikme Gerekçesi:
</t>
    </r>
    <r>
      <rPr>
        <sz val="11"/>
        <color theme="1"/>
        <rFont val="Calibri"/>
        <family val="2"/>
        <scheme val="minor"/>
      </rPr>
      <t>Proje üyelerinin iş yoğunluğu nedeniyle tamamlanamayan çalışmalardan dolayı proje zaman çizelgesinde sapma bulunmaktadır.</t>
    </r>
  </si>
  <si>
    <t xml:space="preserve">
Proje kapsamının saklamaya ilişkin kriterlerinin netleştirilmesine ihtiyaç vardır.</t>
  </si>
  <si>
    <t>İş planlamalarının proje görevlerine uygun olarak yapılmaması proje zaman çizelgesini olumsuz etkilemektedir.</t>
  </si>
  <si>
    <r>
      <rPr>
        <b/>
        <sz val="11"/>
        <color theme="1"/>
        <rFont val="Calibri"/>
        <family val="2"/>
        <charset val="162"/>
        <scheme val="minor"/>
      </rPr>
      <t xml:space="preserve">Yapılan: </t>
    </r>
    <r>
      <rPr>
        <sz val="11"/>
        <color theme="1"/>
        <rFont val="Calibri"/>
        <family val="2"/>
        <scheme val="minor"/>
      </rPr>
      <t xml:space="preserve">
Proje süreçleri başlatılmıştır.
</t>
    </r>
    <r>
      <rPr>
        <b/>
        <sz val="11"/>
        <color theme="1"/>
        <rFont val="Calibri"/>
        <family val="2"/>
        <charset val="162"/>
        <scheme val="minor"/>
      </rPr>
      <t xml:space="preserve">
Yapılması Planlanan:
</t>
    </r>
    <r>
      <rPr>
        <sz val="11"/>
        <color theme="1"/>
        <rFont val="Calibri"/>
        <family val="2"/>
        <scheme val="minor"/>
      </rPr>
      <t>Proje başlatma süreçlerine devam edilecektir.
26/28 Şubat tarihlerinde Kuveyt Türk Bankası  ile toplantı yapılacaktır.</t>
    </r>
  </si>
  <si>
    <r>
      <rPr>
        <b/>
        <sz val="11"/>
        <color theme="1"/>
        <rFont val="Calibri"/>
        <family val="2"/>
        <charset val="162"/>
        <scheme val="minor"/>
      </rPr>
      <t xml:space="preserve">Yapılan: </t>
    </r>
    <r>
      <rPr>
        <sz val="11"/>
        <color theme="1"/>
        <rFont val="Calibri"/>
        <family val="2"/>
        <scheme val="minor"/>
      </rPr>
      <t xml:space="preserve">
Proje süreçleri başlatılmıştır.
Albil Merkezi Hizmetler ile ön değerlendirme toplantıları yapılmaktadır.
</t>
    </r>
    <r>
      <rPr>
        <b/>
        <sz val="11"/>
        <color theme="1"/>
        <rFont val="Calibri"/>
        <family val="2"/>
        <charset val="162"/>
        <scheme val="minor"/>
      </rPr>
      <t xml:space="preserve">
Yapılması Planlanan:
</t>
    </r>
    <r>
      <rPr>
        <sz val="11"/>
        <color theme="1"/>
        <rFont val="Calibri"/>
        <family val="2"/>
        <scheme val="minor"/>
      </rPr>
      <t>Proje başlatma süreçlerine devam edilecektir.</t>
    </r>
    <r>
      <rPr>
        <sz val="11"/>
        <color theme="1"/>
        <rFont val="Calibri"/>
        <family val="2"/>
        <charset val="162"/>
        <scheme val="minor"/>
      </rPr>
      <t xml:space="preserve">
24 Şubat Pazartesi günü için toplantı planlaması yapılmıştır.</t>
    </r>
  </si>
  <si>
    <t>Kasım 2024'ten İtibaren Toplam Değerler</t>
  </si>
  <si>
    <t>E-Saklama, E-Fatura / E-İrsaliye</t>
  </si>
  <si>
    <t>Projeler İki Haftalık İlerleme Durum Raporu</t>
  </si>
  <si>
    <r>
      <t xml:space="preserve">Yapılan:
</t>
    </r>
    <r>
      <rPr>
        <sz val="11"/>
        <color theme="1"/>
        <rFont val="Calibri"/>
        <family val="2"/>
        <charset val="162"/>
        <scheme val="minor"/>
      </rPr>
      <t>Ortak alan tanımlaması sağlanmıştır. Kanıtlar ortak alana yüklenmiştır. Bu adım ile proje çalışmaları tamamlanmıştır</t>
    </r>
    <r>
      <rPr>
        <b/>
        <sz val="11"/>
        <color theme="1"/>
        <rFont val="Calibri"/>
        <family val="2"/>
        <charset val="162"/>
        <scheme val="minor"/>
      </rPr>
      <t xml:space="preserve">
Yapılması Planlanan:
</t>
    </r>
    <r>
      <rPr>
        <sz val="11"/>
        <color theme="1"/>
        <rFont val="Calibri"/>
        <family val="2"/>
        <charset val="162"/>
        <scheme val="minor"/>
      </rPr>
      <t>Proje kapanış belgesi hazırlanacaktır.</t>
    </r>
  </si>
  <si>
    <r>
      <t xml:space="preserve">Yapılan:
</t>
    </r>
    <r>
      <rPr>
        <sz val="11"/>
        <color theme="1"/>
        <rFont val="Calibri"/>
        <family val="2"/>
        <charset val="162"/>
        <scheme val="minor"/>
      </rPr>
      <t>04.03.2025 tarihinde Proje Kapanış Belgesi için Sponsor onayı alınmış, 05.03.2025 tarihinde Proje Kapanış Duyurusu yayınlanmıştır.</t>
    </r>
  </si>
  <si>
    <t>2024-URB-002</t>
  </si>
  <si>
    <t>2024-BTA-003</t>
  </si>
  <si>
    <t>2024-PYO-004</t>
  </si>
  <si>
    <r>
      <rPr>
        <b/>
        <sz val="11"/>
        <color theme="1"/>
        <rFont val="Calibri"/>
        <family val="2"/>
        <charset val="162"/>
        <scheme val="minor"/>
      </rPr>
      <t>Geçikme Gerekçesi:</t>
    </r>
    <r>
      <rPr>
        <sz val="11"/>
        <color theme="1"/>
        <rFont val="Calibri"/>
        <family val="2"/>
        <scheme val="minor"/>
      </rPr>
      <t xml:space="preserve">
Proje üyelerinin iş yoğunluğu nedeniyle tamamlanamayan çalışmalardan dolayı proje zaman çizelgesinde sapma bulunmaktadır.</t>
    </r>
  </si>
  <si>
    <r>
      <rPr>
        <b/>
        <sz val="11"/>
        <color theme="1"/>
        <rFont val="Calibri"/>
        <family val="2"/>
        <charset val="162"/>
        <scheme val="minor"/>
      </rPr>
      <t>Yapılan:</t>
    </r>
    <r>
      <rPr>
        <sz val="11"/>
        <color theme="1"/>
        <rFont val="Calibri"/>
        <family val="2"/>
        <scheme val="minor"/>
      </rPr>
      <t xml:space="preserve"> 
</t>
    </r>
    <r>
      <rPr>
        <sz val="11"/>
        <color theme="1"/>
        <rFont val="Calibri"/>
        <family val="2"/>
        <charset val="162"/>
        <scheme val="minor"/>
      </rPr>
      <t xml:space="preserve">06.03.2025 tarihinde Proje Kapanış Belgesi için Sponsor onayı alınmış, 07.03.2025 tarihinde Proje Kapanış Duyurusu yayınlanmıştır.
</t>
    </r>
    <r>
      <rPr>
        <sz val="11"/>
        <color theme="1"/>
        <rFont val="Calibri"/>
        <family val="2"/>
        <charset val="162"/>
        <scheme val="minor"/>
      </rPr>
      <t xml:space="preserve">
Proje planında yer alan kullanıcı kılavuzlarının oluşturulması Proje üyesi iş analisti tarafından 28.03.2025 tarihine kadar hazırlanacaktır. Proje kapanış sürecine engel olmadığı değerlendirildiğinden haricen takibi uygun görülmüştür.</t>
    </r>
  </si>
  <si>
    <t>Proje Yönlendirme Komitesi
-Sibel Aka
-Hülya Yemşen
-Cemal Önder Doğan
-Aykut Kutlusan</t>
  </si>
  <si>
    <t>2024-PYO-006</t>
  </si>
  <si>
    <t>Raporlama Dönemi</t>
  </si>
  <si>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için alınması planlanan yazılım  teknik lideri  için görüşmeler yapılmış, süreç takip edilmektedir.
Proje ekibindeki eksik yazılım personellerinin tamamlanması için personel kiralama teklifleri de alınmaktadır.
Projenin gerçekleştirilmesine yönelik farklı yöntemler üzerinde fizibilte çalışması da yapılmaktadır.
E-Arşiv Fatura SAT dokümanı hazırlık çalışmalarına başlanmıştır.
</t>
    </r>
    <r>
      <rPr>
        <b/>
        <sz val="11"/>
        <color theme="1"/>
        <rFont val="Calibri"/>
        <family val="2"/>
        <charset val="162"/>
        <scheme val="minor"/>
      </rPr>
      <t>Yapılması Planlanan :</t>
    </r>
    <r>
      <rPr>
        <sz val="11"/>
        <color theme="1"/>
        <rFont val="Calibri"/>
        <family val="2"/>
        <scheme val="minor"/>
      </rPr>
      <t xml:space="preserve">
E-Fatura için SRS ve STD dokümantasyon çalışmaları tamamlanacaktır.
E-Arşiv Fatura SAT dokümanı çalışmasına devam edilecektir.
UI/UX tasarım süreçleri için tedarikçilerle toplantı planlanmıştır.</t>
    </r>
  </si>
  <si>
    <t>İlk atanan Proje Yöneticisinin(Hüseyin Pekgöz) işten ayrılması nedeni ile yazılım teknik lider ihtiyacı oluşmuştur.Teknik liderin alınamaması nedeniyle yazılım geliştirme öncesindeki altyapı çalışmaları tamamlanamamıştır.
Projeye alınması planlanan iki backend bir frontend, bir test ve bir analist personel alımı henüz gerçekleşmemiştir.
Yazılım ekibinin henüz çalışmaya başlamamış olması ve altyapının da hazır olmaması nedeniyle 2 aylık bir gecikme olasılığı yüksektir.
Projenin zamanında gerçekleştirilmesine yönelik farklı yöntemler üzerinde çalışılmaktadır.
Mevcut personellerin iş planlamalarının proje görevlerine uygun olarak yapılamaması proje ilerleme hızını olumsuz etkilemektedir.</t>
  </si>
  <si>
    <r>
      <rPr>
        <b/>
        <sz val="11"/>
        <color theme="1"/>
        <rFont val="Calibri"/>
        <family val="2"/>
        <charset val="162"/>
        <scheme val="minor"/>
      </rPr>
      <t>Yapılan:</t>
    </r>
    <r>
      <rPr>
        <sz val="11"/>
        <color theme="1"/>
        <rFont val="Calibri"/>
        <family val="2"/>
        <scheme val="minor"/>
      </rPr>
      <t xml:space="preserve">
Proje Yönetim Ofisi ve Ürün Yönetimi birimlerinin Servicecore geçişi sağlanmış ve duyuru olarak paylaşılmıştır.
</t>
    </r>
    <r>
      <rPr>
        <b/>
        <sz val="11"/>
        <color theme="1"/>
        <rFont val="Calibri"/>
        <family val="2"/>
        <charset val="162"/>
        <scheme val="minor"/>
      </rPr>
      <t>Yapılması Planlanan:</t>
    </r>
    <r>
      <rPr>
        <sz val="11"/>
        <color theme="1"/>
        <rFont val="Calibri"/>
        <family val="2"/>
        <scheme val="minor"/>
      </rPr>
      <t xml:space="preserve">
Alınması planlanan danışmanlık kapsamında süreç optimizasyonu ve yapılacak çalışmalar ile ilgili toplantı planlaması yapılacaktır.</t>
    </r>
    <r>
      <rPr>
        <sz val="11"/>
        <color theme="1"/>
        <rFont val="Calibri"/>
        <family val="2"/>
        <charset val="162"/>
        <scheme val="minor"/>
      </rPr>
      <t xml:space="preserve">
Teknoloji Çözüm Merkezi ve Operasyon Bölümü geçişi planlanacaktır.</t>
    </r>
  </si>
  <si>
    <r>
      <rPr>
        <b/>
        <sz val="11"/>
        <color theme="1"/>
        <rFont val="Calibri"/>
        <family val="2"/>
        <charset val="162"/>
        <scheme val="minor"/>
      </rPr>
      <t xml:space="preserve">Gecikme Gerekçesi:
</t>
    </r>
    <r>
      <rPr>
        <sz val="11"/>
        <color theme="1"/>
        <rFont val="Calibri"/>
        <family val="2"/>
        <scheme val="minor"/>
      </rPr>
      <t xml:space="preserve">
Teknoloji Çözüm Merkezi ve Operasyon Bölümü Servicecore geçişi için danışmanlık ihtiyacı olup  danışmanlık hizmeti başlangıç tarihine göre projede gecikme olabilecektir.</t>
    </r>
  </si>
  <si>
    <r>
      <rPr>
        <b/>
        <sz val="11"/>
        <color theme="1"/>
        <rFont val="Calibri"/>
        <family val="2"/>
        <charset val="162"/>
        <scheme val="minor"/>
      </rPr>
      <t>Yapılan:</t>
    </r>
    <r>
      <rPr>
        <sz val="11"/>
        <color theme="1"/>
        <rFont val="Calibri"/>
        <family val="2"/>
        <scheme val="minor"/>
      </rPr>
      <t xml:space="preserve">
Patika Dev firmasından eğitim için fiyat teklif alınmıştır. Patika Dev'de eğitim verecek akademisyen ile tanışma toplantısı yapılmıştır.
İTÜ'den eğitim için fiyat teklifi alınmıştır.
Tegsoft'un CBOT entegrasyonu hazır çözümü için teklif almak üzere toplantı yapılmıştır. Firmaya chatbot kullanım senaryoları paylaşılacaktır.
</t>
    </r>
    <r>
      <rPr>
        <b/>
        <sz val="11"/>
        <color theme="1"/>
        <rFont val="Calibri"/>
        <family val="2"/>
        <charset val="162"/>
        <scheme val="minor"/>
      </rPr>
      <t>Yapılması Planlanan:</t>
    </r>
    <r>
      <rPr>
        <sz val="11"/>
        <color theme="1"/>
        <rFont val="Calibri"/>
        <family val="2"/>
        <charset val="162"/>
        <scheme val="minor"/>
      </rPr>
      <t xml:space="preserve">
</t>
    </r>
    <r>
      <rPr>
        <sz val="11"/>
        <rFont val="Calibri"/>
        <family val="2"/>
        <charset val="162"/>
        <scheme val="minor"/>
      </rPr>
      <t>Eğitim için Patika Dev ile ilerleme kararı alınmıştır.</t>
    </r>
    <r>
      <rPr>
        <sz val="11"/>
        <color theme="1"/>
        <rFont val="Calibri"/>
        <family val="2"/>
        <charset val="162"/>
        <scheme val="minor"/>
      </rPr>
      <t xml:space="preserve"> Sözleşme ve eğitim planı yapılacaktır.</t>
    </r>
  </si>
  <si>
    <t>Proje kapsamında görev alan mobil yazılım geliştirme sorumlusunun işten ayrılması, ekipte mobil uygulamalar konusunda tecrübeli personel olmaması ve yeni bir mobil uygulama geliştirmeci de alınmadığı için projede gecikme beklenmektedir. Ar-Ge projesi olarak takip edilen bu projede ikinci uzatma yapılamadığı takdirde proje kapsamında sınırlama ihtiyacı olabilir.</t>
  </si>
  <si>
    <t>Kep Web Servisi</t>
  </si>
  <si>
    <t>Mevcut personellerin iş planlamalarının proje görevlerine uygun olarak yapılamaması proje ilerleme hızını olumsuz etkilemektedir.</t>
  </si>
  <si>
    <r>
      <rPr>
        <b/>
        <sz val="11"/>
        <color theme="1"/>
        <rFont val="Calibri"/>
        <family val="2"/>
        <charset val="162"/>
        <scheme val="minor"/>
      </rPr>
      <t>Yapılan:</t>
    </r>
    <r>
      <rPr>
        <sz val="11"/>
        <color theme="1"/>
        <rFont val="Calibri"/>
        <family val="2"/>
        <charset val="162"/>
        <scheme val="minor"/>
      </rPr>
      <t xml:space="preserve">
Haftalık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ekibinin önümüzdeki haftaki yoğunluğu dolayısıyla yine hedef belirlenmemiştir.
Proje kapanış hedef tarihine kadar tüm maddelerin kapatılamayacağı değerlendirilmiş, zaman planı yeniden değerlendirilerek sponsor ile görüşülecektir.</t>
    </r>
  </si>
  <si>
    <r>
      <rPr>
        <b/>
        <sz val="11"/>
        <color theme="1"/>
        <rFont val="Calibri"/>
        <family val="2"/>
        <charset val="162"/>
        <scheme val="minor"/>
      </rPr>
      <t xml:space="preserve">Yapılan: </t>
    </r>
    <r>
      <rPr>
        <sz val="11"/>
        <color theme="1"/>
        <rFont val="Calibri"/>
        <family val="2"/>
        <scheme val="minor"/>
      </rPr>
      <t xml:space="preserve">
Proje başlatma belgesi hazırlanmıştır. Proje Açılış Duyurusu paylaşılmıştır.
</t>
    </r>
    <r>
      <rPr>
        <b/>
        <sz val="11"/>
        <color theme="1"/>
        <rFont val="Calibri"/>
        <family val="2"/>
        <charset val="162"/>
        <scheme val="minor"/>
      </rPr>
      <t xml:space="preserve">
Yapılması Planlanan:
</t>
    </r>
    <r>
      <rPr>
        <sz val="11"/>
        <color theme="1"/>
        <rFont val="Calibri"/>
        <family val="2"/>
        <charset val="162"/>
        <scheme val="minor"/>
      </rPr>
      <t>Süreç akışı hazırlanacaktır.
13 Mart tarihinde Halkbank ile toplantı planlanmıştır.
Proje Planı hazırlanacaktır.</t>
    </r>
  </si>
  <si>
    <r>
      <rPr>
        <b/>
        <sz val="11"/>
        <color theme="1"/>
        <rFont val="Calibri"/>
        <family val="2"/>
        <charset val="162"/>
        <scheme val="minor"/>
      </rPr>
      <t xml:space="preserve">Yapılan: </t>
    </r>
    <r>
      <rPr>
        <sz val="11"/>
        <color theme="1"/>
        <rFont val="Calibri"/>
        <family val="2"/>
        <scheme val="minor"/>
      </rPr>
      <t xml:space="preserve">
Proje başlatma belgesi hazırlanmıştır.Proje Açılış Duyurusu paylaşılmıştır.
</t>
    </r>
    <r>
      <rPr>
        <b/>
        <sz val="11"/>
        <color theme="1"/>
        <rFont val="Calibri"/>
        <family val="2"/>
        <charset val="162"/>
        <scheme val="minor"/>
      </rPr>
      <t xml:space="preserve">
Yapılması Planlanan:
</t>
    </r>
    <r>
      <rPr>
        <sz val="11"/>
        <color theme="1"/>
        <rFont val="Calibri"/>
        <family val="2"/>
        <charset val="162"/>
        <scheme val="minor"/>
      </rPr>
      <t>Süreç akışı hazırlanacaktır.
Proje Planı hazırlanacaktır.</t>
    </r>
  </si>
  <si>
    <r>
      <rPr>
        <b/>
        <sz val="11"/>
        <color theme="1"/>
        <rFont val="Calibri"/>
        <family val="2"/>
        <charset val="162"/>
        <scheme val="minor"/>
      </rPr>
      <t xml:space="preserve">Yapılan: 
</t>
    </r>
    <r>
      <rPr>
        <sz val="11"/>
        <color theme="1"/>
        <rFont val="Calibri"/>
        <family val="2"/>
        <charset val="162"/>
        <scheme val="minor"/>
      </rPr>
      <t>Proje başlatma belgesi hazırlanmıştır</t>
    </r>
    <r>
      <rPr>
        <b/>
        <sz val="11"/>
        <color theme="1"/>
        <rFont val="Calibri"/>
        <family val="2"/>
        <charset val="162"/>
        <scheme val="minor"/>
      </rPr>
      <t xml:space="preserve">.Proje Açılış Duyurusu paylaşılmıştır.
</t>
    </r>
    <r>
      <rPr>
        <sz val="11"/>
        <color theme="1"/>
        <rFont val="Calibri"/>
        <family val="2"/>
        <scheme val="minor"/>
      </rPr>
      <t xml:space="preserve">
</t>
    </r>
    <r>
      <rPr>
        <b/>
        <sz val="11"/>
        <color theme="1"/>
        <rFont val="Calibri"/>
        <family val="2"/>
        <charset val="162"/>
        <scheme val="minor"/>
      </rPr>
      <t xml:space="preserve">Yapılması Planlanan:
</t>
    </r>
    <r>
      <rPr>
        <sz val="11"/>
        <color theme="1"/>
        <rFont val="Calibri"/>
        <family val="2"/>
        <charset val="162"/>
        <scheme val="minor"/>
      </rPr>
      <t>Süreç akışı hazırlanacaktır.
Proje Planı hazırlanacaktır.</t>
    </r>
  </si>
  <si>
    <r>
      <rPr>
        <b/>
        <sz val="11"/>
        <color theme="1"/>
        <rFont val="Calibri"/>
        <family val="2"/>
        <charset val="162"/>
        <scheme val="minor"/>
      </rPr>
      <t>Gecikme Gerekçesi:</t>
    </r>
    <r>
      <rPr>
        <sz val="11"/>
        <color theme="1"/>
        <rFont val="Calibri"/>
        <family val="2"/>
        <scheme val="minor"/>
      </rPr>
      <t xml:space="preserve">
Proje yazılım ekibine Yazılım Teknik Lideri henüz alınmamıştır. Yazılım ekibindeki eksik personeller henüz tamamlanmamıştır. Mart ayı içinde yazılım geliştirme sürecine geçilmesi planlı olmasına rağmen bu konuda herhangi bir ilerleme bulunmamaktadır.
</t>
    </r>
  </si>
  <si>
    <t xml:space="preserve">Saklamaya ilişkin kriterler henüz netleştirilmemiştir. Sistem mimarisi ve veritabanı tasarımı henüz yapılamamıştır. 2025 Haziran sonuna kadar tamamlanması planlanan Projede en az 2 aylık gecikme beklenmektedir. Proje Ar-Ge  Projesi olduğu  toplam 18 aylık (İlk başlangıç 2024 Ocak) süre kısıtı aşılamayacağı için kapsamda sınırlama ihtiyacı söz konusu olabilir. </t>
  </si>
  <si>
    <t xml:space="preserve"> Halkbank KEP'leştirme Süreç Yönetimi Projesi</t>
  </si>
  <si>
    <t xml:space="preserve"> Kuveyt Türk Bankası KEP'leştirme Süreç Yönetimi  Projesi</t>
  </si>
  <si>
    <t xml:space="preserve"> Albil Merkezi Hizmetler KEP'leştirme Süreç Yönetimi Projesi</t>
  </si>
  <si>
    <t xml:space="preserve"> Pazarama Süreç İyileştirme Projesi</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</si>
  <si>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Örnek hata üzerinden incelemeler başlatılmıştır.
Proje süreçleri başlatılmıştır.
</t>
    </r>
    <r>
      <rPr>
        <b/>
        <sz val="11"/>
        <color theme="1"/>
        <rFont val="Calibri"/>
        <family val="2"/>
        <charset val="162"/>
        <scheme val="minor"/>
      </rPr>
      <t xml:space="preserve">
Yapılması Planlanan:
</t>
    </r>
    <r>
      <rPr>
        <sz val="11"/>
        <color theme="1"/>
        <rFont val="Calibri"/>
        <family val="2"/>
        <scheme val="minor"/>
      </rPr>
      <t>Proje süreçleri devam etmektedir.</t>
    </r>
  </si>
  <si>
    <r>
      <rPr>
        <b/>
        <sz val="11"/>
        <color theme="1"/>
        <rFont val="Calibri"/>
        <family val="2"/>
        <charset val="162"/>
        <scheme val="minor"/>
      </rPr>
      <t xml:space="preserve">Yapılan: </t>
    </r>
    <r>
      <rPr>
        <sz val="11"/>
        <color theme="1"/>
        <rFont val="Calibri"/>
        <family val="2"/>
        <scheme val="minor"/>
      </rPr>
      <t xml:space="preserve">
İç ekip toplantıları gerçekleştirilmiştir.
Bireysel ve Kurumsal müşteri senaryoları için iş akışları hazırlanmıştır.
</t>
    </r>
    <r>
      <rPr>
        <b/>
        <sz val="11"/>
        <color theme="1"/>
        <rFont val="Calibri"/>
        <family val="2"/>
        <charset val="162"/>
        <scheme val="minor"/>
      </rPr>
      <t xml:space="preserve">
Yapılması Planlanan:</t>
    </r>
    <r>
      <rPr>
        <sz val="11"/>
        <color theme="1"/>
        <rFont val="Calibri"/>
        <family val="2"/>
        <charset val="162"/>
        <scheme val="minor"/>
      </rPr>
      <t xml:space="preserve">
Proje Planı hazırlanacaktır.</t>
    </r>
  </si>
  <si>
    <r>
      <rPr>
        <b/>
        <sz val="11"/>
        <color theme="1"/>
        <rFont val="Calibri"/>
        <family val="2"/>
        <charset val="162"/>
        <scheme val="minor"/>
      </rPr>
      <t xml:space="preserve">Yapılan: </t>
    </r>
    <r>
      <rPr>
        <sz val="11"/>
        <color theme="1"/>
        <rFont val="Calibri"/>
        <family val="2"/>
        <scheme val="minor"/>
      </rPr>
      <t xml:space="preserve">
İç ekip toplantıları gerçekleştirilmiştir.
Bireysel ve Kurumsal müşteri senaryoları için iş akışları hazırlanmıştır.
Halkbank ile toplantı gerçekleştirilmiştir.Toplantıda talep edilen iş akışları Halkbank ile paylaşılmıştır.
</t>
    </r>
    <r>
      <rPr>
        <b/>
        <sz val="11"/>
        <color theme="1"/>
        <rFont val="Calibri"/>
        <family val="2"/>
        <charset val="162"/>
        <scheme val="minor"/>
      </rPr>
      <t xml:space="preserve">
Yapılması Planlanan:
</t>
    </r>
    <r>
      <rPr>
        <sz val="11"/>
        <color theme="1"/>
        <rFont val="Calibri"/>
        <family val="2"/>
        <charset val="162"/>
        <scheme val="minor"/>
      </rPr>
      <t>Proje planı hazırlanacaktır.
Aksiyon maddeleri belirlenecek ve ilgili birimlere yönlendirmeler sağlanacaktır.</t>
    </r>
  </si>
  <si>
    <t>Proje Yönlendirme Komitesi
-Sibel Aka
-Hülya Yemşen
-Cemal Önder Doğan
-Aykut Kutlusan
-Özlem Sarı</t>
  </si>
  <si>
    <r>
      <rPr>
        <b/>
        <sz val="11"/>
        <color theme="1"/>
        <rFont val="Calibri"/>
        <family val="2"/>
        <charset val="162"/>
        <scheme val="minor"/>
      </rPr>
      <t>Yapılan:</t>
    </r>
    <r>
      <rPr>
        <sz val="11"/>
        <color theme="1"/>
        <rFont val="Calibri"/>
        <family val="2"/>
        <scheme val="minor"/>
      </rPr>
      <t xml:space="preserve">
Eğitim için Patika Dev ile ilerleme kararı alınmıştır.Hizmet sözleşmesi ile ilgili yorumlar paylaşılmıştır.
</t>
    </r>
    <r>
      <rPr>
        <b/>
        <sz val="11"/>
        <color theme="1"/>
        <rFont val="Calibri"/>
        <family val="2"/>
        <charset val="162"/>
        <scheme val="minor"/>
      </rPr>
      <t>Yapılması Planlanan:</t>
    </r>
    <r>
      <rPr>
        <sz val="11"/>
        <color theme="1"/>
        <rFont val="Calibri"/>
        <family val="2"/>
        <charset val="162"/>
        <scheme val="minor"/>
      </rPr>
      <t xml:space="preserve">
</t>
    </r>
    <r>
      <rPr>
        <sz val="11"/>
        <color theme="1"/>
        <rFont val="Calibri"/>
        <family val="2"/>
        <charset val="162"/>
        <scheme val="minor"/>
      </rPr>
      <t>Sözleşme süreçleri tamamlanarak eğitim planlaması yapılacaktır.</t>
    </r>
  </si>
  <si>
    <t>Cem Kara</t>
  </si>
  <si>
    <t>E- Fatura</t>
  </si>
  <si>
    <t>Detsis</t>
  </si>
  <si>
    <t>Tamamlanan İş Adetleri</t>
  </si>
  <si>
    <r>
      <rPr>
        <b/>
        <sz val="11"/>
        <color theme="1"/>
        <rFont val="Calibri"/>
        <family val="2"/>
        <charset val="162"/>
        <scheme val="minor"/>
      </rPr>
      <t xml:space="preserve">Yapılan: </t>
    </r>
    <r>
      <rPr>
        <sz val="11"/>
        <color theme="1"/>
        <rFont val="Calibri"/>
        <family val="2"/>
        <scheme val="minor"/>
      </rPr>
      <t xml:space="preserve">
Verilen hizmetlerle ilgili karşılaşılan sorunlar Kurumsal Satış  ve Operasyon biriminden bilgi alınmıştır.
Taslak proje başlatma belgesi hazırlanmıştır.
</t>
    </r>
    <r>
      <rPr>
        <b/>
        <sz val="11"/>
        <color theme="1"/>
        <rFont val="Calibri"/>
        <family val="2"/>
        <charset val="162"/>
        <scheme val="minor"/>
      </rPr>
      <t xml:space="preserve">
Yapılması Planlanan:
</t>
    </r>
    <r>
      <rPr>
        <sz val="11"/>
        <color theme="1"/>
        <rFont val="Calibri"/>
        <family val="2"/>
        <charset val="162"/>
        <scheme val="minor"/>
      </rPr>
      <t>Gelen bilgilere istinaden sorumlu ataması yapılacaktır.</t>
    </r>
  </si>
  <si>
    <r>
      <rPr>
        <b/>
        <sz val="11"/>
        <color theme="1"/>
        <rFont val="Calibri"/>
        <family val="2"/>
        <charset val="162"/>
        <scheme val="minor"/>
      </rPr>
      <t>Gecikme Gerekçesi:</t>
    </r>
    <r>
      <rPr>
        <sz val="11"/>
        <color theme="1"/>
        <rFont val="Calibri"/>
        <family val="2"/>
        <scheme val="minor"/>
      </rPr>
      <t xml:space="preserve">
Proje yazılım ekibine Yazılım Teknik Lideri henüz alınmamıştır. Yazılım ekibindeki eksik personeller henüz tamamlanmamıştır. Mart ayı içinde yazılım tasarım süreçlerinin tamamlanması planlandığı halde yazılım teknik mimarı olmadığı için tasarım çalışmaları başlayamamıştır. 
</t>
    </r>
  </si>
  <si>
    <r>
      <t xml:space="preserve">
</t>
    </r>
    <r>
      <rPr>
        <b/>
        <sz val="11"/>
        <color theme="1"/>
        <rFont val="Calibri"/>
        <family val="2"/>
        <charset val="162"/>
        <scheme val="minor"/>
      </rPr>
      <t xml:space="preserve">Gecikme Gerekçesi:
</t>
    </r>
    <r>
      <rPr>
        <sz val="11"/>
        <color theme="1"/>
        <rFont val="Calibri"/>
        <family val="2"/>
        <scheme val="minor"/>
      </rPr>
      <t>Proje üyelerinin iş yoğunluğu ve bir ekip üyesinin askere gidecek olması nedeniyle proje zaman çizelgesinde sapma beklenmektedir.</t>
    </r>
  </si>
  <si>
    <r>
      <rPr>
        <b/>
        <sz val="11"/>
        <color theme="1"/>
        <rFont val="Calibri"/>
        <family val="2"/>
        <charset val="162"/>
        <scheme val="minor"/>
      </rPr>
      <t>Yapılan:</t>
    </r>
    <r>
      <rPr>
        <sz val="11"/>
        <color theme="1"/>
        <rFont val="Calibri"/>
        <family val="2"/>
        <charset val="162"/>
        <scheme val="minor"/>
      </rPr>
      <t xml:space="preserve">
Bulgu kapama çalışmalarına devam edilmiştir. 
</t>
    </r>
    <r>
      <rPr>
        <b/>
        <sz val="11"/>
        <color theme="1"/>
        <rFont val="Calibri"/>
        <family val="2"/>
        <charset val="162"/>
        <scheme val="minor"/>
      </rPr>
      <t xml:space="preserve">Yapılması Planlanan:
</t>
    </r>
    <r>
      <rPr>
        <sz val="11"/>
        <color theme="1"/>
        <rFont val="Calibri"/>
        <family val="2"/>
        <charset val="162"/>
        <scheme val="minor"/>
      </rPr>
      <t>Proje ilerleme durumuna göre proje kapanış hedef tarihine kadar tüm maddelerin kapatıılamayacağı değerlendirilmektedir. Proje zaman planı hafta başında revize edilecektir.</t>
    </r>
  </si>
  <si>
    <r>
      <rPr>
        <b/>
        <sz val="11"/>
        <color theme="1"/>
        <rFont val="Calibri"/>
        <family val="2"/>
        <charset val="162"/>
        <scheme val="minor"/>
      </rPr>
      <t>Yapılan:</t>
    </r>
    <r>
      <rPr>
        <sz val="11"/>
        <color theme="1"/>
        <rFont val="Calibri"/>
        <family val="2"/>
        <scheme val="minor"/>
      </rPr>
      <t xml:space="preserve">
Alınması planlanan danışmanlık kapsamında süreç optimizasyonu ve yapılacak çalışmalar ile ilgili toplantı yapılmıştır ve nihai teklif ve plan iletilmiştir.
</t>
    </r>
    <r>
      <rPr>
        <b/>
        <sz val="11"/>
        <color theme="1"/>
        <rFont val="Calibri"/>
        <family val="2"/>
        <charset val="162"/>
        <scheme val="minor"/>
      </rPr>
      <t xml:space="preserve">Yapılması Planlanan:
</t>
    </r>
    <r>
      <rPr>
        <sz val="11"/>
        <color theme="1"/>
        <rFont val="Calibri"/>
        <family val="2"/>
        <charset val="162"/>
        <scheme val="minor"/>
      </rPr>
      <t>Yönetim onayına istinaden sürecin hızlıca başlatılması planlanmaktadır. Danışmanlık hizmeti takvimine göre proje zaman çizelgesi revize edilecektir.
Teknoloji çözüm merkezi için  Servicecore'da yer alan kayıtların takip edilebilirliği ,SLA belirlenmesi ve vaka iletme konuları için toplantı planlanacaktır.</t>
    </r>
  </si>
  <si>
    <r>
      <rPr>
        <b/>
        <sz val="11"/>
        <rFont val="Calibri"/>
        <family val="2"/>
        <scheme val="minor"/>
      </rPr>
      <t xml:space="preserve">Yapılan: </t>
    </r>
    <r>
      <rPr>
        <sz val="11"/>
        <rFont val="Calibri"/>
        <family val="2"/>
        <scheme val="minor"/>
      </rPr>
      <t xml:space="preserve">
Yapılan son geliştirmeler canlı ortama aktarılmıştır.
</t>
    </r>
    <r>
      <rPr>
        <b/>
        <sz val="11"/>
        <rFont val="Calibri"/>
        <family val="2"/>
        <scheme val="minor"/>
      </rPr>
      <t>Yapılması Planlanan:</t>
    </r>
    <r>
      <rPr>
        <sz val="11"/>
        <rFont val="Calibri"/>
        <family val="2"/>
        <scheme val="minor"/>
      </rPr>
      <t xml:space="preserve">
Mobil imza ile login özelliğinin eklenmesi sağlanacaktır.
Projedeki kritik kaynak olan mobil uygulama geliştiricinin  işten ayrılması nedeniyle oluşan kaynak ihtiyacına istinaden işe alım süreçleri takip edilecektir.</t>
    </r>
  </si>
  <si>
    <r>
      <rPr>
        <b/>
        <sz val="11"/>
        <color theme="1"/>
        <rFont val="Calibri"/>
        <family val="2"/>
        <charset val="162"/>
        <scheme val="minor"/>
      </rPr>
      <t xml:space="preserve">Yapılan: 
</t>
    </r>
    <r>
      <rPr>
        <sz val="11"/>
        <color theme="1"/>
        <rFont val="Calibri"/>
        <family val="2"/>
        <charset val="162"/>
        <scheme val="minor"/>
      </rPr>
      <t xml:space="preserve">İletilen hizmet teklifi müşteriden gelen olumsuz dönüşe istinaden proje kapatılmıştır.
</t>
    </r>
  </si>
  <si>
    <t>Proje ekibinde yer alan yazılım mimarının işten ayrılması ve yerine bir yazılım mimarı alınamamış olması nedeniyle yazılım geliştirme öncesindeki altyapı çalışmaları tamamlanamamıştır. Şubat ayı başı  itibariyle başlaması gereken yazılım tasarım sürecine de başlanamamıştır.
Projeye alınması planlanan iki backend, bir frontend, bir test personel alımı henüz gerçekleşmemiştir.
Yazılım ekibinin henüz çalışmaya başlamamış olması ve altyapının da hazır olmaması nedeniyle 2 aylık bir gecikme olasılığı yüksektir.
Projenin zamanında gerçekleştirilmesine yönelik farklı yöntemler üzerinde çalışılmaktadır.
Mevcut personellerin iş planlamalarının proje görevlerine uygun olarak yapılamaması proje ilerleme hızını olumsuz etkilemektedir.</t>
  </si>
  <si>
    <r>
      <rPr>
        <b/>
        <sz val="11"/>
        <color theme="1"/>
        <rFont val="Calibri"/>
        <family val="2"/>
        <charset val="162"/>
        <scheme val="minor"/>
      </rPr>
      <t>Yapılan:</t>
    </r>
    <r>
      <rPr>
        <sz val="11"/>
        <color theme="1"/>
        <rFont val="Calibri"/>
        <family val="2"/>
        <scheme val="minor"/>
      </rPr>
      <t xml:space="preserve">
Proje haftalık ilerleme toplantı gerçekleştirilmiştir.
Projede dış kaynak kullanımı konusunda Sorentum firmasıyla toplantı yapılmıştır.
</t>
    </r>
    <r>
      <rPr>
        <b/>
        <sz val="11"/>
        <color theme="1"/>
        <rFont val="Calibri"/>
        <family val="2"/>
        <charset val="162"/>
        <scheme val="minor"/>
      </rPr>
      <t>Yapılmasını Planlanan:</t>
    </r>
    <r>
      <rPr>
        <sz val="11"/>
        <color theme="1"/>
        <rFont val="Calibri"/>
        <family val="2"/>
        <scheme val="minor"/>
      </rPr>
      <t xml:space="preserve">
Ürün yönetimi biriminden ürün isterleri beklenmektedir. Proje gereksinim dokümanı son haline getirilecektir.
Proje gereksinim dokümanı Sorentum firması ile paylaşılacaktır.</t>
    </r>
  </si>
  <si>
    <r>
      <rPr>
        <b/>
        <sz val="11"/>
        <color theme="1"/>
        <rFont val="Calibri"/>
        <family val="2"/>
        <charset val="162"/>
        <scheme val="minor"/>
      </rPr>
      <t>Gecikme Gerekçesi:</t>
    </r>
    <r>
      <rPr>
        <sz val="11"/>
        <color theme="1"/>
        <rFont val="Calibri"/>
        <family val="2"/>
        <scheme val="minor"/>
      </rPr>
      <t xml:space="preserve">
Proje üyelerinin iş yoğunluğu nedeniyle tamamlanamayan çalışmalardan dolayı proje zaman çizelgesinde sapma bulunmaktadır.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</si>
  <si>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alım süreci devam etmektedir.
Projenin gerçekleştirilmesine yönelik farklı yöntemler üzerinde fizibilte çalışmaıs kapsamında iki fimadan projenin birinci faz geliştirme çalışmaları için teklif gelmiştir, değerlendirilmektedir.
E-Arşiv Fatura SAT dokümanı hazırlık çalışmalarına başlanmıştır.
UI/UX tasarım süreçleri için iki firmadan POC çalışması istenmiş, bir firma çalışmasını paylaşmıştır.
</t>
    </r>
    <r>
      <rPr>
        <b/>
        <sz val="11"/>
        <color theme="1"/>
        <rFont val="Calibri"/>
        <family val="2"/>
        <charset val="162"/>
        <scheme val="minor"/>
      </rPr>
      <t>Yapılması Planlanan :</t>
    </r>
    <r>
      <rPr>
        <sz val="11"/>
        <color theme="1"/>
        <rFont val="Calibri"/>
        <family val="2"/>
        <scheme val="minor"/>
      </rPr>
      <t xml:space="preserve">
E-Fatura için SRS ve STD dokümantasyon çalışmaları tamamlanacaktır.
E-Arşiv Fatura SAT dokümanı çalışmasına devam edilecektir.
</t>
    </r>
    <r>
      <rPr>
        <sz val="11"/>
        <color theme="1"/>
        <rFont val="Calibri"/>
        <family val="2"/>
        <charset val="162"/>
        <scheme val="minor"/>
      </rPr>
      <t xml:space="preserve">UI/UX tasarım süreçleinde tedarikçilerden gelen demo çalışmalar üzerinden değerlendirme yapılacak karar verilecektir.
Projenin gerçekleştirilmesine yönelik farklı alternatifler için karşılaştırmalı maliyet analizi hazırlığı yapılacaktır.
</t>
    </r>
  </si>
  <si>
    <t>2025-ÜRY-001</t>
  </si>
  <si>
    <t>2025-PYO-007</t>
  </si>
  <si>
    <t>2025-TKEP_029</t>
  </si>
  <si>
    <t>2024-TKEP_024</t>
  </si>
  <si>
    <t>2024-TKEP_026</t>
  </si>
  <si>
    <t>2025-PYO-005</t>
  </si>
  <si>
    <t>2025-PYO-008</t>
  </si>
  <si>
    <t>2024-TKEP-027</t>
  </si>
  <si>
    <t>2025-PYO-006</t>
  </si>
  <si>
    <r>
      <rPr>
        <sz val="11"/>
        <color theme="1"/>
        <rFont val="Calibri"/>
        <family val="2"/>
        <charset val="162"/>
        <scheme val="minor"/>
      </rPr>
      <t xml:space="preserve">                                  </t>
    </r>
    <r>
      <rPr>
        <b/>
        <sz val="11"/>
        <color theme="1"/>
        <rFont val="Calibri"/>
        <family val="2"/>
        <charset val="162"/>
        <scheme val="minor"/>
      </rPr>
      <t xml:space="preserve"> TAMAMLANDI 
Proje planlanan bitiş tarihi olan 26.02.2025 tarihinde tamamlanmıştır.
</t>
    </r>
  </si>
  <si>
    <r>
      <rPr>
        <sz val="11"/>
        <color theme="1"/>
        <rFont val="Calibri"/>
        <family val="2"/>
        <charset val="162"/>
        <scheme val="minor"/>
      </rPr>
      <t xml:space="preserve">                   </t>
    </r>
    <r>
      <rPr>
        <b/>
        <sz val="11"/>
        <color theme="1"/>
        <rFont val="Calibri"/>
        <family val="2"/>
        <charset val="162"/>
        <scheme val="minor"/>
      </rPr>
      <t xml:space="preserve">            TAMAMLANDI 
Proje planlanan bitiş tarihi olan 28.02.2025 tarihinde tamamlanmıştır.
</t>
    </r>
  </si>
  <si>
    <r>
      <rPr>
        <b/>
        <sz val="11"/>
        <color theme="1"/>
        <rFont val="Calibri"/>
        <family val="2"/>
        <charset val="162"/>
        <scheme val="minor"/>
      </rPr>
      <t xml:space="preserve">Yapılan: </t>
    </r>
    <r>
      <rPr>
        <sz val="11"/>
        <color theme="1"/>
        <rFont val="Calibri"/>
        <family val="2"/>
        <scheme val="minor"/>
      </rPr>
      <t xml:space="preserve">
Proje planı hazırlanmıştır.
Bireysel ve Kurumsal müşteri senaryoları için iş akışları ve örnek CRM servis dokümanı (Halkbank süreçleri için üzerinde çalışılan) paylaşılmıştır.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t>
    </r>
  </si>
  <si>
    <r>
      <rPr>
        <b/>
        <sz val="11"/>
        <color theme="1"/>
        <rFont val="Calibri"/>
        <family val="2"/>
        <charset val="162"/>
        <scheme val="minor"/>
      </rPr>
      <t xml:space="preserve">Yapılan: </t>
    </r>
    <r>
      <rPr>
        <sz val="11"/>
        <color theme="1"/>
        <rFont val="Calibri"/>
        <family val="2"/>
        <scheme val="minor"/>
      </rPr>
      <t xml:space="preserve">
Proje başlatma belgesi için onay alınmış, ve proje açılış duyurusu yapılmıştır.
</t>
    </r>
    <r>
      <rPr>
        <b/>
        <sz val="11"/>
        <color theme="1"/>
        <rFont val="Calibri"/>
        <family val="2"/>
        <charset val="162"/>
        <scheme val="minor"/>
      </rPr>
      <t xml:space="preserve">
Yapılması Planlanan:
</t>
    </r>
    <r>
      <rPr>
        <sz val="11"/>
        <color theme="1"/>
        <rFont val="Calibri"/>
        <family val="2"/>
        <charset val="162"/>
        <scheme val="minor"/>
      </rPr>
      <t>Gelen bilgilere istinaden sorumlu ataması yapılacaktır.</t>
    </r>
  </si>
  <si>
    <t>İKÇÜ Üniversite Bilgi Yönetim Sistemi (ÜBYS) Süreç Yönetim Projesi</t>
  </si>
  <si>
    <t>2025-PYO-009</t>
  </si>
  <si>
    <t>2025-PYO-010</t>
  </si>
  <si>
    <t>Proje Yönlendirme Komitesi
-Sibel Aka
-Hülya Yemşen
-Cemal Önder Doğan
-Aykut Kutlusan
-Burcu Doruk</t>
  </si>
  <si>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de başlanamamıştır.
Projeye alınması planlanan iki backend, bir frontend, bir test personel alımı henüz gerçekleşmemiştir.
Yazılım ekibinin henüz çalışmaya başlamamış olması ve altyapının da hazır olmaması nedeniyle 2 aylık bir gecikme olasılığı yüksektir.
Projenin zamanında gerçekleştirilmesine yönelik farklı yöntemler üzerinde çalışılmaktadır.
Mevcut personellerin iş planlamalarının proje görevlerine uygun olarak yapılamaması proje ilerleme hızını olumsuz etkilemektedir.</t>
  </si>
  <si>
    <r>
      <t xml:space="preserve">
</t>
    </r>
    <r>
      <rPr>
        <b/>
        <sz val="11"/>
        <color theme="1"/>
        <rFont val="Calibri"/>
        <family val="2"/>
        <charset val="162"/>
        <scheme val="minor"/>
      </rPr>
      <t>Proje kapanış kararı verilmiştir.</t>
    </r>
    <r>
      <rPr>
        <sz val="11"/>
        <color theme="1"/>
        <rFont val="Calibri"/>
        <family val="2"/>
        <scheme val="minor"/>
      </rPr>
      <t xml:space="preserve">
</t>
    </r>
  </si>
  <si>
    <r>
      <rPr>
        <b/>
        <sz val="11"/>
        <color theme="1"/>
        <rFont val="Calibri"/>
        <family val="2"/>
        <charset val="162"/>
        <scheme val="minor"/>
      </rPr>
      <t>Yapılan:</t>
    </r>
    <r>
      <rPr>
        <sz val="11"/>
        <color theme="1"/>
        <rFont val="Calibri"/>
        <family val="2"/>
        <scheme val="minor"/>
      </rPr>
      <t xml:space="preserve">
Yapay Zeka eğitimini verecek olan Patika.Dev firması ile sözleşme imza süreci yürütülmektedir.
Yapay Zeka Eğitimi‘nin ilk 8 saatlik “Yapay Zeka Farkındalık ve Temel Bilgiler” eğitimi, 08 Nisan Salı ve 10 Nisan Perşembe günü öğleden sonra 4’er saat olarak tüm şirket geneli için planlanmıştır.
39 saatlik “Python ve Temel LLM Kullanımı” eğitimi ise 14 Nisan haftasında başlayarak Pazartesi, Salı ve Perşembe günleri için toplamda haftalık 10 saat olacak şekilde planlanmıştır.
</t>
    </r>
    <r>
      <rPr>
        <b/>
        <sz val="11"/>
        <color theme="1"/>
        <rFont val="Calibri"/>
        <family val="2"/>
        <charset val="162"/>
        <scheme val="minor"/>
      </rPr>
      <t>Yapılması Planlanan:</t>
    </r>
    <r>
      <rPr>
        <sz val="11"/>
        <color theme="1"/>
        <rFont val="Calibri"/>
        <family val="2"/>
        <charset val="162"/>
        <scheme val="minor"/>
      </rPr>
      <t xml:space="preserve">
Sözleşme süreçleri tamamlanacaktır.
Planlanan eğitimler gerçekleştirilecektir.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</si>
  <si>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Proje planı hazırlanmıştır.
CRM Servis dokümanının düzenleme ile ilgili ihtiyaçların tespiti için CRM yazılım ekibi ile çalışma yapılmıştır.
</t>
    </r>
    <r>
      <rPr>
        <b/>
        <sz val="11"/>
        <color theme="1"/>
        <rFont val="Calibri"/>
        <family val="2"/>
        <charset val="162"/>
        <scheme val="minor"/>
      </rPr>
      <t xml:space="preserve">Yapılması Planlanan:
</t>
    </r>
    <r>
      <rPr>
        <sz val="11"/>
        <color theme="1"/>
        <rFont val="Calibri"/>
        <family val="2"/>
        <charset val="162"/>
        <scheme val="minor"/>
      </rPr>
      <t>CRM Servis dokümanına eklenmesi gereken alanlar için analiz çalışması yapılacaktır.
Aksiyon maddeleri belirlenecek ve ilgili birimlere yönlendirmeler sağlanacaktır.</t>
    </r>
  </si>
  <si>
    <r>
      <rPr>
        <b/>
        <sz val="11"/>
        <color theme="1"/>
        <rFont val="Calibri"/>
        <family val="2"/>
        <charset val="162"/>
        <scheme val="minor"/>
      </rPr>
      <t xml:space="preserve">Yapılan: </t>
    </r>
    <r>
      <rPr>
        <sz val="11"/>
        <color theme="1"/>
        <rFont val="Calibri"/>
        <family val="2"/>
        <scheme val="minor"/>
      </rPr>
      <t xml:space="preserve">
Proje başlatma belgesi için onay alınmış, ve proje açılış duyurusu yapılmıştır.
</t>
    </r>
    <r>
      <rPr>
        <b/>
        <sz val="11"/>
        <color theme="1"/>
        <rFont val="Calibri"/>
        <family val="2"/>
        <charset val="162"/>
        <scheme val="minor"/>
      </rPr>
      <t xml:space="preserve">
Yapılması Planlanan:
</t>
    </r>
    <r>
      <rPr>
        <sz val="11"/>
        <color theme="1"/>
        <rFont val="Calibri"/>
        <family val="2"/>
        <charset val="162"/>
        <scheme val="minor"/>
      </rPr>
      <t>İşletilen süreç gözden geçirilecek ve toplantı için ön hazırlık yapılacaktır.
10 Nisan tarihinde koordinasyon toplantısı yapılacaktır.</t>
    </r>
  </si>
  <si>
    <r>
      <t>Servicecore Uygula</t>
    </r>
    <r>
      <rPr>
        <sz val="12"/>
        <color theme="1"/>
        <rFont val="Calibri"/>
        <family val="2"/>
        <charset val="162"/>
        <scheme val="minor"/>
      </rPr>
      <t>m</t>
    </r>
    <r>
      <rPr>
        <b/>
        <sz val="12"/>
        <color theme="1"/>
        <rFont val="Calibri"/>
        <family val="2"/>
        <charset val="162"/>
        <scheme val="minor"/>
      </rPr>
      <t>ası Danışmanlık Hizmet Alımı Projesi</t>
    </r>
  </si>
  <si>
    <r>
      <rPr>
        <b/>
        <sz val="11"/>
        <color theme="1"/>
        <rFont val="Calibri"/>
        <family val="2"/>
        <charset val="162"/>
        <scheme val="minor"/>
      </rPr>
      <t>Yapılan:</t>
    </r>
    <r>
      <rPr>
        <sz val="11"/>
        <color theme="1"/>
        <rFont val="Calibri"/>
        <family val="2"/>
        <scheme val="minor"/>
      </rPr>
      <t xml:space="preserve">
Projede dış kaynak kullanımı konusunda çalışma yapılmıştır.
</t>
    </r>
    <r>
      <rPr>
        <b/>
        <sz val="11"/>
        <color theme="1"/>
        <rFont val="Calibri"/>
        <family val="2"/>
        <charset val="162"/>
        <scheme val="minor"/>
      </rPr>
      <t>Yapılmasını Planlanan:</t>
    </r>
    <r>
      <rPr>
        <sz val="11"/>
        <color theme="1"/>
        <rFont val="Calibri"/>
        <family val="2"/>
        <scheme val="minor"/>
      </rPr>
      <t xml:space="preserve">
Alternatif geliştirme yönteminin sunumu yapılacaktır.</t>
    </r>
  </si>
  <si>
    <t xml:space="preserve">Saklamaya ilişkin kriterler henüz netleştirilmemiştir. Sistem mimarisi ve veritabanı tasarımı henüz yapılamamıştır. 2025 Haziran sonuna kadar tamamlanması planlanan Projede en az 3 aylık gecikme beklenmektedir. </t>
  </si>
  <si>
    <r>
      <rPr>
        <b/>
        <sz val="11"/>
        <color theme="1"/>
        <rFont val="Calibri"/>
        <family val="2"/>
        <charset val="162"/>
        <scheme val="minor"/>
      </rPr>
      <t xml:space="preserve">Yapılan:
</t>
    </r>
    <r>
      <rPr>
        <sz val="11"/>
        <color theme="1"/>
        <rFont val="Calibri"/>
        <family val="2"/>
        <scheme val="minor"/>
      </rPr>
      <t xml:space="preserve">Alınması kararlaştırılan danışmanlık için sözleşme imzaları tamamlanmıştır.
</t>
    </r>
    <r>
      <rPr>
        <b/>
        <sz val="11"/>
        <color theme="1"/>
        <rFont val="Calibri"/>
        <family val="2"/>
        <charset val="162"/>
        <scheme val="minor"/>
      </rPr>
      <t xml:space="preserve">Yapılması Planlanan:
</t>
    </r>
    <r>
      <rPr>
        <sz val="11"/>
        <color theme="1"/>
        <rFont val="Calibri"/>
        <family val="2"/>
        <charset val="162"/>
        <scheme val="minor"/>
      </rPr>
      <t>Proje Başlatma Belgesi hazırlanacaktır.
Alınması kararlaştırılan danışmanlık hizmeti için takvim belirlenecektir.</t>
    </r>
  </si>
  <si>
    <t xml:space="preserve">İç / Proje Grubu Üyesi </t>
  </si>
  <si>
    <r>
      <rPr>
        <b/>
        <sz val="11"/>
        <color theme="1"/>
        <rFont val="Calibri"/>
        <family val="2"/>
        <charset val="162"/>
        <scheme val="minor"/>
      </rPr>
      <t>Yapılan:</t>
    </r>
    <r>
      <rPr>
        <sz val="11"/>
        <color theme="1"/>
        <rFont val="Calibri"/>
        <family val="2"/>
        <charset val="162"/>
        <scheme val="minor"/>
      </rPr>
      <t xml:space="preserve">
Proje kapsamına dahil olan maddelerin atandığı personelin işten ayrılması sonrasında kısa vadede maddeler için yeniden kaynak ataması yapılamadığı bilgisi alınmıştır. Projenin, tamamlanamayan maddelerinin haricen takip edileceği ve kaynak planlamasına göre yeniden değerlendirileceği şartlı kabulü ile kapatılmasına karar verilmiştir.
Proje Kapanış belgesi hazırlanmıştır.
</t>
    </r>
    <r>
      <rPr>
        <b/>
        <sz val="11"/>
        <color theme="1"/>
        <rFont val="Calibri"/>
        <family val="2"/>
        <charset val="162"/>
        <scheme val="minor"/>
      </rPr>
      <t xml:space="preserve">Yapılması Planlanan:
</t>
    </r>
    <r>
      <rPr>
        <sz val="11"/>
        <color theme="1"/>
        <rFont val="Calibri"/>
        <family val="2"/>
        <charset val="162"/>
        <scheme val="minor"/>
      </rPr>
      <t>Proje Kapanış belgesi için Sponsor onayı alınacaktır.</t>
    </r>
  </si>
  <si>
    <r>
      <rPr>
        <b/>
        <sz val="11"/>
        <color theme="1"/>
        <rFont val="Calibri"/>
        <family val="2"/>
        <charset val="162"/>
        <scheme val="minor"/>
      </rPr>
      <t xml:space="preserve">Yapılan:
</t>
    </r>
    <r>
      <rPr>
        <sz val="11"/>
        <color theme="1"/>
        <rFont val="Calibri"/>
        <family val="2"/>
        <charset val="162"/>
        <scheme val="minor"/>
      </rPr>
      <t>Proje ihtiyaçlarına yönelik alınacak Danışmanlık hizmeti Nisan/Mayıs ayında alınacak şekilde planlanmıştır. Bu nedenle danışmanlık hizmetine paralel ayrı bir proje ile sürecin takip edilmesine karar verilmiştir.</t>
    </r>
    <r>
      <rPr>
        <sz val="11"/>
        <color theme="1"/>
        <rFont val="Calibri"/>
        <family val="2"/>
        <scheme val="minor"/>
      </rPr>
      <t xml:space="preserve">
Proje Kapanış belgesi hazırlanmıştır.
</t>
    </r>
    <r>
      <rPr>
        <b/>
        <sz val="11"/>
        <color theme="1"/>
        <rFont val="Calibri"/>
        <family val="2"/>
        <charset val="162"/>
        <scheme val="minor"/>
      </rPr>
      <t xml:space="preserve">Yapılması Planlanan:
</t>
    </r>
    <r>
      <rPr>
        <sz val="11"/>
        <color theme="1"/>
        <rFont val="Calibri"/>
        <family val="2"/>
        <charset val="162"/>
        <scheme val="minor"/>
      </rPr>
      <t>Proje Kapanış belgesi için Sponsor onayı alınacaktır.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</si>
  <si>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UI/UX tasarım dokümanı hazırlanmıştır.
Proje ekibinde yazılım teknik lideri, eksik yazılım geliştirme ve test personeli için aday personel arayış süreci devam etmektedir.
Projenin gerçekleştirilmesine yönelik farklı alternatifler için karşılaştırmalı maliyet analizi hazırlanmıştır.
e-Arşiv Fatura SAT dokümanı hazırlık çalışmalarına devam edilmiştir.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güncellenecektir.
e-Arşiv Fatura SAT dokümanı çalışmasına devam edilecektir.
</t>
    </r>
    <r>
      <rPr>
        <sz val="11"/>
        <color theme="1"/>
        <rFont val="Calibri"/>
        <family val="2"/>
        <charset val="162"/>
        <scheme val="minor"/>
      </rPr>
      <t xml:space="preserve">UI/UX tasarım süreçleinde tedarikçilerden gelen demo çalışmalar üzerinden değerlendirme yapılarak karar verilecektir.
Projenin gerçekleştirilmesine yönelik farklı alternatifler için karşılaştırmalı maliyet analizi ve öneriler üst yönetime sunulacaktır.
</t>
    </r>
  </si>
  <si>
    <r>
      <rPr>
        <b/>
        <sz val="11"/>
        <color theme="1"/>
        <rFont val="Calibri"/>
        <family val="2"/>
        <charset val="162"/>
        <scheme val="minor"/>
      </rPr>
      <t>Gecikme Gerekçesi:</t>
    </r>
    <r>
      <rPr>
        <sz val="11"/>
        <color theme="1"/>
        <rFont val="Calibri"/>
        <family val="2"/>
        <scheme val="minor"/>
      </rPr>
      <t xml:space="preserve">
Proje üyelerinin iş yoğunluğu nedeniyle tamamlanamayan çalışmalardan dolayı proje zaman çizelgesinde sapma bulunmaktadır.</t>
    </r>
    <r>
      <rPr>
        <sz val="11"/>
        <color theme="1"/>
        <rFont val="Calibri"/>
        <family val="2"/>
        <charset val="162"/>
        <scheme val="minor"/>
      </rPr>
      <t xml:space="preserve">
Proje Bitiş tarihi 2 ay ötelenerek Haziran sonu olarak güncellenmiştir.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</si>
  <si>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aday personel arayış süreci devam etmektedir.
Projenin gerçekleştirilmesine yönelik farklı alternatifler için karşılaştırmalı maliyet analizi ve öneriler üst yönetime sunulmuştur. Değerlendirme süreci devam etmektedir.
e-Arşiv Fatura SAT dokümanı hazırlık çalışmalarına devam edilmiştir.
UI/UX tasarım POC çalışması yapan tedarikçiye çalışması hakkında dönüş yapılmıştır.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SAT dokümanı çalışmasına devam edilecektir.
</t>
    </r>
    <r>
      <rPr>
        <sz val="11"/>
        <color theme="1"/>
        <rFont val="Calibri"/>
        <family val="2"/>
        <charset val="162"/>
        <scheme val="minor"/>
      </rPr>
      <t xml:space="preserve">
</t>
    </r>
  </si>
  <si>
    <r>
      <rPr>
        <b/>
        <sz val="11"/>
        <color theme="1"/>
        <rFont val="Calibri"/>
        <family val="2"/>
        <charset val="162"/>
        <scheme val="minor"/>
      </rPr>
      <t>Gecikme Gerekçesi:</t>
    </r>
    <r>
      <rPr>
        <sz val="11"/>
        <color theme="1"/>
        <rFont val="Calibri"/>
        <family val="2"/>
        <scheme val="minor"/>
      </rPr>
      <t xml:space="preserve">
Proje yazılım ekibine Yazılım Teknik Lideri henüz alınmamıştır. Yazılım ekibindeki eksik personeller henüz tamamlanmamıştır. Mart ayı içinde yazılım tasarım süreçlerinin tamamlanması planlandığı halde yazılım teknik mimarı olmadığı için tasarım ve yazılım geliştirme başlayamamıştır. 
</t>
    </r>
  </si>
  <si>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de başlanamamıştır.
Projeye alınması planlanan iki backend, bir frontend, bir test personel alımı henüz gerçekleşmemiştir.
Yazılım ekibinin henüz çalışmaya başlamamış olması ve altyapının da hazır olmaması nedeniyle 3 aylık bir gecikme olasılığı yüksektir.</t>
  </si>
  <si>
    <r>
      <rPr>
        <b/>
        <sz val="11"/>
        <color theme="1"/>
        <rFont val="Calibri"/>
        <family val="2"/>
        <charset val="162"/>
        <scheme val="minor"/>
      </rPr>
      <t>Yapılan:</t>
    </r>
    <r>
      <rPr>
        <sz val="11"/>
        <color theme="1"/>
        <rFont val="Calibri"/>
        <family val="2"/>
        <scheme val="minor"/>
      </rPr>
      <t xml:space="preserve">
Yapay Zeka eğitimini verecek olan Patika.Dev firması ile sözleşme imza süreci tamamlanmıştır.
Yapay Zeka Eğitimi‘nin ilk 8 saatlik “Yapay Zeka Farkındalık ve Temel Bilgiler” eğitimi, 08 Nisan Salı ve 10 Nisan Perşembe günü öğleden sonra 4’er saat olarak tüm şirket geneli için gerçekleştirilmiştir.
39 saatlik “Python ve Temel LLM Kullanımı” eğitimi ise 14 Nisan haftasında başlayarak Pazartesi, Salı ve Perşembe günleri için toplamda haftalık 10 saat olacak şekilde planlanmıştır.
</t>
    </r>
    <r>
      <rPr>
        <b/>
        <sz val="11"/>
        <color theme="1"/>
        <rFont val="Calibri"/>
        <family val="2"/>
        <charset val="162"/>
        <scheme val="minor"/>
      </rPr>
      <t>Yapılması Planlanan:</t>
    </r>
    <r>
      <rPr>
        <sz val="11"/>
        <color theme="1"/>
        <rFont val="Calibri"/>
        <family val="2"/>
        <charset val="162"/>
        <scheme val="minor"/>
      </rPr>
      <t xml:space="preserve">
Planlanan eğitime, gelecek hafta yapılacak BTK denetim çalışmaları nedeniyle 1 hafta ara verilecektir. 28 Nisan haftasında eğitimlere devam edilmesi planlanmaktadır.</t>
    </r>
  </si>
  <si>
    <r>
      <rPr>
        <b/>
        <sz val="11"/>
        <color theme="1"/>
        <rFont val="Calibri"/>
        <family val="2"/>
        <charset val="162"/>
        <scheme val="minor"/>
      </rPr>
      <t>Yapılan:</t>
    </r>
    <r>
      <rPr>
        <sz val="11"/>
        <color theme="1"/>
        <rFont val="Calibri"/>
        <family val="2"/>
        <scheme val="minor"/>
      </rPr>
      <t xml:space="preserve">
Ortak geliştirme modeli için Eteration firması ile proje bilgilendirme toplantısı gerçekleştirilmiştir.Proje kapsam dokümanı incelemeleri için iletilmiştir.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28 Nisan haftasında proje kapsamı üzerinden Eteration firması ile ikinci toplantı planlanacaktır.</t>
    </r>
  </si>
  <si>
    <t>Saklamaya ilişkin kriterler henüz netleştirilmemiştir. Sistem mimarisi ve veritabanı tasarımı henüz yapılamamıştır. 2025 Haziran sonuna kadar tamamlanması planlanan Projede en az 3 aylık gecikme beklenmektedir. 
Proje kapsamında daraltma ile projenin planlanan zamanda kapatılması değerlendirilmektedir.</t>
  </si>
  <si>
    <r>
      <rPr>
        <b/>
        <sz val="11"/>
        <rFont val="Calibri"/>
        <family val="2"/>
        <scheme val="minor"/>
      </rPr>
      <t xml:space="preserve">Yapılan: </t>
    </r>
    <r>
      <rPr>
        <sz val="11"/>
        <rFont val="Calibri"/>
        <family val="2"/>
        <scheme val="minor"/>
      </rPr>
      <t xml:space="preserve">
Mobil uygulamalar konusundaki tecrübeleri nedeniyle Eteration Firması ile ön görüşme yapılmıştır.
</t>
    </r>
    <r>
      <rPr>
        <b/>
        <sz val="11"/>
        <rFont val="Calibri"/>
        <family val="2"/>
        <scheme val="minor"/>
      </rPr>
      <t xml:space="preserve">Yapılması Planlanan:
</t>
    </r>
    <r>
      <rPr>
        <sz val="11"/>
        <rFont val="Calibri"/>
        <family val="2"/>
        <scheme val="minor"/>
      </rPr>
      <t>28 Nisan haftasında proje kapsamı üzerinden Eteration firması ile toplantı planlanacaktır.
Mobil imza ile login özelliğinin eklenmesi sağlanacaktır.
Projedeki kritik kaynak olan mobil uygulama geliştiricinin  işten ayrılması nedeniyle oluşan kaynak ihtiyacına istinaden işe alım süreçleri takip edilecektir.</t>
    </r>
  </si>
  <si>
    <t>Proje kapsamında görev alan mobil yazılım geliştirme sorumlusunun işten ayrılması, ekipte mobil uygulamalar konusunda tecrübeli personel olmaması ve yeni bir mobil uygulama geliştirmeci de alınmadığı için projede gecikme beklenmektedir.
Mobil uygulamalar konusunda uzman bir firmadan destek alınması planlanmaktadır.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</si>
  <si>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Proje planı hazırlanmıştır.
CRM Servis dokümanının düzenleme ile ilgili ihtiyaçların tespiti için CRM yazılım ekibi ile çalışma yapılmıştır.
Projede KİDOS kullanımı için de bir değerlendirme yapılmıştır.
</t>
    </r>
    <r>
      <rPr>
        <b/>
        <sz val="11"/>
        <color theme="1"/>
        <rFont val="Calibri"/>
        <family val="2"/>
        <charset val="162"/>
        <scheme val="minor"/>
      </rPr>
      <t xml:space="preserve">Yapılması Planlanan:
</t>
    </r>
    <r>
      <rPr>
        <sz val="11"/>
        <color theme="1"/>
        <rFont val="Calibri"/>
        <family val="2"/>
        <charset val="162"/>
        <scheme val="minor"/>
      </rPr>
      <t>CRM Servis dokümanına eklenmesi gereken alanlar için analiz çalışması yapılacaktır.
Aksiyon maddeleri belirlenecek ve ilgili birimlere yönlendirmeler sağlanacaktır.</t>
    </r>
    <r>
      <rPr>
        <sz val="11"/>
        <color theme="1"/>
        <rFont val="Calibri"/>
        <family val="2"/>
        <charset val="162"/>
        <scheme val="minor"/>
      </rPr>
      <t xml:space="preserve">
Halkbank'a servis geliştirme ve entegrasyona yönelik geliştirme takvimi konusunda bilgi verilecek</t>
    </r>
  </si>
  <si>
    <r>
      <rPr>
        <b/>
        <sz val="11"/>
        <color theme="1"/>
        <rFont val="Calibri"/>
        <family val="2"/>
        <charset val="162"/>
        <scheme val="minor"/>
      </rPr>
      <t xml:space="preserve">Yapılan: </t>
    </r>
    <r>
      <rPr>
        <sz val="11"/>
        <color theme="1"/>
        <rFont val="Calibri"/>
        <family val="2"/>
        <scheme val="minor"/>
      </rPr>
      <t xml:space="preserve">
Pazarama süreçlerinde iyileştirilmesi gereken konular tespit edilerek üzerinde çalışma yapılmıştır.
</t>
    </r>
    <r>
      <rPr>
        <b/>
        <sz val="11"/>
        <color theme="1"/>
        <rFont val="Calibri"/>
        <family val="2"/>
        <charset val="162"/>
        <scheme val="minor"/>
      </rPr>
      <t xml:space="preserve">
Yapılması Planlanan:
</t>
    </r>
    <r>
      <rPr>
        <sz val="11"/>
        <color theme="1"/>
        <rFont val="Calibri"/>
        <family val="2"/>
        <charset val="162"/>
        <scheme val="minor"/>
      </rPr>
      <t>Yapılan çalışmalar rapor haline getirilecektir.</t>
    </r>
  </si>
  <si>
    <r>
      <rPr>
        <b/>
        <sz val="11"/>
        <color theme="1"/>
        <rFont val="Calibri"/>
        <family val="2"/>
        <charset val="162"/>
        <scheme val="minor"/>
      </rPr>
      <t xml:space="preserve">Yapılan: </t>
    </r>
    <r>
      <rPr>
        <sz val="11"/>
        <color theme="1"/>
        <rFont val="Calibri"/>
        <family val="2"/>
        <scheme val="minor"/>
      </rPr>
      <t xml:space="preserve">
10 Nisan tarihinde koordinasyon toplantısı gerçekleştirilmiştir.
16 Nisan tarihinde teknik toplantı gerçekleştirilmiştir. İKÇÜ, tarafımızdan geliştirilen yeni metot ile entegrasyonu yapabileceğini, genel bir test yapacağını iletmiştir.
</t>
    </r>
    <r>
      <rPr>
        <b/>
        <sz val="11"/>
        <color theme="1"/>
        <rFont val="Calibri"/>
        <family val="2"/>
        <charset val="162"/>
        <scheme val="minor"/>
      </rPr>
      <t xml:space="preserve">
Yapılması Planlanan:</t>
    </r>
    <r>
      <rPr>
        <sz val="11"/>
        <color theme="1"/>
        <rFont val="Calibri"/>
        <family val="2"/>
        <charset val="162"/>
        <scheme val="minor"/>
      </rPr>
      <t xml:space="preserve">
İKÇÜ tarafından genel test süreçleri yürütülerek entegrasyon konusunda dönüş sağlanacaktır. Test sonucu olumlu olması halinde entegrasyon süreci tamamlanmış olacak, olumsuz olması halinde ise önümüzdeki Sprint içinde talep ettikleri geliştirme yapılacaktır.</t>
    </r>
  </si>
  <si>
    <r>
      <rPr>
        <b/>
        <sz val="11"/>
        <color theme="1"/>
        <rFont val="Calibri"/>
        <family val="2"/>
        <charset val="162"/>
        <scheme val="minor"/>
      </rPr>
      <t xml:space="preserve">Yapılan:
</t>
    </r>
    <r>
      <rPr>
        <sz val="11"/>
        <color theme="1"/>
        <rFont val="Calibri"/>
        <family val="2"/>
        <scheme val="minor"/>
      </rPr>
      <t xml:space="preserve">Proje Başlatma Belgesi için onay alınmış ve proje açılış duyurusu yayınlanmıştır.
Proje kick off toplantısı yapılmıştır.
</t>
    </r>
    <r>
      <rPr>
        <b/>
        <sz val="11"/>
        <color theme="1"/>
        <rFont val="Calibri"/>
        <family val="2"/>
        <charset val="162"/>
        <scheme val="minor"/>
      </rPr>
      <t>Yapılması Planlanan:</t>
    </r>
    <r>
      <rPr>
        <sz val="11"/>
        <color theme="1"/>
        <rFont val="Calibri"/>
        <family val="2"/>
        <charset val="162"/>
        <scheme val="minor"/>
      </rPr>
      <t xml:space="preserve">
Alınması kararlaştırılan danışmanlık hizmeti için takvim belirlenecektir.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</si>
  <si>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aday personel arayış süreci devam etmektedir.
Projenin gerçekleştirilmesine yönelik farklı alternatifler için karşılaştırmalı maliyet analizi ve öneriler üst yönetime sunulmuştur. Değerlendirme süreci devam etmektedir.
e-Arşiv Fatura ve e-İrsaliye SAT dokümanı hazırlıkları tamamlanmıştır. Ürün Yönetimi tarafında kontrol ve onay süreci işletilmektedir.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ve e-İrsaliye SAT dokümanı Ürün Yönetimi kontrolleri sonrası teslim edilecektir.</t>
    </r>
    <r>
      <rPr>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</si>
  <si>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scheme val="minor"/>
      </rPr>
      <t xml:space="preserve">
Ortak geliştirme modeli için Eteration firması ile 2. proje bilgilendirme toplantısı gerçekleştirilmiştir.Firmadan teklif alınmıştır.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Proje kapsamında alınan talepler karşılıklı olarak değerlendirilecektir.</t>
    </r>
  </si>
  <si>
    <r>
      <rPr>
        <b/>
        <sz val="11"/>
        <color theme="1"/>
        <rFont val="Calibri"/>
        <family val="2"/>
        <charset val="162"/>
        <scheme val="minor"/>
      </rPr>
      <t xml:space="preserve">Yapılan: </t>
    </r>
    <r>
      <rPr>
        <sz val="11"/>
        <color theme="1"/>
        <rFont val="Calibri"/>
        <family val="2"/>
        <scheme val="minor"/>
      </rPr>
      <t xml:space="preserve">
Proje planı hazırlanmıştır.
Paylaşılan Bireysel ve Kurumsal müşteri senaryoları için iş akışları ve örnek CRM servis dokümanı (Halkbank süreçleri için üzerinde çalışılan) banka tarafından incelenmektedir.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
Test ortam için sunucu kurulumu sağlanacaktır.</t>
    </r>
  </si>
  <si>
    <r>
      <rPr>
        <b/>
        <sz val="11"/>
        <color theme="1"/>
        <rFont val="Calibri"/>
        <family val="2"/>
        <charset val="162"/>
        <scheme val="minor"/>
      </rPr>
      <t>Gecikme Gerekçesi:</t>
    </r>
    <r>
      <rPr>
        <sz val="11"/>
        <color theme="1"/>
        <rFont val="Calibri"/>
        <family val="2"/>
        <scheme val="minor"/>
      </rPr>
      <t xml:space="preserve">
Yazılım teknik mimarı olmadığı için tasarım ve yazılım geliştirme sürecine başlanamamıştır. 
</t>
    </r>
  </si>
  <si>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ve bu süreç sonrasındaki yazılım geliştirme çalışmalarına başlanamamıştır.
Projeye alınması planlanan iki backend, bir frontend, bir test personel alımı henüz gerçekleşmemiştir.
Yazılım ekibinin henüz çalışmaya başlamamış olması ve altyapının da hazır olmaması nedeniyle 4 aylık bir gecikme olasılığı yüksektir.</t>
  </si>
  <si>
    <t>Saklamaya ilişkin kriterler henüz netleştirilmemiştir. Sistem mimarisi ve veritabanı tasarımı henüz yapılamamıştır. 2025 Haziran sonuna kadar tamamlanması planlanan Projede en az 3 aylık gecikme mevcuttur.
Proje kapsamının daraltılarak zamanında kapatılması planlanmaktadır.</t>
  </si>
  <si>
    <r>
      <rPr>
        <b/>
        <sz val="11"/>
        <rFont val="Calibri"/>
        <family val="2"/>
        <scheme val="minor"/>
      </rPr>
      <t xml:space="preserve">Yapılan: </t>
    </r>
    <r>
      <rPr>
        <sz val="11"/>
        <rFont val="Calibri"/>
        <family val="2"/>
        <scheme val="minor"/>
      </rPr>
      <t xml:space="preserve">
Projede dış kaynak desteği için Eteration firması ile 29 Nisan 2025'te toplantı gerçekleştirilmiştir.
30 Nisan 2025'te  proje ilerleme toplantısı yapılmış, mevcut durum ve Haziran ayı sonuna kadar projeyi tamamlamak için yapılması gereken işler konuşulmuştur. 
</t>
    </r>
    <r>
      <rPr>
        <b/>
        <sz val="11"/>
        <rFont val="Calibri"/>
        <family val="2"/>
        <scheme val="minor"/>
      </rPr>
      <t>Yapılması Planlanan:</t>
    </r>
    <r>
      <rPr>
        <sz val="11"/>
        <rFont val="Calibri"/>
        <family val="2"/>
        <scheme val="minor"/>
      </rPr>
      <t xml:space="preserve">
Mobil imza ile login özelliğinin eklenmesi sağlanacaktır.
Projedeki kritik kaynak olan mobil uygulama geliştiricinin  işten ayrılması nedeniyle oluşan kaynak ihtiyacına istinaden işe alım süreçleri takip edilecektir.</t>
    </r>
  </si>
  <si>
    <r>
      <rPr>
        <b/>
        <sz val="11"/>
        <color theme="1"/>
        <rFont val="Calibri"/>
        <family val="2"/>
        <charset val="162"/>
        <scheme val="minor"/>
      </rPr>
      <t>Gecikme Gerekçesi:</t>
    </r>
    <r>
      <rPr>
        <sz val="11"/>
        <color theme="1"/>
        <rFont val="Calibri"/>
        <family val="2"/>
        <scheme val="minor"/>
      </rPr>
      <t xml:space="preserve">
Proje üyelerinin iş yoğunluğu nedeniyle tamamlanamayan çalışmalardan dolayı proje zaman çizelgesinde sapma bulunmaktadır.</t>
    </r>
    <r>
      <rPr>
        <sz val="11"/>
        <color theme="1"/>
        <rFont val="Calibri"/>
        <family val="2"/>
        <charset val="162"/>
        <scheme val="minor"/>
      </rPr>
      <t xml:space="preserve">
Proje bitiş tarihi 2 ay ötelenerek Haziran sonu olarak güncellenmiştir.</t>
    </r>
  </si>
  <si>
    <r>
      <rPr>
        <b/>
        <sz val="11"/>
        <color theme="1"/>
        <rFont val="Calibri"/>
        <family val="2"/>
        <charset val="162"/>
        <scheme val="minor"/>
      </rPr>
      <t xml:space="preserve">Yapılan:
</t>
    </r>
    <r>
      <rPr>
        <sz val="11"/>
        <color theme="1"/>
        <rFont val="Calibri"/>
        <family val="2"/>
        <charset val="162"/>
        <scheme val="minor"/>
      </rPr>
      <t>Danışmana uzaktan erişim ve uygulama erişim yetkilendirmesi sağlanmıştır.
30 Nisan'da planlama toplantısı gerçekleştirilmiştir.</t>
    </r>
    <r>
      <rPr>
        <b/>
        <sz val="11"/>
        <color theme="1"/>
        <rFont val="Calibri"/>
        <family val="2"/>
        <charset val="162"/>
        <scheme val="minor"/>
      </rPr>
      <t xml:space="preserve">
</t>
    </r>
    <r>
      <rPr>
        <sz val="11"/>
        <color theme="1"/>
        <rFont val="Calibri"/>
        <family val="2"/>
        <scheme val="minor"/>
      </rPr>
      <t xml:space="preserve">
</t>
    </r>
    <r>
      <rPr>
        <b/>
        <sz val="11"/>
        <color theme="1"/>
        <rFont val="Calibri"/>
        <family val="2"/>
        <charset val="162"/>
        <scheme val="minor"/>
      </rPr>
      <t>Yapılması Planlanan:</t>
    </r>
    <r>
      <rPr>
        <sz val="11"/>
        <color theme="1"/>
        <rFont val="Calibri"/>
        <family val="2"/>
        <charset val="162"/>
        <scheme val="minor"/>
      </rPr>
      <t xml:space="preserve">
Danışman tarafından paylaşılan gerekli veriler için çalışma yapılacak ve danışmanlık hizmeti için zaman planlaması yapılacaktır.</t>
    </r>
  </si>
  <si>
    <t>Proje Kapanış Aşamasına Geçmiştir</t>
  </si>
  <si>
    <r>
      <rPr>
        <b/>
        <sz val="11"/>
        <color theme="1"/>
        <rFont val="Calibri"/>
        <family val="2"/>
        <charset val="162"/>
        <scheme val="minor"/>
      </rPr>
      <t>Yapılan:</t>
    </r>
    <r>
      <rPr>
        <sz val="11"/>
        <color theme="1"/>
        <rFont val="Calibri"/>
        <family val="2"/>
        <scheme val="minor"/>
      </rPr>
      <t xml:space="preserve">
39 saatlik “Python ve Temel LLM Kullanımı” eğitimine, BTK denetim çalışmaları nedeniyle 1 hafta ara verilmiştir. 28 Nisan 2025 Pazartesi gününden itibaren eğitimlere devam edilmiştir.
</t>
    </r>
    <r>
      <rPr>
        <b/>
        <sz val="11"/>
        <color theme="1"/>
        <rFont val="Calibri"/>
        <family val="2"/>
        <charset val="162"/>
        <scheme val="minor"/>
      </rPr>
      <t>Yapılması Planlanan:</t>
    </r>
    <r>
      <rPr>
        <sz val="11"/>
        <color theme="1"/>
        <rFont val="Calibri"/>
        <family val="2"/>
        <charset val="162"/>
        <scheme val="minor"/>
      </rPr>
      <t xml:space="preserve">
Python ve Temel LLM Kullanımı eğitimi 5 Mayıs 2025 haftası yapılacak derslerle tamamlanacaktır.
12 Mayıs 2025 haftasında Chatbot Uygulamaları eğitimi başlayacaktır.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</si>
  <si>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Proje planı hazırlanmıştır.
30 Nisan 2025'te Halkbank teknik ekibi ile toplantı gerçekleştirilmiştir.
</t>
    </r>
    <r>
      <rPr>
        <b/>
        <sz val="11"/>
        <color theme="1"/>
        <rFont val="Calibri"/>
        <family val="2"/>
        <charset val="162"/>
        <scheme val="minor"/>
      </rPr>
      <t xml:space="preserve">Yapılması Planlanan:
</t>
    </r>
    <r>
      <rPr>
        <sz val="11"/>
        <color theme="1"/>
        <rFont val="Calibri"/>
        <family val="2"/>
        <charset val="162"/>
        <scheme val="minor"/>
      </rPr>
      <t>Halkbank'a servis geliştirme ve entegrasyona yönelik geliştirme takvimi konusunda bilgi verilecektir.
CRM Servis dokümanına eklenmesi gereken alanlar için analiz çalışması yapılacaktır.
Test ortam için sunucu kurulumu sağlanacaktır.
Test ortam erişimi sağlanması için IP bilgisi talep edilecektir.
İhtiyaç doğrultusunda banka ile koordineli olarak toplantı planlaması yapılacaktır.</t>
    </r>
  </si>
  <si>
    <r>
      <rPr>
        <b/>
        <sz val="11"/>
        <color theme="1"/>
        <rFont val="Calibri"/>
        <family val="2"/>
        <charset val="162"/>
        <scheme val="minor"/>
      </rPr>
      <t xml:space="preserve">Yapılan: </t>
    </r>
    <r>
      <rPr>
        <sz val="11"/>
        <color theme="1"/>
        <rFont val="Calibri"/>
        <family val="2"/>
        <scheme val="minor"/>
      </rPr>
      <t xml:space="preserve">
Pazarama süreçlerinde iyileştirilmesi gereken konular tespit edilerek üzerinde çalışma yapılmıştır.
</t>
    </r>
    <r>
      <rPr>
        <b/>
        <sz val="11"/>
        <color theme="1"/>
        <rFont val="Calibri"/>
        <family val="2"/>
        <charset val="162"/>
        <scheme val="minor"/>
      </rPr>
      <t xml:space="preserve">
Yapılması Planlanan:
</t>
    </r>
    <r>
      <rPr>
        <sz val="11"/>
        <color theme="1"/>
        <rFont val="Calibri"/>
        <family val="2"/>
        <charset val="162"/>
        <scheme val="minor"/>
      </rPr>
      <t>Yapılan çalışmalar rapor haline getirilecektir.
5 Mayıs haftasında aksiyon planlama toplantısı yapılarak proje kapanış sürecine geçilecektir.</t>
    </r>
  </si>
  <si>
    <r>
      <rPr>
        <b/>
        <sz val="11"/>
        <color theme="1"/>
        <rFont val="Calibri"/>
        <family val="2"/>
        <charset val="162"/>
        <scheme val="minor"/>
      </rPr>
      <t xml:space="preserve">Yapılan: </t>
    </r>
    <r>
      <rPr>
        <sz val="11"/>
        <color theme="1"/>
        <rFont val="Calibri"/>
        <family val="2"/>
        <scheme val="minor"/>
      </rPr>
      <t xml:space="preserve">
30 Nisan 2025 tarihinde teknik koordinasyon toplantısı gerçekleştirilmiştir. İKÇÜ Yazılım ve Analist Ekibi tarafından gelen ileti delil bilgileri ile silinen KEP iletisinin delil bilgilerine erişim konusu sorgulanmıştır. Canlıya geçiş için süreci engelleyici bir durum olmadığı değerlendirilmektedir.
</t>
    </r>
    <r>
      <rPr>
        <b/>
        <sz val="11"/>
        <color theme="1"/>
        <rFont val="Calibri"/>
        <family val="2"/>
        <charset val="162"/>
        <scheme val="minor"/>
      </rPr>
      <t xml:space="preserve">
Yapılması Planlanan:</t>
    </r>
    <r>
      <rPr>
        <sz val="11"/>
        <color theme="1"/>
        <rFont val="Calibri"/>
        <family val="2"/>
        <charset val="162"/>
        <scheme val="minor"/>
      </rPr>
      <t xml:space="preserve">
Gelen KEP iletisi delil bilgisi gösterilmesi ile delil bilgisine erişilemeyen KEP iletileri için özel bir bilgilendirme mesajı talebi değerlendirilecektir.</t>
    </r>
  </si>
  <si>
    <r>
      <rPr>
        <b/>
        <sz val="11"/>
        <color theme="1"/>
        <rFont val="Calibri"/>
        <family val="2"/>
        <charset val="162"/>
        <scheme val="minor"/>
      </rPr>
      <t xml:space="preserve">Yapılan: </t>
    </r>
    <r>
      <rPr>
        <sz val="11"/>
        <color theme="1"/>
        <rFont val="Calibri"/>
        <family val="2"/>
        <scheme val="minor"/>
      </rPr>
      <t xml:space="preserve">
Aksiyon maddeleri ilgili ürün müdürüne aktarılmıştır.
Proje kapanış toplantısı gerçekleştirilmiş proje yönlendirme komitesi ve proje üyelerine bilgilendirme yapılmıştır.
Proje kapanış duyurusu paylaşılmıştır.
</t>
    </r>
  </si>
  <si>
    <r>
      <rPr>
        <sz val="11"/>
        <color theme="1"/>
        <rFont val="Calibri"/>
        <family val="2"/>
        <charset val="162"/>
        <scheme val="minor"/>
      </rPr>
      <t xml:space="preserve">                                  </t>
    </r>
    <r>
      <rPr>
        <b/>
        <sz val="11"/>
        <color theme="1"/>
        <rFont val="Calibri"/>
        <family val="2"/>
        <charset val="162"/>
        <scheme val="minor"/>
      </rPr>
      <t xml:space="preserve"> TAMAMLANDI 
Proje planlanan bitiş tarihi olan 2.05.2025 tarihinde tamamlanmıştır.
</t>
    </r>
  </si>
  <si>
    <t>Proje ekibinde yer alan yazılım mimarının işten ayrılması ve yerine bir yazılım mimarı alınamamış olması nedeniyle yazılım geliştirme öncesindeki altyapı çalışmaları tamamlanamamıştır. Mart ayı başı  itibariyle başlaması gereken yazılım tasarım sürecine ve bu süreç sonrasındaki yazılım geliştirme çalışmalarına başlanamamıştır.
Projeye alınması planlanan iki backend, bir frontend, bir test personeli alımı henüz gerçekleşmemiştir.
Yazılım ekibinin henüz çalışmaya başlamamış olması ve altyapının da hazır olmaması nedeniyle 4 aylık bir gecikme olasılığı yüksektir.</t>
  </si>
  <si>
    <r>
      <rPr>
        <b/>
        <sz val="11"/>
        <color theme="1"/>
        <rFont val="Calibri"/>
        <family val="2"/>
        <charset val="162"/>
        <scheme val="minor"/>
      </rPr>
      <t>Yapılan:</t>
    </r>
    <r>
      <rPr>
        <sz val="11"/>
        <color theme="1"/>
        <rFont val="Calibri"/>
        <family val="2"/>
        <scheme val="minor"/>
      </rPr>
      <t xml:space="preserve">
39 saatlik “Python ve Temel LLM Kullanımı” eğitimine devam edilmiştir.
Chatbot Uygulama Eğitimi ile ilgili Patika.Dev firması temsilcileri ve eğitmenle toplantı gerçekleştirilmiştir.Eğitim takvimi planlanmıştır.
</t>
    </r>
    <r>
      <rPr>
        <b/>
        <sz val="11"/>
        <color theme="1"/>
        <rFont val="Calibri"/>
        <family val="2"/>
        <charset val="162"/>
        <scheme val="minor"/>
      </rPr>
      <t>Yapılması Planlanan:</t>
    </r>
    <r>
      <rPr>
        <sz val="11"/>
        <color theme="1"/>
        <rFont val="Calibri"/>
        <family val="2"/>
        <charset val="162"/>
        <scheme val="minor"/>
      </rPr>
      <t xml:space="preserve">
Python ve Temel LLM Kullanımı eğitimi 20 Mayıs 2025 tarihinde yapılacak eğitim ile tamamlanacaktır.
26 Mayıs 2025 Pazartesi gününden itibaren 38 saatlik Chatbot Uygulamaları Eğitimi başlayacaktır.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</si>
  <si>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
Proje ekibinde yazılım teknik lideri, eksik yazılım geliştirme ve test personeli için aday personel arayış süreci devam etmektedir.
Projenin gerçekleştirilmesine yönelik farklı alternatifler için karşılaştırmalı maliyet analizi ve öneriler üst yönetime sunulmuştur. Değerlendirme süreci devam etmektedir.
e-Arşiv Fatura ve e-İrsaliye SAT dokümanı hazırlıkları tamamlanmıştır. Ürün Yönetimi tarafında kontrol ve onay süreci işletilmektedir.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ve e-İrsaliye SAT dokümanı Ürün Yönetimi kontrolleri sonrası teslim edilecektir.
Proje İlerleme Toplantısı yapılacaktır.</t>
    </r>
    <r>
      <rPr>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</si>
  <si>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scheme val="minor"/>
      </rPr>
      <t xml:space="preserve">
Ortak geliştirme modeli için Eteration firması ile 2. proje bilgilendirme toplantısı gerçekleştirilmiştir.Firmadan teklif alınmıştır.
Ürün Yönetimi birimi tarafından ürün vizyonu ve gereksinimlerinin değerlendirilmesi konusunda çalışma yapılmaktadır.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Proje kapsamında alınan talepler karşılıklı olarak değerlendirilecektir.
20 Mayıs haftasında proje ilerleme toplantısı planlanacaktır.
Ürün vizyonu ve gereksinimlerinin değerlendirilmesi için yapılan çalışmanın nihai haline getirilmesi hedeflenmektedir.</t>
    </r>
  </si>
  <si>
    <r>
      <rPr>
        <b/>
        <sz val="11"/>
        <rFont val="Calibri"/>
        <family val="2"/>
        <scheme val="minor"/>
      </rPr>
      <t xml:space="preserve">Yapılan: </t>
    </r>
    <r>
      <rPr>
        <sz val="11"/>
        <rFont val="Calibri"/>
        <family val="2"/>
        <scheme val="minor"/>
      </rPr>
      <t xml:space="preserve">
Mobil imza ile login seçeneği veya şifre ile login sonrası KEP gönderimi öncesinde mobil imza kullanımı seçeneği artı ve eksileri konusunda çalışma toplantısı yapılmıştır.
</t>
    </r>
    <r>
      <rPr>
        <b/>
        <sz val="11"/>
        <rFont val="Calibri"/>
        <family val="2"/>
        <scheme val="minor"/>
      </rPr>
      <t>Yapılması Planlanan:</t>
    </r>
    <r>
      <rPr>
        <sz val="11"/>
        <rFont val="Calibri"/>
        <family val="2"/>
        <scheme val="minor"/>
      </rPr>
      <t xml:space="preserve">
Mobil imza ile login konusunda bir çalışma toplantısı daha yapılacaktır. 
Projede dış kaynak kullanımı için teklif alma hazırlığı yapılacaktır.</t>
    </r>
  </si>
  <si>
    <t>Mobil imza ile uygulamaya girişte mevcut metotlarda güncelleme ihtiyacı vardır. Bu geliştirmenin 1,5 aylık süreyi aşma riski olması halinde şifre ile login seçeneği ile ilerlenecektir.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</si>
  <si>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Halkbank'a servis geliştirme ve entegrasyona yönelik geliştirme takvimi konusunda bilgi paylaşılmıştır.
Test ortam için sunucu kurulumu sağlanmıştır.
Test ortamına erişimi sağlanması için bankadan IP bilgisi talep edilmiştir.
CRM Servis dokümanına eklenmesi gereken alanlar için analiz çalışması yapılmıştır.
</t>
    </r>
    <r>
      <rPr>
        <b/>
        <sz val="11"/>
        <color theme="1"/>
        <rFont val="Calibri"/>
        <family val="2"/>
        <charset val="162"/>
        <scheme val="minor"/>
      </rPr>
      <t xml:space="preserve">Yapılması Planlanan:
</t>
    </r>
    <r>
      <rPr>
        <sz val="11"/>
        <color theme="1"/>
        <rFont val="Calibri"/>
        <family val="2"/>
        <charset val="162"/>
        <scheme val="minor"/>
      </rPr>
      <t xml:space="preserve">CRM Servis dokümanına eklenmesi gereken alanlar için analiz çalışmasına istinaden geliştirmeye başlanacaktır.
İhtiyaç doğrultusunda banka ile koordineli olarak toplantı planlaması yapılacaktır.
</t>
    </r>
  </si>
  <si>
    <r>
      <rPr>
        <b/>
        <sz val="11"/>
        <color theme="1"/>
        <rFont val="Calibri"/>
        <family val="2"/>
        <charset val="162"/>
        <scheme val="minor"/>
      </rPr>
      <t xml:space="preserve">Yapılan: </t>
    </r>
    <r>
      <rPr>
        <sz val="11"/>
        <color theme="1"/>
        <rFont val="Calibri"/>
        <family val="2"/>
        <scheme val="minor"/>
      </rPr>
      <t xml:space="preserve">
Proje planı hazırlanmıştır.
Paylaşılan Bireysel ve Kurumsal müşteri senaryoları için iş akışları ve örnek CRM servis dokümanı (Halkbank süreçleri için üzerinde çalışılan) banka tarafından incelenmektedir.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
Halkbank tarafından test ortamı kullanımında sorun yaşanmaması durumunda Kuveyt Türk için test ortamına erişim sağlanacaktır.</t>
    </r>
  </si>
  <si>
    <r>
      <rPr>
        <b/>
        <sz val="11"/>
        <color theme="1"/>
        <rFont val="Calibri"/>
        <family val="2"/>
        <charset val="162"/>
        <scheme val="minor"/>
      </rPr>
      <t xml:space="preserve">Yapılan: </t>
    </r>
    <r>
      <rPr>
        <sz val="11"/>
        <color theme="1"/>
        <rFont val="Calibri"/>
        <family val="2"/>
        <scheme val="minor"/>
      </rPr>
      <t xml:space="preserve">
Canlıya geçiş için süreci engelleyici bir durum olmadığı değerlendirilmektedir.
Gelen KEP iletisi delil bilgisi gösterilmesi ile delil bilgisine erişilemeyen KEP iletileri için özel bir bilgilendirme mesajı talebi değerlendirilecektir. İKÇÜ'dan canlıya geçiş için tarih bilgisi istenmiştir.
</t>
    </r>
    <r>
      <rPr>
        <b/>
        <sz val="11"/>
        <color theme="1"/>
        <rFont val="Calibri"/>
        <family val="2"/>
        <charset val="162"/>
        <scheme val="minor"/>
      </rPr>
      <t xml:space="preserve">
Yapılması Planlanan:
</t>
    </r>
    <r>
      <rPr>
        <sz val="11"/>
        <color theme="1"/>
        <rFont val="Calibri"/>
        <family val="2"/>
        <charset val="162"/>
        <scheme val="minor"/>
      </rPr>
      <t xml:space="preserve">Canlıya geçiş için İKÇÜ'dan  gelecek bildirime istinaden iş planlaması yapılacaktır.
Proje isterleri tamamlanmış olup projenin kapatılması sürecine geçilecektir.
</t>
    </r>
  </si>
  <si>
    <r>
      <rPr>
        <b/>
        <sz val="11"/>
        <color theme="1"/>
        <rFont val="Calibri"/>
        <family val="2"/>
        <charset val="162"/>
        <scheme val="minor"/>
      </rPr>
      <t>Yapılan:</t>
    </r>
    <r>
      <rPr>
        <sz val="11"/>
        <color theme="1"/>
        <rFont val="Calibri"/>
        <family val="2"/>
        <charset val="162"/>
        <scheme val="minor"/>
      </rPr>
      <t xml:space="preserve">
Danışman ile projeye devam edilmesi konusunda sorunla karşılaşılmıştır.
</t>
    </r>
    <r>
      <rPr>
        <sz val="11"/>
        <color theme="1"/>
        <rFont val="Calibri"/>
        <family val="2"/>
        <scheme val="minor"/>
      </rPr>
      <t xml:space="preserve">
</t>
    </r>
    <r>
      <rPr>
        <b/>
        <sz val="11"/>
        <color theme="1"/>
        <rFont val="Calibri"/>
        <family val="2"/>
        <charset val="162"/>
        <scheme val="minor"/>
      </rPr>
      <t>Yapılması Planlanan:</t>
    </r>
    <r>
      <rPr>
        <sz val="11"/>
        <color theme="1"/>
        <rFont val="Calibri"/>
        <family val="2"/>
        <charset val="162"/>
        <scheme val="minor"/>
      </rPr>
      <t xml:space="preserve">
Nisan ayı hizmet ödemesi sonrasında sözleşme fesih sürecine geçilerek proje kapatılacaktır.
</t>
    </r>
  </si>
  <si>
    <t>Genel Toplam</t>
  </si>
  <si>
    <r>
      <rPr>
        <b/>
        <sz val="11"/>
        <color theme="1"/>
        <rFont val="Calibri"/>
        <family val="2"/>
        <charset val="162"/>
        <scheme val="minor"/>
      </rPr>
      <t>Yapılan:</t>
    </r>
    <r>
      <rPr>
        <sz val="11"/>
        <color theme="1"/>
        <rFont val="Calibri"/>
        <family val="2"/>
        <charset val="162"/>
        <scheme val="minor"/>
      </rPr>
      <t xml:space="preserve">
Proje kapanış duyurusu proje üyeleri ile paylaşılmıştır.</t>
    </r>
  </si>
  <si>
    <t>Danışmanlık sözleşmesi feshedilmiş ve proje kapatılmıştır.</t>
  </si>
  <si>
    <r>
      <rPr>
        <b/>
        <sz val="11"/>
        <color theme="1"/>
        <rFont val="Calibri"/>
        <family val="2"/>
        <charset val="162"/>
        <scheme val="minor"/>
      </rPr>
      <t xml:space="preserve">Yapılan: </t>
    </r>
    <r>
      <rPr>
        <sz val="11"/>
        <color theme="1"/>
        <rFont val="Calibri"/>
        <family val="2"/>
        <scheme val="minor"/>
      </rPr>
      <t xml:space="preserve">
Kuveyt Türk ile teknik toplantı gerçekleştirilmiştir.
</t>
    </r>
    <r>
      <rPr>
        <b/>
        <sz val="11"/>
        <color theme="1"/>
        <rFont val="Calibri"/>
        <family val="2"/>
        <charset val="162"/>
        <scheme val="minor"/>
      </rPr>
      <t xml:space="preserve">
Yapılması Planlanan:</t>
    </r>
    <r>
      <rPr>
        <sz val="11"/>
        <color theme="1"/>
        <rFont val="Calibri"/>
        <family val="2"/>
        <charset val="162"/>
        <scheme val="minor"/>
      </rPr>
      <t xml:space="preserve">
CRM Servis dokümanına eklenmesi gereken alanlar için analiz çalışması yapılacaktır.
Halkbank tarafından test ortamı kullanımında sorun yaşanmaması durumunda Kuveyt Türk için test ortamına erişim sağlanacaktır.</t>
    </r>
  </si>
  <si>
    <r>
      <rPr>
        <b/>
        <sz val="11"/>
        <color theme="1"/>
        <rFont val="Calibri"/>
        <family val="2"/>
        <charset val="162"/>
        <scheme val="minor"/>
      </rPr>
      <t>Yapılan:</t>
    </r>
    <r>
      <rPr>
        <sz val="11"/>
        <color theme="1"/>
        <rFont val="Calibri"/>
        <family val="2"/>
        <scheme val="minor"/>
      </rPr>
      <t xml:space="preserve">
Python ve Temel LLM Kullanımı eğitimi 20 Mayıs 2025 tarihinde yapılan eğitim ile tamamlanmıştır.Katılımcılara eğitimle ilgili değerlendirme anketi gönderilmiş ve dönüşleri alınmıştır.
26 Mayıs 2025 Pazartesi gününden itibaren 38 saatlik Chatbot Uygulamaları Eğitimi başlamıştır.
</t>
    </r>
    <r>
      <rPr>
        <b/>
        <sz val="11"/>
        <color theme="1"/>
        <rFont val="Calibri"/>
        <family val="2"/>
        <charset val="162"/>
        <scheme val="minor"/>
      </rPr>
      <t>Yapılması Planlanan:</t>
    </r>
    <r>
      <rPr>
        <sz val="11"/>
        <color theme="1"/>
        <rFont val="Calibri"/>
        <family val="2"/>
        <charset val="162"/>
        <scheme val="minor"/>
      </rPr>
      <t xml:space="preserve">
16 Temmuz tarihine kadar Chatbot Uygulamaları Eğitimine devam edilecektir. </t>
    </r>
  </si>
  <si>
    <t>Fortify POC Süreç Yönetimi Projesi</t>
  </si>
  <si>
    <t>2025-PYO-011</t>
  </si>
  <si>
    <t>Büşra Kapıcıoğlu</t>
  </si>
  <si>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onayına sunulmuştur.
</t>
    </r>
    <r>
      <rPr>
        <b/>
        <sz val="11"/>
        <color theme="1"/>
        <rFont val="Calibri"/>
        <family val="2"/>
        <charset val="162"/>
        <scheme val="minor"/>
      </rPr>
      <t>Yapılması Planlanan:</t>
    </r>
    <r>
      <rPr>
        <sz val="11"/>
        <color theme="1"/>
        <rFont val="Calibri"/>
        <family val="2"/>
        <charset val="162"/>
        <scheme val="minor"/>
      </rPr>
      <t xml:space="preserve">
Proje başlatma duyurusunun gerçekleştirilecektir.</t>
    </r>
  </si>
  <si>
    <r>
      <rPr>
        <b/>
        <sz val="11"/>
        <color theme="1"/>
        <rFont val="Calibri"/>
        <family val="2"/>
        <charset val="162"/>
        <scheme val="minor"/>
      </rPr>
      <t xml:space="preserve">Yapılan: 
</t>
    </r>
    <r>
      <rPr>
        <sz val="11"/>
        <color theme="1"/>
        <rFont val="Calibri"/>
        <family val="2"/>
        <charset val="162"/>
        <scheme val="minor"/>
      </rPr>
      <t xml:space="preserve">İKÇÜ ÜBYS Sistemi Entegrasyonu için canlıya geçiş planlaması konusunda üniversiteden bilgi beklenmektedir.
</t>
    </r>
    <r>
      <rPr>
        <b/>
        <sz val="11"/>
        <color theme="1"/>
        <rFont val="Calibri"/>
        <family val="2"/>
        <charset val="162"/>
        <scheme val="minor"/>
      </rPr>
      <t xml:space="preserve">
Yapılması Planlanan:
</t>
    </r>
    <r>
      <rPr>
        <sz val="11"/>
        <color theme="1"/>
        <rFont val="Calibri"/>
        <family val="2"/>
        <charset val="162"/>
        <scheme val="minor"/>
      </rPr>
      <t>Canlıya geçiş için İKÇÜ'dan  gelecek bildirime istinaden iş planlaması yapılacaktır.
Proje isterleri tamamlanmış olup projenin kapatılması sürecine geçilecektir.</t>
    </r>
  </si>
  <si>
    <t>Proje bitiş tarihi 1 ay ötelenerek Haziran sonu olarak güncellenmiştir</t>
  </si>
  <si>
    <r>
      <rPr>
        <b/>
        <sz val="11"/>
        <color theme="1"/>
        <rFont val="Calibri"/>
        <family val="2"/>
        <charset val="162"/>
        <scheme val="minor"/>
      </rPr>
      <t xml:space="preserve">Yapılan: </t>
    </r>
    <r>
      <rPr>
        <sz val="11"/>
        <color theme="1"/>
        <rFont val="Calibri"/>
        <family val="2"/>
        <scheme val="minor"/>
      </rPr>
      <t xml:space="preserve">
Halkbank ile koordineli test ortamında deneme çalışmaları yapılmaktadır.
</t>
    </r>
    <r>
      <rPr>
        <sz val="11"/>
        <color theme="1"/>
        <rFont val="Calibri"/>
        <family val="2"/>
        <charset val="162"/>
        <scheme val="minor"/>
      </rPr>
      <t xml:space="preserve">CRM Servis dokümanına eklenmesi gereken alanlar için analiz çalışmasına istinaden geliştirme maddelerine başlanmıştır.
</t>
    </r>
    <r>
      <rPr>
        <b/>
        <sz val="11"/>
        <color theme="1"/>
        <rFont val="Calibri"/>
        <family val="2"/>
        <charset val="162"/>
        <scheme val="minor"/>
      </rPr>
      <t xml:space="preserve">Yapılması Planlanan:
</t>
    </r>
    <r>
      <rPr>
        <sz val="11"/>
        <color theme="1"/>
        <rFont val="Calibri"/>
        <family val="2"/>
        <charset val="162"/>
        <scheme val="minor"/>
      </rPr>
      <t xml:space="preserve">İhtiyaç doğrultusunda banka ile koordineli olarak toplantı planlaması yapılacaktır.
</t>
    </r>
    <r>
      <rPr>
        <sz val="11"/>
        <color theme="1"/>
        <rFont val="Calibri"/>
        <family val="2"/>
        <charset val="162"/>
        <scheme val="minor"/>
      </rPr>
      <t>CRM Servisine eklenecek geliştirme maddeleri için çalışma devam etmektedir.</t>
    </r>
  </si>
  <si>
    <r>
      <rPr>
        <b/>
        <sz val="11"/>
        <color theme="1"/>
        <rFont val="Calibri"/>
        <family val="2"/>
        <charset val="162"/>
        <scheme val="minor"/>
      </rPr>
      <t>Yapılan :</t>
    </r>
    <r>
      <rPr>
        <sz val="11"/>
        <color theme="1"/>
        <rFont val="Calibri"/>
        <family val="2"/>
        <scheme val="minor"/>
      </rPr>
      <t xml:space="preserve">
e-Fatura Yazılım Gereksinim Dokümanı (SRS) ve Yazılım Test Dokümanı (STD) düzenlemelerine devam edilmiştir.İlgili ekipten efor tahminlemesi için yeniden görüş istenmiştir. Gelen dönüşe istinaden proje planında düzenlemeler yapılacaktır.
Proje ekibinde yazılım teknik lideri, yazılım geliştirme ve test personelleri için aday personel arayış süreci devam etmektedir.
Projenin gerçekleştirilmesine yönelik farklı alternatifler için karşılaştırmalı maliyet analizi ve öneriler üst yönetime sunulmuştur. Değerlendirme süreci devam etmektedir.
e-Arşiv Fatura ve e-İrsaliye SAT dokümanı hazırlıkları tamamlanmıştır. Ürün Yönetimi tarafında kontrol ve onay süreci işletilmektedir.
Proje İlerleme Toplantısı yapılmıştır.
</t>
    </r>
    <r>
      <rPr>
        <b/>
        <sz val="11"/>
        <color theme="1"/>
        <rFont val="Calibri"/>
        <family val="2"/>
        <charset val="162"/>
        <scheme val="minor"/>
      </rPr>
      <t>Yapılması Planlanan :</t>
    </r>
    <r>
      <rPr>
        <sz val="11"/>
        <color theme="1"/>
        <rFont val="Calibri"/>
        <family val="2"/>
        <scheme val="minor"/>
      </rPr>
      <t xml:space="preserve">
e-Fatura için SRS  dokümantasyonuna akışlar eklenerek güncellemesine devam edilecektir.
e-Arşiv Fatura ve e-İrsaliye SAT dokümanı Ürün Yönetimi kontrolleri sonrası 4 Haziran tarihine kadar teslim edilecektir.
2 Haziran haftası Proje İlerleme Toplantısı yapılacaktır.</t>
    </r>
  </si>
  <si>
    <t>Proje ekibinde yazılım mimarının olmaması nedeniyle Mart ayı başı  itibariyle başlaması gereken yazılım tasarım sürecine ve bu süreç sonrasındaki yazılım geliştirme çalışmalarına başlanamamıştır.
Projeye alınması planlanan iki backend, bir frontend, bir test personeli alımı henüz gerçekleşmemiştir.
Yazılım ekibinin henüz çalışmaya başlamamış olması ve altyapının da hazır olmaması nedeniyle 4 aylık bir gecikme olasılığı yüksektir.</t>
  </si>
  <si>
    <r>
      <rPr>
        <b/>
        <sz val="11"/>
        <color theme="1"/>
        <rFont val="Calibri"/>
        <family val="2"/>
        <charset val="162"/>
        <scheme val="minor"/>
      </rPr>
      <t xml:space="preserve">Yapılan:
</t>
    </r>
    <r>
      <rPr>
        <sz val="11"/>
        <color theme="1"/>
        <rFont val="Calibri"/>
        <family val="2"/>
        <charset val="162"/>
        <scheme val="minor"/>
      </rPr>
      <t>23 Mayıs tarihinde proje sponsorunun katılımıyla proje ilerleme toplantısı yapılmıştır. Proje kapanış tarihi için  3 aylık öteleme yapılmasına karar verilmiştir.</t>
    </r>
    <r>
      <rPr>
        <sz val="11"/>
        <color theme="1"/>
        <rFont val="Calibri"/>
        <family val="2"/>
        <scheme val="minor"/>
      </rPr>
      <t xml:space="preserve">
Proje kapsamında alınan talepler karşılıklı olarak değerlendirilmiştir. Ürün vizyonu ve gereksinimlerinin değerlendirilmesi için yapılan çalışma nihai haline getirilmiş ve Proje Sponsoru onayına gönderilmiştir.
Proje planı oluşturulmuştur.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Proje planı ve gereksinim dokümanı sponsor onayına sunulacak ve geliştirme çalışmalarına başlanacaktır.
2 Haziran haftası proje ekibi ile proje planlama toplantısı gerçekleştirilecektir.</t>
    </r>
  </si>
  <si>
    <t xml:space="preserve">
Proje kapsamının daraltılarak planlanan zamanda kapatılması planlanmaktadır.</t>
  </si>
  <si>
    <r>
      <rPr>
        <b/>
        <sz val="11"/>
        <rFont val="Calibri"/>
        <family val="2"/>
        <scheme val="minor"/>
      </rPr>
      <t xml:space="preserve">Yapılan: </t>
    </r>
    <r>
      <rPr>
        <sz val="11"/>
        <rFont val="Calibri"/>
        <family val="2"/>
        <scheme val="minor"/>
      </rPr>
      <t xml:space="preserve">
22 Mayıs tarihinde projede görev alacak mobil yazılım geliştirici göreve başlamıştır.
</t>
    </r>
    <r>
      <rPr>
        <b/>
        <sz val="11"/>
        <rFont val="Calibri"/>
        <family val="2"/>
        <scheme val="minor"/>
      </rPr>
      <t>Yapılması Planlanan:</t>
    </r>
    <r>
      <rPr>
        <sz val="11"/>
        <rFont val="Calibri"/>
        <family val="2"/>
        <scheme val="minor"/>
      </rPr>
      <t xml:space="preserve">
Mobil imza ile login konusunda bir çalışma toplantısı daha yapılacaktır. 
2 Haziran tarihinde proje ilerleme toplantısı yapılacak ve proje planı, Haziran 2025 ayı sonunda tamamlanacak şekilde tekrar gözden geçirilecektir.</t>
    </r>
  </si>
  <si>
    <t>Proje bitiş tarihi, banka ile devam eden çalışmalar nedeniyle  1 ay ötelenerek Haziran sonu olarak güncellenmiştir</t>
  </si>
  <si>
    <t>2025-PYO-012</t>
  </si>
  <si>
    <t>Proje Yönlendirme Komitesi
-Ayhan Ağırgöl
-Cemal Önder Doğan
-Aykut Kutlusan</t>
  </si>
  <si>
    <t>CI/CD Süreç Kurulumu ve Pipeline Entegrasyonu</t>
  </si>
  <si>
    <r>
      <rPr>
        <b/>
        <sz val="11"/>
        <color theme="1"/>
        <rFont val="Calibri"/>
        <family val="2"/>
        <charset val="162"/>
        <scheme val="minor"/>
      </rPr>
      <t>Yapılan</t>
    </r>
    <r>
      <rPr>
        <sz val="11"/>
        <color theme="1"/>
        <rFont val="Calibri"/>
        <family val="2"/>
        <charset val="162"/>
        <scheme val="minor"/>
      </rPr>
      <t xml:space="preserve">:
Sözleşme çalışmaları devam etmektedir. Proje başlatma belgesi hazırlanmaktadır.
</t>
    </r>
    <r>
      <rPr>
        <b/>
        <sz val="11"/>
        <color theme="1"/>
        <rFont val="Calibri"/>
        <family val="2"/>
        <charset val="162"/>
        <scheme val="minor"/>
      </rPr>
      <t>Yapılması Planlanan:</t>
    </r>
    <r>
      <rPr>
        <sz val="11"/>
        <color theme="1"/>
        <rFont val="Calibri"/>
        <family val="2"/>
        <charset val="162"/>
        <scheme val="minor"/>
      </rPr>
      <t xml:space="preserve">
Proje başlatma belgesi hazırlanacaktır.</t>
    </r>
  </si>
  <si>
    <t>Yazılım mimarının henüz ekibe katılamamış olması nedeniyle yazılım tarafında 4 aylık bir gecikme olasılığı yüksektir.</t>
  </si>
  <si>
    <r>
      <rPr>
        <b/>
        <sz val="11"/>
        <color theme="1"/>
        <rFont val="Calibri"/>
        <family val="2"/>
        <charset val="162"/>
        <scheme val="minor"/>
      </rPr>
      <t>Yapılan:</t>
    </r>
    <r>
      <rPr>
        <sz val="11"/>
        <color theme="1"/>
        <rFont val="Calibri"/>
        <family val="2"/>
        <scheme val="minor"/>
      </rPr>
      <t xml:space="preserve">
Yapay Zeka Eğitimlerinin son kısmı olan "Chatbot Uygulamaları" eğitimine devam edilmektedir. Eğitmen, eğitimin etkileşimli devam etmesi ve eğitim süresini aşması nedeniyle bilabedel 1 hafta daha uzatılmasını önermiştir.
10 Haziran Salı günü yapay zeka alanında kendi LLM ve geliştirme ortamı olan SkyMOD firması ile bir toplantı yapılmıştır. Firma Chatbot geliştirme için sağlayabileceği destek hakkında bilgi vermiştir.
</t>
    </r>
    <r>
      <rPr>
        <b/>
        <sz val="11"/>
        <color theme="1"/>
        <rFont val="Calibri"/>
        <family val="2"/>
        <charset val="162"/>
        <scheme val="minor"/>
      </rPr>
      <t>Yapılması Planlanan:</t>
    </r>
    <r>
      <rPr>
        <sz val="11"/>
        <color theme="1"/>
        <rFont val="Calibri"/>
        <family val="2"/>
        <charset val="162"/>
        <scheme val="minor"/>
      </rPr>
      <t xml:space="preserve">
Yapay Zeka Eğitimlerine devam edilecektir. Chatbot uygulama geliştirme eğitimi süresinde kullanılmak üzere MS Azure AI Servislerinin kullanımı için abonelik sözleşmesi yapılacaktır.</t>
    </r>
  </si>
  <si>
    <r>
      <rPr>
        <b/>
        <sz val="11"/>
        <color theme="1"/>
        <rFont val="Calibri"/>
        <family val="2"/>
        <charset val="162"/>
        <scheme val="minor"/>
      </rPr>
      <t>Yapılan:</t>
    </r>
    <r>
      <rPr>
        <sz val="11"/>
        <color theme="1"/>
        <rFont val="Calibri"/>
        <family val="2"/>
        <scheme val="minor"/>
      </rPr>
      <t xml:space="preserve">
11 Haziran 2025 tarihinde proje sponsorunun da katılım ile proje ilerleme toplantısı yapılmıştır. Ürün Yönetimi tarafından fazlandırılan kapsam ve gereksinim dokümanı hakkında bilgi verilmiş, Eylül 2025 ayı sonuna kadar tamamlancak faz-1 gereksinimleri açıklanmıştır.
Taslak proje planı proje grup üyeleri ile paylaşılmıştır. İki haftalık yazılım tasarım süresinin uzatılması değerlendirilmesi dışında proje takvimi uygun bulunmuştur.
Toplantı tutanağı ve revize proje planı tüm katılımcılar ile paylaşılmıştır.
</t>
    </r>
    <r>
      <rPr>
        <b/>
        <sz val="11"/>
        <color theme="1"/>
        <rFont val="Calibri"/>
        <family val="2"/>
        <charset val="162"/>
        <scheme val="minor"/>
      </rPr>
      <t>Yapılmasını Planlanan:</t>
    </r>
    <r>
      <rPr>
        <sz val="11"/>
        <color theme="1"/>
        <rFont val="Calibri"/>
        <family val="2"/>
        <scheme val="minor"/>
      </rPr>
      <t xml:space="preserve">
</t>
    </r>
    <r>
      <rPr>
        <sz val="11"/>
        <color theme="1"/>
        <rFont val="Calibri"/>
        <family val="2"/>
        <charset val="162"/>
        <scheme val="minor"/>
      </rPr>
      <t>Gereksinim dokümanı toplantıdaki geri bildirimlere uygun şekilde güncellenecektir. Proje grup üyeleri belirlenecek ve geliştirme takımları oluşturulacaktır.</t>
    </r>
  </si>
  <si>
    <t xml:space="preserve">
Proje faz-1 kapsamı ile tamamlanacaktır.</t>
  </si>
  <si>
    <r>
      <rPr>
        <b/>
        <sz val="11"/>
        <color theme="1"/>
        <rFont val="Calibri"/>
        <family val="2"/>
        <charset val="162"/>
        <scheme val="minor"/>
      </rPr>
      <t xml:space="preserve">Yapılan: 
</t>
    </r>
    <r>
      <rPr>
        <sz val="11"/>
        <color theme="1"/>
        <rFont val="Calibri"/>
        <family val="2"/>
        <charset val="162"/>
        <scheme val="minor"/>
      </rPr>
      <t xml:space="preserve">İKÇÜ ÜBYS Sistemi Entegrasyonu için canlıya geçiş planlaması konusunda üniversiteden bilgi beklenmektedir.
</t>
    </r>
    <r>
      <rPr>
        <b/>
        <sz val="11"/>
        <color theme="1"/>
        <rFont val="Calibri"/>
        <family val="2"/>
        <charset val="162"/>
        <scheme val="minor"/>
      </rPr>
      <t xml:space="preserve">
Yapılması Planlanan:
</t>
    </r>
    <r>
      <rPr>
        <sz val="11"/>
        <color theme="1"/>
        <rFont val="Calibri"/>
        <family val="2"/>
        <charset val="162"/>
        <scheme val="minor"/>
      </rPr>
      <t>Satış Birimi İKÇÜ ile görüşme sağlayacaktır.
Proje isterleri tamamlanmış olup projenin kapatılması sürecine geçilecektir.</t>
    </r>
  </si>
  <si>
    <r>
      <rPr>
        <b/>
        <sz val="11"/>
        <color theme="1"/>
        <rFont val="Calibri"/>
        <family val="2"/>
        <charset val="162"/>
        <scheme val="minor"/>
      </rPr>
      <t>Yapılan</t>
    </r>
    <r>
      <rPr>
        <sz val="11"/>
        <color theme="1"/>
        <rFont val="Calibri"/>
        <family val="2"/>
        <charset val="162"/>
        <scheme val="minor"/>
      </rPr>
      <t xml:space="preserve">:
Sözleşme çalışmaları devam etmektedir. Firma çalışma takvimini paylaşacaktır.
</t>
    </r>
    <r>
      <rPr>
        <b/>
        <sz val="11"/>
        <color theme="1"/>
        <rFont val="Calibri"/>
        <family val="2"/>
        <charset val="162"/>
        <scheme val="minor"/>
      </rPr>
      <t>Yapılması Planlanan:</t>
    </r>
    <r>
      <rPr>
        <sz val="11"/>
        <color theme="1"/>
        <rFont val="Calibri"/>
        <family val="2"/>
        <charset val="162"/>
        <scheme val="minor"/>
      </rPr>
      <t xml:space="preserve">
Proje başlatma belgesi hazırlanacaktır.</t>
    </r>
  </si>
  <si>
    <t>Melih Cesur</t>
  </si>
  <si>
    <r>
      <rPr>
        <b/>
        <sz val="11"/>
        <color theme="1"/>
        <rFont val="Calibri"/>
        <family val="2"/>
        <charset val="162"/>
        <scheme val="minor"/>
      </rPr>
      <t xml:space="preserve">Yapılan: </t>
    </r>
    <r>
      <rPr>
        <sz val="11"/>
        <color theme="1"/>
        <rFont val="Calibri"/>
        <family val="2"/>
        <scheme val="minor"/>
      </rPr>
      <t xml:space="preserve">
Kuveyt Türk ile 7.05.2025 tarihinde teknik toplantı gerçekleştirilmiştir.
</t>
    </r>
    <r>
      <rPr>
        <b/>
        <sz val="11"/>
        <color theme="1"/>
        <rFont val="Calibri"/>
        <family val="2"/>
        <charset val="162"/>
        <scheme val="minor"/>
      </rPr>
      <t xml:space="preserve">
Yapılması Planlanan:</t>
    </r>
    <r>
      <rPr>
        <sz val="11"/>
        <color theme="1"/>
        <rFont val="Calibri"/>
        <family val="2"/>
        <charset val="162"/>
        <scheme val="minor"/>
      </rPr>
      <t xml:space="preserve">
Halkbank için geliştirilen servislerin aynı şekilde kullanılabileceği değerlendirilmektedir.</t>
    </r>
  </si>
  <si>
    <t>İş Analisti</t>
  </si>
  <si>
    <t>Kullanıcı Bilgisi</t>
  </si>
  <si>
    <t>Ek İşler</t>
  </si>
  <si>
    <t>Sprint İşleri</t>
  </si>
  <si>
    <t>Toplam Worklog</t>
  </si>
  <si>
    <t>Doluluk Oranı</t>
  </si>
  <si>
    <t>can.macit</t>
  </si>
  <si>
    <t>mehmetcan.olgun</t>
  </si>
  <si>
    <t>onder.bar</t>
  </si>
  <si>
    <t>ugur.dundar</t>
  </si>
  <si>
    <t>Elvan Güler</t>
  </si>
  <si>
    <t>hamza.ceylan</t>
  </si>
  <si>
    <t>mert.tanel</t>
  </si>
  <si>
    <t>cem.kara</t>
  </si>
  <si>
    <t>emre.yilmaz</t>
  </si>
  <si>
    <t>batikan.ozturk</t>
  </si>
  <si>
    <t>melih.cesur</t>
  </si>
  <si>
    <t>batuhan.tufan</t>
  </si>
  <si>
    <t>recep.simsek</t>
  </si>
  <si>
    <t>berrin.akan</t>
  </si>
  <si>
    <t>gurkan.guney</t>
  </si>
  <si>
    <t>omer.turkmen</t>
  </si>
  <si>
    <t>ugur.acik</t>
  </si>
  <si>
    <t>ahmet.hekim</t>
  </si>
  <si>
    <t>baris.tunc</t>
  </si>
  <si>
    <r>
      <rPr>
        <b/>
        <sz val="11"/>
        <color theme="1"/>
        <rFont val="Calibri"/>
        <family val="2"/>
        <charset val="162"/>
        <scheme val="minor"/>
      </rPr>
      <t>Yapılan :</t>
    </r>
    <r>
      <rPr>
        <sz val="11"/>
        <color theme="1"/>
        <rFont val="Calibri"/>
        <family val="2"/>
        <scheme val="minor"/>
      </rPr>
      <t xml:space="preserve">
03 Haziran 2025 tarihinde proje ilerleme toplantısı yapılmıştır. Toplantıda e-Fatura SRS dokümanının yazılım geliştirme süreçleri için hazır olduğu bilgisi verilmiştir. Yazılım geliştirme ekibi, yazılım altyapı ve ortam seçimi ile yazılım tasarım/geliştirme sürecine başlanabilmesi için öncelikle bir yazılım mimarına ihtiyaç olduğunu belirtmiştir. Projedeki eksik yazılım geliştirme kadrolarının da yazılım mimarının ekibe katılması sonrasında tamamlanması önerilmiştir.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t>
    </r>
    <r>
      <rPr>
        <b/>
        <sz val="11"/>
        <color theme="1"/>
        <rFont val="Calibri"/>
        <family val="2"/>
        <charset val="162"/>
        <scheme val="minor"/>
      </rPr>
      <t>Yapılması Planlanan :</t>
    </r>
    <r>
      <rPr>
        <sz val="11"/>
        <color theme="1"/>
        <rFont val="Calibri"/>
        <family val="2"/>
        <scheme val="minor"/>
      </rPr>
      <t xml:space="preserve">
e-Arşiv Fatura ve e-İrsaliye SAT dokümanı Ürün Yönetimi kontrolleri sonrası 20 Haziran 2025 tarihine kadar teslim edilecektir.
Çalışması tamamlanan e-Fatura SRS dokümanı için yazılım geliştirme ekibinin görüş ve önerileri alınacaktır.</t>
    </r>
  </si>
  <si>
    <r>
      <rPr>
        <b/>
        <sz val="11"/>
        <color theme="1"/>
        <rFont val="Calibri"/>
        <family val="2"/>
        <charset val="162"/>
        <scheme val="minor"/>
      </rPr>
      <t>Gecikme Gerekçesi:</t>
    </r>
    <r>
      <rPr>
        <sz val="11"/>
        <color theme="1"/>
        <rFont val="Calibri"/>
        <family val="2"/>
        <scheme val="minor"/>
      </rPr>
      <t xml:space="preserve">
Yazılım mimarı olmadığı için tasarım ve yazılım geliştirme sürecine başlanamamıştır. 
</t>
    </r>
  </si>
  <si>
    <r>
      <rPr>
        <b/>
        <sz val="11"/>
        <rFont val="Calibri"/>
        <family val="2"/>
        <scheme val="minor"/>
      </rPr>
      <t xml:space="preserve">Yapılan: </t>
    </r>
    <r>
      <rPr>
        <sz val="11"/>
        <rFont val="Calibri"/>
        <family val="2"/>
        <scheme val="minor"/>
      </rPr>
      <t xml:space="preserve">
02 Haziran 2025 tarihinde proje ilerleme toplantısı yapılmış ve proje planı, Haziran 2025 ayı sonunda tamamlanacak şekilde güncellenmiştir.
</t>
    </r>
    <r>
      <rPr>
        <b/>
        <sz val="11"/>
        <rFont val="Calibri"/>
        <family val="2"/>
        <scheme val="minor"/>
      </rPr>
      <t>Yapılması Planlanan:</t>
    </r>
    <r>
      <rPr>
        <sz val="11"/>
        <rFont val="Calibri"/>
        <family val="2"/>
        <scheme val="minor"/>
      </rPr>
      <t xml:space="preserve">
16-20 Haziran 2025 haftasında Proje İlerleme Toplantısı yapılacaktır.</t>
    </r>
  </si>
  <si>
    <r>
      <rPr>
        <b/>
        <sz val="11"/>
        <color theme="1"/>
        <rFont val="Calibri"/>
        <family val="2"/>
        <charset val="162"/>
        <scheme val="minor"/>
      </rPr>
      <t xml:space="preserve">Yapılan: </t>
    </r>
    <r>
      <rPr>
        <sz val="11"/>
        <color theme="1"/>
        <rFont val="Calibri"/>
        <family val="2"/>
        <scheme val="minor"/>
      </rPr>
      <t xml:space="preserve">
Banka BT Ekibi'nin 10 Haziran'da iletmiş olduğu talepler incelenmektedir. Adres listesi servislerinin tek bir servis altında birleştirilmesi talebi yeni bir talep olup değerlendirilmektedir.
</t>
    </r>
    <r>
      <rPr>
        <sz val="11"/>
        <color theme="1"/>
        <rFont val="Calibri"/>
        <family val="2"/>
        <charset val="162"/>
        <scheme val="minor"/>
      </rPr>
      <t xml:space="preserve">CRM Servis dokümanına eklenmesi gereken alanlar için  yazılım geliştirmesi Sprint içine denk gelen bayram tatili ve yazılım ekibindeki iki kişinin de aynı zamanda yıllık izinde olması nedeniyle bir sonraki Sprint'e ertelenmiştir.
</t>
    </r>
    <r>
      <rPr>
        <b/>
        <sz val="11"/>
        <color theme="1"/>
        <rFont val="Calibri"/>
        <family val="2"/>
        <charset val="162"/>
        <scheme val="minor"/>
      </rPr>
      <t xml:space="preserve">Yapılması Planlanan:
</t>
    </r>
    <r>
      <rPr>
        <sz val="11"/>
        <color theme="1"/>
        <rFont val="Calibri"/>
        <family val="2"/>
        <charset val="162"/>
        <scheme val="minor"/>
      </rPr>
      <t>Banka BT Ekibi ile gelecek hafta içinde toplantı planlaması yapılacaktır.
CRM Servisine eklenecek geliştirme maddeleri için çalışmaya başlanacaktır.</t>
    </r>
  </si>
  <si>
    <r>
      <rPr>
        <b/>
        <sz val="11"/>
        <color theme="1"/>
        <rFont val="Calibri"/>
        <family val="2"/>
        <charset val="162"/>
        <scheme val="minor"/>
      </rPr>
      <t>Yapılan</t>
    </r>
    <r>
      <rPr>
        <sz val="11"/>
        <color theme="1"/>
        <rFont val="Calibri"/>
        <family val="2"/>
        <charset val="162"/>
        <scheme val="minor"/>
      </rPr>
      <t xml:space="preserve">:
Proje başlatma duyurusu ve proje ekibi ile 2.06.2025 tarihinde kick off toplantısı gerçekleştirilmiştir.
POC çalışması kapsamında güvenlik testi taraması yapılacak ürün bazlı takvim oluşturulmuş, KEP Assist ve MYS ürünleri için çalışma başlatılmıştır.
</t>
    </r>
    <r>
      <rPr>
        <b/>
        <sz val="11"/>
        <color theme="1"/>
        <rFont val="Calibri"/>
        <family val="2"/>
        <charset val="162"/>
        <scheme val="minor"/>
      </rPr>
      <t xml:space="preserve">Yapılması Planlanan:
</t>
    </r>
    <r>
      <rPr>
        <sz val="11"/>
        <color theme="1"/>
        <rFont val="Calibri"/>
        <family val="2"/>
        <charset val="162"/>
        <scheme val="minor"/>
      </rPr>
      <t xml:space="preserve">16 - 20 Haziran haftası e-Fatura ve e-Defter ürünleri için POC çalışması planlanmıştır.
</t>
    </r>
  </si>
  <si>
    <r>
      <rPr>
        <b/>
        <sz val="11"/>
        <rFont val="Calibri"/>
        <family val="2"/>
        <scheme val="minor"/>
      </rPr>
      <t xml:space="preserve">Yapılan: </t>
    </r>
    <r>
      <rPr>
        <sz val="11"/>
        <rFont val="Calibri"/>
        <family val="2"/>
        <scheme val="minor"/>
      </rPr>
      <t xml:space="preserve">
Geliştirme çalışmaları tamamlanmıştır.
</t>
    </r>
    <r>
      <rPr>
        <b/>
        <sz val="11"/>
        <rFont val="Calibri"/>
        <family val="2"/>
        <scheme val="minor"/>
      </rPr>
      <t>Yapılması Planlanan:</t>
    </r>
    <r>
      <rPr>
        <sz val="11"/>
        <rFont val="Calibri"/>
        <family val="2"/>
        <scheme val="minor"/>
      </rPr>
      <t xml:space="preserve">
30 Haziran 2025 tarihi için deploy planlaması yapılmıştır.
Proje kapanış aşamasına geçilecektir.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</si>
  <si>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20 Haziran 2025 tarihinde Halkbank ile teknik toplantı gerçekleştirilmiştir. İletilen talepler toplantıda detaylandırılmıştır. Nihai kararın verilemediği maddeler için taraflarca değerlendirme yapılarak yeniden bir koordinasyon toplantısında görüşülecektir.
CRM Servisinde yapılan geliştirmeler Halkbank ile paylaşılmıştır. 
</t>
    </r>
    <r>
      <rPr>
        <b/>
        <sz val="11"/>
        <color theme="1"/>
        <rFont val="Calibri"/>
        <family val="2"/>
        <charset val="162"/>
        <scheme val="minor"/>
      </rPr>
      <t xml:space="preserve">Yapılması Planlanan:
</t>
    </r>
    <r>
      <rPr>
        <sz val="11"/>
        <color theme="1"/>
        <rFont val="Calibri"/>
        <family val="2"/>
        <charset val="162"/>
        <scheme val="minor"/>
      </rPr>
      <t>CRM Servisine eklenecek geliştirme maddeleri için çalışmalara devam edilecektir.
Hazırlanan çalışma Halkbank ile paylaşılarak proje kapsamı tamamlanacaktır. Halkbank tarafında değerlendirme süreci başlayacaktır.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</si>
  <si>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t>
    </r>
    <r>
      <rPr>
        <sz val="11"/>
        <color theme="1"/>
        <rFont val="Calibri"/>
        <family val="2"/>
        <charset val="162"/>
        <scheme val="minor"/>
      </rPr>
      <t>27 Haziran 2025 tarihinde Halkbank ile paylaşılacak çalışmanın Kuveyt Türk için düzenlenerek paylaşılması sağlanacaktır.</t>
    </r>
  </si>
  <si>
    <r>
      <rPr>
        <b/>
        <sz val="11"/>
        <color theme="1"/>
        <rFont val="Calibri"/>
        <family val="2"/>
        <charset val="162"/>
        <scheme val="minor"/>
      </rPr>
      <t>Yapılan</t>
    </r>
    <r>
      <rPr>
        <sz val="11"/>
        <color theme="1"/>
        <rFont val="Calibri"/>
        <family val="2"/>
        <charset val="162"/>
        <scheme val="minor"/>
      </rPr>
      <t xml:space="preserve">:
POC çalışması kapsamında güvenlik testi taraması yapılacak ürün bazlı takvim oluşturulmuş, KEP Assist, MYS, e-Fatura ve e-Defter ürünleri için çalışma tamamlanmıştır.
26 Haziran 2025 tarihinde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30 Haziran 2025 tarihinde KEP İK ve Türkkep İmza ürünleri için çalışma planlanacaktır.
Proje kapanış aşamasına geçilecektir.</t>
    </r>
  </si>
  <si>
    <t>Kemal Gür</t>
  </si>
  <si>
    <r>
      <rPr>
        <b/>
        <sz val="11"/>
        <color theme="1"/>
        <rFont val="Calibri"/>
        <family val="2"/>
        <charset val="162"/>
        <scheme val="minor"/>
      </rPr>
      <t>Yapılan :</t>
    </r>
    <r>
      <rPr>
        <sz val="11"/>
        <color theme="1"/>
        <rFont val="Calibri"/>
        <family val="2"/>
        <scheme val="minor"/>
      </rPr>
      <t xml:space="preserve">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devam edilmiştir.
Proje risk matrisi güncellenmiştir.
</t>
    </r>
    <r>
      <rPr>
        <b/>
        <sz val="11"/>
        <color theme="1"/>
        <rFont val="Calibri"/>
        <family val="2"/>
        <charset val="162"/>
        <scheme val="minor"/>
      </rPr>
      <t>Yapılması Planlanan :</t>
    </r>
    <r>
      <rPr>
        <sz val="11"/>
        <color theme="1"/>
        <rFont val="Calibri"/>
        <family val="2"/>
        <scheme val="minor"/>
      </rPr>
      <t xml:space="preserve">
e-Arşiv Fatura ve e-İrsaliye SAT dokümanı Ürün Yönetimi kontrolleri sonrası 7 Temmuz 2025 tarihine kadar teslim edilecektir.
Çalışması tamamlanan e-Fatura SRS dokümanı için yazılım geliştirme ekibinin görüş ve önerileri beklenmektedir.</t>
    </r>
  </si>
  <si>
    <r>
      <rPr>
        <b/>
        <sz val="11"/>
        <color theme="1"/>
        <rFont val="Calibri"/>
        <family val="2"/>
        <charset val="162"/>
        <scheme val="minor"/>
      </rPr>
      <t>Yapılan:</t>
    </r>
    <r>
      <rPr>
        <sz val="11"/>
        <color theme="1"/>
        <rFont val="Calibri"/>
        <family val="2"/>
        <scheme val="minor"/>
      </rPr>
      <t xml:space="preserve">
Yapay Zeka Eğitimlerinin son kısmı olan "Chatbot Uygulamaları" eğitimine devam edilmektedir. 
Uygulamalı eğitim için OpenAI kurumsal hesabı oluşturulmuş, eğitime katılan yazılım geliştirme ekibi ve eğitmen erişim bilgisi iletilmiştir.
</t>
    </r>
    <r>
      <rPr>
        <b/>
        <sz val="11"/>
        <color theme="1"/>
        <rFont val="Calibri"/>
        <family val="2"/>
        <charset val="162"/>
        <scheme val="minor"/>
      </rPr>
      <t>Yapılması Planlanan:</t>
    </r>
    <r>
      <rPr>
        <sz val="11"/>
        <color theme="1"/>
        <rFont val="Calibri"/>
        <family val="2"/>
        <charset val="162"/>
        <scheme val="minor"/>
      </rPr>
      <t xml:space="preserve">
Yapay Zeka Eğitimlerine devam edilecektir. 
16 Temmuz haftası "Chatbot Uygulamaları" eğitiminin tamamlanması planlanmaktadır.</t>
    </r>
  </si>
  <si>
    <r>
      <rPr>
        <b/>
        <sz val="11"/>
        <color theme="1"/>
        <rFont val="Calibri"/>
        <family val="2"/>
        <charset val="162"/>
        <scheme val="minor"/>
      </rPr>
      <t xml:space="preserve">Yapılan:
</t>
    </r>
    <r>
      <rPr>
        <sz val="11"/>
        <color theme="1"/>
        <rFont val="Calibri"/>
        <family val="2"/>
        <charset val="162"/>
        <scheme val="minor"/>
      </rPr>
      <t>Proje yazılım geliştirme ekibi 24 Haziran Salı günü itibariyle belirlenmiş ve proje grubu oluşturulmuştur.</t>
    </r>
    <r>
      <rPr>
        <b/>
        <sz val="11"/>
        <color theme="1"/>
        <rFont val="Calibri"/>
        <family val="2"/>
        <charset val="162"/>
        <scheme val="minor"/>
      </rPr>
      <t xml:space="preserve">
</t>
    </r>
    <r>
      <rPr>
        <sz val="11"/>
        <color theme="1"/>
        <rFont val="Calibri"/>
        <family val="2"/>
        <charset val="162"/>
        <scheme val="minor"/>
      </rPr>
      <t>Ürün Yönetimi tarafından mockup hazırlıkları tamamlanmıştır. Projeyle ilgili dokümanlar proje ekip üyeleriyle incelenmesi adına paylaşılmıştır.</t>
    </r>
    <r>
      <rPr>
        <sz val="11"/>
        <color theme="1"/>
        <rFont val="Calibri"/>
        <family val="2"/>
        <scheme val="minor"/>
      </rPr>
      <t xml:space="preserve">
26 Haziran Perşembe günü Proje Başlatma Toplantısı gerçekleştirilmiştir.
</t>
    </r>
    <r>
      <rPr>
        <b/>
        <sz val="11"/>
        <color theme="1"/>
        <rFont val="Calibri"/>
        <family val="2"/>
        <charset val="162"/>
        <scheme val="minor"/>
      </rPr>
      <t>Yapılmasını Planlanan:</t>
    </r>
    <r>
      <rPr>
        <sz val="11"/>
        <color theme="1"/>
        <rFont val="Calibri"/>
        <family val="2"/>
        <charset val="162"/>
        <scheme val="minor"/>
      </rPr>
      <t xml:space="preserve">
30 Haziran 2025 tarihinde proje koordinasyon toplantısı gerçekleştirilecektir.
Proje takvimi ve iş kırılımları netleştirildikten sonra Jira'da ürün iş listesi oluşturulacak ve 6 Sprintlik geliştirme sürecine başlanacaktır. 
Proje risk matrisi oluşturulacaktır.</t>
    </r>
  </si>
  <si>
    <t>Proje bitiş tarihi, banka ile devam eden çalışmalar nedeniyle  2 ay ötelenerek Temmuz sonu olarak güncellenmiştir</t>
  </si>
  <si>
    <t>Proje bitiş tarihi 2 ay ötelenerek Temmuz sonu olarak güncellenmiştir</t>
  </si>
  <si>
    <t> 50%</t>
  </si>
  <si>
    <r>
      <rPr>
        <b/>
        <sz val="11"/>
        <color theme="1"/>
        <rFont val="Calibri"/>
        <family val="2"/>
        <charset val="162"/>
        <scheme val="minor"/>
      </rPr>
      <t>Yapılan</t>
    </r>
    <r>
      <rPr>
        <sz val="11"/>
        <color theme="1"/>
        <rFont val="Calibri"/>
        <family val="2"/>
        <charset val="162"/>
        <scheme val="minor"/>
      </rPr>
      <t xml:space="preserve">:
Sözleşme çalışmaları devam etmektedir. Firma çalışma takvimini paylaşmıştır.
26 Haziran 2025 tarihinde Danışman, Altyapı ve Bilgi Güvenliği ekibi ile toplantı yapılmış, CI/CD kurulum topolojisi konuşulmuştur.
</t>
    </r>
    <r>
      <rPr>
        <b/>
        <sz val="11"/>
        <color theme="1"/>
        <rFont val="Calibri"/>
        <family val="2"/>
        <charset val="162"/>
        <scheme val="minor"/>
      </rPr>
      <t>Yapılması Planlanan:</t>
    </r>
    <r>
      <rPr>
        <sz val="11"/>
        <color theme="1"/>
        <rFont val="Calibri"/>
        <family val="2"/>
        <charset val="162"/>
        <scheme val="minor"/>
      </rPr>
      <t xml:space="preserve">
Proje başlatma belgesi hazırlanacaktır.</t>
    </r>
  </si>
  <si>
    <t>Yazılım mimarının henüz ekibe katılamamış olması nedeniyle yazılım tarafında 4 aylık bir gecikme vardır.Yazılım mimarı eksikliği etkisi yüksek bir risk olarak takip edilmektedir.</t>
  </si>
  <si>
    <r>
      <rPr>
        <b/>
        <sz val="11"/>
        <color theme="1"/>
        <rFont val="Calibri"/>
        <family val="2"/>
        <charset val="162"/>
        <scheme val="minor"/>
      </rPr>
      <t xml:space="preserve">Yapılan: 
</t>
    </r>
    <r>
      <rPr>
        <sz val="11"/>
        <color theme="1"/>
        <rFont val="Calibri"/>
        <family val="2"/>
        <charset val="162"/>
        <scheme val="minor"/>
      </rPr>
      <t xml:space="preserve">İKÇÜ ÜBYS Sistemi Entegrasyonu için canlıya geçiş planlaması konusunda üniversiteden bilgi beklenmektedir.
27 Haziran 2025 tarihinde İKÇÜ ekibi ile koordinasyon toplantı yapılmıştır. Testlerin devam ettiği gelecek hafta test sonuçlarının paylaşılacağı iletilmiştir.
</t>
    </r>
    <r>
      <rPr>
        <b/>
        <sz val="11"/>
        <color theme="1"/>
        <rFont val="Calibri"/>
        <family val="2"/>
        <charset val="162"/>
        <scheme val="minor"/>
      </rPr>
      <t xml:space="preserve">
Yapılması Planlanan:
</t>
    </r>
    <r>
      <rPr>
        <sz val="11"/>
        <color theme="1"/>
        <rFont val="Calibri"/>
        <family val="2"/>
        <charset val="162"/>
        <scheme val="minor"/>
      </rPr>
      <t>Satış Birimi İKÇÜ ile görüşme sağlayacaktır.
Proje isterleri tamamlanmış olup projenin kapatılması sürecine geçilecektir.</t>
    </r>
  </si>
  <si>
    <t>DevSecOps Ortamının Kurulumu Projesi</t>
  </si>
  <si>
    <t>İş Sürekliliği Kapsamında Felaket Kurtarma Merkezi'ne Geçiş Projesi</t>
  </si>
  <si>
    <t>2025-BTA-012</t>
  </si>
  <si>
    <t>2025-BTA-013</t>
  </si>
  <si>
    <t>Melikşah Canol</t>
  </si>
  <si>
    <t>Ar-Ge / Proje Grup Üyesi</t>
  </si>
  <si>
    <r>
      <rPr>
        <b/>
        <sz val="11"/>
        <rFont val="Calibri"/>
        <family val="2"/>
        <scheme val="minor"/>
      </rPr>
      <t xml:space="preserve">Yapılan: </t>
    </r>
    <r>
      <rPr>
        <sz val="11"/>
        <rFont val="Calibri"/>
        <family val="2"/>
        <scheme val="minor"/>
      </rPr>
      <t xml:space="preserve">
Proje kapanış aşaması tamamlanmıştır.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</si>
  <si>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Halkbank ile paylaşılan çalışmanın 14 Temmuz haftası Kuveyt Türk için düzenlenerek paylaşılması planlanacaktır.</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</si>
  <si>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devam edilmiştir.
e-Fatura SRS dokümanı çalışmaları tamamlanmıştır.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SAT dokümanı hazırlıkları tamamlanacaktır.</t>
    </r>
  </si>
  <si>
    <r>
      <rPr>
        <b/>
        <sz val="11"/>
        <color theme="1"/>
        <rFont val="Calibri"/>
        <family val="2"/>
        <charset val="162"/>
        <scheme val="minor"/>
      </rPr>
      <t>Gecikme Gerekçesi:</t>
    </r>
    <r>
      <rPr>
        <sz val="11"/>
        <color theme="1"/>
        <rFont val="Calibri"/>
        <family val="2"/>
        <scheme val="minor"/>
      </rPr>
      <t xml:space="preserve">
Yazılım mimarı olmadığı için yazılım tasarım ve yazılım geliştirme sürecine başlanamamıştır. Proje yazılım ekibi mevcut ürünlere destek vermektedir.
</t>
    </r>
  </si>
  <si>
    <r>
      <t xml:space="preserve">	
</t>
    </r>
    <r>
      <rPr>
        <b/>
        <sz val="11"/>
        <color theme="1"/>
        <rFont val="Calibri"/>
        <family val="2"/>
        <charset val="162"/>
        <scheme val="minor"/>
      </rPr>
      <t>Yapılan</t>
    </r>
    <r>
      <rPr>
        <sz val="11"/>
        <color theme="1"/>
        <rFont val="Calibri"/>
        <family val="2"/>
        <charset val="162"/>
        <scheme val="minor"/>
      </rPr>
      <t xml:space="preserve">:
Yapay Zeka Eğitimlerinin son kısmı olan "Chatbot Uygulamaları" eğitimine devam edilmektedir.
</t>
    </r>
    <r>
      <rPr>
        <b/>
        <sz val="11"/>
        <color theme="1"/>
        <rFont val="Calibri"/>
        <family val="2"/>
        <charset val="162"/>
        <scheme val="minor"/>
      </rPr>
      <t>Yapılması Planlanan</t>
    </r>
    <r>
      <rPr>
        <sz val="11"/>
        <color theme="1"/>
        <rFont val="Calibri"/>
        <family val="2"/>
        <charset val="162"/>
        <scheme val="minor"/>
      </rPr>
      <t>:
Gelecej hafta içinde "Chatbot Uygulamaları" eğitiminin tamamlanması planlanmaktadır.
Yapay Zeka Destekli Çağrı Karşılama Uygulaması gereksinimlerinin öğrenilmesi için  iş birimi ile yazılım ekibi katılımı ile bir oturum planlanacaktır.</t>
    </r>
  </si>
  <si>
    <r>
      <t xml:space="preserve">	
</t>
    </r>
    <r>
      <rPr>
        <b/>
        <sz val="11"/>
        <color theme="1"/>
        <rFont val="Calibri"/>
        <family val="2"/>
        <charset val="162"/>
        <scheme val="minor"/>
      </rPr>
      <t>Yapılan</t>
    </r>
    <r>
      <rPr>
        <sz val="11"/>
        <color theme="1"/>
        <rFont val="Calibri"/>
        <family val="2"/>
        <charset val="162"/>
        <scheme val="minor"/>
      </rPr>
      <t xml:space="preserve">:
30 Haziran 2025 tarihinde proje koordinasyon toplantısı gerçekleştirilmiştir.
Belirlenen iş kırılımları ile ürün iş listesi oluşturulmaya ve maddelerin analiz sürecine başlanmıştır.
Veri tabanı mimarisi çalışmalarına ve başlanmıştır.
09 Temmuz 2025 tarihinde Proje Sponsoru ile görüşme yapılmış kota ve organizasyon yapısı ile ilgili revizyon notları alınmıştır. 
</t>
    </r>
    <r>
      <rPr>
        <b/>
        <sz val="11"/>
        <color theme="1"/>
        <rFont val="Calibri"/>
        <family val="2"/>
        <charset val="162"/>
        <scheme val="minor"/>
      </rPr>
      <t xml:space="preserve">
Yapılmasını Planlanan</t>
    </r>
    <r>
      <rPr>
        <sz val="11"/>
        <color theme="1"/>
        <rFont val="Calibri"/>
        <family val="2"/>
        <charset val="162"/>
        <scheme val="minor"/>
      </rPr>
      <t>:
Proje takvimi  oluşturulacak ve 6 Sprintlik geliştirme sürecine başlanacaktır.
Proje risk matrisi oluşturulacaktır.</t>
    </r>
  </si>
  <si>
    <t xml:space="preserve">Proje ilerleme duurmu takibi için proje planının en kısa zamanda oluşturulması gerekmektedir.
</t>
  </si>
  <si>
    <t>Projede süre kısıdı önemli bir risk olup kapsamın proje süresine uygun şekilde netleştirilmesi gerekecektir.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</si>
  <si>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Hazırlanan çalışma Halkbank ile paylaşılmıştır. Halkbank tarafında değerlendirme süreci başlamıştır.
4 Temmuz 2025 tarihinde Halkbank ile toplantı yapılmıştır.
</t>
    </r>
    <r>
      <rPr>
        <b/>
        <sz val="11"/>
        <color theme="1"/>
        <rFont val="Calibri"/>
        <family val="2"/>
        <charset val="162"/>
        <scheme val="minor"/>
      </rPr>
      <t xml:space="preserve">Yapılması Planlanan:
</t>
    </r>
    <r>
      <rPr>
        <sz val="11"/>
        <color theme="1"/>
        <rFont val="Calibri"/>
        <family val="2"/>
        <charset val="162"/>
        <scheme val="minor"/>
      </rPr>
      <t xml:space="preserve">CRM Servisine eklenecek geliştirme maddeleri için çalışmalara devam edilecektir.
</t>
    </r>
  </si>
  <si>
    <r>
      <rPr>
        <b/>
        <sz val="11"/>
        <color theme="1"/>
        <rFont val="Calibri"/>
        <family val="2"/>
        <charset val="162"/>
        <scheme val="minor"/>
      </rPr>
      <t xml:space="preserve">Yapılan: 
</t>
    </r>
    <r>
      <rPr>
        <sz val="11"/>
        <color theme="1"/>
        <rFont val="Calibri"/>
        <family val="2"/>
        <charset val="162"/>
        <scheme val="minor"/>
      </rPr>
      <t xml:space="preserve">27 Haziran 2025 tarihinde İKÇÜ ekibi ile koordinasyon toplantı yapılmıştır. Teknik ekip tarafında bu proje özelinde geliştirilen yeni metotta systemdatetime alanının boş gelmesi tespiti paylaşılmıştır. Genel olarak KEP gönderim ve alma testlerinin tamamlandığı, KamuSM tarafından üretilen Eliptik Eğri 384 anahtarına sahip NES ile test yapacakları bilgisi verilmiştir.
Boş alan için geliştirme yapılarak test ortamına yüklenmiştir.
</t>
    </r>
    <r>
      <rPr>
        <b/>
        <sz val="11"/>
        <color theme="1"/>
        <rFont val="Calibri"/>
        <family val="2"/>
        <charset val="162"/>
        <scheme val="minor"/>
      </rPr>
      <t xml:space="preserve">
Yapılması Planlanan:
</t>
    </r>
    <r>
      <rPr>
        <sz val="11"/>
        <color theme="1"/>
        <rFont val="Calibri"/>
        <family val="2"/>
        <charset val="162"/>
        <scheme val="minor"/>
      </rPr>
      <t>Uygulamanın canlıya alınması beklenmektedir.</t>
    </r>
    <r>
      <rPr>
        <b/>
        <sz val="11"/>
        <color theme="1"/>
        <rFont val="Calibri"/>
        <family val="2"/>
        <charset val="162"/>
        <scheme val="minor"/>
      </rPr>
      <t xml:space="preserve">
</t>
    </r>
    <r>
      <rPr>
        <sz val="11"/>
        <color theme="1"/>
        <rFont val="Calibri"/>
        <family val="2"/>
        <charset val="162"/>
        <scheme val="minor"/>
      </rPr>
      <t>Proje isterleri tamamlanmış olup projenin kapatılması sürecine geçilecektir.</t>
    </r>
  </si>
  <si>
    <r>
      <rPr>
        <b/>
        <sz val="11"/>
        <color theme="1"/>
        <rFont val="Calibri"/>
        <family val="2"/>
        <charset val="162"/>
        <scheme val="minor"/>
      </rPr>
      <t>Yapılan</t>
    </r>
    <r>
      <rPr>
        <sz val="11"/>
        <color theme="1"/>
        <rFont val="Calibri"/>
        <family val="2"/>
        <charset val="162"/>
        <scheme val="minor"/>
      </rPr>
      <t xml:space="preserve">:
 Proje Başlatma Belgesi hazırlanmış ve proje açılışı duyurusu yapılmıştır.
</t>
    </r>
    <r>
      <rPr>
        <b/>
        <sz val="11"/>
        <color theme="1"/>
        <rFont val="Calibri"/>
        <family val="2"/>
        <charset val="162"/>
        <scheme val="minor"/>
      </rPr>
      <t xml:space="preserve">Yapılması Planlanan:
</t>
    </r>
    <r>
      <rPr>
        <sz val="11"/>
        <color theme="1"/>
        <rFont val="Calibri"/>
        <family val="2"/>
        <charset val="162"/>
        <scheme val="minor"/>
      </rPr>
      <t>14 Temmuz tarihinde Proje kickoff toplantısı planlanmıştır.</t>
    </r>
  </si>
  <si>
    <r>
      <rPr>
        <b/>
        <sz val="11"/>
        <color theme="1"/>
        <rFont val="Calibri"/>
        <family val="2"/>
        <charset val="162"/>
        <scheme val="minor"/>
      </rPr>
      <t>Yapılan</t>
    </r>
    <r>
      <rPr>
        <sz val="11"/>
        <color theme="1"/>
        <rFont val="Calibri"/>
        <family val="2"/>
        <charset val="162"/>
        <scheme val="minor"/>
      </rPr>
      <t xml:space="preserve">:
DevSecOps Ortamının Kurulumu Projesi için Proje Başlatma Belgesi hazırlanmış ve proje açılışı duyurusu yapılmıştır.
Danışman ile yapılacak sözleşme son hali ile imza için paylaşılmıştır.
</t>
    </r>
    <r>
      <rPr>
        <b/>
        <sz val="11"/>
        <color theme="1"/>
        <rFont val="Calibri"/>
        <family val="2"/>
        <charset val="162"/>
        <scheme val="minor"/>
      </rPr>
      <t xml:space="preserve">Yapılması Planlanan:
</t>
    </r>
    <r>
      <rPr>
        <sz val="11"/>
        <color theme="1"/>
        <rFont val="Calibri"/>
        <family val="2"/>
        <charset val="162"/>
        <scheme val="minor"/>
      </rPr>
      <t>14 Temmuz tarihinde Proje kickoff toplantısı planlanmıştır.
Sözleşme imza süreci tamamlanacaktır.</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</si>
  <si>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SAT dokümanı hazırlıkları tamamlanacaktır.SAT dokümanının hazırlanması sonrası SRS dokümanının hazırlık çalışmasına başlanacaktır.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</si>
  <si>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Halkbank ile paylaşılan çalışmanın 28 Temmuz haftası Kuveyt Türk için düzenlenerek paylaşılması planlanacaktır.</t>
    </r>
  </si>
  <si>
    <r>
      <rPr>
        <b/>
        <sz val="11"/>
        <color theme="1"/>
        <rFont val="Calibri"/>
        <family val="2"/>
        <charset val="162"/>
        <scheme val="minor"/>
      </rPr>
      <t xml:space="preserve">Yapılan:
</t>
    </r>
    <r>
      <rPr>
        <sz val="11"/>
        <color theme="1"/>
        <rFont val="Calibri"/>
        <family val="2"/>
        <charset val="162"/>
        <scheme val="minor"/>
      </rPr>
      <t>Yapay Zeka Eğitimleri tamamlanmış, katılımcılara sertifikaya hak kazanımı için sınav iletilmiştir.
Alınan eğitime istinaden kesilen son fatura ödeme süreci için yönlendirme yapılmıştır.
Yapay Zeka Destekli Çağrı Karşılama Uygulaması gereksinimlerinin öğrenilmesi için iş birimi ve yazılım ekibi katılımı ile bir oturum gerçekleştirilmiştir. Toplantı tutanağı hazırlanmış ve paylaşılmıştır.</t>
    </r>
    <r>
      <rPr>
        <b/>
        <sz val="11"/>
        <color theme="1"/>
        <rFont val="Calibri"/>
        <family val="2"/>
        <charset val="162"/>
        <scheme val="minor"/>
      </rPr>
      <t xml:space="preserve">
Yapılması Planlanan:
</t>
    </r>
    <r>
      <rPr>
        <sz val="11"/>
        <color theme="1"/>
        <rFont val="Calibri"/>
        <family val="2"/>
        <charset val="162"/>
        <scheme val="minor"/>
      </rPr>
      <t xml:space="preserve">Gereksinimlerin toplanması için çalışmalara devam edilecektir.
Proje ekibi, mevcutta devam eden projelerdeki görevlendirmelere göre yeniden belirlenecektir.
</t>
    </r>
  </si>
  <si>
    <r>
      <rPr>
        <b/>
        <sz val="11"/>
        <color theme="1"/>
        <rFont val="Calibri"/>
        <family val="2"/>
        <charset val="162"/>
        <scheme val="minor"/>
      </rPr>
      <t>Yapılan</t>
    </r>
    <r>
      <rPr>
        <sz val="11"/>
        <color theme="1"/>
        <rFont val="Calibri"/>
        <family val="2"/>
        <charset val="162"/>
        <scheme val="minor"/>
      </rPr>
      <t xml:space="preserve">:
Belirlenen iş kırılımları ile ürün iş listesi oluşturulmaya ve maddelerin analiz sürecine devam edilmiştir. 23 Temmuz tarihinde Product Backlog Refinement toplantısı yapılmıştır.
Veri tabanı mimarisi çalışmaları ardından doküman hazırlanmış ve yazılım ekibi ile paylaşılmıştır.
</t>
    </r>
    <r>
      <rPr>
        <b/>
        <sz val="11"/>
        <color theme="1"/>
        <rFont val="Calibri"/>
        <family val="2"/>
        <charset val="162"/>
        <scheme val="minor"/>
      </rPr>
      <t xml:space="preserve">
Yapılmasını Planlanan</t>
    </r>
    <r>
      <rPr>
        <sz val="11"/>
        <color theme="1"/>
        <rFont val="Calibri"/>
        <family val="2"/>
        <charset val="162"/>
        <scheme val="minor"/>
      </rPr>
      <t>:
Proje takvimi  oluşturulacak ve 5 Sprintlik geliştirme sürecine başlanacaktır.
Proje risk matrisi oluşturulacaktır.
Mock up'lar üzerine çalışma yapılacaktır.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</si>
  <si>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4 Temmuz 2025 tarihinde Halkbank ile yapılan toplantı tutanağına istinaden açık maddeyle ilgili bilgilendirme sağlanmıştır.
CRM Servisine eklenecek geliştirme maddeleri için çalışma tamamlanmış, test ortamı testler için Halkbank'a bilgi verilmiştir.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t>
    </r>
  </si>
  <si>
    <t>Proje bitiş tarihi, banka ile devam eden çalışmalar nedeniyle  3 ay ötelenerek Ağustos sonu olarak güncellenmiştir</t>
  </si>
  <si>
    <r>
      <t xml:space="preserve">Yapılan: 
</t>
    </r>
    <r>
      <rPr>
        <sz val="11"/>
        <color theme="1"/>
        <rFont val="Calibri"/>
        <family val="2"/>
        <charset val="162"/>
        <scheme val="minor"/>
      </rPr>
      <t>Proje kapanışı yapılmıştır.</t>
    </r>
  </si>
  <si>
    <r>
      <rPr>
        <b/>
        <sz val="11"/>
        <color theme="1"/>
        <rFont val="Calibri"/>
        <family val="2"/>
        <charset val="162"/>
        <scheme val="minor"/>
      </rPr>
      <t>Yapılan</t>
    </r>
    <r>
      <rPr>
        <sz val="11"/>
        <color theme="1"/>
        <rFont val="Calibri"/>
        <family val="2"/>
        <charset val="162"/>
        <scheme val="minor"/>
      </rPr>
      <t xml:space="preserve">:
14 Temmuz2025  tarihinde Proje kickoff toplantısı yapılmıştır.
Proje planı hazırlanmıştır.
</t>
    </r>
    <r>
      <rPr>
        <b/>
        <sz val="11"/>
        <color theme="1"/>
        <rFont val="Calibri"/>
        <family val="2"/>
        <charset val="162"/>
        <scheme val="minor"/>
      </rPr>
      <t xml:space="preserve">Yapılması Planlanan:
</t>
    </r>
    <r>
      <rPr>
        <sz val="11"/>
        <color theme="1"/>
        <rFont val="Calibri"/>
        <family val="2"/>
        <charset val="162"/>
        <scheme val="minor"/>
      </rPr>
      <t>Danışman ile yapılacak sözleşmenin imza süreci takip edilecektir.
Proje risk matrisi hazırlanacaktır.</t>
    </r>
  </si>
  <si>
    <r>
      <rPr>
        <b/>
        <sz val="11"/>
        <color theme="1"/>
        <rFont val="Calibri"/>
        <family val="2"/>
        <charset val="162"/>
        <scheme val="minor"/>
      </rPr>
      <t>Yapılan</t>
    </r>
    <r>
      <rPr>
        <sz val="11"/>
        <color theme="1"/>
        <rFont val="Calibri"/>
        <family val="2"/>
        <charset val="162"/>
        <scheme val="minor"/>
      </rPr>
      <t xml:space="preserve">:
14 Temmuz 2024 tarihinde Proje kickoff toplantısı yapılmıştır.
Proje planı hazırlanmıştır.
</t>
    </r>
    <r>
      <rPr>
        <b/>
        <sz val="11"/>
        <color theme="1"/>
        <rFont val="Calibri"/>
        <family val="2"/>
        <charset val="162"/>
        <scheme val="minor"/>
      </rPr>
      <t xml:space="preserve">Yapılması Planlanan:
</t>
    </r>
    <r>
      <rPr>
        <sz val="11"/>
        <color theme="1"/>
        <rFont val="Calibri"/>
        <family val="2"/>
        <charset val="162"/>
        <scheme val="minor"/>
      </rPr>
      <t>Proje risk matrisi hazırlanacaktır.
28 Temmuz 2025 tarihinde Domain geçiş planlama toplantısı yapılacaktır.</t>
    </r>
  </si>
  <si>
    <t>Yapay Zeka Destekli Belge ve Yazışma Sistemi Geliştirilmesi</t>
  </si>
  <si>
    <r>
      <rPr>
        <b/>
        <sz val="11"/>
        <color theme="1"/>
        <rFont val="Calibri"/>
        <family val="2"/>
        <charset val="162"/>
        <scheme val="minor"/>
      </rPr>
      <t>Yapılan</t>
    </r>
    <r>
      <rPr>
        <sz val="11"/>
        <color theme="1"/>
        <rFont val="Calibri"/>
        <family val="2"/>
        <charset val="162"/>
        <scheme val="minor"/>
      </rPr>
      <t xml:space="preserve">:
Linux sunucularının DNS değişimi tamamlanmıştır.
</t>
    </r>
    <r>
      <rPr>
        <b/>
        <sz val="11"/>
        <color theme="1"/>
        <rFont val="Calibri"/>
        <family val="2"/>
        <charset val="162"/>
        <scheme val="minor"/>
      </rPr>
      <t xml:space="preserve">Yapılması Planlanan:
</t>
    </r>
    <r>
      <rPr>
        <sz val="11"/>
        <color theme="1"/>
        <rFont val="Calibri"/>
        <family val="2"/>
        <charset val="162"/>
        <scheme val="minor"/>
      </rPr>
      <t>Proje risk matrisi hazırlanacaktır.
Mevcut Durum analizi planlanan tarihte yapılamamış, 11 Ağustos haftasında tamamlanmak üzere plan revize edilmiştir.</t>
    </r>
  </si>
  <si>
    <t xml:space="preserve">     Yapay Zeka Destekli Belge ve Yazışma Sistemi Geliştirilmesi</t>
  </si>
  <si>
    <r>
      <rPr>
        <b/>
        <sz val="11"/>
        <color theme="1"/>
        <rFont val="Calibri"/>
        <family val="2"/>
        <charset val="162"/>
        <scheme val="minor"/>
      </rPr>
      <t>Yapılan</t>
    </r>
    <r>
      <rPr>
        <sz val="11"/>
        <color theme="1"/>
        <rFont val="Calibri"/>
        <family val="2"/>
        <charset val="162"/>
        <scheme val="minor"/>
      </rPr>
      <t xml:space="preserve">:
Proje Kartı nihai haline getirilmiştir.
Ar-Ge Projesi Başlangıcı olarak bildirimleri yapılmıştır.
</t>
    </r>
    <r>
      <rPr>
        <b/>
        <sz val="11"/>
        <color theme="1"/>
        <rFont val="Calibri"/>
        <family val="2"/>
        <charset val="162"/>
        <scheme val="minor"/>
      </rPr>
      <t xml:space="preserve">Yapılması Planlanan:
</t>
    </r>
    <r>
      <rPr>
        <sz val="11"/>
        <color theme="1"/>
        <rFont val="Calibri"/>
        <family val="2"/>
        <charset val="162"/>
        <scheme val="minor"/>
      </rPr>
      <t>Proje Başlatma Belgesi hazırlanacak, proje paydaşları belirlenecektir.
Proje Planı oluşturulacaktır. 
Proje Başlatma Toplantısı planlanacaktır.</t>
    </r>
  </si>
  <si>
    <r>
      <rPr>
        <b/>
        <sz val="11"/>
        <color theme="1"/>
        <rFont val="Calibri"/>
        <family val="2"/>
        <charset val="162"/>
        <scheme val="minor"/>
      </rPr>
      <t xml:space="preserve">Yapılan: 
</t>
    </r>
    <r>
      <rPr>
        <sz val="11"/>
        <color theme="1"/>
        <rFont val="Calibri"/>
        <family val="2"/>
        <charset val="162"/>
        <scheme val="minor"/>
      </rPr>
      <t xml:space="preserve">Halkbank için geliştirilen servislerin aynı şekilde kullanılabileceği değerlendirilmektedir.
</t>
    </r>
    <r>
      <rPr>
        <b/>
        <sz val="11"/>
        <color theme="1"/>
        <rFont val="Calibri"/>
        <family val="2"/>
        <charset val="162"/>
        <scheme val="minor"/>
      </rPr>
      <t xml:space="preserve">
Yapılması Planlanan:</t>
    </r>
    <r>
      <rPr>
        <sz val="11"/>
        <color theme="1"/>
        <rFont val="Calibri"/>
        <family val="2"/>
        <charset val="162"/>
        <scheme val="minor"/>
      </rPr>
      <t xml:space="preserve">
Halkbank ile paylaşılan çalışmanın Kuveyt Türk için düzenlenerek paylaşılması planlanacaktır.</t>
    </r>
  </si>
  <si>
    <r>
      <rPr>
        <b/>
        <sz val="11"/>
        <color theme="1"/>
        <rFont val="Calibri"/>
        <family val="2"/>
        <charset val="162"/>
        <scheme val="minor"/>
      </rPr>
      <t xml:space="preserve">Yapılan:
</t>
    </r>
    <r>
      <rPr>
        <sz val="11"/>
        <color theme="1"/>
        <rFont val="Calibri"/>
        <family val="2"/>
        <charset val="162"/>
        <scheme val="minor"/>
      </rPr>
      <t xml:space="preserve">Yapay Zeka Eğitimleri sonrası yapılan sınavda başarılı sonuç alarak sertifikaya hak kazanan katılımcılara sertifikaları iletilmiştir.
Proje ekibi, mevcutta devam eden projelerdeki görevlendirmelere göre yeniden belirlenmiştir.
</t>
    </r>
    <r>
      <rPr>
        <b/>
        <sz val="11"/>
        <color theme="1"/>
        <rFont val="Calibri"/>
        <family val="2"/>
        <charset val="162"/>
        <scheme val="minor"/>
      </rPr>
      <t xml:space="preserve">
Yapılması Planlanan:
</t>
    </r>
    <r>
      <rPr>
        <sz val="11"/>
        <color theme="1"/>
        <rFont val="Calibri"/>
        <family val="2"/>
        <charset val="162"/>
        <scheme val="minor"/>
      </rPr>
      <t xml:space="preserve">Skymod YP Platformu ve Geliştirme Teklifi hakkında bilgilendirme yapılacaktır.
Proje ekibi ile YZ uygulama geliştirme platformu görüşülecektir.
Gereksinimlerin toplanması için çalışmalara devam edilecektir.
</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</si>
  <si>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SAT dokümanı hazırlığına tamamlanmış, Ürün Yönetimi biriminin onayı beklenmektedir.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SAT dokümanı paylaşımı sonrası SRS dokümanının hazırlık çalışmasına başlanacaktır.</t>
    </r>
    <r>
      <rPr>
        <sz val="11"/>
        <color theme="1"/>
        <rFont val="Calibri"/>
        <family val="2"/>
        <charset val="162"/>
        <scheme val="minor"/>
      </rPr>
      <t xml:space="preserve">
Yazılım mimarı için görüşme yapılacaktır.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</si>
  <si>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
Tamamlanan CRM Servisi ile ilgili geliştirme maddeleri için Halkbank tarafında testler yapılmaktadır.
08 Ağustos tarihinde banka ile toplantı gerçekleştirilmiş belge süreçleri üzerinde görüşülmüştür. Teyit için banka tarafında bu konuda hazırlanan dokümanlar paylaşılacaktır. Entegrasyon çalışmalarının karşılıklı yazışmalar ile devam ettiği, teknik bir toplantı gerekmediği belirtilmiştir. banka tarafından test ortamına IP erişim adresleri tekrar talep edilmiştir.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t>
    </r>
  </si>
  <si>
    <t>-</t>
  </si>
  <si>
    <t>Standart Çalışma Süresi (45 Saat)</t>
  </si>
  <si>
    <r>
      <rPr>
        <b/>
        <sz val="11"/>
        <color theme="1"/>
        <rFont val="Calibri"/>
        <family val="2"/>
        <charset val="162"/>
        <scheme val="minor"/>
      </rPr>
      <t>Yapılan:</t>
    </r>
    <r>
      <rPr>
        <sz val="11"/>
        <color theme="1"/>
        <rFont val="Calibri"/>
        <family val="2"/>
        <charset val="162"/>
        <scheme val="minor"/>
      </rPr>
      <t xml:space="preserve">
Proje takvimi oluşturulmuştur.
Mock up çalışmaları, kullanıcı aksiyonları içerecek şekilde detaylandırılmıştır.
Arayüz geliştirme sürecini hızlandırmak amacıyla, hazırlanan mock-up'lara uyumlu sayfalar oluşturulmuştur.
Webservis tasarım sürecini ilerletmek amacıyla teknik toplantı gerçekleştirilmiştir.
Arayüz tarafından kullanılacak webservisler için modeller oluşturulmuştur.
UI-UX tasarımları ile ilgili alınacak hizmet için Yerden Yüksek firması ile sözleşme imzalanmış ve çalışmalara başlanmıştır.
</t>
    </r>
    <r>
      <rPr>
        <b/>
        <sz val="11"/>
        <color theme="1"/>
        <rFont val="Calibri"/>
        <family val="2"/>
        <charset val="162"/>
        <scheme val="minor"/>
      </rPr>
      <t xml:space="preserve">Yapılmasını Planlanan:
</t>
    </r>
    <r>
      <rPr>
        <sz val="11"/>
        <color theme="1"/>
        <rFont val="Calibri"/>
        <family val="2"/>
        <charset val="162"/>
        <scheme val="minor"/>
      </rPr>
      <t>Proje risk matrisi oluşturulacaktır.
Webservis tasarım süreci devam edecektir.
Tasarımı tamamlanan ve modelleri netleştirilen webservisler için geliştirme süreci başlatılacaktır.
Saklama mock-up ve Türkkep kurumsal kimliğine uyumlu sayfa tasarımları dış hizmet sağlayıcıdan alınacaktır.
Sayfa tasarımları ile beraber alınacak css kodları ile arayüz tasarım düzenlemeleri sağlanacaktır.</t>
    </r>
  </si>
  <si>
    <t xml:space="preserve">Geliştirme </t>
  </si>
  <si>
    <r>
      <rPr>
        <b/>
        <sz val="11"/>
        <color theme="1"/>
        <rFont val="Calibri"/>
        <family val="2"/>
        <charset val="162"/>
        <scheme val="minor"/>
      </rPr>
      <t>Yapılan</t>
    </r>
    <r>
      <rPr>
        <sz val="11"/>
        <color theme="1"/>
        <rFont val="Calibri"/>
        <family val="2"/>
        <charset val="162"/>
        <scheme val="minor"/>
      </rPr>
      <t xml:space="preserve">:
Network altyapısı ve iletilen konfigürasyona göre sanal sunucular kurulmuştur. Danışman için VPN hesabı tanımlanmış ve erişim sağlanmıştır.
</t>
    </r>
    <r>
      <rPr>
        <b/>
        <sz val="11"/>
        <color theme="1"/>
        <rFont val="Calibri"/>
        <family val="2"/>
        <charset val="162"/>
        <scheme val="minor"/>
      </rPr>
      <t xml:space="preserve">Yapılması Planlanan:
</t>
    </r>
    <r>
      <rPr>
        <sz val="11"/>
        <color theme="1"/>
        <rFont val="Calibri"/>
        <family val="2"/>
        <charset val="162"/>
        <scheme val="minor"/>
      </rPr>
      <t>Danışman ile yapılacak sözleşmenin imza süreci takip edilecektir.
Proje risk matrisi hazırlanacaktır.
Projelerin TFS'ten Gitlab'a taşınması sürecine başlanacaktır.</t>
    </r>
  </si>
  <si>
    <t>Olcay Yıldız</t>
  </si>
  <si>
    <t>2025-TKEP-029</t>
  </si>
  <si>
    <t>2025-TKEP-030</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</si>
  <si>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teslim alınan SAT dokümanı üzerinden SRS dokümanı hazırlıklarına başlanmıştır.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
Yazılım mimarı için görüşme yapılacaktır.</t>
    </r>
  </si>
  <si>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Banka tarafından test ortamına IP erişim adresleri tekrar talep edilmiştir. 
Proje kapsamında, müşterilerin e-Devlet üzerinden onaylayacağı KEP sözleşmeleri gözden geçirilmiş, Halkbank tarafından sözleşmeye eklenmesi talep edilen maddeler üzerine iç toplantı yapılmış ve aksiyon maddeleri belirlenmiştir.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
Toplantıda belirlenen aksiyon maddeleri için takip sağlanacaktır.</t>
    </r>
  </si>
  <si>
    <r>
      <rPr>
        <b/>
        <sz val="11"/>
        <color theme="1"/>
        <rFont val="Calibri"/>
        <family val="2"/>
        <charset val="162"/>
        <scheme val="minor"/>
      </rPr>
      <t>Yapılan</t>
    </r>
    <r>
      <rPr>
        <sz val="11"/>
        <color theme="1"/>
        <rFont val="Calibri"/>
        <family val="2"/>
        <charset val="162"/>
        <scheme val="minor"/>
      </rPr>
      <t xml:space="preserve">:
Proje Kartı nihai haline getirilmiştir.
Proje Başlatma Belgesi için hazırlık yapılmış olup eklemeler için Ürün Yönetimi ekibi ile paylaşılmıştır.
</t>
    </r>
    <r>
      <rPr>
        <b/>
        <sz val="11"/>
        <color theme="1"/>
        <rFont val="Calibri"/>
        <family val="2"/>
        <charset val="162"/>
        <scheme val="minor"/>
      </rPr>
      <t xml:space="preserve">Yapılması Planlanan:
</t>
    </r>
    <r>
      <rPr>
        <sz val="11"/>
        <color theme="1"/>
        <rFont val="Calibri"/>
        <family val="2"/>
        <charset val="162"/>
        <scheme val="minor"/>
      </rPr>
      <t>Proje Başlatma Belgesine 26 Ağustos tarihinde Ürün Yönetimi dönüşleri alındıktan sonra nihai haline getirilerek proje başlatma duyurusu yapılacaktır.
Proje Planı oluşturulacaktır. 
Proje Başlatma Toplantısı planlanacaktır.</t>
    </r>
  </si>
  <si>
    <t>Proje bitiş tarihi, banka ile devam eden çalışmalar nedeniyle  4 ay ötelenerek Eylül sonu olarak güncellenmiştir</t>
  </si>
  <si>
    <t xml:space="preserve">Trendyol Kepleştirme Projesi </t>
  </si>
  <si>
    <t>Türmob &amp; Türkkep İş Birliği Süreç Yönetimi Projesi</t>
  </si>
  <si>
    <t>Datassist &amp; Türkkep İş Birliği Süreç Yönetimi Projesi</t>
  </si>
  <si>
    <t>e-Güven &amp; Türkkep CRM Entegrasyonu İyileştirme Projesi</t>
  </si>
  <si>
    <t>Hülya Yemşen</t>
  </si>
  <si>
    <t>Sibel AKA</t>
  </si>
  <si>
    <t>Dilek Akyürek</t>
  </si>
  <si>
    <t>2025-PYO-013</t>
  </si>
  <si>
    <t>2025-PYO-014</t>
  </si>
  <si>
    <t>2025-PYO-015</t>
  </si>
  <si>
    <r>
      <rPr>
        <b/>
        <sz val="11"/>
        <color theme="1"/>
        <rFont val="Calibri"/>
        <family val="2"/>
        <charset val="162"/>
        <scheme val="minor"/>
      </rPr>
      <t>Yapılan</t>
    </r>
    <r>
      <rPr>
        <sz val="11"/>
        <color theme="1"/>
        <rFont val="Calibri"/>
        <family val="2"/>
        <charset val="162"/>
        <scheme val="minor"/>
      </rPr>
      <t xml:space="preserve">:
21.08.2025 tarahinde Türmob ekibi ile toplantı gerçekleştirilmiş mevcut durum ve yaşanılan sorunlar değerlendirilmiştir.
</t>
    </r>
    <r>
      <rPr>
        <b/>
        <sz val="11"/>
        <color theme="1"/>
        <rFont val="Calibri"/>
        <family val="2"/>
        <charset val="162"/>
        <scheme val="minor"/>
      </rPr>
      <t>Yapılması Planlanan:</t>
    </r>
    <r>
      <rPr>
        <sz val="11"/>
        <color theme="1"/>
        <rFont val="Calibri"/>
        <family val="2"/>
        <charset val="162"/>
        <scheme val="minor"/>
      </rPr>
      <t xml:space="preserve">
Proje başlatma belgesi hazırlanacak ve Proje başlatma duyurusunun gerçekleştirilecektir.
UKDS entegrasyon servisi ve ilgili dokümanlar paylaşılacaktır.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</si>
  <si>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19.08.2025 tarihinde, PYO ve ürün yönetimi ekiplerinin katılımıyla toplantı gerçekleştirilmiş. 
</t>
    </r>
    <r>
      <rPr>
        <b/>
        <sz val="11"/>
        <color theme="1"/>
        <rFont val="Calibri"/>
        <family val="2"/>
        <charset val="162"/>
        <scheme val="minor"/>
      </rPr>
      <t>Yapılması Planlanan:</t>
    </r>
    <r>
      <rPr>
        <sz val="11"/>
        <color theme="1"/>
        <rFont val="Calibri"/>
        <family val="2"/>
        <charset val="162"/>
        <scheme val="minor"/>
      </rPr>
      <t xml:space="preserve">
Proje başlatma belgesi hazırlanacak ve Proje başlatma duyurusunun gerçekleştirilecektir.</t>
    </r>
  </si>
  <si>
    <r>
      <rPr>
        <b/>
        <sz val="11"/>
        <color theme="1"/>
        <rFont val="Calibri"/>
        <family val="2"/>
        <charset val="162"/>
        <scheme val="minor"/>
      </rPr>
      <t>Yapılan</t>
    </r>
    <r>
      <rPr>
        <sz val="11"/>
        <color theme="1"/>
        <rFont val="Calibri"/>
        <family val="2"/>
        <charset val="162"/>
        <scheme val="minor"/>
      </rPr>
      <t xml:space="preserve">:
20.08.2025 tarihinde Trendyol ekibiyle toplantı gerçekleştirilmiştir. 
İç ekip ile toplantı gerçekleştirilmiş değerlendirmesi sağlanmış ve model belirlenmiştir.
</t>
    </r>
    <r>
      <rPr>
        <b/>
        <sz val="11"/>
        <color theme="1"/>
        <rFont val="Calibri"/>
        <family val="2"/>
        <charset val="162"/>
        <scheme val="minor"/>
      </rPr>
      <t>Yapılması Planlanan:</t>
    </r>
    <r>
      <rPr>
        <sz val="11"/>
        <color theme="1"/>
        <rFont val="Calibri"/>
        <family val="2"/>
        <charset val="162"/>
        <scheme val="minor"/>
      </rPr>
      <t xml:space="preserve">
Proje başlatma belgesi hazırlanacak ve Proje başlatma duyurusunun gerçekleştirilecektir.
Mock up ve analiz çalışması yapılacaktır.</t>
    </r>
  </si>
  <si>
    <r>
      <rPr>
        <b/>
        <sz val="11"/>
        <color theme="1"/>
        <rFont val="Calibri"/>
        <family val="2"/>
        <charset val="162"/>
        <scheme val="minor"/>
      </rPr>
      <t>Yapılan</t>
    </r>
    <r>
      <rPr>
        <sz val="11"/>
        <color theme="1"/>
        <rFont val="Calibri"/>
        <family val="2"/>
        <charset val="162"/>
        <scheme val="minor"/>
      </rPr>
      <t xml:space="preserve">:
TÇM ve Operasyon Bölümü talepleri için çalışam yapılmış ve e-Güven ile paylaşılmıştır.
e-Güven ile toplantı yapılarak talepler üzerinden geçilmiş ve geliştirme planı görüşülmüştür.
e-Güven CRM test ortamına erişim sağlanmıştır.
</t>
    </r>
    <r>
      <rPr>
        <b/>
        <sz val="11"/>
        <color theme="1"/>
        <rFont val="Calibri"/>
        <family val="2"/>
        <charset val="162"/>
        <scheme val="minor"/>
      </rPr>
      <t xml:space="preserve">Yapılması Planlanan:
</t>
    </r>
    <r>
      <rPr>
        <sz val="11"/>
        <color theme="1"/>
        <rFont val="Calibri"/>
        <family val="2"/>
        <charset val="162"/>
        <scheme val="minor"/>
      </rPr>
      <t>Proje başlatma belgesi hazırlanacak ve Proje başlatma duyurusunun gerçekleştirilecektir.
e-Güven tarafından yapılacak geliştirmelere ilişkin planlama çerçevesinde proje planı oluşturulacaktır.</t>
    </r>
  </si>
  <si>
    <r>
      <rPr>
        <b/>
        <sz val="11"/>
        <color theme="1"/>
        <rFont val="Calibri"/>
        <family val="2"/>
        <charset val="162"/>
        <scheme val="minor"/>
      </rPr>
      <t>Yapılan</t>
    </r>
    <r>
      <rPr>
        <sz val="11"/>
        <color theme="1"/>
        <rFont val="Calibri"/>
        <family val="2"/>
        <charset val="162"/>
        <scheme val="minor"/>
      </rPr>
      <t xml:space="preserve">:
Linux sunucularının DNS değişimi tamamlanmıştır.
Domain geçişleri için Jira madde açılışları gerçekleştirilmiş ve sprint planlaması yapılmıştır.
</t>
    </r>
    <r>
      <rPr>
        <b/>
        <sz val="11"/>
        <color theme="1"/>
        <rFont val="Calibri"/>
        <family val="2"/>
        <charset val="162"/>
        <scheme val="minor"/>
      </rPr>
      <t xml:space="preserve">Yapılması Planlanan:
</t>
    </r>
    <r>
      <rPr>
        <sz val="11"/>
        <color theme="1"/>
        <rFont val="Calibri"/>
        <family val="2"/>
        <charset val="162"/>
        <scheme val="minor"/>
      </rPr>
      <t xml:space="preserve">Proje risk matrisi hazırlanacaktır.
Mevcut Durum analizi planlanan tarihte yapılamamış,  Eylül'ün ilk haftasında tamamlanmak üzere plan revize edilmiştir.
Yatırım analizlerinin yapılması maddesi için firmalarla görüşme planlanacaktır.
</t>
    </r>
  </si>
  <si>
    <r>
      <rPr>
        <b/>
        <sz val="11"/>
        <color theme="1"/>
        <rFont val="Calibri"/>
        <family val="2"/>
        <charset val="162"/>
        <scheme val="minor"/>
      </rPr>
      <t>Yapılan</t>
    </r>
    <r>
      <rPr>
        <sz val="11"/>
        <color theme="1"/>
        <rFont val="Calibri"/>
        <family val="2"/>
        <charset val="162"/>
        <scheme val="minor"/>
      </rPr>
      <t xml:space="preserve">:
Network altyapısı ve iletilen konfigürasyona göre sanal sunucular kurulmuştur. Danışman için VPN hesabı tanımlanmış ve erişim sağlanmıştır.
Kubernetes altyapısının kurulumu ve temel konfigürasyonu sağlanmıştır.
</t>
    </r>
    <r>
      <rPr>
        <b/>
        <sz val="11"/>
        <color theme="1"/>
        <rFont val="Calibri"/>
        <family val="2"/>
        <charset val="162"/>
        <scheme val="minor"/>
      </rPr>
      <t xml:space="preserve">Yapılması Planlanan:
</t>
    </r>
    <r>
      <rPr>
        <sz val="11"/>
        <color theme="1"/>
        <rFont val="Calibri"/>
        <family val="2"/>
        <charset val="162"/>
        <scheme val="minor"/>
      </rPr>
      <t>Danışman ile yapılacak sözleşmenin imza süreci takip edilecektir.
Proje risk matrisi hazırlanacaktır.
Projelerin TFS'ten Gitlab'a taşınması sürecine başlanacaktır. Çalışma danışman ile koordine edilecektir.</t>
    </r>
  </si>
  <si>
    <t xml:space="preserve">İç / PY </t>
  </si>
  <si>
    <r>
      <t xml:space="preserve">Yapılan:
</t>
    </r>
    <r>
      <rPr>
        <sz val="11"/>
        <color theme="1"/>
        <rFont val="Calibri"/>
        <family val="2"/>
        <charset val="162"/>
        <scheme val="minor"/>
      </rPr>
      <t xml:space="preserve">Dijital Arşiv ve Saklama Platformu geliştirme projesinde dış hizmet sağlayıcı tarafından iletilen tasarımlara uygun olarak arayüz düzenlemelerine başlanmıştır. 
Arayüz bileşenlerine Figma tasarımı üzerinden kolay erişim için firmadan yetki alınmıştır. 
Öncelikli olarak geliştirilecek servislerin içeriğinin netleştirilmesi için toplantı gerçekleştirilmiştir.
Dış hizmet sağlayıcı tarafından iletilen sayfa tasarımları incelenmiş, proje ekibi ile gerçekleştirilen toplantılar sonrasında yorumlar firma ile paylaşılmıştır. 
Webservis tasarımı için ilk versiyon oluşturulmuş ve dokümante edilmiştir.
Servis geliştirme süreci başlatılmıştır.
</t>
    </r>
    <r>
      <rPr>
        <b/>
        <sz val="11"/>
        <color theme="1"/>
        <rFont val="Calibri"/>
        <family val="2"/>
        <charset val="162"/>
        <scheme val="minor"/>
      </rPr>
      <t xml:space="preserve">
Yapılması Planlanan: 
</t>
    </r>
    <r>
      <rPr>
        <sz val="11"/>
        <color theme="1"/>
        <rFont val="Calibri"/>
        <family val="2"/>
        <charset val="162"/>
        <scheme val="minor"/>
      </rPr>
      <t xml:space="preserve">Gelecek hafta uygulama arayüzünde tasarımsal düzenlemeler ve servis katmanında geliştirmelere devam edilecektir.
Ekran tasarımları için eksik olan sayfalar Yeyu firması tarafından oluşturulup paylaşılacaktır. 
 </t>
    </r>
  </si>
  <si>
    <t>Yazılım mimarının henüz ekibe katılamamış olması nedeniyle yazılım tarafında 6 aylık bir gecikme vardır.Yazılım mimarı eksikliği etkisi yüksek bir risk olarak takip edilmektedir.</t>
  </si>
  <si>
    <r>
      <rPr>
        <b/>
        <sz val="11"/>
        <color theme="1"/>
        <rFont val="Calibri"/>
        <family val="2"/>
        <charset val="162"/>
        <scheme val="minor"/>
      </rPr>
      <t xml:space="preserve">Yapılan:
</t>
    </r>
    <r>
      <rPr>
        <sz val="11"/>
        <color theme="1"/>
        <rFont val="Calibri"/>
        <family val="2"/>
        <charset val="162"/>
        <scheme val="minor"/>
      </rPr>
      <t>Skymod YZ Platformu SkyStudio hakkında bilgilendirme toplantısı gerçekleştirilmiştir.
Orbina AI firmasının geliştirdiği YZ platformu hakkında bilgi alınmıştır.
Proje ekibi ile YZ uygulama geliştirme platformu görüşülmüştür.</t>
    </r>
    <r>
      <rPr>
        <b/>
        <sz val="11"/>
        <color theme="1"/>
        <rFont val="Calibri"/>
        <family val="2"/>
        <charset val="162"/>
        <scheme val="minor"/>
      </rPr>
      <t xml:space="preserve">
Yapılması Planlanan:
</t>
    </r>
    <r>
      <rPr>
        <sz val="11"/>
        <color theme="1"/>
        <rFont val="Calibri"/>
        <family val="2"/>
        <charset val="162"/>
        <scheme val="minor"/>
      </rPr>
      <t xml:space="preserve">YZ platformu seçimi ve çalışmalara başlanması planlanmaktadır.
Gereksinimlerin toplanması için çalışmalara devam edilecektir.
</t>
    </r>
  </si>
  <si>
    <t xml:space="preserve">Trendyol KEP'leştirme Projesi </t>
  </si>
  <si>
    <t>2025-PYO-017</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</si>
  <si>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Banka tarafından test ortamına IP erişim adresleri tekrar talep edilmiştir.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
Toplantıda belirlenen aksiyon maddeleri için takip sağlanacaktır.</t>
    </r>
  </si>
  <si>
    <t>2025-PYO-016</t>
  </si>
  <si>
    <t xml:space="preserve">CRM &amp; Greendocs Entegrasyonu Geliştirme Projesi </t>
  </si>
  <si>
    <t>Proje Yönlendirme Komitesi
Sibel Kabadaş Aka 
Aykut Kutlusan 
Cemal Önder Doğan</t>
  </si>
  <si>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t>
    </r>
    <r>
      <rPr>
        <b/>
        <sz val="11"/>
        <color theme="1"/>
        <rFont val="Calibri"/>
        <family val="2"/>
        <charset val="162"/>
        <scheme val="minor"/>
      </rPr>
      <t>Yapılması Planlanan:</t>
    </r>
    <r>
      <rPr>
        <sz val="11"/>
        <color theme="1"/>
        <rFont val="Calibri"/>
        <family val="2"/>
        <charset val="162"/>
        <scheme val="minor"/>
      </rPr>
      <t xml:space="preserve">
8 Eylül haftası gereksinimlerin Türkkep ve Kod-A firması için ayrıştırılarak analiz edilmesiyle ilgili çalışma yapılacaktır.
Proje başlatma toplantısı planlanacaktır.</t>
    </r>
  </si>
  <si>
    <t>İç/PY</t>
  </si>
  <si>
    <r>
      <rPr>
        <b/>
        <sz val="11"/>
        <color theme="1"/>
        <rFont val="Calibri"/>
        <family val="2"/>
        <charset val="162"/>
        <scheme val="minor"/>
      </rPr>
      <t>Yapılan</t>
    </r>
    <r>
      <rPr>
        <sz val="11"/>
        <color theme="1"/>
        <rFont val="Calibri"/>
        <family val="2"/>
        <charset val="162"/>
        <scheme val="minor"/>
      </rPr>
      <t xml:space="preserve">:
Linux sunucularının DNS değişimi tamamlanmıştır.
Domain geçişleri için Jira madde açılışları gerçekleştirilmiş ve sprint planlaması yapılmıştır.
</t>
    </r>
    <r>
      <rPr>
        <b/>
        <sz val="11"/>
        <color theme="1"/>
        <rFont val="Calibri"/>
        <family val="2"/>
        <charset val="162"/>
        <scheme val="minor"/>
      </rPr>
      <t xml:space="preserve">Yapılması Planlanan:
</t>
    </r>
    <r>
      <rPr>
        <sz val="11"/>
        <color theme="1"/>
        <rFont val="Calibri"/>
        <family val="2"/>
        <charset val="162"/>
        <scheme val="minor"/>
      </rPr>
      <t>Proje risk matrisi hazırlanacaktır.
Mevcut Durum analizi planlanan tarihte yapılamamış,  Eylül'ün ilk haftasında tamamlanmak üzere plan revize edilmiştir.
Yatırım analizlerinin yapılması maddesi için firmalarla görüşme planlanacaktır.
Hafta başı PYO ve Proje Yöneticisinin katılımıyla koordinasyon toplantı yapılacaktır.</t>
    </r>
  </si>
  <si>
    <t xml:space="preserve">İç /  Proje Grubu Üyesi </t>
  </si>
  <si>
    <t>Halkbank &amp; Türkkep - KEP Satış Projesi</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</si>
  <si>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teslim alınan SAT dokümanı üzerinden SRS dokümanı hazırlıklarına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
</t>
    </r>
  </si>
  <si>
    <r>
      <rPr>
        <b/>
        <sz val="11"/>
        <color theme="1"/>
        <rFont val="Calibri"/>
        <family val="2"/>
        <charset val="162"/>
        <scheme val="minor"/>
      </rPr>
      <t>Yapılan</t>
    </r>
    <r>
      <rPr>
        <sz val="11"/>
        <color theme="1"/>
        <rFont val="Calibri"/>
        <family val="2"/>
        <charset val="162"/>
        <scheme val="minor"/>
      </rPr>
      <t xml:space="preserve">:
Network altyapısı ve iletilen konfigürasyona göre sanal sunucular kurulmuştur. Danışman için VPN hesabı tanımlanmış ve erişim sağlanmıştır.
Kubernetes altyapısının kurulumu ve temel konfigürasyonu sağlanmıştır.
TFS'ten GitLab'a kod aktarımı için yapılan çalışmalara ilişkin Danışman değerlendirmesi yazılım ekibi ile paylaşılmıştır.
</t>
    </r>
    <r>
      <rPr>
        <b/>
        <sz val="11"/>
        <color theme="1"/>
        <rFont val="Calibri"/>
        <family val="2"/>
        <charset val="162"/>
        <scheme val="minor"/>
      </rPr>
      <t xml:space="preserve">Yapılması Planlanan:
</t>
    </r>
    <r>
      <rPr>
        <sz val="11"/>
        <color theme="1"/>
        <rFont val="Calibri"/>
        <family val="2"/>
        <charset val="162"/>
        <scheme val="minor"/>
      </rPr>
      <t>DevOps projesinde çalışacak personeli 1 Ekim tarihinde işe başlaması beklenmektedir.
Danışman tarafından imzalı sözleşme gönderilecektir.</t>
    </r>
  </si>
  <si>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TÜRMOB'un UKDS entegrasyon servisi ve entegrasyon suit pre prod servis erişimleri için erişim formları paylaşılmıştır.
</t>
    </r>
    <r>
      <rPr>
        <b/>
        <sz val="11"/>
        <color theme="1"/>
        <rFont val="Calibri"/>
        <family val="2"/>
        <charset val="162"/>
        <scheme val="minor"/>
      </rPr>
      <t>Yapılması Planlanan:</t>
    </r>
    <r>
      <rPr>
        <sz val="11"/>
        <color theme="1"/>
        <rFont val="Calibri"/>
        <family val="2"/>
        <charset val="162"/>
        <scheme val="minor"/>
      </rPr>
      <t xml:space="preserve">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</si>
  <si>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Ürün Yönetimi ile Datassist firması arasında Türkkep iş birliği ve entegrasyon süreçleriyle ilgili toplantı gerçekleştirmiştir.
</t>
    </r>
    <r>
      <rPr>
        <b/>
        <sz val="11"/>
        <color theme="1"/>
        <rFont val="Calibri"/>
        <family val="2"/>
        <charset val="162"/>
        <scheme val="minor"/>
      </rPr>
      <t xml:space="preserve">Yapılması Planlanan:
</t>
    </r>
    <r>
      <rPr>
        <sz val="11"/>
        <color theme="1"/>
        <rFont val="Calibri"/>
        <family val="2"/>
        <charset val="162"/>
        <scheme val="minor"/>
      </rPr>
      <t>10 Eylül tarihinde Datassist canlı geçiş süreci için değerlendirme toplantısı planlanmıştır.
Ürün Yönetimi ile proje kapsamı netleştirilecek, sonrasında Proje Başlatma Belgesi hazırlanacak ve proje başlatma duyurusu gerçekleştirilecektir.</t>
    </r>
  </si>
  <si>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Mock up ve analiz çalışması yapılmıştır.Jira maddeleri açılmıştır, geliştirmelere devam edilmiştir.
</t>
    </r>
    <r>
      <rPr>
        <b/>
        <sz val="11"/>
        <color theme="1"/>
        <rFont val="Calibri"/>
        <family val="2"/>
        <charset val="162"/>
        <scheme val="minor"/>
      </rPr>
      <t>Yapılması Planlanan:</t>
    </r>
    <r>
      <rPr>
        <sz val="11"/>
        <color theme="1"/>
        <rFont val="Calibri"/>
        <family val="2"/>
        <charset val="162"/>
        <scheme val="minor"/>
      </rPr>
      <t xml:space="preserve">
Geliştirme çalışmalarının tamamlanarak testlerinin yapılması ve kullanıma alınması planlanmıştır.</t>
    </r>
  </si>
  <si>
    <r>
      <rPr>
        <b/>
        <sz val="11"/>
        <color theme="1"/>
        <rFont val="Calibri"/>
        <family val="2"/>
        <charset val="162"/>
        <scheme val="minor"/>
      </rPr>
      <t>Yapılan</t>
    </r>
    <r>
      <rPr>
        <sz val="11"/>
        <color theme="1"/>
        <rFont val="Calibri"/>
        <family val="2"/>
        <charset val="162"/>
        <scheme val="minor"/>
      </rPr>
      <t xml:space="preserve">:
Proje Başlatma Belgesi hazırlanmaktadır.
</t>
    </r>
    <r>
      <rPr>
        <b/>
        <sz val="11"/>
        <color theme="1"/>
        <rFont val="Calibri"/>
        <family val="2"/>
        <charset val="162"/>
        <scheme val="minor"/>
      </rPr>
      <t>Yapılması Planlanan:</t>
    </r>
    <r>
      <rPr>
        <sz val="11"/>
        <color theme="1"/>
        <rFont val="Calibri"/>
        <family val="2"/>
        <charset val="162"/>
        <scheme val="minor"/>
      </rPr>
      <t xml:space="preserve">
Proje Başlatma Belgesi için Sponsor onayı alınacaktır.</t>
    </r>
  </si>
  <si>
    <r>
      <rPr>
        <b/>
        <sz val="11"/>
        <color theme="1"/>
        <rFont val="Calibri"/>
        <family val="2"/>
        <charset val="162"/>
        <scheme val="minor"/>
      </rPr>
      <t>Yapılan:</t>
    </r>
    <r>
      <rPr>
        <sz val="11"/>
        <color theme="1"/>
        <rFont val="Calibri"/>
        <family val="2"/>
        <charset val="162"/>
        <scheme val="minor"/>
      </rPr>
      <t xml:space="preserve">
</t>
    </r>
    <r>
      <rPr>
        <sz val="11"/>
        <color theme="1"/>
        <rFont val="Calibri"/>
        <family val="2"/>
        <charset val="162"/>
        <scheme val="minor"/>
      </rPr>
      <t xml:space="preserve">Dış hizmet sağlayıcı tarafından iletilen tasarımlara uygun olarak arayüz düzenlemelerine devam edilmiştir. 
Servis katmanında geliştirmeler devam etmekte olup user-service ve file-service için ön testler yapılmaya başlanmıştır.
 </t>
    </r>
    <r>
      <rPr>
        <b/>
        <sz val="11"/>
        <color theme="1"/>
        <rFont val="Calibri"/>
        <family val="2"/>
        <charset val="162"/>
        <scheme val="minor"/>
      </rPr>
      <t xml:space="preserve">
Yapılması Planlanan: 
</t>
    </r>
    <r>
      <rPr>
        <sz val="11"/>
        <color theme="1"/>
        <rFont val="Calibri"/>
        <family val="2"/>
        <charset val="162"/>
        <scheme val="minor"/>
      </rPr>
      <t xml:space="preserve">Dış hizmet sağlayıcı tarafından henüz paylaşılmamış sayfalar alınacak ve arayüz tasarımsal düzenlemeleri başlatılacaktır. Geliştirme süreci tamamlanan servisler için ön testlerin tamamlanmasının ardından süreç test ekibine aktarılacak ve detaylı test süreçleri başlatılacaktır. Metotlarda hata tespit edilmemesi durumunda önyüz bağlantılarının sağlanması adına yazılım ekibi ile paylaşılacaktır. 
08 Eylül Pazartesi günü proje ilerleme toplantısı yapılacaktır.
 </t>
    </r>
  </si>
  <si>
    <t xml:space="preserve">UKDS ile KEP Hesap Açılışı Sürecinin Otomasyonu </t>
  </si>
  <si>
    <r>
      <rPr>
        <b/>
        <sz val="11"/>
        <color theme="1"/>
        <rFont val="Calibri"/>
        <family val="2"/>
        <charset val="162"/>
        <scheme val="minor"/>
      </rPr>
      <t>Yapılan</t>
    </r>
    <r>
      <rPr>
        <sz val="11"/>
        <color theme="1"/>
        <rFont val="Calibri"/>
        <family val="2"/>
        <charset val="162"/>
        <scheme val="minor"/>
      </rPr>
      <t xml:space="preserve">:
Proje Başlatma Belgesi'nde proje kapsamı, teslimatlar ve proje km taşları için  konusunda Ürün Yönetimi'nden dönüş beklenmektedir.
</t>
    </r>
    <r>
      <rPr>
        <b/>
        <sz val="11"/>
        <color theme="1"/>
        <rFont val="Calibri"/>
        <family val="2"/>
        <charset val="162"/>
        <scheme val="minor"/>
      </rPr>
      <t xml:space="preserve">Yapılması Planlanan:
</t>
    </r>
    <r>
      <rPr>
        <sz val="11"/>
        <color theme="1"/>
        <rFont val="Calibri"/>
        <family val="2"/>
        <charset val="162"/>
        <scheme val="minor"/>
      </rPr>
      <t xml:space="preserve">Proje kapsamı ve teslimatlar için 15 Eylül haftasında Ürün Yönetimi ile toplantı yapılacaktır.
</t>
    </r>
  </si>
  <si>
    <r>
      <rPr>
        <b/>
        <sz val="11"/>
        <color theme="1"/>
        <rFont val="Calibri"/>
        <family val="2"/>
        <charset val="162"/>
        <scheme val="minor"/>
      </rPr>
      <t>Yapılan</t>
    </r>
    <r>
      <rPr>
        <sz val="11"/>
        <color theme="1"/>
        <rFont val="Calibri"/>
        <family val="2"/>
        <charset val="162"/>
        <scheme val="minor"/>
      </rPr>
      <t xml:space="preserve">:
Proje başlatma belgesi hazırlanmış ve sponsor onayı alınarak duyurusu gerçekleştirilmiştir.
TÇM ve Operasyon Bölümü çalışmaları için  e-Güven'e iletilen taleplerle ilgili firmadan bugün (05.09.2025) dönüş yapılmış, geliştirme planlaması hakkında bilgi verilmiştir.
</t>
    </r>
    <r>
      <rPr>
        <b/>
        <sz val="11"/>
        <color theme="1"/>
        <rFont val="Calibri"/>
        <family val="2"/>
        <charset val="162"/>
        <scheme val="minor"/>
      </rPr>
      <t xml:space="preserve">Yapılması Planlanan:
</t>
    </r>
    <r>
      <rPr>
        <sz val="11"/>
        <color theme="1"/>
        <rFont val="Calibri"/>
        <family val="2"/>
        <charset val="162"/>
        <scheme val="minor"/>
      </rPr>
      <t>e-Güven tarafından yapılacak geliştirmelere ilişkin planlama için firma ile toplantı yapılacaktır.</t>
    </r>
  </si>
  <si>
    <r>
      <rPr>
        <b/>
        <sz val="11"/>
        <color theme="1"/>
        <rFont val="Calibri"/>
        <family val="2"/>
        <charset val="162"/>
        <scheme val="minor"/>
      </rPr>
      <t xml:space="preserve">Yapılan:
</t>
    </r>
    <r>
      <rPr>
        <sz val="11"/>
        <color theme="1"/>
        <rFont val="Calibri"/>
        <family val="2"/>
        <charset val="162"/>
        <scheme val="minor"/>
      </rPr>
      <t xml:space="preserve">Skymod YZ Platformu SkyStudio demo ortamına verilen erişim yetkisi kapsamında ortam kullanımına başlanmıştır.
Orbina AI firmasının geliştirdiği YZ platformu için teklif alınmıştır. Orbina teknik ekibi ile 03 Eylül'de teknik toplantı yapılmış, geliştirme ortamı için bilgi alınmıştır.
Proje ekibine iki yeni personel katılmıştır.
</t>
    </r>
    <r>
      <rPr>
        <b/>
        <sz val="11"/>
        <color theme="1"/>
        <rFont val="Calibri"/>
        <family val="2"/>
        <charset val="162"/>
        <scheme val="minor"/>
      </rPr>
      <t xml:space="preserve">
Yapılması Planlanan:
</t>
    </r>
    <r>
      <rPr>
        <sz val="11"/>
        <color theme="1"/>
        <rFont val="Calibri"/>
        <family val="2"/>
        <charset val="162"/>
        <scheme val="minor"/>
      </rPr>
      <t>SkyMod YZ platformunda incelemeye devam edilecektir.
Orbina AI geliştirme platformu için erişim sağlanarak platformun imkanları incelenecektir.
SkyMod ve Orbina geliştirme platformları ve teklif karşılaştırması için çalışma yapılacaktır.</t>
    </r>
  </si>
  <si>
    <t>Proje bitiş tarihi, banka ile devam eden çalışmalar nedeniyle  7 ay ötelenerek Aralık sonu olarak güncellenmiştir</t>
  </si>
  <si>
    <r>
      <rPr>
        <b/>
        <sz val="11"/>
        <color theme="1"/>
        <rFont val="Calibri"/>
        <family val="2"/>
        <charset val="162"/>
        <scheme val="minor"/>
      </rPr>
      <t xml:space="preserve">Yapılan: </t>
    </r>
    <r>
      <rPr>
        <sz val="11"/>
        <color theme="1"/>
        <rFont val="Calibri"/>
        <family val="2"/>
        <scheme val="minor"/>
      </rPr>
      <t xml:space="preserve">
</t>
    </r>
    <r>
      <rPr>
        <sz val="11"/>
        <color theme="1"/>
        <rFont val="Calibri"/>
        <family val="2"/>
        <charset val="162"/>
        <scheme val="minor"/>
      </rPr>
      <t xml:space="preserve">Banka tarafından test ortamına IP erişim adresleri tekrar talep edilmiştir. 
Entegrasyon Suit preprod ortam için kullanılan apı access token süresi 08.2026 tarihine kadar uzatılmıştır.
</t>
    </r>
    <r>
      <rPr>
        <b/>
        <sz val="11"/>
        <color theme="1"/>
        <rFont val="Calibri"/>
        <family val="2"/>
        <charset val="162"/>
        <scheme val="minor"/>
      </rPr>
      <t>Yapılması Planlanan:</t>
    </r>
    <r>
      <rPr>
        <sz val="11"/>
        <color theme="1"/>
        <rFont val="Calibri"/>
        <family val="2"/>
        <charset val="162"/>
        <scheme val="minor"/>
      </rPr>
      <t xml:space="preserve">
Test süreci koordineli şekilde devam etmektedir.
Halkbank tarafından fiziksel evrak sürecinin proje kapsamına dahil edilmesi konusunda bilgi beklenmektedir.
Toplantıda belirlenen aksiyon maddeleri için takip sağlanacaktır.</t>
    </r>
  </si>
  <si>
    <r>
      <rPr>
        <b/>
        <sz val="11"/>
        <color theme="1"/>
        <rFont val="Calibri"/>
        <family val="2"/>
        <charset val="162"/>
        <scheme val="minor"/>
      </rPr>
      <t>Yapılan</t>
    </r>
    <r>
      <rPr>
        <sz val="11"/>
        <color theme="1"/>
        <rFont val="Calibri"/>
        <family val="2"/>
        <charset val="162"/>
        <scheme val="minor"/>
      </rPr>
      <t xml:space="preserve">:
TÜRMOB'un UKDS entegrasyon servisi ve entegrasyon suit pre prod servis erişimleri için erişim formları paylaşılmıştır dönüş beklenmektedir. 
</t>
    </r>
    <r>
      <rPr>
        <b/>
        <sz val="11"/>
        <color theme="1"/>
        <rFont val="Calibri"/>
        <family val="2"/>
        <charset val="162"/>
        <scheme val="minor"/>
      </rPr>
      <t>Yapılması Planlanan:</t>
    </r>
    <r>
      <rPr>
        <sz val="11"/>
        <color theme="1"/>
        <rFont val="Calibri"/>
        <family val="2"/>
        <charset val="162"/>
        <scheme val="minor"/>
      </rPr>
      <t xml:space="preserve">
Servisler incelendikten sonra toplantı gerçekleştirilecek ve proje planı hazırlanacaktır.</t>
    </r>
  </si>
  <si>
    <t xml:space="preserve">İç /  PY </t>
  </si>
  <si>
    <t>UKDS ile KEP Hesap Açılışı Sürecinin Otomasyonu Projesi</t>
  </si>
  <si>
    <r>
      <rPr>
        <b/>
        <sz val="11"/>
        <color theme="1"/>
        <rFont val="Calibri"/>
        <family val="2"/>
        <charset val="162"/>
        <scheme val="minor"/>
      </rPr>
      <t>Yapılan</t>
    </r>
    <r>
      <rPr>
        <sz val="11"/>
        <color theme="1"/>
        <rFont val="Calibri"/>
        <family val="2"/>
        <charset val="162"/>
        <scheme val="minor"/>
      </rPr>
      <t xml:space="preserve">:
17 Eylül tarihinde Trendyol katılımı ile UAT gerçekleştirilmiştir
Trendyol projesi için UKDS başvuru sayfası tamamlanmıştır. Test sürecine devam etmektedir.
</t>
    </r>
    <r>
      <rPr>
        <b/>
        <sz val="11"/>
        <color theme="1"/>
        <rFont val="Calibri"/>
        <family val="2"/>
        <charset val="162"/>
        <scheme val="minor"/>
      </rPr>
      <t>Yapılması Planlanan:</t>
    </r>
    <r>
      <rPr>
        <sz val="11"/>
        <color theme="1"/>
        <rFont val="Calibri"/>
        <family val="2"/>
        <charset val="162"/>
        <scheme val="minor"/>
      </rPr>
      <t xml:space="preserve">
CRM ve Mobil uygulama geliştirmelerinin gelecek sprinte planlanmıştır.</t>
    </r>
  </si>
  <si>
    <r>
      <rPr>
        <b/>
        <sz val="11"/>
        <color theme="1"/>
        <rFont val="Calibri"/>
        <family val="2"/>
        <charset val="162"/>
        <scheme val="minor"/>
      </rPr>
      <t xml:space="preserve">Yapılan:
</t>
    </r>
    <r>
      <rPr>
        <sz val="11"/>
        <color theme="1"/>
        <rFont val="Calibri"/>
        <family val="2"/>
        <charset val="162"/>
        <scheme val="minor"/>
      </rPr>
      <t xml:space="preserve">Skymod firmasının SkyStudio platformunun yeni özellikleri online lansmanına katılım sağlanmıştır..
SkyMod ve Orbina AI firması YZ geliştirme platformu özellikleri ve teklif karşılaştırması hazırlığı yapılarak YK Üyelerimiz ile paylaşılmıştır.
</t>
    </r>
    <r>
      <rPr>
        <b/>
        <sz val="11"/>
        <color theme="1"/>
        <rFont val="Calibri"/>
        <family val="2"/>
        <charset val="162"/>
        <scheme val="minor"/>
      </rPr>
      <t xml:space="preserve">
Yapılması Planlanan:
</t>
    </r>
    <r>
      <rPr>
        <sz val="11"/>
        <color theme="1"/>
        <rFont val="Calibri"/>
        <family val="2"/>
        <charset val="162"/>
        <scheme val="minor"/>
      </rPr>
      <t xml:space="preserve">Seçilecek firma ile sözleşme süreci başlatılacaktır.
</t>
    </r>
  </si>
  <si>
    <r>
      <rPr>
        <b/>
        <sz val="11"/>
        <color theme="1"/>
        <rFont val="Calibri"/>
        <family val="2"/>
        <charset val="162"/>
        <scheme val="minor"/>
      </rPr>
      <t>Yapılan</t>
    </r>
    <r>
      <rPr>
        <sz val="11"/>
        <color theme="1"/>
        <rFont val="Calibri"/>
        <family val="2"/>
        <charset val="162"/>
        <scheme val="minor"/>
      </rPr>
      <t xml:space="preserve">:
DevSecOps Ortamı Kurulum Projesi İlerleme Toplantısı'nda örnek bir java uygulamasının taşımasına  yönelik karşılaşılan sorun için Danışman tarafından çalışma yapılmaktadır.
</t>
    </r>
    <r>
      <rPr>
        <b/>
        <sz val="11"/>
        <color theme="1"/>
        <rFont val="Calibri"/>
        <family val="2"/>
        <charset val="162"/>
        <scheme val="minor"/>
      </rPr>
      <t xml:space="preserve">Yapılması Planlanan:
</t>
    </r>
    <r>
      <rPr>
        <sz val="11"/>
        <color theme="1"/>
        <rFont val="Calibri"/>
        <family val="2"/>
        <charset val="162"/>
        <scheme val="minor"/>
      </rPr>
      <t>22 Eylül Pazartesi günü proje ilerleme toplantısı yapılacaktır.</t>
    </r>
  </si>
  <si>
    <r>
      <rPr>
        <b/>
        <sz val="11"/>
        <color theme="1"/>
        <rFont val="Calibri"/>
        <family val="2"/>
        <charset val="162"/>
        <scheme val="minor"/>
      </rPr>
      <t>Yapılan</t>
    </r>
    <r>
      <rPr>
        <sz val="11"/>
        <color theme="1"/>
        <rFont val="Calibri"/>
        <family val="2"/>
        <charset val="162"/>
        <scheme val="minor"/>
      </rPr>
      <t xml:space="preserve">:
Domain geçişleri için yazılımcılar tarafından yapılan hazırlık çalışmalarına devam edilmiştir.
</t>
    </r>
    <r>
      <rPr>
        <b/>
        <sz val="11"/>
        <color theme="1"/>
        <rFont val="Calibri"/>
        <family val="2"/>
        <charset val="162"/>
        <scheme val="minor"/>
      </rPr>
      <t>Yapılması Planlanan:</t>
    </r>
    <r>
      <rPr>
        <sz val="11"/>
        <color theme="1"/>
        <rFont val="Calibri"/>
        <family val="2"/>
        <charset val="162"/>
        <scheme val="minor"/>
      </rPr>
      <t xml:space="preserve">
22 Eylül Pazartesi günü proje ilerleme toplantısı yapılacaktır.</t>
    </r>
  </si>
  <si>
    <r>
      <rPr>
        <b/>
        <sz val="11"/>
        <color theme="1"/>
        <rFont val="Calibri"/>
        <family val="2"/>
        <charset val="162"/>
        <scheme val="minor"/>
      </rPr>
      <t>Yapılan</t>
    </r>
    <r>
      <rPr>
        <sz val="11"/>
        <color theme="1"/>
        <rFont val="Calibri"/>
        <family val="2"/>
        <charset val="162"/>
        <scheme val="minor"/>
      </rPr>
      <t xml:space="preserve">:
Proje Başlatma Belgesi'nde proje kapsamı, teslimatlar ve proje km taşları için  konusunda Ürün Yönetimi'nden dönüş beklenmektedir.
</t>
    </r>
    <r>
      <rPr>
        <b/>
        <sz val="11"/>
        <color theme="1"/>
        <rFont val="Calibri"/>
        <family val="2"/>
        <charset val="162"/>
        <scheme val="minor"/>
      </rPr>
      <t xml:space="preserve">Yapılması Planlanan:
</t>
    </r>
    <r>
      <rPr>
        <sz val="11"/>
        <color theme="1"/>
        <rFont val="Calibri"/>
        <family val="2"/>
        <charset val="162"/>
        <scheme val="minor"/>
      </rPr>
      <t xml:space="preserve">Proje kapsamı ve teslimatlar için 22 Eylül haftasında Ürün Yönetimi ile toplantı yapılacaktır.
</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</si>
  <si>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edilmiş, sorunsuz çalıştığı görülmüştür..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yönelikj çalışmalara devam edilecektir. </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</si>
  <si>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onayına sunulmuştur.
Proje duyurusu yapılmıştır.
</t>
    </r>
    <r>
      <rPr>
        <b/>
        <sz val="11"/>
        <color theme="1"/>
        <rFont val="Calibri"/>
        <family val="2"/>
        <charset val="162"/>
        <scheme val="minor"/>
      </rPr>
      <t xml:space="preserve">Yapılması Planlanan:
</t>
    </r>
    <r>
      <rPr>
        <sz val="11"/>
        <color theme="1"/>
        <rFont val="Calibri"/>
        <family val="2"/>
        <charset val="162"/>
        <scheme val="minor"/>
      </rPr>
      <t>Örnek muvafakatname Datassist ekibi ile paylaşılacaktır.
İş ortaklığı sözleşmesi onay sonrası Datassist ekibi ile paylaşılacaktır.
Proje Başlangıç Toplantısı yapılacaktır.</t>
    </r>
  </si>
  <si>
    <r>
      <rPr>
        <b/>
        <sz val="11"/>
        <color theme="1"/>
        <rFont val="Calibri"/>
        <family val="2"/>
        <charset val="162"/>
        <scheme val="minor"/>
      </rPr>
      <t>Yapılan</t>
    </r>
    <r>
      <rPr>
        <sz val="11"/>
        <color theme="1"/>
        <rFont val="Calibri"/>
        <family val="2"/>
        <charset val="162"/>
        <scheme val="minor"/>
      </rPr>
      <t xml:space="preserve">:
CRM- Greendocs entegrasyonuna yönelik önceki çalışmalar incelenmiştir.
</t>
    </r>
    <r>
      <rPr>
        <b/>
        <sz val="11"/>
        <color theme="1"/>
        <rFont val="Calibri"/>
        <family val="2"/>
        <charset val="162"/>
        <scheme val="minor"/>
      </rPr>
      <t>Yapılması Planlanan:</t>
    </r>
    <r>
      <rPr>
        <sz val="11"/>
        <color theme="1"/>
        <rFont val="Calibri"/>
        <family val="2"/>
        <charset val="162"/>
        <scheme val="minor"/>
      </rPr>
      <t xml:space="preserve">
22 Eylül haftası gereksinimlerin Türkkep ve Kod-A firması için ayrıştırılarak analiz edilmesiyle ilgili çalışma yapılacaktır.
Proje başlangıç toplantısı yapılacaktır.</t>
    </r>
  </si>
  <si>
    <r>
      <rPr>
        <b/>
        <sz val="11"/>
        <color theme="1"/>
        <rFont val="Calibri"/>
        <family val="2"/>
        <charset val="162"/>
        <scheme val="minor"/>
      </rPr>
      <t>Yapılan</t>
    </r>
    <r>
      <rPr>
        <sz val="11"/>
        <color theme="1"/>
        <rFont val="Calibri"/>
        <family val="2"/>
        <charset val="162"/>
        <scheme val="minor"/>
      </rPr>
      <t xml:space="preserve">:
UKDS ile gerçekleştirilen KEP hesap açılışlarında manuel kontroller ve loglama ihtiyaçları konusunda çalışma yapılmıştır.
</t>
    </r>
    <r>
      <rPr>
        <b/>
        <sz val="11"/>
        <color theme="1"/>
        <rFont val="Calibri"/>
        <family val="2"/>
        <charset val="162"/>
        <scheme val="minor"/>
      </rPr>
      <t xml:space="preserve">Yapılması Planlanan:
</t>
    </r>
    <r>
      <rPr>
        <sz val="11"/>
        <color theme="1"/>
        <rFont val="Calibri"/>
        <family val="2"/>
        <charset val="162"/>
        <scheme val="minor"/>
      </rPr>
      <t>Proje Başlangıç Toplantısı yapılacaktır.
Manuel olarak gerçekleştirilen işlemlerle ilgili analiz çalışmasına devam edilecektir.</t>
    </r>
  </si>
  <si>
    <r>
      <rPr>
        <b/>
        <sz val="11"/>
        <color theme="1"/>
        <rFont val="Calibri"/>
        <family val="2"/>
        <charset val="162"/>
        <scheme val="minor"/>
      </rPr>
      <t>Yapılan:
S</t>
    </r>
    <r>
      <rPr>
        <sz val="11"/>
        <color theme="1"/>
        <rFont val="Calibri"/>
        <family val="2"/>
        <charset val="162"/>
        <scheme val="minor"/>
      </rPr>
      <t xml:space="preserve">ervis katmanında KEP ve Fatura için entegrasyon servisi geliştirmeleri tamamlanmış ve geliştirici testleri başlamıştır. 
Doküman gönderim servisleri için geliştirme süreci devam etmekte olup önyüz ekibi tarafından yapılan geri bildirimlere istinaden metot güncellemeleri sağlanmıştır. 
</t>
    </r>
    <r>
      <rPr>
        <b/>
        <sz val="11"/>
        <color theme="1"/>
        <rFont val="Calibri"/>
        <family val="2"/>
        <charset val="162"/>
        <scheme val="minor"/>
      </rPr>
      <t xml:space="preserve">
Yapılması Planlanan: 
S</t>
    </r>
    <r>
      <rPr>
        <sz val="11"/>
        <color theme="1"/>
        <rFont val="Calibri"/>
        <family val="2"/>
        <charset val="162"/>
        <scheme val="minor"/>
      </rPr>
      <t>ervis katmanı geliştirmelerine devam edilecektir. 
Arayüz tarafında servis bağlantıları yapılmaya devam edilecek ve tasarım dokümanına uygun olarak tasarımsal düzenlemeler gerçekleştirilecektir.</t>
    </r>
  </si>
  <si>
    <t>Proje bitiş tarihi, mobil uygulama tarafında yapılacak geliştirmeler nedeniyle 30 Eylül tarihine ötelenmiştir.</t>
  </si>
  <si>
    <t>Remzi Sefer</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</si>
  <si>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e-Fatura'nın tamamlanması, e-Arşiv Fatura'ya başlanması mümkün olabilecektir.
e-Arşiv Fatura ve e-İrsaliye için teslim alınan SAT dokümanı üzerinden SRS dokümanı hazırlıklarına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t>
    </r>
  </si>
  <si>
    <r>
      <rPr>
        <b/>
        <sz val="11"/>
        <color theme="1"/>
        <rFont val="Calibri"/>
        <family val="2"/>
        <charset val="162"/>
        <scheme val="minor"/>
      </rPr>
      <t>Yapılan:</t>
    </r>
    <r>
      <rPr>
        <sz val="11"/>
        <color theme="1"/>
        <rFont val="Calibri"/>
        <family val="2"/>
        <charset val="162"/>
        <scheme val="minor"/>
      </rPr>
      <t xml:space="preserve">
Yapay zeka geliştirme platformu sağlayacak firma olarak Orbina AI firması seçilmiştir. Yazılımcıların ilgili ortamda kontrol ve çalışmaları için erişim süreleri uzatılmıştır.
Yapay zeka süreçlerinde kullanılması adına örnek senaryo akışı hazırlanmaktadır.
</t>
    </r>
    <r>
      <rPr>
        <b/>
        <sz val="11"/>
        <color theme="1"/>
        <rFont val="Calibri"/>
        <family val="2"/>
        <charset val="162"/>
        <scheme val="minor"/>
      </rPr>
      <t xml:space="preserve">
Yapılması Planlanan:
</t>
    </r>
    <r>
      <rPr>
        <sz val="11"/>
        <color theme="1"/>
        <rFont val="Calibri"/>
        <family val="2"/>
        <charset val="162"/>
        <scheme val="minor"/>
      </rPr>
      <t>Orbina AI firma ile sözleşme sürecine devam edilecektir.
Ortam incelemesi ve örnek senaryo akışı çalışmalarına devam edilecektir.</t>
    </r>
  </si>
  <si>
    <r>
      <rPr>
        <b/>
        <sz val="11"/>
        <color theme="1"/>
        <rFont val="Calibri"/>
        <family val="2"/>
        <charset val="162"/>
        <scheme val="minor"/>
      </rPr>
      <t>Yapılan</t>
    </r>
    <r>
      <rPr>
        <sz val="11"/>
        <color theme="1"/>
        <rFont val="Calibri"/>
        <family val="2"/>
        <charset val="162"/>
        <scheme val="minor"/>
      </rPr>
      <t xml:space="preserve">:
Domain geçişleri 27 Eylül Cumartesi günü tamamlanmıştır. IP'lerin hostname olarak değiştirilmesi kısmında KEP Assist ve KEP Assistan ürünlerinde ek düzenleme ihtiyacına istinaden çalışma planlaması yapılmıştır.
22 Eylül ve 29 Eylül tarihlerinde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İş sürekliliği stratejisi ve politakalarının oluşturulması planlanacaktır.</t>
    </r>
  </si>
  <si>
    <r>
      <rPr>
        <b/>
        <sz val="11"/>
        <color theme="1"/>
        <rFont val="Calibri"/>
        <family val="2"/>
        <charset val="162"/>
        <scheme val="minor"/>
      </rPr>
      <t>Yapılan</t>
    </r>
    <r>
      <rPr>
        <sz val="11"/>
        <color theme="1"/>
        <rFont val="Calibri"/>
        <family val="2"/>
        <charset val="162"/>
        <scheme val="minor"/>
      </rPr>
      <t xml:space="preserve">:
DevSecOps Ortamı Kurulum Projesi İlerleme Toplantısı'nda örnek bir java uygulamasının taşımasına  yönelik karşılaşılan sorun için Danışman tarafından çalışma yapılmaktadır.
22 Eylül ve 29 Eylül tarihlerinde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6 Ekim tarihinde DevSecOps süreçlerinde görev alacak personel işe başlayacaktır.</t>
    </r>
  </si>
  <si>
    <t>Yazılım mimarının henüz ekibe katılamamış olması nedeniyle yazılım tarafında 7 aylık bir gecikme vardır.Yazılım mimarı eksikliği etkisi yüksek bir risk olarak takip edilmektedir.</t>
  </si>
  <si>
    <r>
      <rPr>
        <b/>
        <sz val="11"/>
        <color theme="1"/>
        <rFont val="Calibri"/>
        <family val="2"/>
        <charset val="162"/>
        <scheme val="minor"/>
      </rPr>
      <t>Yapılan</t>
    </r>
    <r>
      <rPr>
        <sz val="11"/>
        <color theme="1"/>
        <rFont val="Calibri"/>
        <family val="2"/>
        <charset val="162"/>
        <scheme val="minor"/>
      </rPr>
      <t xml:space="preserve">:
Proje kapsamı ve teslimatlar için 26 Eylül'de Ürün Yönetimi ile toplantı yapılmıştır.
</t>
    </r>
    <r>
      <rPr>
        <b/>
        <sz val="11"/>
        <color theme="1"/>
        <rFont val="Calibri"/>
        <family val="2"/>
        <charset val="162"/>
        <scheme val="minor"/>
      </rPr>
      <t xml:space="preserve">Yapılması Planlanan:
</t>
    </r>
    <r>
      <rPr>
        <sz val="11"/>
        <color theme="1"/>
        <rFont val="Calibri"/>
        <family val="2"/>
        <charset val="162"/>
        <scheme val="minor"/>
      </rPr>
      <t>Proje ekibi için düzenleme yapılacaktır.
Proje kapsamının netleştirilmesi için çalışma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</si>
  <si>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17 Eylül tarihinde Trendyol katılımı ile UAT gerçekleştirilmiştir
Trendyol projesi için UKDS başvuru sayfası çalışmaları tamamlanmıştır. 
Mobil uygulama geliştirme sürecine devam edilmiştir.
02 Ekim tarihinde firma ile toplantı yapılarak canlı kulanıma geçiş değerlendirilmiştir.
02 Ekim akşamı UKDS ve CRM tarafında yapılan geliştirmelerin taşıması gerçekleştirilmiştir.
</t>
    </r>
    <r>
      <rPr>
        <b/>
        <sz val="11"/>
        <color theme="1"/>
        <rFont val="Calibri"/>
        <family val="2"/>
        <charset val="162"/>
        <scheme val="minor"/>
      </rPr>
      <t>Yapılması Planlanan:</t>
    </r>
    <r>
      <rPr>
        <sz val="11"/>
        <color theme="1"/>
        <rFont val="Calibri"/>
        <family val="2"/>
        <charset val="162"/>
        <scheme val="minor"/>
      </rPr>
      <t xml:space="preserve">
Mobil uygulama tarafındaki geliştirmelerin testleri tamamlandıktan sonra Apple ve Google Play App Store onayına gönderilecek, onay sonrasında gelecek hafta başında canlıya alınacaktır.</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</si>
  <si>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edilmiş, ek geliştirmeler beklenmektedir.
24 Eylül Çarşamba günü e-Güven ile proje ilerleme toplantısı gerçekleştirilmiştir.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 çalışmalara devam edilecektir. </t>
    </r>
  </si>
  <si>
    <r>
      <rPr>
        <b/>
        <sz val="11"/>
        <color theme="1"/>
        <rFont val="Calibri"/>
        <family val="2"/>
        <charset val="162"/>
        <scheme val="minor"/>
      </rPr>
      <t>Yapılan</t>
    </r>
    <r>
      <rPr>
        <sz val="11"/>
        <color theme="1"/>
        <rFont val="Calibri"/>
        <family val="2"/>
        <charset val="162"/>
        <scheme val="minor"/>
      </rPr>
      <t xml:space="preserve">:
Proje Başlangıç Toplantısı yapılmıştır.
Kod-A sunucusundaki verilerin aktarımı ve GreenDocs erişimi için Türkkep tarafında hazırlıklar tamamlanmış ve bilgilendirme maili iletilmiştir. 
</t>
    </r>
    <r>
      <rPr>
        <b/>
        <sz val="11"/>
        <color theme="1"/>
        <rFont val="Calibri"/>
        <family val="2"/>
        <charset val="162"/>
        <scheme val="minor"/>
      </rPr>
      <t>Yapılması Planlanan:</t>
    </r>
    <r>
      <rPr>
        <sz val="11"/>
        <color theme="1"/>
        <rFont val="Calibri"/>
        <family val="2"/>
        <charset val="162"/>
        <scheme val="minor"/>
      </rPr>
      <t xml:space="preserve">
Greendocs tarafından gelecek dönüş ardından veri aktarım çalışmaları devam edilecektir.</t>
    </r>
  </si>
  <si>
    <r>
      <rPr>
        <b/>
        <sz val="11"/>
        <color theme="1"/>
        <rFont val="Calibri"/>
        <family val="2"/>
        <charset val="162"/>
        <scheme val="minor"/>
      </rPr>
      <t>Yapılan</t>
    </r>
    <r>
      <rPr>
        <sz val="11"/>
        <color theme="1"/>
        <rFont val="Calibri"/>
        <family val="2"/>
        <charset val="162"/>
        <scheme val="minor"/>
      </rPr>
      <t xml:space="preserve">:
Proje Başlangıç Toplantısı yapılmıştır.
Proje kapsamında otomasyon için akış tamamlandı. 
Manuel olarak gerçekleştirilen işlemlerle ilgili analiz çalışması ve otomasyon için akış hazılığı tamamlanmıştır.
6 Ekim tarihi için proje ilerleme toplantısı planlanmıştır.
</t>
    </r>
    <r>
      <rPr>
        <b/>
        <sz val="11"/>
        <color theme="1"/>
        <rFont val="Calibri"/>
        <family val="2"/>
        <charset val="162"/>
        <scheme val="minor"/>
      </rPr>
      <t xml:space="preserve">Yapılması Planlanan:
</t>
    </r>
    <r>
      <rPr>
        <sz val="11"/>
        <color theme="1"/>
        <rFont val="Calibri"/>
        <family val="2"/>
        <charset val="162"/>
        <scheme val="minor"/>
      </rPr>
      <t xml:space="preserve">Manuel olarak gerçekleştirilen işlemlerle ilgili analiz çalışması sonuçları 06 Ekim'de yapılacak toplantıda değerlendirilecek ve buna uygun olarak geliştirme sürecine başlanacaktır.
</t>
    </r>
  </si>
  <si>
    <r>
      <rPr>
        <b/>
        <sz val="11"/>
        <color theme="1"/>
        <rFont val="Calibri"/>
        <family val="2"/>
        <charset val="162"/>
        <scheme val="minor"/>
      </rPr>
      <t>Yapılan</t>
    </r>
    <r>
      <rPr>
        <sz val="11"/>
        <color theme="1"/>
        <rFont val="Calibri"/>
        <family val="2"/>
        <charset val="162"/>
        <scheme val="minor"/>
      </rPr>
      <t xml:space="preserve">:
Proje Başlangıç Toplantısı yapılmıştır.
Entegrasyon Suit canlı ortam IP erişim izinleri verilmiştir.
UKDS servislerinin Entegrasyon Suit üzerinden sunulması maddesi tamamlandı. Müşteriye açılacak metotlarla ilgili konu Ürün Yönetimi birimine aktarılmıştır. 
İş ortaklığı sözleşmesi Datassist ekibi ile paylaşılmıştır.
Örnek muvafakatname Datassist ekibi ile paylaşılmıştır.
</t>
    </r>
    <r>
      <rPr>
        <b/>
        <sz val="11"/>
        <color theme="1"/>
        <rFont val="Calibri"/>
        <family val="2"/>
        <charset val="162"/>
        <scheme val="minor"/>
      </rPr>
      <t>Yapılması Planlanan:</t>
    </r>
    <r>
      <rPr>
        <sz val="11"/>
        <color rgb="FFC00000"/>
        <rFont val="Calibri"/>
        <family val="2"/>
        <charset val="162"/>
        <scheme val="minor"/>
      </rPr>
      <t xml:space="preserve">
</t>
    </r>
    <r>
      <rPr>
        <sz val="11"/>
        <rFont val="Calibri"/>
        <family val="2"/>
        <charset val="162"/>
        <scheme val="minor"/>
      </rPr>
      <t>UKDS servislerinin Entegrasyon Suit üzerinden sunulması geliştirme maddesi için Ürün Yönetimi dönüşüne göre ek düzenleme yapılacaktır.</t>
    </r>
  </si>
  <si>
    <r>
      <rPr>
        <b/>
        <sz val="11"/>
        <color theme="1"/>
        <rFont val="Calibri"/>
        <family val="2"/>
        <charset val="162"/>
        <scheme val="minor"/>
      </rPr>
      <t>Yapılan</t>
    </r>
    <r>
      <rPr>
        <sz val="11"/>
        <color theme="1"/>
        <rFont val="Calibri"/>
        <family val="2"/>
        <charset val="162"/>
        <scheme val="minor"/>
      </rPr>
      <t xml:space="preserve">:
Proje Başlangıç Toplantısı yapılmıştır.
TÜRMOB'un UKDS entegrasyon servisi ve entegrasyon suit pre prod servis erişimleri için erişim formları paylaşılmıştır dönüş beklenmektedir. 
</t>
    </r>
    <r>
      <rPr>
        <b/>
        <sz val="11"/>
        <color theme="1"/>
        <rFont val="Calibri"/>
        <family val="2"/>
        <charset val="162"/>
        <scheme val="minor"/>
      </rPr>
      <t xml:space="preserve">Yapılması Planlanan:
</t>
    </r>
    <r>
      <rPr>
        <sz val="11"/>
        <color theme="1"/>
        <rFont val="Calibri"/>
        <family val="2"/>
        <charset val="162"/>
        <scheme val="minor"/>
      </rPr>
      <t>13 Ekim tarihinde durum bilgilerinin paylaşılması adına Türmob ile iletişime geçilecektir.
Servisler incelendikten sonra toplantı gerçekleştirilecek ve proje planı hazırlanacaktır.</t>
    </r>
  </si>
  <si>
    <t>Proje bitiş tarihi, Türmob tarafında devam eden süreç sebebiyle 3 ay ötelenerek Aralık sonu olarak güncellenmiştir</t>
  </si>
  <si>
    <r>
      <rPr>
        <b/>
        <sz val="11"/>
        <color theme="1"/>
        <rFont val="Calibri"/>
        <family val="2"/>
        <charset val="162"/>
        <scheme val="minor"/>
      </rPr>
      <t xml:space="preserve">Yapılan:
</t>
    </r>
    <r>
      <rPr>
        <sz val="11"/>
        <color theme="1"/>
        <rFont val="Calibri"/>
        <family val="2"/>
        <charset val="162"/>
        <scheme val="minor"/>
      </rPr>
      <t xml:space="preserve">Servis katmanı geliştirmeleri tamamlanmış ve test aşamasına geçilmiştir. 
Entegrasyon servislerinin uygulama arayüzü ile bağlanması sağlanmış, KEP ve Fatura modülleri için sisteme yüklenen örnek verilerin listeleme, görüntüleme ve indirme aksiyonları için çalışmalar gerçekleştirilmiştir. 
Entegrasyon yetkilendirmelerinde kullanılan modellerde düzenleme gerçekleştirilmiştir.
</t>
    </r>
    <r>
      <rPr>
        <b/>
        <sz val="11"/>
        <color theme="1"/>
        <rFont val="Calibri"/>
        <family val="2"/>
        <charset val="162"/>
        <scheme val="minor"/>
      </rPr>
      <t xml:space="preserve">
Yapılması Planlanan: 
T</t>
    </r>
    <r>
      <rPr>
        <sz val="11"/>
        <color theme="1"/>
        <rFont val="Calibri"/>
        <family val="2"/>
        <charset val="162"/>
        <scheme val="minor"/>
      </rPr>
      <t>üm modüller için entegrasyon servis bağlantılarının tamamlanması planlanmaktadır. 
Geliştirme aşamasında tespit edilen ihtiyaçlara uygun olarak servis katmanında gerekli düzenlemeler sağlanacaktır. 
Yetkilendirme ile ilgili modelde yapılan değişikliğe uygun olarak servis metotlerında güncellemeler yapılacaktır.
Ar-Ge proje kapanış raporu hazırlanacaktır.</t>
    </r>
  </si>
  <si>
    <r>
      <rPr>
        <b/>
        <sz val="11"/>
        <color theme="1"/>
        <rFont val="Calibri"/>
        <family val="2"/>
        <charset val="162"/>
        <scheme val="minor"/>
      </rPr>
      <t xml:space="preserve">Yapılan: 
</t>
    </r>
    <r>
      <rPr>
        <sz val="11"/>
        <color theme="1"/>
        <rFont val="Calibri"/>
        <family val="2"/>
        <charset val="162"/>
        <scheme val="minor"/>
      </rPr>
      <t xml:space="preserve">01 Ekim tarihinde test sürecinde alınan iki hata için toplantı gerçekleştirilmiş ve hatalar giderilmiştir.
02 Ekim tarihinde Halkbank entegrasyon ekibi ile toplantı gerçekleştirilmiştir. Bazı metotlar için talep edilen düzenlemelerin sağlanması adına planlama yapılmıştır. Test süreci devam ederken hızlı aksiyon alınması için whatsapp grubu üzerinden iletişim sağlanacak ve mail ile raporlandırılacaktır.
</t>
    </r>
    <r>
      <rPr>
        <b/>
        <sz val="11"/>
        <color theme="1"/>
        <rFont val="Calibri"/>
        <family val="2"/>
        <charset val="162"/>
        <scheme val="minor"/>
      </rPr>
      <t xml:space="preserve">Yapılması Planlanan:
</t>
    </r>
    <r>
      <rPr>
        <sz val="11"/>
        <color theme="1"/>
        <rFont val="Calibri"/>
        <family val="2"/>
        <charset val="162"/>
        <scheme val="minor"/>
      </rPr>
      <t>Banka tarafından test ortamına IP erişim adresleri beklenmektedir. 
Halkbank tarafından fiziksel evrak sürecinin proje kapsamına dahil edilmesi konusunda bilgi beklenmektedir.
Proje sözleşmesinde yer alan tüketici cayma hakkı maddesine istinaden 07 Ekim tarihinde toplantı planlanacaktır.</t>
    </r>
  </si>
  <si>
    <t>Proje Kapanışı Yapılmıştır.</t>
  </si>
  <si>
    <r>
      <rPr>
        <b/>
        <sz val="11"/>
        <color theme="1"/>
        <rFont val="Calibri"/>
        <family val="2"/>
        <charset val="162"/>
        <scheme val="minor"/>
      </rPr>
      <t>Yapılan</t>
    </r>
    <r>
      <rPr>
        <sz val="11"/>
        <color theme="1"/>
        <rFont val="Calibri"/>
        <family val="2"/>
        <charset val="162"/>
        <scheme val="minor"/>
      </rPr>
      <t xml:space="preserve">:
UKDS servislerinin Entegrasyon Suit üzerinden sunulması maddesi için testler tamamlanmıştır.
İş ortaklığı sözleşmesi imzalanmıştır.
16 Ekim tarihinde firma ile operasyonel süreçler konusunda toplantı gerçekleştirilmiştir. 
</t>
    </r>
    <r>
      <rPr>
        <b/>
        <sz val="11"/>
        <color theme="1"/>
        <rFont val="Calibri"/>
        <family val="2"/>
        <charset val="162"/>
        <scheme val="minor"/>
      </rPr>
      <t>Yapılması Planlanan:</t>
    </r>
    <r>
      <rPr>
        <sz val="11"/>
        <color rgb="FFC00000"/>
        <rFont val="Calibri"/>
        <family val="2"/>
        <charset val="162"/>
        <scheme val="minor"/>
      </rPr>
      <t xml:space="preserve">
</t>
    </r>
    <r>
      <rPr>
        <sz val="11"/>
        <rFont val="Calibri"/>
        <family val="2"/>
        <charset val="162"/>
        <scheme val="minor"/>
      </rPr>
      <t>UKDS servislerinin Entegrasyon Suit üzerinden sunulması geliştirme maddesi için canlıya geçiş planlaması sağlanacak ve firmayla tarih bilgisi paylaşılacaktır.
27 Ekim olarak adreslenen toplantı aksiyon maddeleri için çalışma sağlanacaktır.</t>
    </r>
  </si>
  <si>
    <r>
      <rPr>
        <b/>
        <sz val="11"/>
        <color theme="1"/>
        <rFont val="Calibri"/>
        <family val="2"/>
        <charset val="162"/>
        <scheme val="minor"/>
      </rPr>
      <t xml:space="preserve">Yapılan: 
</t>
    </r>
    <r>
      <rPr>
        <sz val="11"/>
        <color theme="1"/>
        <rFont val="Calibri"/>
        <family val="2"/>
        <charset val="162"/>
        <scheme val="minor"/>
      </rPr>
      <t xml:space="preserve">Bazı metotlar için talep edilen düzenlemelerin sağlanması adına planlama yapılmış, geliştirme maddeleri sprinte alınmıştır.
Proje sözleşmesinde yer alan tüketici cayma hakkı maddesine istinaden 14 Ekim tarihinde toplantı gerçekleştirilmiştir.
16 Ekim tarihinde Halkbank tarafından hazırlanan statü servisi ve dokümantasyonu paylaşılmıştır.
</t>
    </r>
    <r>
      <rPr>
        <b/>
        <sz val="11"/>
        <color theme="1"/>
        <rFont val="Calibri"/>
        <family val="2"/>
        <charset val="162"/>
        <scheme val="minor"/>
      </rPr>
      <t xml:space="preserve">Yapılması Planlanan:
</t>
    </r>
    <r>
      <rPr>
        <sz val="11"/>
        <color theme="1"/>
        <rFont val="Calibri"/>
        <family val="2"/>
        <charset val="162"/>
        <scheme val="minor"/>
      </rPr>
      <t>Geliştirme maddelerinin son durumu 20 Ekim tarihinde Halkbank ile paylaşılacaktır.
Banka tarafından test ortamına IP erişim adresleri beklenmektedir. 
Halkbank tarafından fiziksel evrak sürecinin proje kapsamına dahil edilmesi konusunda bilgi beklenmektedir.</t>
    </r>
  </si>
  <si>
    <r>
      <rPr>
        <b/>
        <sz val="11"/>
        <color theme="1"/>
        <rFont val="Calibri"/>
        <family val="2"/>
        <charset val="162"/>
        <scheme val="minor"/>
      </rPr>
      <t>Yapılan</t>
    </r>
    <r>
      <rPr>
        <sz val="11"/>
        <color theme="1"/>
        <rFont val="Calibri"/>
        <family val="2"/>
        <charset val="162"/>
        <scheme val="minor"/>
      </rPr>
      <t xml:space="preserve">:
6 Ekim ve 13 Ekim tarihlerinde proje ilerleme toplantısı yapılmıştır.
Fortify uygulamasını CI/CD pipeline'a alınmasına yönelik DevOPS Danışamnı ve Fortify firması katılımı ile 16 Ekim'de bir toplantı yapılmıştır..
</t>
    </r>
    <r>
      <rPr>
        <b/>
        <sz val="11"/>
        <color theme="1"/>
        <rFont val="Calibri"/>
        <family val="2"/>
        <charset val="162"/>
        <scheme val="minor"/>
      </rPr>
      <t xml:space="preserve">Yapılması Planlanan:
</t>
    </r>
    <r>
      <rPr>
        <sz val="11"/>
        <color theme="1"/>
        <rFont val="Calibri"/>
        <family val="2"/>
        <charset val="162"/>
        <scheme val="minor"/>
      </rPr>
      <t xml:space="preserve">Fortify'ın CI/CD pipeline'a entegrasyonu için 22/23 Ekim'de 2'şer saatlik çalıştay yapılacaktır.
</t>
    </r>
  </si>
  <si>
    <r>
      <rPr>
        <b/>
        <sz val="11"/>
        <color theme="1"/>
        <rFont val="Calibri"/>
        <family val="2"/>
        <charset val="162"/>
        <scheme val="minor"/>
      </rPr>
      <t>Yapılan</t>
    </r>
    <r>
      <rPr>
        <sz val="11"/>
        <color theme="1"/>
        <rFont val="Calibri"/>
        <family val="2"/>
        <charset val="162"/>
        <scheme val="minor"/>
      </rPr>
      <t xml:space="preserve">:
Herhangi bir çalışma gerçekleşmemiştir.
</t>
    </r>
    <r>
      <rPr>
        <b/>
        <sz val="11"/>
        <color theme="1"/>
        <rFont val="Calibri"/>
        <family val="2"/>
        <charset val="162"/>
        <scheme val="minor"/>
      </rPr>
      <t xml:space="preserve">Yapılması Planlanan:
</t>
    </r>
    <r>
      <rPr>
        <sz val="11"/>
        <color theme="1"/>
        <rFont val="Calibri"/>
        <family val="2"/>
        <charset val="162"/>
        <scheme val="minor"/>
      </rPr>
      <t>Proje kapsamının yeniden değerlendirilerek çalışmalara başlanmasına yönelik 21 Ekim'de bir toplantı yapılacaktır.</t>
    </r>
    <r>
      <rPr>
        <b/>
        <sz val="11"/>
        <color theme="1"/>
        <rFont val="Calibri"/>
        <family val="2"/>
        <charset val="162"/>
        <scheme val="minor"/>
      </rPr>
      <t xml:space="preserve">
</t>
    </r>
  </si>
  <si>
    <t>2025-PYO-018</t>
  </si>
  <si>
    <r>
      <rPr>
        <b/>
        <sz val="11"/>
        <color theme="1"/>
        <rFont val="Calibri"/>
        <family val="2"/>
        <charset val="162"/>
        <scheme val="minor"/>
      </rPr>
      <t>Yapılan</t>
    </r>
    <r>
      <rPr>
        <sz val="11"/>
        <color theme="1"/>
        <rFont val="Calibri"/>
        <family val="2"/>
        <charset val="162"/>
        <scheme val="minor"/>
      </rPr>
      <t xml:space="preserve">:
Proje Başlatma Belgesi hazırlanmaktadır.
</t>
    </r>
    <r>
      <rPr>
        <b/>
        <sz val="11"/>
        <color theme="1"/>
        <rFont val="Calibri"/>
        <family val="2"/>
        <charset val="162"/>
        <scheme val="minor"/>
      </rPr>
      <t xml:space="preserve">Yapılması Planlanan:
</t>
    </r>
    <r>
      <rPr>
        <sz val="11"/>
        <color theme="1"/>
        <rFont val="Calibri"/>
        <family val="2"/>
        <charset val="162"/>
        <scheme val="minor"/>
      </rPr>
      <t xml:space="preserve">Proje açılış duyurusu yapılacaktır.
</t>
    </r>
  </si>
  <si>
    <r>
      <rPr>
        <b/>
        <sz val="11"/>
        <color theme="1"/>
        <rFont val="Calibri"/>
        <family val="2"/>
        <charset val="162"/>
        <scheme val="minor"/>
      </rPr>
      <t xml:space="preserve">Yapılan:
</t>
    </r>
    <r>
      <rPr>
        <sz val="11"/>
        <color theme="1"/>
        <rFont val="Calibri"/>
        <family val="2"/>
        <charset val="162"/>
        <scheme val="minor"/>
      </rPr>
      <t xml:space="preserve">Proje kapanış toplantısı gerçekleştirilmiştir. Proje kapanış duyurusu yapılmıştır.
Devam projesi için değerlendirilecek maddeler derlenmiş ve Proje Sponsoruna bilgilendirmesi yapılmıştır.
</t>
    </r>
    <r>
      <rPr>
        <b/>
        <sz val="11"/>
        <color theme="1"/>
        <rFont val="Calibri"/>
        <family val="2"/>
        <charset val="162"/>
        <scheme val="minor"/>
      </rPr>
      <t xml:space="preserve">Yapılması Planlanan: </t>
    </r>
    <r>
      <rPr>
        <sz val="11"/>
        <color theme="1"/>
        <rFont val="Calibri"/>
        <family val="2"/>
        <charset val="162"/>
        <scheme val="minor"/>
      </rPr>
      <t xml:space="preserve">
Proje kapanış raporu ve dokümantasyonu proje arşiv dizinine yüklenecektir.</t>
    </r>
  </si>
  <si>
    <r>
      <rPr>
        <b/>
        <sz val="11"/>
        <color theme="1"/>
        <rFont val="Calibri"/>
        <family val="2"/>
        <charset val="162"/>
        <scheme val="minor"/>
      </rPr>
      <t>Yapılan</t>
    </r>
    <r>
      <rPr>
        <sz val="11"/>
        <color theme="1"/>
        <rFont val="Calibri"/>
        <family val="2"/>
        <charset val="162"/>
        <scheme val="minor"/>
      </rPr>
      <t xml:space="preserve">:
Herhangi bir çalışma gerçekleşmemiştir.
</t>
    </r>
    <r>
      <rPr>
        <b/>
        <sz val="11"/>
        <color theme="1"/>
        <rFont val="Calibri"/>
        <family val="2"/>
        <charset val="162"/>
        <scheme val="minor"/>
      </rPr>
      <t xml:space="preserve">Yapılması Planlanan:
</t>
    </r>
    <r>
      <rPr>
        <sz val="11"/>
        <color theme="1"/>
        <rFont val="Calibri"/>
        <family val="2"/>
        <charset val="162"/>
        <scheme val="minor"/>
      </rPr>
      <t>20 Ekim tarihinde durum bilgilerinin paylaşılması adına Türmob ile iletişime geçilecektir.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</si>
  <si>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IP'lerin hostname olarak değiştirilmesi kısmında KEP Assist ve KEP Assistan ürünlerinde ek düzenleme ihtiyacına istinaden çalışmalar tamamlanmıştır.
6 Ekim ve 13 Ekim tarihlerinde proje ilerleme toplantısı yapılmıştır.
İş sürekliliği stratejisi ve politakalarının oluşturulması çalıması 17 Ekim tarihinde tamamlanmıştır.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IP'lerin hostname olarak değiştirilmesi kısmında KEP Assist ve KEP Assistan ürünleri için 20 Ekim tarihinde deploy yapılacaktır.</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</si>
  <si>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edilmiş, ek geliştirmeler beklenmektedir.
10 Ekim tarihinde e-Güven ile geliştirme maddelerini görüşmek adına toplantı yapılmıştır.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 çalışmalara devam edilecektir. </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</si>
  <si>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başlanmıştır.
</t>
    </r>
    <r>
      <rPr>
        <b/>
        <sz val="11"/>
        <color theme="1"/>
        <rFont val="Calibri"/>
        <family val="2"/>
        <charset val="162"/>
        <scheme val="minor"/>
      </rPr>
      <t>Yapılması Planlanan:</t>
    </r>
    <r>
      <rPr>
        <sz val="11"/>
        <color theme="1"/>
        <rFont val="Calibri"/>
        <family val="2"/>
        <charset val="162"/>
        <scheme val="minor"/>
      </rPr>
      <t xml:space="preserve">
Greendocs tarafından gelecek dönüş ardından veri aktarım çalışmaları devam edilecektir.
Greendocs kullanıcı olarak talep edilen kişilerin tanımlama sürecinde istenilen ek bilgiler paylaşılacaktır.
20 Ekim haftası proje ilerleme toplantısı planlanacaktır.</t>
    </r>
  </si>
  <si>
    <r>
      <rPr>
        <b/>
        <sz val="11"/>
        <color theme="1"/>
        <rFont val="Calibri"/>
        <family val="2"/>
        <charset val="162"/>
        <scheme val="minor"/>
      </rPr>
      <t>Yapılan</t>
    </r>
    <r>
      <rPr>
        <sz val="11"/>
        <color theme="1"/>
        <rFont val="Calibri"/>
        <family val="2"/>
        <charset val="162"/>
        <scheme val="minor"/>
      </rPr>
      <t xml:space="preserve">:
Proje kapsamında otomasyon için akış ile Kayıt İşleri ve Hesap İşleri Yöneticisi Süreci tamamlanmış, TÇM ve Operasyon Direktörü katılımıyla toplantı yapılmıştır.
17 Ekim 2025 tarihinde akış süreçleri gözden geçirme toplantısı yapılmıştır.
</t>
    </r>
    <r>
      <rPr>
        <b/>
        <sz val="11"/>
        <color theme="1"/>
        <rFont val="Calibri"/>
        <family val="2"/>
        <charset val="162"/>
        <scheme val="minor"/>
      </rPr>
      <t xml:space="preserve">Yapılması Planlanan:
</t>
    </r>
    <r>
      <rPr>
        <sz val="11"/>
        <color theme="1"/>
        <rFont val="Calibri"/>
        <family val="2"/>
        <charset val="162"/>
        <scheme val="minor"/>
      </rPr>
      <t>20 Ekim haftası proje ilerleme toplantısı planlanacaktır.
Kayıt İşleri ve Hesap İşleri Yöneticisi Süreç akışı için 20 Ekim haftasında toplantı planlanacaktır.
Akış süreçleri birleştirilerek değişiklikler yapılacak, geliştirme sürecine devam edilecektir.</t>
    </r>
  </si>
  <si>
    <t>Yazılım mimarının henüz ekibe katılamamış olması nedeniyle yazılım tarafında 8 aylık bir gecikme vardır.Yazılım mimarı eksikliği etkisi yüksek bir risk olarak takip edilmektedir. Projenin tüm bileşenleri ile Haziran 2026'ya kadar tamamlanması kaynak artışı veya kapsam daraltması olmadıkça zora girmiştir.</t>
  </si>
  <si>
    <r>
      <rPr>
        <b/>
        <sz val="11"/>
        <color theme="1"/>
        <rFont val="Calibri"/>
        <family val="2"/>
        <charset val="162"/>
        <scheme val="minor"/>
      </rPr>
      <t>Yapılan:</t>
    </r>
    <r>
      <rPr>
        <sz val="11"/>
        <color theme="1"/>
        <rFont val="Calibri"/>
        <family val="2"/>
        <charset val="162"/>
        <scheme val="minor"/>
      </rPr>
      <t xml:space="preserve">
Yapay zeka süreçlerinde kullanılması adına örnek senaryo akışı hazırlığı devam etmektedir.
Orbina AI firma ile sözleşme süreci tamamlanmıştır.
Orbina AI firma katılımıyla proje başlangıç toplantısı 17.10.2025 tarihinde gerçekleştirilmiştir.
</t>
    </r>
    <r>
      <rPr>
        <b/>
        <sz val="11"/>
        <color theme="1"/>
        <rFont val="Calibri"/>
        <family val="2"/>
        <charset val="162"/>
        <scheme val="minor"/>
      </rPr>
      <t xml:space="preserve">
Yapılması Planlanan:
</t>
    </r>
    <r>
      <rPr>
        <sz val="11"/>
        <color theme="1"/>
        <rFont val="Calibri"/>
        <family val="2"/>
        <charset val="162"/>
        <scheme val="minor"/>
      </rPr>
      <t xml:space="preserve">21 Ekim itibariyle geliştirme ortamı kullanıma açılacaktır.
Use Case ve iş akışı çalışması yapılacaktır.
</t>
    </r>
  </si>
  <si>
    <r>
      <rPr>
        <b/>
        <sz val="11"/>
        <color theme="1"/>
        <rFont val="Calibri"/>
        <family val="2"/>
        <charset val="162"/>
        <scheme val="minor"/>
      </rPr>
      <t>Yapılan</t>
    </r>
    <r>
      <rPr>
        <sz val="11"/>
        <color theme="1"/>
        <rFont val="Calibri"/>
        <family val="2"/>
        <charset val="162"/>
        <scheme val="minor"/>
      </rPr>
      <t xml:space="preserve">:
Mobil uygulama geliştirme sürecine devam edilmiştir.Kampanya linki ile onay aşamalarının devam edeceği sayfaya doğrudan erişim sağlanması konusunda Appsflyer, Adeven ve Adjust firmayla görüşme sağlanmıştır. 
Mobil uygulama tarafındaki geliştirmelerin testleri tamamlandıktan sonra Apple ve Google Play App Store onayına gönderilmiş ve onay alınmıştır.
</t>
    </r>
    <r>
      <rPr>
        <b/>
        <sz val="11"/>
        <color theme="1"/>
        <rFont val="Calibri"/>
        <family val="2"/>
        <charset val="162"/>
        <scheme val="minor"/>
      </rPr>
      <t>Yapılması Planlanan:</t>
    </r>
    <r>
      <rPr>
        <sz val="11"/>
        <color theme="1"/>
        <rFont val="Calibri"/>
        <family val="2"/>
        <charset val="162"/>
        <scheme val="minor"/>
      </rPr>
      <t xml:space="preserve">
Mobil geliştirme 20 Ekim'de canlıya alınacaktır.
Kasım ayı ilk haftası firma ile toplantı yapılarak canlı kulanıma geçiş yapılması planlanmaktadır.</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</si>
  <si>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sürecindedir.Gelinen aşamada ek geliştirme gerekmediği değerlendirilmiştir.
</t>
    </r>
    <r>
      <rPr>
        <b/>
        <sz val="11"/>
        <color theme="1"/>
        <rFont val="Calibri"/>
        <family val="2"/>
        <charset val="162"/>
        <scheme val="minor"/>
      </rPr>
      <t xml:space="preserve">Yapılması Planlanan:
</t>
    </r>
    <r>
      <rPr>
        <sz val="11"/>
        <color theme="1"/>
        <rFont val="Calibri"/>
        <family val="2"/>
        <charset val="162"/>
        <scheme val="minor"/>
      </rPr>
      <t>CRM'de yapılan değişikliklerin e-Güven CRM tarafına aktarılmasına yönelik çalışmalara devam edilecektir.
e-Güven'e iletilmesi planlanan sertifika durum bilgisi ve sertifika yüklenme tarihini içeren servisin oluşturulması konusunda iç değerlendirme sağlanacaktır. 
PIN/PUK gönderimi konusunda e-Güven'den bilgi beklenmektedir. 
10 Kasım haftasında Proje İlerleme Toplantısı planlanacaktır.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</si>
  <si>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20 Ekim haftası proje ilerleme toplantısı gerçekleştirilmiştir.
Greendocs kullanıcı olarak talep edilen kişilerin tanımlama sürecinde istenilen ek bilgiler paylaşılmıştır.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görüşme sağlanacaktır.</t>
    </r>
  </si>
  <si>
    <r>
      <rPr>
        <b/>
        <sz val="11"/>
        <color theme="1"/>
        <rFont val="Calibri"/>
        <family val="2"/>
        <charset val="162"/>
        <scheme val="minor"/>
      </rPr>
      <t>Yapılan</t>
    </r>
    <r>
      <rPr>
        <sz val="11"/>
        <color theme="1"/>
        <rFont val="Calibri"/>
        <family val="2"/>
        <charset val="162"/>
        <scheme val="minor"/>
      </rPr>
      <t xml:space="preserve">:
Kayıt İşleri ve Hesap İşleri Yöneticisi Süreç akışı için 22 Ekim ve 23 Ekim tarihlerinde toplantı yapılmıştır. İki akış birleştirilmiştir. Geliştirme için maddeler açılmış ve testlere devam edilmektedir. 
Akış süreçleri birleştirilerek değişiklikler yapılmıştır. Geliştirmelerin testlerine devam edilmektedir. 
</t>
    </r>
    <r>
      <rPr>
        <b/>
        <sz val="11"/>
        <color theme="1"/>
        <rFont val="Calibri"/>
        <family val="2"/>
        <charset val="162"/>
        <scheme val="minor"/>
      </rPr>
      <t xml:space="preserve">Yapılması Planlanan:
</t>
    </r>
    <r>
      <rPr>
        <sz val="11"/>
        <color theme="1"/>
        <rFont val="Calibri"/>
        <family val="2"/>
        <charset val="162"/>
        <scheme val="minor"/>
      </rPr>
      <t xml:space="preserve">Teknik testler tamamlandıktan sonra proje kapanış aşamasına geçilecektir.
Operasyon ekibinden katılımcıların yer alacağı test çalışması planlanacaktır.Testler tamamlandıktan sonra canlıya geçiş için planlama yapılacaktır.
</t>
    </r>
  </si>
  <si>
    <r>
      <rPr>
        <b/>
        <sz val="11"/>
        <color theme="1"/>
        <rFont val="Calibri"/>
        <family val="2"/>
        <charset val="162"/>
        <scheme val="minor"/>
      </rPr>
      <t xml:space="preserve">Yapılan:
</t>
    </r>
    <r>
      <rPr>
        <sz val="11"/>
        <color theme="1"/>
        <rFont val="Calibri"/>
        <family val="2"/>
        <charset val="162"/>
        <scheme val="minor"/>
      </rPr>
      <t>Proje kapanış raporu ve dokümantasyonu proje arşiv dizinine yüklenmiştir.</t>
    </r>
  </si>
  <si>
    <r>
      <rPr>
        <b/>
        <sz val="11"/>
        <color theme="1"/>
        <rFont val="Calibri"/>
        <family val="2"/>
        <charset val="162"/>
        <scheme val="minor"/>
      </rPr>
      <t>Yapılan</t>
    </r>
    <r>
      <rPr>
        <sz val="11"/>
        <color theme="1"/>
        <rFont val="Calibri"/>
        <family val="2"/>
        <charset val="162"/>
        <scheme val="minor"/>
      </rPr>
      <t xml:space="preserve">:
20 Ekim ve 27 Ekim tarihlerinde proje ilerleme toplantısı yapılmıştır.
Fortify'ın CI/CD pipeline'a entegrasyonu için 22/23 Ekim'de 2'şer saatlik çalıştay yapılmıştır. Örnek proje üzerinden tarama yapılmıştır.
</t>
    </r>
    <r>
      <rPr>
        <b/>
        <sz val="11"/>
        <color theme="1"/>
        <rFont val="Calibri"/>
        <family val="2"/>
        <charset val="162"/>
        <scheme val="minor"/>
      </rPr>
      <t xml:space="preserve">Yapılması Planlanan:
</t>
    </r>
    <r>
      <rPr>
        <sz val="11"/>
        <color theme="1"/>
        <rFont val="Calibri"/>
        <family val="2"/>
        <charset val="162"/>
        <scheme val="minor"/>
      </rPr>
      <t xml:space="preserve">Yazılım ekibinin bilgisayarlarına gerçekleştirilecek Fortify kurulumu için planlama yapılacaktır.
</t>
    </r>
  </si>
  <si>
    <r>
      <rPr>
        <b/>
        <sz val="11"/>
        <color theme="1"/>
        <rFont val="Calibri"/>
        <family val="2"/>
        <charset val="162"/>
        <scheme val="minor"/>
      </rPr>
      <t>Yapılan</t>
    </r>
    <r>
      <rPr>
        <sz val="11"/>
        <color theme="1"/>
        <rFont val="Calibri"/>
        <family val="2"/>
        <charset val="162"/>
        <scheme val="minor"/>
      </rPr>
      <t xml:space="preserve">:
UKDS servislerinin Entegrasyon Suit üzerinden sunulması maddesi için testler tamamlanmıştır.
</t>
    </r>
    <r>
      <rPr>
        <b/>
        <sz val="11"/>
        <color theme="1"/>
        <rFont val="Calibri"/>
        <family val="2"/>
        <charset val="162"/>
        <scheme val="minor"/>
      </rPr>
      <t>Yapılması Planlanan:</t>
    </r>
    <r>
      <rPr>
        <sz val="11"/>
        <color rgb="FFC00000"/>
        <rFont val="Calibri"/>
        <family val="2"/>
        <charset val="162"/>
        <scheme val="minor"/>
      </rPr>
      <t xml:space="preserve">
</t>
    </r>
    <r>
      <rPr>
        <sz val="11"/>
        <rFont val="Calibri"/>
        <family val="2"/>
        <charset val="162"/>
        <scheme val="minor"/>
      </rPr>
      <t>UKDS servislerinin Entegrasyon Suit üzerinden sunulması geliştirme maddesi için canlıya geçiş planlaması sağlanacak ve firmayla tarih bilgisi paylaşılacaktır.
Gerçekleştirilen toplantı sonrası aksiyon maddeleri için çalışmalar devam etmektedir. Operasyonel süreçle ilgili paylaşılan sorular için iç ekip koordinasyonu sağlanacaktır.</t>
    </r>
  </si>
  <si>
    <r>
      <rPr>
        <b/>
        <sz val="11"/>
        <color theme="1"/>
        <rFont val="Calibri"/>
        <family val="2"/>
        <charset val="162"/>
        <scheme val="minor"/>
      </rPr>
      <t>Yapılan</t>
    </r>
    <r>
      <rPr>
        <sz val="11"/>
        <color theme="1"/>
        <rFont val="Calibri"/>
        <family val="2"/>
        <charset val="162"/>
        <scheme val="minor"/>
      </rPr>
      <t xml:space="preserve">:
20 Ekim tarihinde durum bilgilerinin paylaşılması adına Türmob ile iletişime geçilmiş ve erişim sağlanacak servisler için izinler tamamlanmıştır.
Entegasyon suit servis dokümanı paylaşılmıştır.
</t>
    </r>
    <r>
      <rPr>
        <b/>
        <sz val="11"/>
        <color theme="1"/>
        <rFont val="Calibri"/>
        <family val="2"/>
        <charset val="162"/>
        <scheme val="minor"/>
      </rPr>
      <t xml:space="preserve">Yapılması Planlanan:
</t>
    </r>
    <r>
      <rPr>
        <sz val="11"/>
        <color theme="1"/>
        <rFont val="Calibri"/>
        <family val="2"/>
        <charset val="162"/>
        <scheme val="minor"/>
      </rPr>
      <t>UKDS servislerinin Entegrasyon Suit üzerinden sunulması geliştirme maddesinin pre prod ortama aktarılması ardından Türmob ile bilgi paylaşılacaktır.
Servisler incelendikten sonra toplantı gerçekleştirilecek ve proje planı hazırlanacaktır.</t>
    </r>
  </si>
  <si>
    <r>
      <rPr>
        <b/>
        <sz val="11"/>
        <color theme="1"/>
        <rFont val="Calibri"/>
        <family val="2"/>
        <charset val="162"/>
        <scheme val="minor"/>
      </rPr>
      <t xml:space="preserve">Yapılan: 
</t>
    </r>
    <r>
      <rPr>
        <sz val="11"/>
        <color theme="1"/>
        <rFont val="Calibri"/>
        <family val="2"/>
        <charset val="162"/>
        <scheme val="minor"/>
      </rPr>
      <t xml:space="preserve">27 Ekim tarihinde Kuveyt Türk ekibi ile toplantı yapılmıştır.
</t>
    </r>
    <r>
      <rPr>
        <b/>
        <sz val="11"/>
        <color theme="1"/>
        <rFont val="Calibri"/>
        <family val="2"/>
        <charset val="162"/>
        <scheme val="minor"/>
      </rPr>
      <t xml:space="preserve">
Yapılması Planlanan:</t>
    </r>
    <r>
      <rPr>
        <sz val="11"/>
        <color theme="1"/>
        <rFont val="Calibri"/>
        <family val="2"/>
        <charset val="162"/>
        <scheme val="minor"/>
      </rPr>
      <t xml:space="preserve">
Gerçekleştirilen toplantı ardından örnek senaryolar hazırlanıp Kuveyt Türk ile paylaşılacaktır. Paylaşılan senaryolar Kuveyt Türk tarafından incelenecek ve nihai karar sonrası planlama sağlanacaktır.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</si>
  <si>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alınmıştır.Proje açılış duyurusu yapılmıştır.
</t>
    </r>
    <r>
      <rPr>
        <b/>
        <sz val="11"/>
        <color theme="1"/>
        <rFont val="Calibri"/>
        <family val="2"/>
        <charset val="162"/>
        <scheme val="minor"/>
      </rPr>
      <t xml:space="preserve">Yapılması Planlanan:
</t>
    </r>
    <r>
      <rPr>
        <sz val="11"/>
        <color theme="1"/>
        <rFont val="Calibri"/>
        <family val="2"/>
        <charset val="162"/>
        <scheme val="minor"/>
      </rPr>
      <t>Faz-1 geliştirmeleri için refactoring çalışmaları gerçekleştirilecektir.</t>
    </r>
  </si>
  <si>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tamamlanacaktır. Yazılım mimarı ve eksik kadroların tamamlanması halinde de yıl sonuna kadar e-Fatura'ya başlanabilecektir.
e-Arşiv Fatura ve e-İrsaliye için teslim alınan SAT dokümanı üzerinden SRS dokümanı hazırlıklarına devam edilmiştir.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t>
    </r>
  </si>
  <si>
    <r>
      <rPr>
        <b/>
        <sz val="11"/>
        <color theme="1"/>
        <rFont val="Calibri"/>
        <family val="2"/>
        <charset val="162"/>
        <scheme val="minor"/>
      </rPr>
      <t>Yapılan:</t>
    </r>
    <r>
      <rPr>
        <sz val="11"/>
        <color theme="1"/>
        <rFont val="Calibri"/>
        <family val="2"/>
        <charset val="162"/>
        <scheme val="minor"/>
      </rPr>
      <t xml:space="preserve">
21 Ekim itibariyle geliştirme ortamı kullanıma açılmıştır.Yazılım ekibi tarafından inceleme ve deneme çalışmaları yapılmaktadır.
Use Case ve iş akışı çalışması yapılarak firma ile paylaşılmıştır.
30 Ekim tarihinde iç koordinasyon toplantısı yapılmıştır.
</t>
    </r>
    <r>
      <rPr>
        <b/>
        <sz val="11"/>
        <color theme="1"/>
        <rFont val="Calibri"/>
        <family val="2"/>
        <charset val="162"/>
        <scheme val="minor"/>
      </rPr>
      <t xml:space="preserve">
Yapılması Planlanan:
</t>
    </r>
    <r>
      <rPr>
        <sz val="11"/>
        <color theme="1"/>
        <rFont val="Calibri"/>
        <family val="2"/>
        <charset val="162"/>
        <scheme val="minor"/>
      </rPr>
      <t>Yazılım ekibi geliştirme ortamında inceleme ve deneme çalışmalarına devam edecektir.
Firma ile use case iş akışları üzerinden görüşme sağlanması planlanmaktadır. Öncesinde İş birimi ile sıkça sorulan soruların listelenmesi ile ilgili çalışma yapılacaktır.</t>
    </r>
  </si>
  <si>
    <r>
      <rPr>
        <b/>
        <sz val="11"/>
        <color theme="1"/>
        <rFont val="Calibri"/>
        <family val="2"/>
        <charset val="162"/>
        <scheme val="minor"/>
      </rPr>
      <t xml:space="preserve">Yapılan: 
</t>
    </r>
    <r>
      <rPr>
        <sz val="11"/>
        <color theme="1"/>
        <rFont val="Calibri"/>
        <family val="2"/>
        <charset val="162"/>
        <scheme val="minor"/>
      </rPr>
      <t xml:space="preserve">Geliştirme maddelerinin son durumu 21 Ekim tarihinde Halkbank ile paylaşılmıştır.
Proje sözleşmesinde yer alan tüketici cayma hakkı maddesi kaldırılmıştır.
Halkbank tarafından statü servisi paylaşılmıştır.
</t>
    </r>
    <r>
      <rPr>
        <b/>
        <sz val="11"/>
        <color theme="1"/>
        <rFont val="Calibri"/>
        <family val="2"/>
        <charset val="162"/>
        <scheme val="minor"/>
      </rPr>
      <t xml:space="preserve">Yapılması Planlanan:
</t>
    </r>
    <r>
      <rPr>
        <sz val="11"/>
        <color theme="1"/>
        <rFont val="Calibri"/>
        <family val="2"/>
        <charset val="162"/>
        <scheme val="minor"/>
      </rPr>
      <t>Geliştirme maddeleri tamamlanması ve Halkbank tarafından iletilen statü servisleri için çalışma  sağlanacaktır.
Banka tarafından test ortamına IP erişim adresleri beklenmektedir. 
Halkbank tarafından fiziksel evrak sürecinin proje kapsamına dahil edilmesi konusunda bilgi beklenmektedir.</t>
    </r>
  </si>
  <si>
    <r>
      <rPr>
        <b/>
        <sz val="11"/>
        <color theme="1"/>
        <rFont val="Calibri"/>
        <family val="2"/>
        <charset val="162"/>
        <scheme val="minor"/>
      </rPr>
      <t>Yapılan</t>
    </r>
    <r>
      <rPr>
        <sz val="11"/>
        <color theme="1"/>
        <rFont val="Calibri"/>
        <family val="2"/>
        <charset val="162"/>
        <scheme val="minor"/>
      </rPr>
      <t xml:space="preserve">:
20 Ekim ve 27 Ekim tarihlerinde proje ilerleme toplantısı yapılmıştır.
IP'lerin hostname olarak değiştirilmesi kısmında KEP Assist ve KEP Assistan ürünleri için 20 Ekim tarihinde deploy yapılmıştır.
</t>
    </r>
    <r>
      <rPr>
        <b/>
        <sz val="11"/>
        <color theme="1"/>
        <rFont val="Calibri"/>
        <family val="2"/>
        <charset val="162"/>
        <scheme val="minor"/>
      </rPr>
      <t xml:space="preserve">Yapılması Planlanan:
</t>
    </r>
    <r>
      <rPr>
        <sz val="11"/>
        <color theme="1"/>
        <rFont val="Calibri"/>
        <family val="2"/>
        <charset val="162"/>
        <scheme val="minor"/>
      </rPr>
      <t xml:space="preserve">Proje ilerleme toplantısı haftalık olarak planlanmıştır.
Yatırım analizleri kapsamında teklif alınmış olup üst yönetime sunumu gerçekleştirilecektir. 3 Kasım haftasında yönetim seviyesinde görüşülerek değerlendirme sağlanacaktır.
</t>
    </r>
  </si>
  <si>
    <r>
      <rPr>
        <b/>
        <sz val="11"/>
        <color theme="1"/>
        <rFont val="Calibri"/>
        <family val="2"/>
        <charset val="162"/>
        <scheme val="minor"/>
      </rPr>
      <t>Yapılan</t>
    </r>
    <r>
      <rPr>
        <sz val="11"/>
        <color theme="1"/>
        <rFont val="Calibri"/>
        <family val="2"/>
        <charset val="162"/>
        <scheme val="minor"/>
      </rPr>
      <t xml:space="preserve">:
22 Ekim'de Proje Sponsoru katılımı ile yol haritası için bir toplantı yapılmıştır.
</t>
    </r>
    <r>
      <rPr>
        <b/>
        <sz val="11"/>
        <color theme="1"/>
        <rFont val="Calibri"/>
        <family val="2"/>
        <charset val="162"/>
        <scheme val="minor"/>
      </rPr>
      <t xml:space="preserve">Yapılması Planlanan:
</t>
    </r>
    <r>
      <rPr>
        <sz val="11"/>
        <color theme="1"/>
        <rFont val="Calibri"/>
        <family val="2"/>
        <charset val="162"/>
        <scheme val="minor"/>
      </rPr>
      <t>-Proje için uygun bir firmadan sistem tanımlama ve yazılım mimarisi için danışmanlık desteği alınacaktır. 
-Yapay zeka destekli kod geliştirme süreçlerini bilen bir yazılım mimarı bu süreç içinde yer alarak danışmanlık sonrasında projeye devam edecektir. 
-Öncelikle aşağıdaki uygulamalar olmak üzere projeye başlanarak mümkünse paralel geliştirme yapılacaktır.
- Türkkep İmza’nın yeniden geliştirilmesi
- BPM Geliştirilmesi
- Entegrasyon Süit’in yeniden geliştirilmesi</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</si>
  <si>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Mobil uygulama geliştirme sürecine devam edilmiştir.Kampanya linki ile onay aşamalarının devam edeceği sayfaya doğrudan erişim sağlanması konusunda Appsflyer, Adeven ve Adjust firmayla görüşme sağlanmıştır. 
Mobil uygulama tarafındaki geliştirmelerin testleri tamamlandıktan sonra Apple ve Google Play App Store onayına gönderilmiş ve onay alınmıştır.
</t>
    </r>
    <r>
      <rPr>
        <b/>
        <sz val="11"/>
        <color theme="1"/>
        <rFont val="Calibri"/>
        <family val="2"/>
        <charset val="162"/>
        <scheme val="minor"/>
      </rPr>
      <t>Yapılması Planlanan:</t>
    </r>
    <r>
      <rPr>
        <sz val="11"/>
        <color theme="1"/>
        <rFont val="Calibri"/>
        <family val="2"/>
        <charset val="162"/>
        <scheme val="minor"/>
      </rPr>
      <t xml:space="preserve">
Kasım ayı ilk haftası firma ile toplantı yapılarak canlı kulanıma geçiş yapılması planlanmaktadır.</t>
    </r>
  </si>
  <si>
    <t>50% </t>
  </si>
  <si>
    <t>Türkkep İmza,KEP İK Bulut,UKDS,UETS, SMS GW Servis,TÜRKKEP  CAPTCHA</t>
  </si>
  <si>
    <t> 100%</t>
  </si>
  <si>
    <t>Başak Ayverdi*</t>
  </si>
  <si>
    <t>Ömer Sarıtoy*</t>
  </si>
  <si>
    <r>
      <t>*</t>
    </r>
    <r>
      <rPr>
        <sz val="10"/>
        <color theme="1"/>
        <rFont val="Calibri"/>
        <family val="2"/>
        <charset val="162"/>
      </rPr>
      <t>Henüz Ar-Ge Merkezi Personeli kadrosuna alınmadı.</t>
    </r>
  </si>
  <si>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sürecindedir.Gelinen aşamada ek geliştirme gerekmediği değerlendirilmiştir.
13 Kasım tarihinde proje ilerleme toplantısı yapılmıştır. Proje sponsoruna firma kaynaklı aksamalarla ilgili bilgi verilmiştir. Aksiyon olarak firmadan beklenen işlerin iletilerek 17 Kasım haftası için toplantı planlaması talep edilecektir.
</t>
    </r>
    <r>
      <rPr>
        <b/>
        <sz val="11"/>
        <color theme="1"/>
        <rFont val="Calibri"/>
        <family val="2"/>
        <charset val="162"/>
        <scheme val="minor"/>
      </rPr>
      <t xml:space="preserve">Yapılması Planlanan:
</t>
    </r>
    <r>
      <rPr>
        <sz val="11"/>
        <color theme="1"/>
        <rFont val="Calibri"/>
        <family val="2"/>
        <charset val="162"/>
        <scheme val="minor"/>
      </rPr>
      <t>CRM'de yapılan değişikliklerin e-Güven CRM tarafına aktarılmasına yönelik çalışmalara devam edilecektir.
e-Güven'e iletilmesi planlanan sertifika durum bilgisi ve sertifika yüklenme tarihini içeren servisin oluşturulması konusunda iç değerlendirme sağlanacaktır. 
PIN/PUK gönderimi konusunda e-Güven'den bilgi beklenmektedir. 
17 Kasım haftası için e-Güven firmasıyla toplantı yapılacaktır.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</si>
  <si>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Greendocs kullanıcı tanımlama sürecinde tamamlanmıştır.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görüşme sağlanacaktır.</t>
    </r>
  </si>
  <si>
    <t>2025-BTA-019</t>
  </si>
  <si>
    <t>SearchInform DLP Çözümü POC Süreç Yönetimi Projesi</t>
  </si>
  <si>
    <r>
      <rPr>
        <b/>
        <sz val="11"/>
        <color theme="1"/>
        <rFont val="Calibri"/>
        <family val="2"/>
        <charset val="162"/>
        <scheme val="minor"/>
      </rPr>
      <t xml:space="preserve">Yapılan: 
</t>
    </r>
    <r>
      <rPr>
        <sz val="11"/>
        <color theme="1"/>
        <rFont val="Calibri"/>
        <family val="2"/>
        <charset val="162"/>
        <scheme val="minor"/>
      </rPr>
      <t xml:space="preserve">Halkbank tarafından iletilen statü servisleri için geliştirme devam etmekte olup servisle ilgili oluşan sorular Halkbank ekibine mail olarak iletilmiştir.
</t>
    </r>
    <r>
      <rPr>
        <b/>
        <sz val="11"/>
        <color theme="1"/>
        <rFont val="Calibri"/>
        <family val="2"/>
        <charset val="162"/>
        <scheme val="minor"/>
      </rPr>
      <t xml:space="preserve">Yapılması Planlanan:
Geliştirme </t>
    </r>
    <r>
      <rPr>
        <sz val="11"/>
        <color theme="1"/>
        <rFont val="Calibri"/>
        <family val="2"/>
        <charset val="162"/>
        <scheme val="minor"/>
      </rPr>
      <t xml:space="preserve">
Banka tarafından test ortamına IP erişim adresleri beklenmektedir. 
Halkbank tarafından fiziksel evrak sürecinin proje kapsamına dahil edilmesi konusunda bilgi beklenmektedir.</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</si>
  <si>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t>
    </r>
    <r>
      <rPr>
        <b/>
        <sz val="11"/>
        <color theme="1"/>
        <rFont val="Calibri"/>
        <family val="2"/>
        <charset val="162"/>
        <scheme val="minor"/>
      </rPr>
      <t xml:space="preserve">Yapılması Planlanan:
</t>
    </r>
    <r>
      <rPr>
        <sz val="11"/>
        <color theme="1"/>
        <rFont val="Calibri"/>
        <family val="2"/>
        <charset val="162"/>
        <scheme val="minor"/>
      </rPr>
      <t>UKDS servislerinin Entegrasyon Suit üzerinden sunulması geliştirme maddesinin pre prod ortama aktarılması ardından Türmob ile bilgi paylaşılacaktır.
Servisler incelendikten sonra toplantı gerçekleştirilecek ve proje planı hazırlanacaktır.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</si>
  <si>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alınmıştır.Proje açılış duyurusu yapılmıştır.
</t>
    </r>
    <r>
      <rPr>
        <b/>
        <sz val="11"/>
        <color theme="1"/>
        <rFont val="Calibri"/>
        <family val="2"/>
        <charset val="162"/>
        <scheme val="minor"/>
      </rPr>
      <t xml:space="preserve">Yapılması Planlanan:
</t>
    </r>
    <r>
      <rPr>
        <sz val="11"/>
        <color theme="1"/>
        <rFont val="Calibri"/>
        <family val="2"/>
        <charset val="162"/>
        <scheme val="minor"/>
      </rPr>
      <t>Faz-1 geliştirmeleri için refactoring çalışmaları ay sonuna kadar devam edecektir.</t>
    </r>
  </si>
  <si>
    <r>
      <rPr>
        <b/>
        <sz val="11"/>
        <color theme="1"/>
        <rFont val="Calibri"/>
        <family val="2"/>
        <charset val="162"/>
        <scheme val="minor"/>
      </rPr>
      <t>Yapılan</t>
    </r>
    <r>
      <rPr>
        <sz val="11"/>
        <color theme="1"/>
        <rFont val="Calibri"/>
        <family val="2"/>
        <charset val="162"/>
        <scheme val="minor"/>
      </rPr>
      <t xml:space="preserve">:
5 Kasım ve 11 Kasım tarihlerinde proje ilerleme toplantısı yapılmıştır.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Yatırım analizleri kapsamında teklif alınmış olup üst yönetime sunumu gerçekleştirilecektir. 17 Kasım haftasında yönetim seviyesinde görüşülerek değerlendirme sağlanacaktır.</t>
    </r>
  </si>
  <si>
    <t>İç /  PY</t>
  </si>
  <si>
    <r>
      <rPr>
        <b/>
        <sz val="11"/>
        <color theme="1"/>
        <rFont val="Calibri"/>
        <family val="2"/>
        <charset val="162"/>
        <scheme val="minor"/>
      </rPr>
      <t>Yapılan</t>
    </r>
    <r>
      <rPr>
        <sz val="11"/>
        <color theme="1"/>
        <rFont val="Calibri"/>
        <family val="2"/>
        <charset val="162"/>
        <scheme val="minor"/>
      </rPr>
      <t xml:space="preserve"> :
Projenin dokümantasyon süreci, proje planında belirtildiği şekilde bu yıl sonuna kadar e-Fatura, e-Arşiv Fatura ve e-İrsaliye için tamamlanacak şekilde devam etmektedir. Yazılım mimarı ve eksik kadroların tamamlanması halinde de yıl sonuna kadar e-Fatura'ya başlanabilecektir.
</t>
    </r>
    <r>
      <rPr>
        <b/>
        <sz val="11"/>
        <color theme="1"/>
        <rFont val="Calibri"/>
        <family val="2"/>
        <charset val="162"/>
        <scheme val="minor"/>
      </rPr>
      <t xml:space="preserve">
Yapılması Planlanan</t>
    </r>
    <r>
      <rPr>
        <sz val="11"/>
        <color theme="1"/>
        <rFont val="Calibri"/>
        <family val="2"/>
        <charset val="162"/>
        <scheme val="minor"/>
      </rPr>
      <t xml:space="preserve"> :
e-Arşiv Fatura ve e-İrsaliye SRS dokümanının hazırlık çalışmasına devam edilecektir. Çalışmanın 28 Kasım 2025 tarihinde tamamlanması planlanmaktadır.</t>
    </r>
  </si>
  <si>
    <t>Yazılım mimarının henüz ekibe katılamamış olması nedeniyle yazılım tarafında 8 aylık bir gecikme vardır.Yazılım mimarı eksikliği etkisi yüksek bir risk olarak takip edilmektedir. Projenin tüm bileşenleri ile Haziran 2026'ya kadar tamamlanması mümkün görünmemektedir. Revize proje planı ihtiyacı değerlendirilecektir.</t>
  </si>
  <si>
    <r>
      <rPr>
        <b/>
        <sz val="11"/>
        <color theme="1"/>
        <rFont val="Calibri"/>
        <family val="2"/>
        <charset val="162"/>
        <scheme val="minor"/>
      </rPr>
      <t>Yapılan</t>
    </r>
    <r>
      <rPr>
        <sz val="11"/>
        <color theme="1"/>
        <rFont val="Calibri"/>
        <family val="2"/>
        <charset val="162"/>
        <scheme val="minor"/>
      </rPr>
      <t xml:space="preserve">:
5 Kasım ve 11 Kasım tarihlerinde proje ilerleme toplantısı yapılmıştır.
Geliştirme ortamında Fortify kullanımı için bir Java ve bir de .NET uygulama geliştirici bilgisayarına Fortify kurulumu sağlanmıştır.
Proje planı Danışman ile birlikte km taşlarına uygun olarak güncellenmiştir.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Forfity uygulama testi için çalışma planlanacaktır.</t>
    </r>
  </si>
  <si>
    <r>
      <rPr>
        <b/>
        <sz val="11"/>
        <color theme="1"/>
        <rFont val="Calibri"/>
        <family val="2"/>
        <charset val="162"/>
        <scheme val="minor"/>
      </rPr>
      <t>Yapılan</t>
    </r>
    <r>
      <rPr>
        <sz val="11"/>
        <color theme="1"/>
        <rFont val="Calibri"/>
        <family val="2"/>
        <charset val="162"/>
        <scheme val="minor"/>
      </rPr>
      <t xml:space="preserve">:
22 Ekim'de Proje Sponsoru katılımı ile yol haritası için bir toplantı yapılmıştır.
Proje çıktısı ürünü tanımlayan bir doküman hazırlığı devam etmektedir.
</t>
    </r>
    <r>
      <rPr>
        <b/>
        <sz val="11"/>
        <color theme="1"/>
        <rFont val="Calibri"/>
        <family val="2"/>
        <charset val="162"/>
        <scheme val="minor"/>
      </rPr>
      <t xml:space="preserve">Yapılması Planlanan:
</t>
    </r>
    <r>
      <rPr>
        <sz val="11"/>
        <color theme="1"/>
        <rFont val="Calibri"/>
        <family val="2"/>
        <charset val="162"/>
        <scheme val="minor"/>
      </rPr>
      <t>22 Ekim'deki toplantıda alınan kararlar kapsamında planlama yapılmasına ihtiyaç vardır:
-Proje için uygun bir firmadan sistem tanımlama ve yazılım mimarisi için danışmanlık desteği alınacaktır. 
-Yapay zeka destekli kod geliştirme süreçlerini bilen bir yazılım mimarı bu süreç içinde yer alarak danışmanlık sonrasında projeye devam edecektir. 
-Öncelikle aşağıdaki uygulamalar olmak üzere projeye başlanarak mümkünse paralel geliştirme yapılacaktır.
- Türkkep İmza’nın yeniden geliştirilmesi
- BPM Geliştirilmesi
- Entegrasyon Süit’in yeniden geliştirilmesi</t>
    </r>
    <r>
      <rPr>
        <b/>
        <sz val="11"/>
        <color theme="1"/>
        <rFont val="Calibri"/>
        <family val="2"/>
        <charset val="162"/>
        <scheme val="minor"/>
      </rPr>
      <t xml:space="preserve">
</t>
    </r>
  </si>
  <si>
    <t>Proje kapsam ve hedeflerini net olarak açıklayan bir doküman olmaması projeye başlanmasını geciktirmektedir.</t>
  </si>
  <si>
    <t>Türmob tarafında devam eden süreç sebebiyle 3 ay ötelenerek Aralık sonu olarak güncellenmiştir</t>
  </si>
  <si>
    <r>
      <rPr>
        <b/>
        <sz val="11"/>
        <color theme="1"/>
        <rFont val="Calibri"/>
        <family val="2"/>
        <charset val="162"/>
        <scheme val="minor"/>
      </rPr>
      <t>Yapılan</t>
    </r>
    <r>
      <rPr>
        <sz val="11"/>
        <color theme="1"/>
        <rFont val="Calibri"/>
        <family val="2"/>
        <charset val="162"/>
        <scheme val="minor"/>
      </rPr>
      <t xml:space="preserve">:
3 Kasım tarihinde Datassist ekibi ile pilot müşteri sürecinin sağlanacağı KİDOS ekranlarının kullanılacağı akış  için toplantı gerçekleştirilmiştir. Müşteriden alınması gereken sözleşmeler, süreçle ilgili doküman ve video kaydı Datassist ekibi ile paylaşılmıştır.
UKDS ve CRM servisleri kullanılarak ilerlenecek süreç akışı için iç ekip koordinasyon toplantıları gerçekleştirilmiş taslak akış ve sorular belirlenmiştir. 
7 Kasım tarihinde Datassist ekibinin katılımıyla UKDS ve CRM servislerinin kullanılması planlanan senaryonun aktarımı için toplantı gerçekleştirilmiş ve taslak akış düzenlenmiştir.
10 Kasım haftası içerisinde Ürün Yönetimi'nden beklenen sorular sözlü olarak paylaşılmış, yazılı olarak durum bilgisi talep edilmiştir.
UKDS ve CRM servisleri için yazılım ekibi katılımıyla süreç akışı üzerine toplantı yapılmıştır.
14.11.2025 tarihinde proje sponsoru katılımıyla uygun süreç akışı paylaşılmıştır.
</t>
    </r>
    <r>
      <rPr>
        <b/>
        <sz val="11"/>
        <color theme="1"/>
        <rFont val="Calibri"/>
        <family val="2"/>
        <charset val="162"/>
        <scheme val="minor"/>
      </rPr>
      <t xml:space="preserve">Yapılması Planlanan:
</t>
    </r>
    <r>
      <rPr>
        <sz val="11"/>
        <color theme="1"/>
        <rFont val="Calibri"/>
        <family val="2"/>
        <charset val="162"/>
        <scheme val="minor"/>
      </rPr>
      <t>Tamamlanan akış sonrası yazılım ekibiyle görüşme sağlanarak efor bilgisi alınacak ve 17.11.2025 tarihine kadar paylaşılacaktır.</t>
    </r>
  </si>
  <si>
    <r>
      <rPr>
        <b/>
        <sz val="11"/>
        <color theme="1"/>
        <rFont val="Calibri"/>
        <family val="2"/>
        <charset val="162"/>
        <scheme val="minor"/>
      </rPr>
      <t>Yapılan</t>
    </r>
    <r>
      <rPr>
        <sz val="11"/>
        <color theme="1"/>
        <rFont val="Calibri"/>
        <family val="2"/>
        <charset val="162"/>
        <scheme val="minor"/>
      </rPr>
      <t xml:space="preserve">:
Trendyol tarafından çalışma öncesi talep edilen UKDS ile KEP açılış süreci otomasyonu tamamlanmıştır.
</t>
    </r>
    <r>
      <rPr>
        <b/>
        <sz val="11"/>
        <color theme="1"/>
        <rFont val="Calibri"/>
        <family val="2"/>
        <charset val="162"/>
        <scheme val="minor"/>
      </rPr>
      <t>Yapılması Planlanan:</t>
    </r>
    <r>
      <rPr>
        <sz val="11"/>
        <color theme="1"/>
        <rFont val="Calibri"/>
        <family val="2"/>
        <charset val="162"/>
        <scheme val="minor"/>
      </rPr>
      <t xml:space="preserve">
UKDS otomasyon süreci canlıya alındığında Trendyol Kep'leştirme süreci tamamlanmış olacaktır.</t>
    </r>
  </si>
  <si>
    <t>omer.saritoy</t>
  </si>
  <si>
    <t>basak.ayverdi</t>
  </si>
  <si>
    <t xml:space="preserve">
Yazılım mimarı olmadığı için yazılım tasarım ve yazılım geliştirme sürecine başlanamamıştır. Proje yazılım ekibi mevcut ürünlere destek vermektedir.
</t>
  </si>
  <si>
    <r>
      <rPr>
        <b/>
        <sz val="11"/>
        <color theme="1"/>
        <rFont val="Calibri"/>
        <family val="2"/>
        <charset val="162"/>
        <scheme val="minor"/>
      </rPr>
      <t>Yapılan:</t>
    </r>
    <r>
      <rPr>
        <sz val="11"/>
        <color theme="1"/>
        <rFont val="Calibri"/>
        <family val="2"/>
        <charset val="162"/>
        <scheme val="minor"/>
      </rPr>
      <t xml:space="preserve">
21 Ekim itibariyle geliştirme ortamı kullanıma açılmıştır.Yazılım ekibi tarafından inceleme ve deneme çalışmaları yapılmaktadır.
4/14 Kasım tarihlerinde iç ekip katılımıyla proje koordinasyon toplantısı yapılmıştır. 
Orbina firmasıyla proje tamamlanana kadar haftalık toplantılarla ilerlemenin takip edilmesine karar verilmiştir.Firmayla 13 Kasım tarihinde toplantı yapılmıştır.
Firmadan alınan hizmete ilişkin fatura süreci tamamlanmıştır.
Chatbot frontend geliştirmesi ve web sitesine eklenmesiyle ilgili şirketimize web sitesi hizmeti veren Kreabaz firmasıyla toplantı yapılmıştır.
</t>
    </r>
    <r>
      <rPr>
        <b/>
        <sz val="11"/>
        <color theme="1"/>
        <rFont val="Calibri"/>
        <family val="2"/>
        <charset val="162"/>
        <scheme val="minor"/>
      </rPr>
      <t xml:space="preserve">
Yapılması Planlanan:
</t>
    </r>
    <r>
      <rPr>
        <sz val="11"/>
        <color theme="1"/>
        <rFont val="Calibri"/>
        <family val="2"/>
        <charset val="162"/>
        <scheme val="minor"/>
      </rPr>
      <t>Yazılım ekibi geliştirme ortamında inceleme ve deneme çalışmalarına devam edecektir.
Firma ile use case iş akışları üzerinden görüşme sağlanması, İş birimi ile sıkça sorulan soruların listelenmesi ile ilgili çalışma yapılacaktır.
Chatbot frontend geliştirmesi ve web sitesine eklenmesiyle ilgili yapılacak çalışmalar netleştirilip çalışmalara başlanacaktır.</t>
    </r>
  </si>
  <si>
    <r>
      <rPr>
        <b/>
        <sz val="11"/>
        <color theme="1"/>
        <rFont val="Calibri"/>
        <family val="2"/>
        <charset val="162"/>
        <scheme val="minor"/>
      </rPr>
      <t xml:space="preserve">Yapılan: 
</t>
    </r>
    <r>
      <rPr>
        <sz val="11"/>
        <color theme="1"/>
        <rFont val="Calibri"/>
        <family val="2"/>
        <charset val="162"/>
        <scheme val="minor"/>
      </rPr>
      <t xml:space="preserve">5 Kasım tarihinde iç koordinasyon toplantısı gerçekleştirilmiştir.
Kuveyt Türk Bankası'na sunulacak örnek senaryolar öncesinde banka tarafından cevaplandırılması adına soru seti paylaşılmıştır. 
</t>
    </r>
    <r>
      <rPr>
        <b/>
        <sz val="11"/>
        <color theme="1"/>
        <rFont val="Calibri"/>
        <family val="2"/>
        <charset val="162"/>
        <scheme val="minor"/>
      </rPr>
      <t>Yapılması Planlanan:</t>
    </r>
    <r>
      <rPr>
        <sz val="11"/>
        <color theme="1"/>
        <rFont val="Calibri"/>
        <family val="2"/>
        <charset val="162"/>
        <scheme val="minor"/>
      </rPr>
      <t xml:space="preserve">
Banka tarafından gelecek cevaplara istinaden değerlendirme sağlanması ve örnek senaryo paylaşılması adına planlama yapılacaktır.</t>
    </r>
  </si>
  <si>
    <t>Tüm uygulamalar ve veritabanlarının felaket kurtarma senaryosu içinde Gebze VM'den Ankara VM'ye geçişin belirlenen tarihe kadar testi mümkün görünmemektedir. Bunun yerine seçilecek bir uygulamanın geçişine yönelik bir senaryo ile süreç, kanıt maksatlı kayıt altına alınmalıdır.</t>
  </si>
  <si>
    <t xml:space="preserve">Proje, 01 Ağustos 2025 itibariyle Ar-Ge portalında açılmıştır. Ar-Ge projesi olarak açılması için hazırlanan proje kartı dışında proje çıktısı olacak ürünü tanımlayacak bir doküman (Sistem Altsistem Tanımlama Dokümanı benzeri) henüz oluşturulamamıştır. Böyle bir doküman hazırlandıktan sonra ürün yol haritası ve proje planı hazırlanarak proje çalışmalarına başlanabilecektir. Proje mimarının yazılım mimari tasarımı için de bu dokümana ihtiyacı olacaktır.
</t>
  </si>
  <si>
    <t>Entegrasyona yönelik ortak kapsam ve proje takvimi oluşturulamamış olması risk olaraktakip edilmektedir.</t>
  </si>
  <si>
    <r>
      <rPr>
        <b/>
        <sz val="11"/>
        <color theme="1"/>
        <rFont val="Calibri"/>
        <family val="2"/>
        <charset val="162"/>
        <scheme val="minor"/>
      </rPr>
      <t>Yapılan</t>
    </r>
    <r>
      <rPr>
        <sz val="11"/>
        <color theme="1"/>
        <rFont val="Calibri"/>
        <family val="2"/>
        <charset val="162"/>
        <scheme val="minor"/>
      </rPr>
      <t xml:space="preserve">:
Kayıt İşleri ve Hesap İşleri Yöneticisi Süreç akışı için 22 Ekim ve 23 Ekim tarihlerinde toplantı yapılmıştır. İki akış birleştirilmiştir. Geliştirme için maddeler açılmış ve testleri tamamlanmıştır.
5 Kasım tarihinde proje sponsorunun katılımıyla toplantı gerçekleştirilmiştir ve birleştirilen akış üzerinden geçilmiştir.
Operasyon ekibi katılımı ile kullanıcı kabul testleri yapılmıştır.
</t>
    </r>
    <r>
      <rPr>
        <b/>
        <sz val="11"/>
        <color theme="1"/>
        <rFont val="Calibri"/>
        <family val="2"/>
        <charset val="162"/>
        <scheme val="minor"/>
      </rPr>
      <t xml:space="preserve">Yapılması Planlanan:
</t>
    </r>
    <r>
      <rPr>
        <sz val="11"/>
        <color theme="1"/>
        <rFont val="Calibri"/>
        <family val="2"/>
        <charset val="162"/>
        <scheme val="minor"/>
      </rPr>
      <t>Geliştirme  canlıya alındıktan sonra Kapanış aşamasına geçilecektir.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</si>
  <si>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sponsoru onayına sunulmuştur.
POC kapsamında uygulamanın deneneceği kullanıcılar belirlenmiştir. Uygulama, POC'ye katılanların bilgisayarlarına yüklenmiştir. Uygulamanın aktif edilmesi için kullanıcıların imzalaması gerekecek açık rıza metni için hukuk görüşü sorulmuştur.
</t>
    </r>
    <r>
      <rPr>
        <b/>
        <sz val="11"/>
        <color theme="1"/>
        <rFont val="Calibri"/>
        <family val="2"/>
        <charset val="162"/>
        <scheme val="minor"/>
      </rPr>
      <t xml:space="preserve">Yapılması Planlanan:
</t>
    </r>
    <r>
      <rPr>
        <sz val="11"/>
        <color theme="1"/>
        <rFont val="Calibri"/>
        <family val="2"/>
        <charset val="162"/>
        <scheme val="minor"/>
      </rPr>
      <t>Açık rıza metni için onayın alınması sonrası uygulama aktif edilecek ve POC kapsamında kullanıcı hareketleri takip edilecektir.
Proje başlatma duyurusu yayınlanacaktır.</t>
    </r>
  </si>
  <si>
    <t>Doğukan Öncüer*</t>
  </si>
  <si>
    <r>
      <rPr>
        <b/>
        <sz val="11"/>
        <color theme="1"/>
        <rFont val="Calibri"/>
        <family val="2"/>
        <charset val="162"/>
        <scheme val="minor"/>
      </rPr>
      <t>Yapılan:</t>
    </r>
    <r>
      <rPr>
        <sz val="11"/>
        <color theme="1"/>
        <rFont val="Calibri"/>
        <family val="2"/>
        <charset val="162"/>
        <scheme val="minor"/>
      </rPr>
      <t xml:space="preserve">
POC kapsamında uygulamanın deneneceği kullanıcılar belirlenmiştir. Uygulama, POC'ye katılanların bilgisayarlarına yüklenmiştir. Uygulamanın aktif edilmesi için kullanıcıların imzalaması gerekecek açık rıza metni için hukuk görüşü alınmış ve uygun görülmüştür.
Proje başlatma duyurusu yapılmıştır.
Bilgisayarına uygulama kurulumu sağlanan çalışanlara bilgilendirme toplantısı yapılmıştır.
Uygulamanın admin ekranları için Bilgi Güvenliği ve Uyum ekibine eğitim verilmiştir.
</t>
    </r>
    <r>
      <rPr>
        <b/>
        <sz val="11"/>
        <color theme="1"/>
        <rFont val="Calibri"/>
        <family val="2"/>
        <charset val="162"/>
        <scheme val="minor"/>
      </rPr>
      <t xml:space="preserve">Yapılması Planlanan:
</t>
    </r>
    <r>
      <rPr>
        <sz val="11"/>
        <color theme="1"/>
        <rFont val="Calibri"/>
        <family val="2"/>
        <charset val="162"/>
        <scheme val="minor"/>
      </rPr>
      <t xml:space="preserve"> POC kapsamında kullanıcı hareketleri takip edilecek ve sonuçları değerlendirilecektir.</t>
    </r>
  </si>
  <si>
    <r>
      <rPr>
        <b/>
        <sz val="11"/>
        <color theme="1"/>
        <rFont val="Calibri"/>
        <family val="2"/>
        <charset val="162"/>
        <scheme val="minor"/>
      </rPr>
      <t>Yapılan:</t>
    </r>
    <r>
      <rPr>
        <sz val="11"/>
        <color theme="1"/>
        <rFont val="Calibri"/>
        <family val="2"/>
        <charset val="162"/>
        <scheme val="minor"/>
      </rPr>
      <t xml:space="preserve">
Firma ve proje ekibiyle haftalık olarak ilerleme toplantıları gerçekleştirilmiştir.
Chatbot frontend geliştirmesi ve web sitesine eklenmesiyle ilgili çalışmalar yapılmıştır.
İş birimlerinde  sıkça sorulan soruların listelenmesi ile ilgili çalışma başlatılmıştır.
</t>
    </r>
    <r>
      <rPr>
        <b/>
        <sz val="11"/>
        <color theme="1"/>
        <rFont val="Calibri"/>
        <family val="2"/>
        <charset val="162"/>
        <scheme val="minor"/>
      </rPr>
      <t xml:space="preserve">
Yapılması Planlanan:
</t>
    </r>
    <r>
      <rPr>
        <sz val="11"/>
        <color theme="1"/>
        <rFont val="Calibri"/>
        <family val="2"/>
        <charset val="162"/>
        <scheme val="minor"/>
      </rPr>
      <t>Yazılım ekibi, chatbot geliştirme çalışmalarına devam edecektir.
İş birimlerinde  sıkça sorulan soruların listelenmesiyle ilgili gelecek dönüşlere istinaden Chatbot uygulamasının veri beslemesi sağlanacaktır.</t>
    </r>
  </si>
  <si>
    <t>Tamamlanan Sprint Değerleri</t>
  </si>
  <si>
    <t>Toplam İş Adedi 
(Açık ve Kapalı Tüm Maddeleri, Bug Dahil)</t>
  </si>
  <si>
    <t>Toplam Bug Adedi</t>
  </si>
  <si>
    <t>Tamamlanan Sprint içinde Üzerinde Çalışılan İş Adedi (Bug Dahil)</t>
  </si>
  <si>
    <t>Tamamlanan Sprint içinde Üzerinde Çalışılan Bug Adedi</t>
  </si>
  <si>
    <t/>
  </si>
  <si>
    <t>Yapay Zeka Destekli Çağrı Karşılama</t>
  </si>
  <si>
    <r>
      <rPr>
        <b/>
        <sz val="11"/>
        <color theme="1"/>
        <rFont val="Calibri"/>
        <family val="2"/>
        <charset val="162"/>
        <scheme val="minor"/>
      </rPr>
      <t>Yapılan</t>
    </r>
    <r>
      <rPr>
        <sz val="11"/>
        <color theme="1"/>
        <rFont val="Calibri"/>
        <family val="2"/>
        <charset val="162"/>
        <scheme val="minor"/>
      </rPr>
      <t xml:space="preserve"> :
e-Arşiv Fatura ve e-İrsaliye SRS dokümanının tamamlanmıştır.  UI/UX gereksinim dokümanı hazırlığına başlanmıştır.
26 Kasım tarihinde proje ilerleme toplantısı yapılmıştır.Yazılım mimarı istihdamı beklenirken paralelde yürütülebilecek iş süreçleri değerlendirilmiştir. Özellikle dokümantasyon ve ön yüz tasarımıyla ilgili gereksinimlerin hazırlanması planlanmıştır.
</t>
    </r>
    <r>
      <rPr>
        <b/>
        <sz val="11"/>
        <color theme="1"/>
        <rFont val="Calibri"/>
        <family val="2"/>
        <charset val="162"/>
        <scheme val="minor"/>
      </rPr>
      <t xml:space="preserve">
Yapılması Planlanan</t>
    </r>
    <r>
      <rPr>
        <sz val="11"/>
        <color theme="1"/>
        <rFont val="Calibri"/>
        <family val="2"/>
        <charset val="162"/>
        <scheme val="minor"/>
      </rPr>
      <t xml:space="preserve"> :
Ürün Yönetimi birimiyle koordineli olarak dokümantasyon ve ön yüz tasarımıyla ilgili gereksinimlerin çalışmalarına başlanacaktır.</t>
    </r>
  </si>
  <si>
    <r>
      <rPr>
        <b/>
        <sz val="11"/>
        <color theme="1"/>
        <rFont val="Calibri"/>
        <family val="2"/>
        <charset val="162"/>
        <scheme val="minor"/>
      </rPr>
      <t xml:space="preserve">Yapılan: 
</t>
    </r>
    <r>
      <rPr>
        <sz val="11"/>
        <color theme="1"/>
        <rFont val="Calibri"/>
        <family val="2"/>
        <charset val="162"/>
        <scheme val="minor"/>
      </rPr>
      <t xml:space="preserve">Halkbank statü servisine bağlantı sağlanmıştır.
Halkbank tarafından iletilen statü servisleri için geliştirme testleri devam etmektedir.
Banka tarafından test ortamına IP erişim izni tanımlanması yapılmıştır.
Banka teknik ekibi ile 28 Kasım'da statüler konusunda bir toplantı yapılmıştır. Yazılım çalışmalarının her iki tarafta Aralık ayı içinde tamamlanmasına karar verilmiştir.
</t>
    </r>
    <r>
      <rPr>
        <b/>
        <sz val="11"/>
        <color theme="1"/>
        <rFont val="Calibri"/>
        <family val="2"/>
        <charset val="162"/>
        <scheme val="minor"/>
      </rPr>
      <t xml:space="preserve">Yapılması Planlanan: </t>
    </r>
    <r>
      <rPr>
        <sz val="11"/>
        <color theme="1"/>
        <rFont val="Calibri"/>
        <family val="2"/>
        <charset val="162"/>
        <scheme val="minor"/>
      </rPr>
      <t xml:space="preserve">
Halkbank tarafından fiziksel evrak sürecinin proje kapsamına dahil edilmesi konusunda bilgi beklenmektedir.
</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</si>
  <si>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sunulacak örnek senaryolar öncesinde banka tarafından cevaplandırılması adına soru seti paylaşılmıştır. 
</t>
    </r>
    <r>
      <rPr>
        <b/>
        <sz val="11"/>
        <color theme="1"/>
        <rFont val="Calibri"/>
        <family val="2"/>
        <charset val="162"/>
        <scheme val="minor"/>
      </rPr>
      <t>Yapılması Planlanan:</t>
    </r>
    <r>
      <rPr>
        <sz val="11"/>
        <color theme="1"/>
        <rFont val="Calibri"/>
        <family val="2"/>
        <charset val="162"/>
        <scheme val="minor"/>
      </rPr>
      <t xml:space="preserve">
Banka tarafından gelecek cevaplara istinaden değerlendirme sağlanması ve örnek senaryo paylaşılması adına planlama yapılacaktır.</t>
    </r>
  </si>
  <si>
    <t xml:space="preserve"> Kuveyt Türk Katılım Bankası KEP'leştirme Süreç Yönetimi  Projesi</t>
  </si>
  <si>
    <r>
      <rPr>
        <b/>
        <sz val="11"/>
        <color theme="1"/>
        <rFont val="Calibri"/>
        <family val="2"/>
        <charset val="162"/>
        <scheme val="minor"/>
      </rPr>
      <t>Yapılan</t>
    </r>
    <r>
      <rPr>
        <sz val="11"/>
        <color theme="1"/>
        <rFont val="Calibri"/>
        <family val="2"/>
        <charset val="162"/>
        <scheme val="minor"/>
      </rPr>
      <t xml:space="preserve">:
17 Kasım ve 25 Kasım tarihlerinde proje ilerleme toplantısı yapılmıştır.
Proje takvimi güncellenmiştir.
</t>
    </r>
    <r>
      <rPr>
        <b/>
        <sz val="11"/>
        <color theme="1"/>
        <rFont val="Calibri"/>
        <family val="2"/>
        <charset val="162"/>
        <scheme val="minor"/>
      </rPr>
      <t xml:space="preserve">Yapılması Planlanan:
</t>
    </r>
    <r>
      <rPr>
        <sz val="11"/>
        <color theme="1"/>
        <rFont val="Calibri"/>
        <family val="2"/>
        <charset val="162"/>
        <scheme val="minor"/>
      </rPr>
      <t>Bir java bir de .Net uygulaması yeni ortama taşınacaktır. Felaket Kurtama senaryosu çalışılacaktır.</t>
    </r>
  </si>
  <si>
    <r>
      <rPr>
        <b/>
        <sz val="11"/>
        <color theme="1"/>
        <rFont val="Calibri"/>
        <family val="2"/>
        <charset val="162"/>
        <scheme val="minor"/>
      </rPr>
      <t>Yapılan</t>
    </r>
    <r>
      <rPr>
        <sz val="11"/>
        <color theme="1"/>
        <rFont val="Calibri"/>
        <family val="2"/>
        <charset val="162"/>
        <scheme val="minor"/>
      </rPr>
      <t xml:space="preserve">:
17 Kasım ve 25 Kasım tarihlerinde proje ilerleme toplantısı yapılmıştır.
28 Kasım'da yapılan toplantı ile pilot geçiş senaryosu oluşturulmuştur.
</t>
    </r>
    <r>
      <rPr>
        <b/>
        <sz val="11"/>
        <color theme="1"/>
        <rFont val="Calibri"/>
        <family val="2"/>
        <charset val="162"/>
        <scheme val="minor"/>
      </rPr>
      <t xml:space="preserve">Yapılması Planlanan:
</t>
    </r>
    <r>
      <rPr>
        <sz val="11"/>
        <color theme="1"/>
        <rFont val="Calibri"/>
        <family val="2"/>
        <charset val="162"/>
        <scheme val="minor"/>
      </rPr>
      <t>Proje ilerleme toplantısı haftalık olarak planlanmıştır.
Gebze VM'den Ankara DRC'ye geçiş senaryosu ve kanıt çalışması yapılacaktır.</t>
    </r>
  </si>
  <si>
    <r>
      <rPr>
        <b/>
        <sz val="11"/>
        <color theme="1"/>
        <rFont val="Calibri"/>
        <family val="2"/>
        <charset val="162"/>
        <scheme val="minor"/>
      </rPr>
      <t>Yapılan</t>
    </r>
    <r>
      <rPr>
        <sz val="11"/>
        <color theme="1"/>
        <rFont val="Calibri"/>
        <family val="2"/>
        <charset val="162"/>
        <scheme val="minor"/>
      </rPr>
      <t xml:space="preserve">:
Ürünü tanımlama ve ürün yol haritası doküman hazırlığı devam etmektedir.
</t>
    </r>
    <r>
      <rPr>
        <b/>
        <sz val="11"/>
        <color theme="1"/>
        <rFont val="Calibri"/>
        <family val="2"/>
        <charset val="162"/>
        <scheme val="minor"/>
      </rPr>
      <t xml:space="preserve">Yapılması Planlanan:
</t>
    </r>
    <r>
      <rPr>
        <sz val="11"/>
        <color theme="1"/>
        <rFont val="Calibri"/>
        <family val="2"/>
        <charset val="162"/>
        <scheme val="minor"/>
      </rPr>
      <t>Doküman hazırlığına devam edilecektir.</t>
    </r>
    <r>
      <rPr>
        <b/>
        <sz val="11"/>
        <color theme="1"/>
        <rFont val="Calibri"/>
        <family val="2"/>
        <charset val="162"/>
        <scheme val="minor"/>
      </rPr>
      <t xml:space="preserve">
</t>
    </r>
  </si>
  <si>
    <t xml:space="preserve">Proje, 01 Ağustos 2025 itibariyle Ar-Ge portalında açılmıştır. Ar-Ge projesi olarak açılması için hazırlanan proje kartı dışında proje çıktısı olacak ürünü tanımlayacak bir doküman (Sistem Altsistem Tanımlama Dokümanı benzeri) henüz oluşturulamamıştır. Böyle bir doküman hazırlandıktan sonra ürün yol haritası ve proje planı hazırlanarak proje çalışmalarına başlanabilecektir. 
</t>
  </si>
  <si>
    <t xml:space="preserve">Proje kapsam ve hedeflerini net olarak açıklayan bir doküman olmaması projeye başlanmasını geciktirmektedir. 01 Ağustos'ta açılışı yapılan projede geçen 4 ay içinde herhangi bir ilerleme olmamıştır. </t>
  </si>
  <si>
    <r>
      <rPr>
        <b/>
        <sz val="11"/>
        <color theme="1"/>
        <rFont val="Calibri"/>
        <family val="2"/>
        <charset val="162"/>
        <scheme val="minor"/>
      </rPr>
      <t>Yapılan</t>
    </r>
    <r>
      <rPr>
        <sz val="11"/>
        <color theme="1"/>
        <rFont val="Calibri"/>
        <family val="2"/>
        <charset val="162"/>
        <scheme val="minor"/>
      </rPr>
      <t xml:space="preserve">:
e-Güven tarafından SMS aktivasyonuna yönelik geliştirme test sürecindedir.
17 Kasım haftası için e-Güven firmasıyla toplantı yapılmıştır.
e-Güven'e iletilmesi planlanan sertifika durum bilgisi ve sertifika yüklenme tarihini içeren servisin oluşturulması konusunda iç değerlendirme tamamlanmıştır.Mevcut servis performansı değerlendirilecek ve değerlendirme sonucu mevcut servisi geliştirme ya da yeni servis geliştirmesi sağlanacaktır.
</t>
    </r>
    <r>
      <rPr>
        <b/>
        <sz val="11"/>
        <color theme="1"/>
        <rFont val="Calibri"/>
        <family val="2"/>
        <charset val="162"/>
        <scheme val="minor"/>
      </rPr>
      <t xml:space="preserve">Yapılması Planlanan:
</t>
    </r>
    <r>
      <rPr>
        <sz val="11"/>
        <color theme="1"/>
        <rFont val="Calibri"/>
        <family val="2"/>
        <charset val="162"/>
        <scheme val="minor"/>
      </rPr>
      <t xml:space="preserve">CRM'de yapılan değişikliklerin e-Güven CRM tarafına aktarılmasına yönelik çalışmalara devam edilecektir.
PIN/PUK gönderimi konusunda e-Güven'den bilgi beklenmektedir. 
</t>
    </r>
  </si>
  <si>
    <r>
      <rPr>
        <b/>
        <sz val="11"/>
        <color theme="1"/>
        <rFont val="Calibri"/>
        <family val="2"/>
        <charset val="162"/>
        <scheme val="minor"/>
      </rPr>
      <t>Yapılan</t>
    </r>
    <r>
      <rPr>
        <sz val="11"/>
        <color theme="1"/>
        <rFont val="Calibri"/>
        <family val="2"/>
        <charset val="162"/>
        <scheme val="minor"/>
      </rPr>
      <t xml:space="preserve">:
İç ekiplerle gerçekleştirilen toplantılara istinaden yapılacak geliştirmelerin detayları çıkarılmıştır.
UKDS ve Entegrasyon Suit geliştirmeleri tamamlanmış, CRM geliştirme sürecine devam edilmiştir.
Datassist ile 27 Kasım'da gerçekleştirilen toplantıda proje ilerleme durum bilgisi paylaşılmış, gelecek hafta içinde testlere başlanması konusunda mutabık kalınmıştır.
</t>
    </r>
    <r>
      <rPr>
        <b/>
        <sz val="11"/>
        <color theme="1"/>
        <rFont val="Calibri"/>
        <family val="2"/>
        <charset val="162"/>
        <scheme val="minor"/>
      </rPr>
      <t xml:space="preserve">Yapılması Planlanan:
</t>
    </r>
    <r>
      <rPr>
        <sz val="11"/>
        <color theme="1"/>
        <rFont val="Calibri"/>
        <family val="2"/>
        <charset val="162"/>
        <scheme val="minor"/>
      </rPr>
      <t>5 Aralık tarihinde pre prod kullanımının firmaya açılması planlanmaktadır.</t>
    </r>
  </si>
  <si>
    <r>
      <rPr>
        <b/>
        <sz val="11"/>
        <color theme="1"/>
        <rFont val="Calibri"/>
        <family val="2"/>
        <charset val="162"/>
        <scheme val="minor"/>
      </rPr>
      <t>Yapılan</t>
    </r>
    <r>
      <rPr>
        <sz val="11"/>
        <color theme="1"/>
        <rFont val="Calibri"/>
        <family val="2"/>
        <charset val="162"/>
        <scheme val="minor"/>
      </rPr>
      <t xml:space="preserve">:
Trendyol ile başvuru sayfası, e-Devletle onaylama sonrası otomatik KEP açılışı sağlanmıştır.
Trendyol ile canlı testler yapılmıştır.
</t>
    </r>
    <r>
      <rPr>
        <b/>
        <sz val="11"/>
        <color theme="1"/>
        <rFont val="Calibri"/>
        <family val="2"/>
        <charset val="162"/>
        <scheme val="minor"/>
      </rPr>
      <t>Yapılması Planlanan:</t>
    </r>
    <r>
      <rPr>
        <sz val="11"/>
        <color theme="1"/>
        <rFont val="Calibri"/>
        <family val="2"/>
        <charset val="162"/>
        <scheme val="minor"/>
      </rPr>
      <t xml:space="preserve">
Trendyol, geliştirilen uygulamayı 03 Aralık Pazartesi günü itibariyle kullanıma başlayacaktır.
Proje kapanış belgesi hazırlanarak kapanış duyurusu yapılacaktır.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</si>
  <si>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firmaya talep yazısı gönderilecektir.</t>
    </r>
    <r>
      <rPr>
        <sz val="11"/>
        <color theme="1"/>
        <rFont val="Calibri"/>
        <family val="2"/>
        <charset val="162"/>
        <scheme val="minor"/>
      </rPr>
      <t xml:space="preserve">
Yıllık bakım anlaşması ve danışmanlık hizmetleri için teklif istenecektir.</t>
    </r>
  </si>
  <si>
    <r>
      <rPr>
        <b/>
        <sz val="11"/>
        <color theme="1"/>
        <rFont val="Calibri"/>
        <family val="2"/>
        <charset val="162"/>
        <scheme val="minor"/>
      </rPr>
      <t>Yapılan</t>
    </r>
    <r>
      <rPr>
        <sz val="11"/>
        <color theme="1"/>
        <rFont val="Calibri"/>
        <family val="2"/>
        <charset val="162"/>
        <scheme val="minor"/>
      </rPr>
      <t xml:space="preserve">:
UKDS ile KEP Hesap Açılış Otomasyonu için geliştirmeler tamamlanmış ve canlıya alınmıştır.
1 Aralık haftası proje kapanış belgesi hazırlığı ve kapanış duyurusu planlanacaktır.
</t>
    </r>
    <r>
      <rPr>
        <b/>
        <sz val="11"/>
        <color theme="1"/>
        <rFont val="Calibri"/>
        <family val="2"/>
        <charset val="162"/>
        <scheme val="minor"/>
      </rPr>
      <t>Yapılması Planlanan:</t>
    </r>
    <r>
      <rPr>
        <sz val="11"/>
        <color theme="1"/>
        <rFont val="Calibri"/>
        <family val="2"/>
        <charset val="162"/>
        <scheme val="minor"/>
      </rPr>
      <t xml:space="preserve">
Proje kapanış belgesi hazırlanarak kapanış duyurusu yapılacaktır.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</si>
  <si>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alınmıştır.Proje açılış duyurusu yapılmıştır.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</si>
  <si>
    <t>Taner Yamak</t>
  </si>
  <si>
    <t>2025-BTA-020</t>
  </si>
  <si>
    <t>Test Otomasyonu Süreç Yönetimi Projesi</t>
  </si>
  <si>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firmaya talep yazısı gönderilecektir.
Yıllık bakım anlaşması ve danışmanlık hizmetleri için teklif istenecektir.</t>
    </r>
  </si>
  <si>
    <r>
      <rPr>
        <b/>
        <sz val="11"/>
        <color theme="1"/>
        <rFont val="Calibri"/>
        <family val="2"/>
        <charset val="162"/>
        <scheme val="minor"/>
      </rPr>
      <t>Yapılan</t>
    </r>
    <r>
      <rPr>
        <sz val="11"/>
        <color theme="1"/>
        <rFont val="Calibri"/>
        <family val="2"/>
        <charset val="162"/>
        <scheme val="minor"/>
      </rPr>
      <t xml:space="preserve">:
Proje Başlatma Belgesi hazırlanmış ve proje sponsor onayı alınmıştır. Proje açılış duyurusu yapılmıştır.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</si>
  <si>
    <t>Tüm uygulamalar ve veritabanlarının felaket kurtarma senaryosu içinde Gebze VM'den Ankara VM'ye geçişin belirlenen tarihe kadar testi mümkün görünmemektedir. Bunun yerine seçilen bir uygulamanın (FileServer) FKM'ye geçişine yönelik bir senaryo ile süreç, kanıt maksatlı kayıt altına alınmıştır.</t>
  </si>
  <si>
    <r>
      <rPr>
        <b/>
        <sz val="11"/>
        <color theme="1"/>
        <rFont val="Calibri"/>
        <family val="2"/>
        <charset val="162"/>
        <scheme val="minor"/>
      </rPr>
      <t>Yapılan</t>
    </r>
    <r>
      <rPr>
        <sz val="11"/>
        <color theme="1"/>
        <rFont val="Calibri"/>
        <family val="2"/>
        <charset val="162"/>
        <scheme val="minor"/>
      </rPr>
      <t xml:space="preserve">:
UKDS ile KEP Hesap Açılış Otomasyonu için geliştirmeler tamamlanmış ve canlıya alınmıştır.
</t>
    </r>
    <r>
      <rPr>
        <b/>
        <sz val="11"/>
        <color theme="1"/>
        <rFont val="Calibri"/>
        <family val="2"/>
        <charset val="162"/>
        <scheme val="minor"/>
      </rPr>
      <t>Yapılması Planlanan:</t>
    </r>
    <r>
      <rPr>
        <sz val="11"/>
        <color theme="1"/>
        <rFont val="Calibri"/>
        <family val="2"/>
        <charset val="162"/>
        <scheme val="minor"/>
      </rPr>
      <t xml:space="preserve">
Tespit edilen hatalar müdahale edilecektir.</t>
    </r>
  </si>
  <si>
    <r>
      <rPr>
        <b/>
        <sz val="11"/>
        <color theme="1"/>
        <rFont val="Calibri"/>
        <family val="2"/>
        <charset val="162"/>
        <scheme val="minor"/>
      </rPr>
      <t xml:space="preserve">
Yapılan:</t>
    </r>
    <r>
      <rPr>
        <sz val="11"/>
        <color theme="1"/>
        <rFont val="Calibri"/>
        <family val="2"/>
        <charset val="162"/>
        <scheme val="minor"/>
      </rPr>
      <t xml:space="preserve">
Proje Başlatma Belgesi hazırlanmış, proje sponsor onayı alınmış ve proje açılış duyurusu yapılmıştır.
Proje kickoff toplantısı gerçekleştirilmiştir. 
Test tipleri, uygulamaların test ihtiyaçları ve kullanılan araçlarla ilgili mevcut durum analizi yapılmıştır.
İhtiyacı karşılayacak uygun test araçları analiz edilmiş, en uygun uygulama önerisi oluşmuştur. 
Y</t>
    </r>
    <r>
      <rPr>
        <b/>
        <sz val="11"/>
        <color theme="1"/>
        <rFont val="Calibri"/>
        <family val="2"/>
        <charset val="162"/>
        <scheme val="minor"/>
      </rPr>
      <t xml:space="preserve">apılması Planlanan:
</t>
    </r>
    <r>
      <rPr>
        <sz val="11"/>
        <color theme="1"/>
        <rFont val="Calibri"/>
        <family val="2"/>
        <charset val="162"/>
        <scheme val="minor"/>
      </rPr>
      <t xml:space="preserve">API testleri yapılacaktır.
Yazılım gereksinim dokümanı hazırlanacaktır.
Haftalık ilerleme toplantısının yapılması planlanmıştır.
</t>
    </r>
  </si>
  <si>
    <r>
      <rPr>
        <b/>
        <sz val="11"/>
        <color theme="1"/>
        <rFont val="Calibri"/>
        <family val="2"/>
        <charset val="162"/>
        <scheme val="minor"/>
      </rPr>
      <t>Yapılan</t>
    </r>
    <r>
      <rPr>
        <sz val="11"/>
        <color theme="1"/>
        <rFont val="Calibri"/>
        <family val="2"/>
        <charset val="162"/>
        <scheme val="minor"/>
      </rPr>
      <t xml:space="preserve"> :
4 Aralık 2025 tarihinde Uygulama Arayüz Tasarım (UI/UX) Dokümanı Hazırlıkları ile ilgili Ürün Yönetimi Birimi ile toplantı gerçekleştirilmiş ve UI/UX gereksinim dokümanı şablonu paylaşılmıştır.
</t>
    </r>
    <r>
      <rPr>
        <b/>
        <sz val="11"/>
        <color theme="1"/>
        <rFont val="Calibri"/>
        <family val="2"/>
        <charset val="162"/>
        <scheme val="minor"/>
      </rPr>
      <t xml:space="preserve">
Yapılması Planlanan</t>
    </r>
    <r>
      <rPr>
        <sz val="11"/>
        <color theme="1"/>
        <rFont val="Calibri"/>
        <family val="2"/>
        <charset val="162"/>
        <scheme val="minor"/>
      </rPr>
      <t xml:space="preserve"> :
Ürün Yönetimi tarafından önerilen şablon değerlendirilecek ve e-Fatura, e-Arşiv Fatura ve e-İrsaliye UI/UX gereksinimlerinin yazılmasına başlanacaktır.
</t>
    </r>
  </si>
  <si>
    <t>Yazılım mimarının henüz ekibe katılamamış olması nedeniyle yazılım tarafında 8 aylık bir gecikme vardır.Yazılım mimarı eksikliği, etkisi yüksek bir risk olarak takip edilmektedir. Projenin tüm bileşenleri ile Haziran 2026'ya kadar tamamlanması mümkün görünmemektedir. Revize kapsam ve proje planı için onay beklenmektedir.</t>
  </si>
  <si>
    <r>
      <rPr>
        <b/>
        <sz val="11"/>
        <color theme="1"/>
        <rFont val="Calibri"/>
        <family val="2"/>
        <charset val="162"/>
        <scheme val="minor"/>
      </rPr>
      <t>Yapılan:</t>
    </r>
    <r>
      <rPr>
        <sz val="11"/>
        <color theme="1"/>
        <rFont val="Calibri"/>
        <family val="2"/>
        <charset val="162"/>
        <scheme val="minor"/>
      </rPr>
      <t xml:space="preserve">
Firma ve proje ekibiyle proje ilerleme toplantısı gerçekleştirilmiştir.
İş birimlerinde  sıkça sorulan soruların listelenmesiyle ilgili gelen dönüşlere istinaden Chatbot vektör veri tabanı güncellenmiştir.
TÇM ve Operasyon Bölümü ile prompt üzerinden soru-cevap denemeleri yapılmış, e-imza üzerine odaklı yapılan denemeler neticesinde soru-cevaplarda ve prompt'ta düzenleme yapılmasına karar verilmiştir.
</t>
    </r>
    <r>
      <rPr>
        <b/>
        <sz val="11"/>
        <color theme="1"/>
        <rFont val="Calibri"/>
        <family val="2"/>
        <charset val="162"/>
        <scheme val="minor"/>
      </rPr>
      <t xml:space="preserve">
Yapılması Planlanan:
</t>
    </r>
    <r>
      <rPr>
        <sz val="11"/>
        <color theme="1"/>
        <rFont val="Calibri"/>
        <family val="2"/>
        <charset val="162"/>
        <scheme val="minor"/>
      </rPr>
      <t>Yazılım ekibi, yeni eklenen soru-cevaplara istinaden prompt düzenlemesi yapacaktır.
Chatbot tarafından üretilecek cevaplar için doğrulama maksatlı hizmet alımı görüşülecektir.
Chatbot yükleme testi yapılacaktır.</t>
    </r>
  </si>
  <si>
    <r>
      <rPr>
        <b/>
        <sz val="11"/>
        <color theme="1"/>
        <rFont val="Calibri"/>
        <family val="2"/>
        <charset val="162"/>
        <scheme val="minor"/>
      </rPr>
      <t xml:space="preserve">Yapılan: 
</t>
    </r>
    <r>
      <rPr>
        <sz val="11"/>
        <color theme="1"/>
        <rFont val="Calibri"/>
        <family val="2"/>
        <charset val="162"/>
        <scheme val="minor"/>
      </rPr>
      <t>Halkbank entegrasyonunda banka tarafından geliştirilen statü servisinin testlerine devam edilmektedir.</t>
    </r>
    <r>
      <rPr>
        <b/>
        <sz val="11"/>
        <color theme="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 xml:space="preserve">
Tüm başvuru statüleri için servis kullanım senaryolarına uygun olacak şekilde geliştirme yapılacaktır.
.
</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</si>
  <si>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sunulacak örnek senaryolar öncesinde banka tarafından cevaplandırılması adına soru seti paylaşılmıştır. 
Banka tarafından iletilen yanıtlar proje ekibi tarafından değerlendirilmiştir.
</t>
    </r>
    <r>
      <rPr>
        <b/>
        <sz val="11"/>
        <color theme="1"/>
        <rFont val="Calibri"/>
        <family val="2"/>
        <charset val="162"/>
        <scheme val="minor"/>
      </rPr>
      <t>Yapılması Planlanan:</t>
    </r>
    <r>
      <rPr>
        <sz val="11"/>
        <color theme="1"/>
        <rFont val="Calibri"/>
        <family val="2"/>
        <charset val="162"/>
        <scheme val="minor"/>
      </rPr>
      <t xml:space="preserve">
Bankaya uygun kullanım senaryosu için öneri oluşturulacak ve detayları banka ekipleriyle bir toplantı ile görüşülecektir.</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</si>
  <si>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Güncellen proje takvimi üzerinden Aralık ayı sonu hedefi ile çalışmalara devam edilmektedir.
</t>
    </r>
    <r>
      <rPr>
        <b/>
        <sz val="11"/>
        <color theme="1"/>
        <rFont val="Calibri"/>
        <family val="2"/>
        <charset val="162"/>
        <scheme val="minor"/>
      </rPr>
      <t xml:space="preserve">Yapılması Planlanan:
</t>
    </r>
    <r>
      <rPr>
        <sz val="11"/>
        <color theme="1"/>
        <rFont val="Calibri"/>
        <family val="2"/>
        <charset val="162"/>
        <scheme val="minor"/>
      </rPr>
      <t>Bir java bir de .Net uygulaması yeni ortama taşınacaktır. Felaket Kurtama senaryosu çalışılacaktır.</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</si>
  <si>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Gebze Veri Merkezi'nden Ankara Felaket Kurtarma Merkezi'ne geçiş senaryosu ve kanıt çalışması yapılmıştır.
Proje yöneticisi tarafından rapor hazırlanmış ve paylaşım yapılmıştır.
Linux sunucularının domaine taşınması ile ilgili çalışma yapılmıştır.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çalışmalarına devam edilecektir.
</t>
    </r>
  </si>
  <si>
    <t>Proje kapsam ve hedeflerini net olarak açıklayan bir doküman olmaması projeye başlanmasını geciktirmektedir. 01 Ağustos'ta açılışı yapılan projede geçen 4 ay içinde herhangi bir ilerleme olmamıştır. Java uzmanlığı olan bir yazılım mimarının proje ekibine katılması ihtiyacı vardır.</t>
  </si>
  <si>
    <r>
      <rPr>
        <b/>
        <sz val="11"/>
        <color theme="1"/>
        <rFont val="Calibri"/>
        <family val="2"/>
        <charset val="162"/>
        <scheme val="minor"/>
      </rPr>
      <t>Yapılan</t>
    </r>
    <r>
      <rPr>
        <sz val="11"/>
        <color theme="1"/>
        <rFont val="Calibri"/>
        <family val="2"/>
        <charset val="162"/>
        <scheme val="minor"/>
      </rPr>
      <t xml:space="preserve">:
e-Güven tarafından iletilen SMS aktivasyonu test aşamasındadır.
e-Güven'e iletilmesi planlanan sertifika durum bilgisi ve sertifika yüklenme tarihini içeren servisin oluşturulması konusunda iç değerlendirme tamamlanmıştır.
Bilgilerin e-Güven CRM'den güncellenmesindeki gecikme gerekçesi üzerinde çalışılmaktadır.
</t>
    </r>
    <r>
      <rPr>
        <b/>
        <sz val="11"/>
        <color theme="1"/>
        <rFont val="Calibri"/>
        <family val="2"/>
        <charset val="162"/>
        <scheme val="minor"/>
      </rPr>
      <t xml:space="preserve">Yapılması Planlanan:
</t>
    </r>
    <r>
      <rPr>
        <sz val="11"/>
        <color theme="1"/>
        <rFont val="Calibri"/>
        <family val="2"/>
        <charset val="162"/>
        <scheme val="minor"/>
      </rPr>
      <t xml:space="preserve">e-Devlet onay bilgisinin bizim CRM'de güncellenmesi için servis ihtiyacı değerlendirilecektir.
PIN/PUK gönderimi konusunda e-Güven'den bilgi beklenmektedir. 
</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</si>
  <si>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Türmob için pre prod ortamında entegrasyon suit UKDS modülü aktif edilecektir.
</t>
    </r>
  </si>
  <si>
    <t>dogukan.oncuer</t>
  </si>
  <si>
    <t>Entegrasyona yönelik ortak kapsam ve proje takviminin halen oluşturulamamış olması projede gecikme riski olarak takip edilmektedir.</t>
  </si>
  <si>
    <r>
      <rPr>
        <b/>
        <sz val="11"/>
        <color theme="1"/>
        <rFont val="Calibri"/>
        <family val="2"/>
        <charset val="162"/>
        <scheme val="minor"/>
      </rPr>
      <t>Yapılan</t>
    </r>
    <r>
      <rPr>
        <sz val="11"/>
        <color theme="1"/>
        <rFont val="Calibri"/>
        <family val="2"/>
        <charset val="162"/>
        <scheme val="minor"/>
      </rPr>
      <t xml:space="preserve">:
Datassist senaryosuna uygun olacak şekilde entegrasyon suit UKDS modülü geliştirmeleri tamamlanmış ve pre prod ortama aktarılmıştır.
Datassist tarafından gelen kurumsal ve bireysel başvurular için CRM tarafında gerekli geliştirmeler tamamlanmıştır.
Kurumsal ve bireysel başvuru senaryoları UKDS, entegrasyon suit UKDS modülü ve CRM sistemlerinde bütünleşik olarak test edilmiştir.
Bugün (12 Aralık) yapılan proje ilerleme toplantısında 17 Aralık Çarşamba günü UAT ve canlıya alınmasına karar verilmiştir.
</t>
    </r>
    <r>
      <rPr>
        <b/>
        <sz val="11"/>
        <color theme="1"/>
        <rFont val="Calibri"/>
        <family val="2"/>
        <charset val="162"/>
        <scheme val="minor"/>
      </rPr>
      <t xml:space="preserve">Yapılması Planlanan:
</t>
    </r>
    <r>
      <rPr>
        <sz val="11"/>
        <color theme="1"/>
        <rFont val="Calibri"/>
        <family val="2"/>
        <charset val="162"/>
        <scheme val="minor"/>
      </rPr>
      <t>Müşterileri tarafından iletilen sorularına dönüş yapılacaki entegrasyon sürecine destek sağlanacaktır.
Entegrasyon suit dokümanında UKDS modülü için güncelleme sağlanacaktır.
Canlıya geçiş planlaması yapılacaktır.</t>
    </r>
  </si>
  <si>
    <r>
      <rPr>
        <b/>
        <sz val="11"/>
        <color theme="1"/>
        <rFont val="Calibri"/>
        <family val="2"/>
        <charset val="162"/>
        <scheme val="minor"/>
      </rPr>
      <t>Yapılan</t>
    </r>
    <r>
      <rPr>
        <sz val="11"/>
        <color theme="1"/>
        <rFont val="Calibri"/>
        <family val="2"/>
        <charset val="162"/>
        <scheme val="minor"/>
      </rPr>
      <t xml:space="preserve">:
 03 Aralık Pazartesi günü Trendyol ile başvuru sayfası, kullanıma alınmıştır.
Firma Yetkilisi ile bugün (12 Aralık) yapılan toplantıda başvuru linkini kampanya kodu olmayacak şekilde güncelleyerek KEP almak isteyen tüm tedarikçilerine erişilebilir hale getirmek istediğini iletmiştir. 
</t>
    </r>
    <r>
      <rPr>
        <b/>
        <sz val="11"/>
        <color theme="1"/>
        <rFont val="Calibri"/>
        <family val="2"/>
        <charset val="162"/>
        <scheme val="minor"/>
      </rPr>
      <t>Yapılması Planlanan:</t>
    </r>
    <r>
      <rPr>
        <sz val="11"/>
        <color theme="1"/>
        <rFont val="Calibri"/>
        <family val="2"/>
        <charset val="162"/>
        <scheme val="minor"/>
      </rPr>
      <t xml:space="preserve">
Ek geliştirme gerektiren Firma talebi değerlendirilecektir.
Proje kapanış belgesi hazırlanarak kapanış duyurusu yapılacaktır.</t>
    </r>
  </si>
  <si>
    <r>
      <rPr>
        <b/>
        <sz val="11"/>
        <color theme="1"/>
        <rFont val="Calibri"/>
        <family val="2"/>
        <charset val="162"/>
        <scheme val="minor"/>
      </rPr>
      <t>Yapılan:</t>
    </r>
    <r>
      <rPr>
        <sz val="11"/>
        <color theme="1"/>
        <rFont val="Calibri"/>
        <family val="2"/>
        <charset val="162"/>
        <scheme val="minor"/>
      </rPr>
      <t xml:space="preserve">
POC kapsamında kullanıcı hareketleri takip edilmiş ve sonuçları değerlendirilmiştir.
POC kapsamında lisans süresi firma ile görüşülerek uzatılmıştır.
POC süresince tespit edilen durumlar bugün (12 Aralık) firmaya sorular gönderilmiş, firma dönüş yapmıştır.
</t>
    </r>
    <r>
      <rPr>
        <b/>
        <sz val="11"/>
        <color theme="1"/>
        <rFont val="Calibri"/>
        <family val="2"/>
        <charset val="162"/>
        <scheme val="minor"/>
      </rPr>
      <t xml:space="preserve">Yapılması Planlanan:
</t>
    </r>
    <r>
      <rPr>
        <sz val="11"/>
        <color theme="1"/>
        <rFont val="Calibri"/>
        <family val="2"/>
        <charset val="162"/>
        <scheme val="minor"/>
      </rPr>
      <t>Proje kapanış raporu hazırlanacaktır.</t>
    </r>
    <r>
      <rPr>
        <b/>
        <sz val="11"/>
        <color theme="1"/>
        <rFont val="Calibri"/>
        <family val="2"/>
        <charset val="162"/>
        <scheme val="minor"/>
      </rPr>
      <t xml:space="preserve">
</t>
    </r>
  </si>
  <si>
    <t>2025-PYO-021</t>
  </si>
  <si>
    <t>MA3 API Lisans Yenileme Süreç Yönetimi Projesi</t>
  </si>
  <si>
    <r>
      <rPr>
        <b/>
        <sz val="11"/>
        <color theme="1"/>
        <rFont val="Calibri"/>
        <family val="2"/>
        <charset val="162"/>
        <scheme val="minor"/>
      </rPr>
      <t xml:space="preserve">
Yapılan:</t>
    </r>
    <r>
      <rPr>
        <sz val="11"/>
        <color theme="1"/>
        <rFont val="Calibri"/>
        <family val="2"/>
        <charset val="162"/>
        <scheme val="minor"/>
      </rPr>
      <t xml:space="preserve">
Proje Başlatma Belgesi hazırlanmış, proje yönlendirme komitesi onayına gönderilmiştir.
Y</t>
    </r>
    <r>
      <rPr>
        <b/>
        <sz val="11"/>
        <color theme="1"/>
        <rFont val="Calibri"/>
        <family val="2"/>
        <charset val="162"/>
        <scheme val="minor"/>
      </rPr>
      <t xml:space="preserve">apılması Planlanan:
</t>
    </r>
    <r>
      <rPr>
        <sz val="11"/>
        <color theme="1"/>
        <rFont val="Calibri"/>
        <family val="2"/>
        <charset val="162"/>
        <scheme val="minor"/>
      </rPr>
      <t xml:space="preserve">Proje Açılış Duyurusu yapılacaktır.
</t>
    </r>
  </si>
  <si>
    <r>
      <rPr>
        <b/>
        <sz val="11"/>
        <color theme="1"/>
        <rFont val="Calibri"/>
        <family val="2"/>
        <charset val="162"/>
        <scheme val="minor"/>
      </rPr>
      <t>Proje Yönlendirme Komitesi:</t>
    </r>
    <r>
      <rPr>
        <sz val="11"/>
        <color theme="1"/>
        <rFont val="Calibri"/>
        <family val="2"/>
        <scheme val="minor"/>
      </rPr>
      <t xml:space="preserve">
Sibel Kabadaş Aka 
Aykut Kutlusan 
Cemal Önder Doğan</t>
    </r>
  </si>
  <si>
    <r>
      <rPr>
        <b/>
        <sz val="11"/>
        <color theme="1"/>
        <rFont val="Calibri"/>
        <family val="2"/>
        <charset val="162"/>
        <scheme val="minor"/>
      </rPr>
      <t>Proje Yönlendirme Komitesi:</t>
    </r>
    <r>
      <rPr>
        <sz val="11"/>
        <color theme="1"/>
        <rFont val="Calibri"/>
        <family val="2"/>
        <scheme val="minor"/>
      </rPr>
      <t xml:space="preserve">
Ayhan Ağırgöl
Sibel Aka
Hülya Yemşen
Cemal Doğan
Aykut Kutlusan</t>
    </r>
  </si>
  <si>
    <r>
      <rPr>
        <b/>
        <sz val="11"/>
        <color theme="1"/>
        <rFont val="Calibri"/>
        <family val="2"/>
        <charset val="162"/>
        <scheme val="minor"/>
      </rPr>
      <t>Proje Yönlendirme Komitesi</t>
    </r>
    <r>
      <rPr>
        <sz val="11"/>
        <color theme="1"/>
        <rFont val="Calibri"/>
        <family val="2"/>
        <scheme val="minor"/>
      </rPr>
      <t xml:space="preserve">
-Sibel Aka
-Hülya Yemşen
-Cemal Önder Doğan
-Aykut Kutlusan</t>
    </r>
  </si>
  <si>
    <r>
      <rPr>
        <b/>
        <sz val="11"/>
        <color theme="1"/>
        <rFont val="Calibri"/>
        <family val="2"/>
        <charset val="162"/>
        <scheme val="minor"/>
      </rPr>
      <t>Proje Yönlendirme Komitesi</t>
    </r>
    <r>
      <rPr>
        <sz val="11"/>
        <color theme="1"/>
        <rFont val="Calibri"/>
        <family val="2"/>
        <scheme val="minor"/>
      </rPr>
      <t xml:space="preserve">
-Ayhan Ağırgöl
-Sibel Aka
-Cemal Önder Doğan
-Aykut Kutlusan</t>
    </r>
  </si>
  <si>
    <r>
      <rPr>
        <b/>
        <sz val="11"/>
        <color theme="1"/>
        <rFont val="Calibri"/>
        <family val="2"/>
        <charset val="162"/>
        <scheme val="minor"/>
      </rPr>
      <t>Proje Yönlendirme Komitesi</t>
    </r>
    <r>
      <rPr>
        <sz val="11"/>
        <color theme="1"/>
        <rFont val="Calibri"/>
        <family val="2"/>
        <scheme val="minor"/>
      </rPr>
      <t xml:space="preserve">
-Ayhan Ağırgöl
-Hülya Yemşen
-Sibel Aka
-Cemal Doğan
-Aykut Kutlusan </t>
    </r>
  </si>
  <si>
    <t>Proje bitiş tarihi, banka ile devam eden çalışmalar nedeniyle 8 ay ötelenerek Ocak sonu olarak güncellenmiştir</t>
  </si>
  <si>
    <r>
      <rPr>
        <b/>
        <sz val="11"/>
        <color theme="1"/>
        <rFont val="Calibri"/>
        <family val="2"/>
        <charset val="162"/>
        <scheme val="minor"/>
      </rPr>
      <t xml:space="preserve">Yapılan: 
</t>
    </r>
    <r>
      <rPr>
        <sz val="11"/>
        <color theme="1"/>
        <rFont val="Calibri"/>
        <family val="2"/>
        <charset val="162"/>
        <scheme val="minor"/>
      </rPr>
      <t>Halkbank entegrasyonunda banka tarafından geliştirilen statü servisinin testlerine devam edilmektedir.
Halkbank ekipleri ile teknik toplantı gerçekleştirilerek servis metotlarında iş akışlarında yapılması talep edilen değişiklikler görüşülmüştür.</t>
    </r>
    <r>
      <rPr>
        <b/>
        <sz val="11"/>
        <color theme="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 xml:space="preserve">
Tüm başvuru statüleri için servis kullanım senaryolarına uygun olacak şekilde geliştirme yapılacaktır.
Banka tarafından başvuru iptal edilme senaryosu için talep edilen değişiklik değerlendirilecek uygun bulunması durumunda geliştirme süreci başlatılacaktır.
Banka ekipleri ile süreç baştan sona test yapılacaktır.
Canlıya alım planlaması yapılacaktır.</t>
    </r>
  </si>
  <si>
    <t>Devam eden çalışmalar nedeniyle 1 ay  ötelenerek Ocak sonu olarak güncellenmiştir</t>
  </si>
  <si>
    <t>Geliştirmeler Datassist senaryosunu karşılayacak şekilde yapılmıştır. Ancak özellikle müşterek yetki durumları için UKDS genelinde geliştirme ihtiyaçları hâla bulunmaktadır. UKDS iş akışlarında eksik olduğu düşünülen senaryolar için Ürün Yönetimi ekibi ile koordineli olarak çalışmalar planlanacaktır. Bu çalışmalar açılacak yeni proje üzerinden takip edilecektir.</t>
  </si>
  <si>
    <t xml:space="preserve">Proje, 01 Ağustos 2025 itibariyle Ar-Ge portalında açılmıştır. Ar-Ge projesi olarak açılması için hazırlanan proje kartı dışında proje çıktısı olacak ürünü tanımlayacak bir doküman (Sistem Altsistem Tanımlama Dokümanı benzeri) henüz oluşturulamamıştır. Böyle bir doküman hazırlandıktan sonra ürün yol haritası ve proje planı hazırlanarak proje çalışmalarına başlanabilecektir. </t>
  </si>
  <si>
    <r>
      <rPr>
        <b/>
        <sz val="11"/>
        <color theme="1"/>
        <rFont val="Calibri"/>
        <family val="2"/>
        <charset val="162"/>
        <scheme val="minor"/>
      </rPr>
      <t>Yapılan</t>
    </r>
    <r>
      <rPr>
        <sz val="11"/>
        <color theme="1"/>
        <rFont val="Calibri"/>
        <family val="2"/>
        <charset val="162"/>
        <scheme val="minor"/>
      </rPr>
      <t>:
e-Güven tarafından iletilen SMS aktivasyonun canlıda test edilmesine karar verilmiştir.
e-Güven'e iletilmesi planlanan sertifika durum bilgisi ve sertifika yüklenme tarihini içeren servisin oluşturulması konusunda iç değerlendirme yapılmış,</t>
    </r>
    <r>
      <rPr>
        <b/>
        <sz val="11"/>
        <color rgb="FFFF0000"/>
        <rFont val="Calibri"/>
        <family val="2"/>
        <charset val="162"/>
        <scheme val="minor"/>
      </rPr>
      <t xml:space="preserve"> </t>
    </r>
    <r>
      <rPr>
        <sz val="11"/>
        <color theme="1"/>
        <rFont val="Calibri"/>
        <family val="2"/>
        <charset val="162"/>
        <scheme val="minor"/>
      </rPr>
      <t xml:space="preserve">e-Devlet onay bilgisinin CRM'de güncellenmesi için mevcut sorgunun iyileştirilmesi ve sertifikanın uygulama zamanını sağlayacak bir servis hazırlanmasına karar verilmiştir.
Bilgilerin e-Güven CRM'den güncellenmesindeki gecikme gerekçesi üzerinde çalışılmaktadır.
</t>
    </r>
    <r>
      <rPr>
        <b/>
        <sz val="11"/>
        <color theme="1"/>
        <rFont val="Calibri"/>
        <family val="2"/>
        <charset val="162"/>
        <scheme val="minor"/>
      </rPr>
      <t xml:space="preserve">Yapılması Planlanan:
</t>
    </r>
    <r>
      <rPr>
        <sz val="11"/>
        <color theme="1"/>
        <rFont val="Calibri"/>
        <family val="2"/>
        <charset val="162"/>
        <scheme val="minor"/>
      </rPr>
      <t>e-Devlet onay bilgisinin bizim CRM'de güncellenmesi ile ilgili var olan sorguda geliştirme yapılacaktır.
PIN/PUK gönderimi konusunda e-Güven'den bilgi beklenmektedir. 
Sertifikanın uygulandığı tarih saat bilgisi ve imzanın askıda ve iptal durumları için servis hazırlanacaktır.</t>
    </r>
  </si>
  <si>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t>
    </r>
    <r>
      <rPr>
        <b/>
        <sz val="11"/>
        <color theme="1"/>
        <rFont val="Calibri"/>
        <family val="2"/>
        <charset val="162"/>
        <scheme val="minor"/>
      </rPr>
      <t>Yapılması Planlanan:</t>
    </r>
    <r>
      <rPr>
        <sz val="11"/>
        <color theme="1"/>
        <rFont val="Calibri"/>
        <family val="2"/>
        <charset val="162"/>
        <scheme val="minor"/>
      </rPr>
      <t xml:space="preserve">
Greendocs sürüm güncellemesi ve danışmanlık konusunda firmaya talep yazısı gönderilecektir.
Yıllık bakım anlaşması ve danışmanlık hizmetleri için teklif istenecektir.
29 Aralık Pazartesi günü proje sponsoru ile entegrasyon konusunda görüşülmesi planlanmıştır.</t>
    </r>
    <r>
      <rPr>
        <sz val="11"/>
        <color theme="1"/>
        <rFont val="Calibri"/>
        <family val="2"/>
        <charset val="162"/>
        <scheme val="minor"/>
      </rPr>
      <t xml:space="preserve">
</t>
    </r>
  </si>
  <si>
    <r>
      <rPr>
        <b/>
        <sz val="11"/>
        <color theme="1"/>
        <rFont val="Calibri"/>
        <family val="2"/>
        <charset val="162"/>
        <scheme val="minor"/>
      </rPr>
      <t xml:space="preserve">
Yapılan:
</t>
    </r>
    <r>
      <rPr>
        <sz val="11"/>
        <color theme="1"/>
        <rFont val="Calibri"/>
        <family val="2"/>
        <charset val="162"/>
        <scheme val="minor"/>
      </rPr>
      <t xml:space="preserve">UI testlerinin %90 oranında (sonradan oluşacak senaryolar için çalışmalar ayrıca planlanacaktır) yapılmıştır.
API testleri için e-imza temini süresi beklenmiş olup, konfigürasyon ayarları yapılmaktadır. 
Test otomasyonuna karar verilmiş ve kurulumu yapılmıştır.
</t>
    </r>
    <r>
      <rPr>
        <b/>
        <sz val="11"/>
        <color theme="1"/>
        <rFont val="Calibri"/>
        <family val="2"/>
        <charset val="162"/>
        <scheme val="minor"/>
      </rPr>
      <t xml:space="preserve">Yapılması Planlanan:
</t>
    </r>
    <r>
      <rPr>
        <sz val="11"/>
        <color theme="1"/>
        <rFont val="Calibri"/>
        <family val="2"/>
        <charset val="162"/>
        <scheme val="minor"/>
      </rPr>
      <t xml:space="preserve">Kurulumların gerçekleştirilmesi için DevOps uzmanı ile görüşülecek, yapılamaması durumunda DevOps danışmanından destek alınması planlanmıştır.
Kurulumun ardından gerekli API testleri gerçekleştirilecektir.
</t>
    </r>
  </si>
  <si>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ile ilgili çalışma yapılmaktadır.
Analiz doğrulama, kullanılacak yazılım /donanım altyapı teknolojileri, yazılım mimari tasarımı konusunda danışmanlık alınmasına yönelik teklif alma süreci başlatılmıştır.
</t>
    </r>
    <r>
      <rPr>
        <b/>
        <sz val="11"/>
        <color theme="1"/>
        <rFont val="Calibri"/>
        <family val="2"/>
        <charset val="162"/>
        <scheme val="minor"/>
      </rPr>
      <t xml:space="preserve">
Yapılması Planlanan</t>
    </r>
    <r>
      <rPr>
        <sz val="11"/>
        <color theme="1"/>
        <rFont val="Calibri"/>
        <family val="2"/>
        <charset val="162"/>
        <scheme val="minor"/>
      </rPr>
      <t xml:space="preserve"> :
UI/UX gereksinim dokümanı çalışmalarına devam edilecektir.,
Revize proje planı üzerinde çalışılacaktır.
</t>
    </r>
  </si>
  <si>
    <t xml:space="preserve">
Yazılım mimarı olmadığı için yazılım tasarım ve yazılım geliştirme sürecine başlanamamıştır. Proje yazılım ekibi mevcut ürünlere destek vermektedir. Yazılım mimari tasarımı için danışmanlık desteği alınarak yazılım geliştirme sürecine geçiş zamanı kısaltılacaktır.
</t>
  </si>
  <si>
    <t>Projenin yazılım tarafında 9 aylık gecikme vardır. Proje kapsamı daraltılacak ve 2025 yılı içinde geliştirilmesi planlanan 3 modülün (e-Fatura, e-Arşiv Fatura ve e-İrsaliye) Haziran 2026 sonuna kadar geliştirmesinin tamamlanmasına çalışılacaktır.</t>
  </si>
  <si>
    <r>
      <rPr>
        <b/>
        <sz val="11"/>
        <color theme="1"/>
        <rFont val="Calibri"/>
        <family val="2"/>
        <charset val="162"/>
        <scheme val="minor"/>
      </rPr>
      <t>Yapılan:</t>
    </r>
    <r>
      <rPr>
        <sz val="11"/>
        <color theme="1"/>
        <rFont val="Calibri"/>
        <family val="2"/>
        <charset val="162"/>
        <scheme val="minor"/>
      </rPr>
      <t xml:space="preserve">
Chatbot yükleme testi yapılmıştır.
Yazılım ekibi, yeni eklenen soru-cevaplara istinaden prompt düzenlemesi yapılmıştır.
Chatbot tarafından üretilecek cevaplar için doğrulama maksatlı hizmet alımı görüşmeler yapılmıştır.
Yönetim Kurulu'na uygulamanın sunumu yapılmıştır.
Chatbot'un turkkep.com.tr de canlı öncesi test yapılmıştır.
Co-one ile veri doğrulama için soru cevap setleri paylaşılmıştır.</t>
    </r>
    <r>
      <rPr>
        <sz val="11"/>
        <color rgb="FFFF0000"/>
        <rFont val="Calibri"/>
        <family val="2"/>
        <charset val="162"/>
        <scheme val="minor"/>
      </rPr>
      <t xml:space="preserve">
</t>
    </r>
    <r>
      <rPr>
        <b/>
        <sz val="11"/>
        <color theme="1"/>
        <rFont val="Calibri"/>
        <family val="2"/>
        <charset val="162"/>
        <scheme val="minor"/>
      </rPr>
      <t xml:space="preserve">
Yapılması Planlanan:
</t>
    </r>
    <r>
      <rPr>
        <sz val="11"/>
        <color theme="1"/>
        <rFont val="Calibri"/>
        <family val="2"/>
        <charset val="162"/>
        <scheme val="minor"/>
      </rPr>
      <t xml:space="preserve">Önyüz ile ilgili bazı düzeltmelerin yapılması planlanmıştır.
Chatbotun canlıya alınması ile ilgili 29 Aralık tarihi öngörülmüştür.
Co-one ile veri doğrulama için paylaşılan soru cevap setleri ile ilgili firma tarafından analiz çalışması yapılacaktır.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</si>
  <si>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çalışmalarına devam edilecektir.
</t>
    </r>
  </si>
  <si>
    <r>
      <rPr>
        <b/>
        <sz val="11"/>
        <color theme="1"/>
        <rFont val="Calibri"/>
        <family val="2"/>
        <charset val="162"/>
        <scheme val="minor"/>
      </rPr>
      <t>Yapılan</t>
    </r>
    <r>
      <rPr>
        <sz val="11"/>
        <color theme="1"/>
        <rFont val="Calibri"/>
        <family val="2"/>
        <charset val="162"/>
        <scheme val="minor"/>
      </rPr>
      <t xml:space="preserve">:
Datassist senaryosuna uygun olacak şekilde entegrasyon suit UKDS modülü geliştirmeleri tamamlanmış ve pre prod ortama aktarılmıştır.
Datassist tarafından gelen kurumsal ve bireysel başvurular için CRM tarafında gerekli geliştirmeler tamamlanmıştır.
Kurumsal ve bireysel başvuru senaryoları UKDS, entegrasyon suit UKDS modülü ve CRM sistemlerinde bütünleşik olarak test edilmiştir.
Bugün (12 Aralık) yapılan proje ilerleme toplantısında 17 Aralık Çarşamba günü UAT ve canlıya alınmasına karar verilmiştir.
</t>
    </r>
    <r>
      <rPr>
        <b/>
        <sz val="11"/>
        <color theme="1"/>
        <rFont val="Calibri"/>
        <family val="2"/>
        <charset val="162"/>
        <scheme val="minor"/>
      </rPr>
      <t xml:space="preserve">Yapılması Planlanan:
</t>
    </r>
    <r>
      <rPr>
        <sz val="11"/>
        <color theme="1"/>
        <rFont val="Calibri"/>
        <family val="2"/>
        <charset val="162"/>
        <scheme val="minor"/>
      </rPr>
      <t xml:space="preserve">Müşterileri tarafından iletilen sorularına dönüş yapılacaki entegrasyon sürecine destek sağlanacaktır.
Entegrasyon suit dokümanında UKDS modülü için güncelleme sağlanacaktır.
</t>
    </r>
  </si>
  <si>
    <r>
      <rPr>
        <b/>
        <sz val="11"/>
        <color theme="1"/>
        <rFont val="Calibri"/>
        <family val="2"/>
        <charset val="162"/>
        <scheme val="minor"/>
      </rPr>
      <t>Yapılan</t>
    </r>
    <r>
      <rPr>
        <sz val="11"/>
        <color theme="1"/>
        <rFont val="Calibri"/>
        <family val="2"/>
        <charset val="162"/>
        <scheme val="minor"/>
      </rPr>
      <t xml:space="preserve">:
 03 Aralık Pazartesi günü Trendyol ile başvuru sayfası, kullanıma alınmıştır.
Firma Yetkilisi ile 12 Aralık'ta yapılan toplantıda başvuru linkini kampanya kodu olmayacak şekilde güncelleyerek KEP almak isteyen tüm tedarikçilerine erişilebilir hale getirmek istediğini iletmiştir. 
</t>
    </r>
    <r>
      <rPr>
        <b/>
        <sz val="11"/>
        <color theme="1"/>
        <rFont val="Calibri"/>
        <family val="2"/>
        <charset val="162"/>
        <scheme val="minor"/>
      </rPr>
      <t>Yapılması Planlanan:</t>
    </r>
    <r>
      <rPr>
        <sz val="11"/>
        <color theme="1"/>
        <rFont val="Calibri"/>
        <family val="2"/>
        <charset val="162"/>
        <scheme val="minor"/>
      </rPr>
      <t xml:space="preserve">
Ek geliştirme gerektiren Firma talebi mevcut başvuru sayılarına göre değerlendirilecektir.
Proje kapanış belgesi hazırlanacaktır.</t>
    </r>
  </si>
  <si>
    <r>
      <rPr>
        <b/>
        <sz val="11"/>
        <color theme="1"/>
        <rFont val="Calibri"/>
        <family val="2"/>
        <charset val="162"/>
        <scheme val="minor"/>
      </rPr>
      <t xml:space="preserve">
Yapılan:</t>
    </r>
    <r>
      <rPr>
        <sz val="11"/>
        <color theme="1"/>
        <rFont val="Calibri"/>
        <family val="2"/>
        <charset val="162"/>
        <scheme val="minor"/>
      </rPr>
      <t xml:space="preserve">
Proje Açılış Duyurusu, Kickoff ve proje ilerleme toplantıları yapılmıştır.
TÜBİTAK BİLGEM’den beklenen lisans anahtarı 22.12.2025 tarihinde alınmıştır.
KEP API güncellemeleri yapılmış, JAR dosyaları hazırlıkları için ilgili ekibe  teslim edilmiştir.
Manuel lisans güncellemesi yapılacak KEP Assistant, KEP Assist ve MYS ürünleri için lisans dosyaları Destek Ekibi tarafından müşterilerle paylaşılmaya başlanmıştır. MultiKEP ve KEP İK Masaüstü ürünleri için lisans dosyaları hazırlanmaktadır.
e-Fatura ürünü lisans güncellemeleri 21.12.2025 tarihinde yapılan deploy ile canlıya alınmıştır.
İndirme performansı iyileştirmek amacıyla depo.turrkkep ortamının üç sunucu üzerinden load balancing altyapısıyla desteklenmesi ile ilgili çalışma yapılmıştır. İlgili alan 1 ay kullanımda olacaktır. 
Webmail ürününe güncellenen Türkkep Client ile 27.12.2025 tarihinde deploy planlaması yapılmıştır. Bu kapsamında müşteri bilgilendirmeleri 27.12.2025 tarihinde yapılacaktır.
Haziran ayında geçerli olacak Ücretli sürüm versiyonunun testlerine başlanmıştır.
22.12.2025 tarihinde indirme performansı iyileştirme alternatiflerini değerlendirmek üzere toplantı yapılmıştır. Toplantı sonucunda belirlenen çözüm doğrultusunda, sürüm indirmelerinin yapıldığı depo.turrkkep ortamının üç sunucu üzerinden load balancing altyapısı ile desteklenmesi amacıyla çalışma yapılmıştır. İlgili alan 1 ay süre ile kullanımda olacaktır. Ek olarak eş zamanlı indirmelerin yapılacağı hafta için bant genişliğinin 1 Gbps’e çıkarılması için Türkcell ile görüşülmüştür. Bu iki düzenleme ile performans sorununda iyileşme olması beklenmektedir.
</t>
    </r>
    <r>
      <rPr>
        <b/>
        <sz val="11"/>
        <color theme="1"/>
        <rFont val="Calibri"/>
        <family val="2"/>
        <charset val="162"/>
        <scheme val="minor"/>
      </rPr>
      <t xml:space="preserve">Yapılması Planlanan:
</t>
    </r>
    <r>
      <rPr>
        <sz val="11"/>
        <color theme="1"/>
        <rFont val="Calibri"/>
        <family val="2"/>
        <charset val="162"/>
        <scheme val="minor"/>
      </rPr>
      <t xml:space="preserve">29.12.2025 tarihi itibari ile Webmail uygulaması kullanıcılarının sürüm güncelleme süreçleri takip edilecektir.
Haziran ayında geçerli olacak Ücretli sürüm versiyonunun testlerine başlanmıştır.
MultiKEP ve KEP İK Masaüstü ürünleri için lisans dosyası teslim edilecektir.
Güncel JAR dosyalarının 29.12.2025 tarihinde teslim edilmesi planlanmaktadır. İmza Client kullanan uygulamalarda bu JAR dosyaları üzerinden gerekli çalışmalar planlanacaktır.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</si>
  <si>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Güncellenen proje takvimi üzerinden Ocak ayı sonu hedefi ile çalışmalara devam edilmektedir.
.Net ile yazılan uygulama taramaları yapılmış, bulgular ilgili yazılımcıya iletilmiş ve incelemeler yapılmıştır. 
</t>
    </r>
    <r>
      <rPr>
        <b/>
        <sz val="11"/>
        <color theme="1"/>
        <rFont val="Calibri"/>
        <family val="2"/>
        <charset val="162"/>
        <scheme val="minor"/>
      </rPr>
      <t>Yapılması Planlanan:
J</t>
    </r>
    <r>
      <rPr>
        <sz val="11"/>
        <color theme="1"/>
        <rFont val="Calibri"/>
        <family val="2"/>
        <charset val="162"/>
        <scheme val="minor"/>
      </rPr>
      <t>ava ile yazılan uygulama yeni ortama taşınacaktır. Felaket Kurtarma senaryosu çalışılacaktır.</t>
    </r>
  </si>
  <si>
    <r>
      <rPr>
        <b/>
        <sz val="11"/>
        <color theme="1"/>
        <rFont val="Calibri"/>
        <family val="2"/>
        <charset val="162"/>
        <scheme val="minor"/>
      </rPr>
      <t>Yapılan</t>
    </r>
    <r>
      <rPr>
        <sz val="11"/>
        <color theme="1"/>
        <rFont val="Calibri"/>
        <family val="2"/>
        <charset val="162"/>
        <scheme val="minor"/>
      </rPr>
      <t xml:space="preserve">:
Ürünü tanımlama ve ürün yol haritası doküman hazırlığı devam etmektedir.
25 Aralık tarihinde kapsam değerlendirme toplantısı yapılmıştır.
</t>
    </r>
    <r>
      <rPr>
        <b/>
        <sz val="11"/>
        <color theme="1"/>
        <rFont val="Calibri"/>
        <family val="2"/>
        <charset val="162"/>
        <scheme val="minor"/>
      </rPr>
      <t xml:space="preserve">Yapılması Planlanan:
</t>
    </r>
    <r>
      <rPr>
        <sz val="11"/>
        <color theme="1"/>
        <rFont val="Calibri"/>
        <family val="2"/>
        <charset val="162"/>
        <scheme val="minor"/>
      </rPr>
      <t>Proje Teknik Lideri ile sistem mimarisi üzerinde çalışma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</si>
  <si>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Faz-2 ve 3 işleri için planlama yapılmaktadır.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</si>
  <si>
    <r>
      <rPr>
        <b/>
        <sz val="11"/>
        <color theme="1"/>
        <rFont val="Calibri"/>
        <family val="2"/>
        <charset val="162"/>
        <scheme val="minor"/>
      </rPr>
      <t>Yapılan:</t>
    </r>
    <r>
      <rPr>
        <sz val="11"/>
        <color theme="1"/>
        <rFont val="Calibri"/>
        <family val="2"/>
        <charset val="162"/>
        <scheme val="minor"/>
      </rPr>
      <t xml:space="preserve">
POC kapsamında yapılan çalışmalar ile ilgili rapor hazırlığı devam etmektedir. Ağ üzerindeki sızıntıların yakalanması ve önlenmesine yönelik ürün özellikleri için POC sürecinde uzatma talep edilmiştir.
</t>
    </r>
    <r>
      <rPr>
        <b/>
        <sz val="11"/>
        <color theme="1"/>
        <rFont val="Calibri"/>
        <family val="2"/>
        <charset val="162"/>
        <scheme val="minor"/>
      </rPr>
      <t xml:space="preserve">Yapılması Planlanan:
</t>
    </r>
    <r>
      <rPr>
        <sz val="11"/>
        <color theme="1"/>
        <rFont val="Calibri"/>
        <family val="2"/>
        <charset val="162"/>
        <scheme val="minor"/>
      </rPr>
      <t>Firma ile birlikte network DLP özelliği üzerinde çalışma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</si>
  <si>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t>
    </r>
    <r>
      <rPr>
        <b/>
        <sz val="11"/>
        <color theme="1"/>
        <rFont val="Calibri"/>
        <family val="2"/>
        <charset val="162"/>
        <scheme val="minor"/>
      </rPr>
      <t xml:space="preserve">Yapılması Planlanan:
</t>
    </r>
    <r>
      <rPr>
        <sz val="11"/>
        <color theme="1"/>
        <rFont val="Calibri"/>
        <family val="2"/>
        <charset val="162"/>
        <scheme val="minor"/>
      </rPr>
      <t>Proje başlatma toplantısı yapılacaktır.</t>
    </r>
    <r>
      <rPr>
        <sz val="11"/>
        <color theme="1"/>
        <rFont val="Calibri"/>
        <family val="2"/>
        <charset val="162"/>
        <scheme val="minor"/>
      </rPr>
      <t xml:space="preserve">
Organizasyon, kota ve paket tanımlamaları için senaryolar çalışılacaktır.</t>
    </r>
  </si>
  <si>
    <r>
      <rPr>
        <b/>
        <sz val="11"/>
        <color theme="1"/>
        <rFont val="Calibri"/>
        <family val="2"/>
        <charset val="162"/>
        <scheme val="minor"/>
      </rPr>
      <t>Yapılan</t>
    </r>
    <r>
      <rPr>
        <sz val="11"/>
        <color theme="1"/>
        <rFont val="Calibri"/>
        <family val="2"/>
        <charset val="162"/>
        <scheme val="minor"/>
      </rPr>
      <t xml:space="preserve">:
Datassist senaryosuna uygun olacak şekilde yapılan geliştirmeler neticesinde, Ent Süit, UKDS, CRM ve Mobil uygulama taşımaları tamamlanmış, uygulama canlıya alınmıştır.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TÇM ve Operasyon Birimi'ne Datassist kullanım senaryosu gösterimi yapılacaktır.
</t>
    </r>
  </si>
  <si>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Ürün Müdürü tarafından tamamlanmış olup, Ürün Yönetimi birim onayındadır.
Analiz doğrulama, kullanılacak yazılım /donanım altyapı teknolojileri, yazılım mimari tasarımı konusunda hizmet danışmanlığı için bir firmadan teklif alınmış, yönetim onayına sunulmuştur. Firma yetkinliğini değerlendirmek üzere CTO seviyesinde toplantı yapılmıştır. 
Yazılım mimarı arayışı da devam etmektedir.
</t>
    </r>
    <r>
      <rPr>
        <b/>
        <sz val="11"/>
        <color theme="1"/>
        <rFont val="Calibri"/>
        <family val="2"/>
        <charset val="162"/>
        <scheme val="minor"/>
      </rPr>
      <t xml:space="preserve">
Yapılması Planlanan</t>
    </r>
    <r>
      <rPr>
        <sz val="11"/>
        <color theme="1"/>
        <rFont val="Calibri"/>
        <family val="2"/>
        <charset val="162"/>
        <scheme val="minor"/>
      </rPr>
      <t xml:space="preserve"> :
Danışmanlık alınması kararının sonucuna göre proje planı revize edilecektir.
</t>
    </r>
  </si>
  <si>
    <t xml:space="preserve">
Yazılım mimarı olmadığı için yazılım tasarım ve yazılım geliştirme sürecine başlanamamıştır. Proje yazılım ekibi mevcut ürünlere destek vermektedir. Yazılım geliştirme sürecine hızlı geçiş için yazılım mimari tasarımında danışmanlık desteği alınması için bir süreç başlatılmıştır.
</t>
  </si>
  <si>
    <t>Projenin yazılım geliştirme tarafında 10 aylık gecikme vardır. Proje kapsamı daraltılacak ve 2025 yılı içinde geliştirilmesi planlanan 3 modülün (e-Fatura, e-Arşiv Fatura ve e-İrsaliye) Haziran 2026 sonuna kadar  tamamlanmasına çalışılacaktır.</t>
  </si>
  <si>
    <r>
      <rPr>
        <b/>
        <sz val="11"/>
        <color theme="1"/>
        <rFont val="Calibri"/>
        <family val="2"/>
        <charset val="162"/>
        <scheme val="minor"/>
      </rPr>
      <t xml:space="preserve">Yapılan:
</t>
    </r>
    <r>
      <rPr>
        <sz val="11"/>
        <color theme="1"/>
        <rFont val="Calibri"/>
        <family val="2"/>
        <charset val="162"/>
        <scheme val="minor"/>
      </rPr>
      <t xml:space="preserve">Chatbotun canlıya alım tarihi,web sitesinden chatbota güvenli erişim yöntemi nedeniyle bu haftaya ertelenmiştir. Gerekli düzenlemeler tamamlanmıştır.
Co-One ekibi ile hafta içinde toplantı yapılarak; sağlanan soru-cevap setleri, testlere ne zaman başlanacağı, test raporlarının nasıl ve hangi formatta iletileceği gibi konular görüşülmüştür
Co-One ekibine test için Chatbot erişimi verilmiştir. 
</t>
    </r>
    <r>
      <rPr>
        <b/>
        <sz val="11"/>
        <color theme="1"/>
        <rFont val="Calibri"/>
        <family val="2"/>
        <charset val="162"/>
        <scheme val="minor"/>
      </rPr>
      <t xml:space="preserve">
Yapılması Planlanan:
</t>
    </r>
    <r>
      <rPr>
        <sz val="11"/>
        <color theme="1"/>
        <rFont val="Calibri"/>
        <family val="2"/>
        <charset val="162"/>
        <scheme val="minor"/>
      </rPr>
      <t>Co-one tarafından Chatbot testleri iki aşamalı yapılacak olup ilk aşaması 13 Ocak Salı günü tamamlanarak raporu paylaşılacaktır.Bu rapordaki sonuçlara göre modelde ihtiyaç olursa düzenleme yapılabilecektir.</t>
    </r>
  </si>
  <si>
    <t>Proje bitiş tarihi, aktif arge proje sayısını 3 adette tutmak üzere 1 ay ötelenerek Ocak sonu olarak güncellenmiştir.</t>
  </si>
  <si>
    <r>
      <rPr>
        <b/>
        <sz val="11"/>
        <color theme="1"/>
        <rFont val="Calibri"/>
        <family val="2"/>
        <charset val="162"/>
        <scheme val="minor"/>
      </rPr>
      <t xml:space="preserve">Yapılan: 
</t>
    </r>
    <r>
      <rPr>
        <sz val="11"/>
        <color theme="1"/>
        <rFont val="Calibri"/>
        <family val="2"/>
        <charset val="162"/>
        <scheme val="minor"/>
      </rPr>
      <t>Halkbank KEP entegrasyonunda banka tarafından geliştirilen statü servisinin testlerine devam edilmektedir.
Halkbank iş analisti ve yazılım  ekipleri ile teknik toplantı gerçekleştirilerek servis metotlarında yapılması talep edilen değişiklikler görüşülmüştür.</t>
    </r>
    <r>
      <rPr>
        <b/>
        <sz val="11"/>
        <color theme="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 xml:space="preserve">
Tüm başvuru statüleri için servis kullanım senaryolarına uygun olacak şekilde geliştirme yapılacaktır.
Banka tarafından başvuru iptal edilme senaryosu için talep edilen değişiklik değerlendirilecek uygun bulunması durumunda geliştirme süreci başlatılacaktır.
Banka ekipleri ile süreç baştan sona test yapılacaktır.
Canlıya alma planlaması yapılacaktır.</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</si>
  <si>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önerilecekkullanım senaryosu belirlenmiştir.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banka ilgili ekipleriyle bir toplantı düzenlenerek görüşülecektir.
</t>
    </r>
  </si>
  <si>
    <r>
      <rPr>
        <b/>
        <sz val="11"/>
        <color theme="1"/>
        <rFont val="Calibri"/>
        <family val="2"/>
        <charset val="162"/>
        <scheme val="minor"/>
      </rPr>
      <t>Yapılan</t>
    </r>
    <r>
      <rPr>
        <sz val="11"/>
        <color theme="1"/>
        <rFont val="Calibri"/>
        <family val="2"/>
        <charset val="162"/>
        <scheme val="minor"/>
      </rPr>
      <t>:
Haftalık proje ilerleme toplantısı yapılmıştır.
Güncellenen proje takvimi üzerinden Ocak ayı sonu hedefi ile çalışmalara devam edilmektedir.
.Net ortamında geliştirilen uygulama taramaları yapılmış, bulgular ilgili yazılımcıya iletilmiştir.</t>
    </r>
    <r>
      <rPr>
        <sz val="11"/>
        <color rgb="FFFF0000"/>
        <rFont val="Calibri"/>
        <family val="2"/>
        <charset val="162"/>
        <scheme val="minor"/>
      </rPr>
      <t xml:space="preserve">
</t>
    </r>
    <r>
      <rPr>
        <sz val="11"/>
        <color theme="1"/>
        <rFont val="Calibri"/>
        <family val="2"/>
        <charset val="162"/>
        <scheme val="minor"/>
      </rPr>
      <t xml:space="preserve">Danışmanın yoğunluğu nedeniyle kendisine ulaşılamadığı için .NET ve Java kapsamında yapılması planlanan denemeler, danışman ile görüşüldükten sonra planlanacaktır.
</t>
    </r>
    <r>
      <rPr>
        <b/>
        <sz val="11"/>
        <color theme="1"/>
        <rFont val="Calibri"/>
        <family val="2"/>
        <charset val="162"/>
        <scheme val="minor"/>
      </rPr>
      <t>Yapılması Planlanan:
J</t>
    </r>
    <r>
      <rPr>
        <sz val="11"/>
        <color theme="1"/>
        <rFont val="Calibri"/>
        <family val="2"/>
        <charset val="162"/>
        <scheme val="minor"/>
      </rPr>
      <t>ava ortamöında geliştirilen  uygulama yeni ortama taşınacaktır. Felaket Kurtarma senaryosu çalışılacaktır.</t>
    </r>
  </si>
  <si>
    <t>Seçilen bir uygulamanın (FileServer) FKM'ye geçişine yönelik bir senaryo ile süreç işleitlmiş, kanıt maksatlı kayıt altına alınmıştır.</t>
  </si>
  <si>
    <r>
      <rPr>
        <b/>
        <sz val="11"/>
        <color theme="1"/>
        <rFont val="Calibri"/>
        <family val="2"/>
        <charset val="162"/>
        <scheme val="minor"/>
      </rPr>
      <t>Yapılan</t>
    </r>
    <r>
      <rPr>
        <sz val="11"/>
        <color theme="1"/>
        <rFont val="Calibri"/>
        <family val="2"/>
        <charset val="162"/>
        <scheme val="minor"/>
      </rPr>
      <t xml:space="preserve">:
e-Güven firması ile bugün (09.01.2026) bir toplantı yapılarak entegrasyon süecine ilişkin son durum değerlendirilmiş ve 12 Ocak Pazartesi günü teknik toplantı planlaması yapılmıştır.
</t>
    </r>
    <r>
      <rPr>
        <b/>
        <sz val="11"/>
        <color theme="1"/>
        <rFont val="Calibri"/>
        <family val="2"/>
        <charset val="162"/>
        <scheme val="minor"/>
      </rPr>
      <t xml:space="preserve">Yapılması Planlanan:
</t>
    </r>
    <r>
      <rPr>
        <sz val="11"/>
        <color theme="1"/>
        <rFont val="Calibri"/>
        <family val="2"/>
        <charset val="162"/>
        <scheme val="minor"/>
      </rPr>
      <t>12 Ocak'ta yapılacak toplantısında oluşturulacak aksiyon maddelerine göre iş planlaması yapılacaktır.</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</si>
  <si>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Türmob için pre prod ortamında entegrasyon suit UKDS modülü aktif edilecektir.
</t>
    </r>
  </si>
  <si>
    <t>Türmob tarafında devam eden süreç sebebiyle 3 ay ötelenerek Aralık sonu olarak güncellenmiştir. Ancak Aralı ayı içinde de herhangi bir ilerleme olmamıştır. Firma ile bir toplantı yapılarak proje planının güncellenmesine ihtiyaç vardır.</t>
  </si>
  <si>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Greendocs sürüm güncellemesi ve danışmanlık konusunda firmaya talep yazısı gönderilmiştir.
Yıllık bakım anlaşması ve danışmanlık hizmetleri için teklif istenmiştir.
29 Aralık 2025 Pazartesi günü proje sponsoru ile entegrasyon konusunda toplantı yapılmıştır.
Islak imza süreci ile ilgili mevcut akış çıkarılmıştır.
</t>
    </r>
    <r>
      <rPr>
        <b/>
        <sz val="11"/>
        <color theme="1"/>
        <rFont val="Calibri"/>
        <family val="2"/>
        <charset val="162"/>
        <scheme val="minor"/>
      </rPr>
      <t xml:space="preserve">Yapılması Planlanan:
</t>
    </r>
    <r>
      <rPr>
        <sz val="11"/>
        <color theme="1"/>
        <rFont val="Calibri"/>
        <family val="2"/>
        <charset val="162"/>
        <scheme val="minor"/>
      </rPr>
      <t>Islak imza süreci ile ilgili mevcut sürecin geliştirilmesine yönelik sürecin tasarlanması planlanmıştır.</t>
    </r>
  </si>
  <si>
    <r>
      <rPr>
        <b/>
        <sz val="11"/>
        <color theme="1"/>
        <rFont val="Calibri"/>
        <family val="2"/>
        <charset val="162"/>
        <scheme val="minor"/>
      </rPr>
      <t>Yapılan:</t>
    </r>
    <r>
      <rPr>
        <sz val="11"/>
        <color theme="1"/>
        <rFont val="Calibri"/>
        <family val="2"/>
        <charset val="162"/>
        <scheme val="minor"/>
      </rPr>
      <t xml:space="preserve">
POC kapsamında network DLP özelliği için yapılan çalışmalar tamamlanmıştır. Rapor hazırlığı bitmek üzere olup, genel değerlendirme, ürünün isterlerimizi karşılayacağı yönündedir.
</t>
    </r>
    <r>
      <rPr>
        <b/>
        <sz val="11"/>
        <color theme="1"/>
        <rFont val="Calibri"/>
        <family val="2"/>
        <charset val="162"/>
        <scheme val="minor"/>
      </rPr>
      <t>Yapılması Planlanan:</t>
    </r>
    <r>
      <rPr>
        <sz val="11"/>
        <color theme="1"/>
        <rFont val="Calibri"/>
        <family val="2"/>
        <charset val="162"/>
        <scheme val="minor"/>
      </rPr>
      <t xml:space="preserve">
POC kapsamında yapılan çalışmalar ile ilgili rapor tamamlandıktan sonra  yönetime sunulacaktır.</t>
    </r>
    <r>
      <rPr>
        <b/>
        <sz val="11"/>
        <color theme="1"/>
        <rFont val="Calibri"/>
        <family val="2"/>
        <charset val="162"/>
        <scheme val="minor"/>
      </rPr>
      <t xml:space="preserve">
</t>
    </r>
    <r>
      <rPr>
        <sz val="11"/>
        <color theme="1"/>
        <rFont val="Calibri"/>
        <family val="2"/>
        <charset val="162"/>
        <scheme val="minor"/>
      </rPr>
      <t>Proje kapanışı için proje kapanış dokümanı hazırlığı ve toplantısı yapılacaktır.</t>
    </r>
  </si>
  <si>
    <r>
      <rPr>
        <b/>
        <sz val="11"/>
        <color theme="1"/>
        <rFont val="Calibri"/>
        <family val="2"/>
        <charset val="162"/>
        <scheme val="minor"/>
      </rPr>
      <t xml:space="preserve">
Yapılan:
</t>
    </r>
    <r>
      <rPr>
        <sz val="11"/>
        <color theme="1"/>
        <rFont val="Calibri"/>
        <family val="2"/>
        <charset val="162"/>
        <scheme val="minor"/>
      </rPr>
      <t xml:space="preserve">UI ve API otomasyon testleri tamamlanmıştır.
7 Ocak'ta proje ilerleme toplantısı yapılmıştır. Mevcut ürünlerde test süreçlerini yürüten personellerle test otomasyonuna geçiş sürecinin planlanması görüşülmüştür. Geçiş zaman planı hazırlanacaktır.
</t>
    </r>
    <r>
      <rPr>
        <b/>
        <sz val="11"/>
        <color theme="1"/>
        <rFont val="Calibri"/>
        <family val="2"/>
        <charset val="162"/>
        <scheme val="minor"/>
      </rPr>
      <t xml:space="preserve">Yapılması Planlanan:
</t>
    </r>
    <r>
      <rPr>
        <sz val="11"/>
        <color theme="1"/>
        <rFont val="Calibri"/>
        <family val="2"/>
        <charset val="162"/>
        <scheme val="minor"/>
      </rPr>
      <t xml:space="preserve">Test otomasyonu kurulumlarının gerçekleştirilmesi için DevOps uzmanı ile görüşülecek, yapılamaması durumunda DevOps danışmanından destek alınması planlanmıştır.
PHP ile geliştirilen yazılımlarda test otomasyon uygulamasının kullanılabilirliğinin teyidi yapılacaktır.
Proje kapanışı için proje kapanış dokümanı hazırlığı ve toplantısı yapılacaktır.
</t>
    </r>
  </si>
  <si>
    <r>
      <rPr>
        <b/>
        <sz val="11"/>
        <color theme="1"/>
        <rFont val="Calibri"/>
        <family val="2"/>
        <charset val="162"/>
        <scheme val="minor"/>
      </rPr>
      <t xml:space="preserve">
Yapılan:</t>
    </r>
    <r>
      <rPr>
        <sz val="11"/>
        <color theme="1"/>
        <rFont val="Calibri"/>
        <family val="2"/>
        <charset val="162"/>
        <scheme val="minor"/>
      </rPr>
      <t xml:space="preserve">
</t>
    </r>
    <r>
      <rPr>
        <u/>
        <sz val="11"/>
        <color theme="1"/>
        <rFont val="Calibri"/>
        <family val="2"/>
        <charset val="162"/>
        <scheme val="minor"/>
      </rPr>
      <t>- Lisans Sürüm Güncellemeleri:</t>
    </r>
    <r>
      <rPr>
        <sz val="11"/>
        <color theme="1"/>
        <rFont val="Calibri"/>
        <family val="2"/>
        <charset val="162"/>
        <scheme val="minor"/>
      </rPr>
      <t xml:space="preserve">
Sürüm değişikliğinde alınan hatalar ve bu hataların giderilmesi için yeterli zaman olmaması nedeni ile sadece lisans güncellemesi yapılacak olan Multikep ve KEP İK Masaüstü ürünleri için 05.01.2026 tarihinde deploy yapılmıştır. Kritik bir durum yaşanmamıştır.
Güncellenen KEP API ye göre hazırlanacak JAR dosyaları için çalışmalar ve test süreçleri 05.01.2026 tarihi itibari ile tamamlanmış. İmza Client versiyon güncellemesi 06.01.2026 tarihinde yayınlanmıştır.
MA3 API güncellemeleri ile ilgili düzenlemeler CRM ve UKDS için 08.01.2026 tarihi itibari ile tamamlanmıştır.
Sadece lisans güncellemesi yapılacak olan ve bu güncellemenin manuel yapılacağı KEP Assistan, KEP Assist ürünleri içinde sürece devam edilmektedir.
</t>
    </r>
    <r>
      <rPr>
        <u/>
        <sz val="11"/>
        <color theme="1"/>
        <rFont val="Calibri"/>
        <family val="2"/>
        <charset val="162"/>
        <scheme val="minor"/>
      </rPr>
      <t>- Eş Zamanlı indirme performans sorunu:</t>
    </r>
    <r>
      <rPr>
        <sz val="11"/>
        <color theme="1"/>
        <rFont val="Calibri"/>
        <family val="2"/>
        <charset val="162"/>
        <scheme val="minor"/>
      </rPr>
      <t xml:space="preserve">
Eş zamanlı indirme performansı takip edilmiş, bildirilen olumsuz bir durum olmamıştır.
</t>
    </r>
    <r>
      <rPr>
        <b/>
        <sz val="11"/>
        <color theme="1"/>
        <rFont val="Calibri"/>
        <family val="2"/>
        <charset val="162"/>
        <scheme val="minor"/>
      </rPr>
      <t xml:space="preserve">Yapılması Planlanan:
</t>
    </r>
    <r>
      <rPr>
        <u/>
        <sz val="11"/>
        <color theme="1"/>
        <rFont val="Calibri"/>
        <family val="2"/>
        <charset val="162"/>
        <scheme val="minor"/>
      </rPr>
      <t>- Lisans Sürüm Güncellemeleri:</t>
    </r>
    <r>
      <rPr>
        <sz val="11"/>
        <color theme="1"/>
        <rFont val="Calibri"/>
        <family val="2"/>
        <charset val="162"/>
        <scheme val="minor"/>
      </rPr>
      <t xml:space="preserve">
Entegrasyon Suit ürünü üzerinde yapılacak düzenlemeler için 12.01.2026 tarihinde deploy yapılacaktır.
Güncellemeler sonrası Müşteri süreçleri takip edilecek, ilgili ürünlere manuel güncelleme desteğine devam edilecektir.
</t>
    </r>
    <r>
      <rPr>
        <u/>
        <sz val="11"/>
        <color theme="1"/>
        <rFont val="Calibri"/>
        <family val="2"/>
        <charset val="162"/>
        <scheme val="minor"/>
      </rPr>
      <t xml:space="preserve">- Eş Zamanlı indirme performans sorunu:
</t>
    </r>
    <r>
      <rPr>
        <sz val="11"/>
        <color theme="1"/>
        <rFont val="Calibri"/>
        <family val="2"/>
        <charset val="162"/>
        <scheme val="minor"/>
      </rPr>
      <t>Eş zamanlı indirme performansı takip edilecektir.</t>
    </r>
  </si>
  <si>
    <t>KEP İK</t>
  </si>
  <si>
    <t xml:space="preserve">     Yapay Zeka Destekli Belge ve Yazışma Sistemi Geliştirilmesi (KEP Toplulaştırma)</t>
  </si>
  <si>
    <r>
      <rPr>
        <b/>
        <sz val="11"/>
        <color theme="1"/>
        <rFont val="Calibri"/>
        <family val="2"/>
        <charset val="162"/>
        <scheme val="minor"/>
      </rPr>
      <t>Yapılan</t>
    </r>
    <r>
      <rPr>
        <sz val="11"/>
        <color theme="1"/>
        <rFont val="Calibri"/>
        <family val="2"/>
        <charset val="162"/>
        <scheme val="minor"/>
      </rPr>
      <t xml:space="preserve">:
Proje çıktısı ürün gereksinim analizi dokümanı hazırlığı devam etmektedir. Projede görevlendirilen Yazılım Mimarı Ürün Yönetimi ile çalışmaya başlamıştır.
6 Ocak 2026 tarihinde yapılan projeler ve bekleyen maddelerin değerlendirilmesi toplantısında projenin durumu ilgili ekiplerin katılımı ile değerlendirilmiştir.
</t>
    </r>
    <r>
      <rPr>
        <b/>
        <sz val="11"/>
        <color theme="1"/>
        <rFont val="Calibri"/>
        <family val="2"/>
        <charset val="162"/>
        <scheme val="minor"/>
      </rPr>
      <t xml:space="preserve">Yapılması Planlanan:
</t>
    </r>
    <r>
      <rPr>
        <sz val="11"/>
        <color theme="1"/>
        <rFont val="Calibri"/>
        <family val="2"/>
        <charset val="162"/>
        <scheme val="minor"/>
      </rPr>
      <t>Ürün Yönetimi, projede</t>
    </r>
    <r>
      <rPr>
        <b/>
        <sz val="11"/>
        <color theme="1"/>
        <rFont val="Calibri"/>
        <family val="2"/>
        <charset val="162"/>
        <scheme val="minor"/>
      </rPr>
      <t xml:space="preserve"> </t>
    </r>
    <r>
      <rPr>
        <sz val="11"/>
        <color theme="1"/>
        <rFont val="Calibri"/>
        <family val="2"/>
        <charset val="162"/>
        <scheme val="minor"/>
      </rPr>
      <t>görevlendiren yazılım mimarı/teknik lider ile çalışmalara devam edecektir.
SAT dokümanı hazırlanması için süreç başlatılacaktır. 
Proje Başlatma Belgesindeki kapsam, teslimatlar ve km taşlarının belirlenmesi sonrasında Proje Sponsoru onayı alınacak proje duyurusu yapılacaktır.</t>
    </r>
    <r>
      <rPr>
        <b/>
        <sz val="11"/>
        <color theme="1"/>
        <rFont val="Calibri"/>
        <family val="2"/>
        <charset val="162"/>
        <scheme val="minor"/>
      </rPr>
      <t xml:space="preserve">
</t>
    </r>
  </si>
  <si>
    <t>Proje, 01 Ağustos 2025 itibariyle Ar-Ge portalında açılmıştır. Ar-Ge projesi olarak açılması için hazırlanan proje kartı dışında proje çıktısı olacak ürünü ve aşamalarını tanımlayacak bir doküman (Sistem Altsistem Tanımlama Dokümanı benzeri) henüz oluşturulamamıştır. Şİrketi içi proje açılışı için Proje Başlatma Belgesi hazırlığının tamamlanması, sponsor onayı alınması, proje duyurusu yapılması ve proje başlangıç toplantısı planlaması  gerekmektedir.  Proje Başlatma Belgesi'nin tamamlanması için ürün kapsamı, teslimatlar ve km taşlarının netleştirilmesi beklenmektedir.  Proje planı da km taşları ve teslimatlara istinaden hazırlanacaktır.</t>
  </si>
  <si>
    <t>Proje çıktısı ürününün kapsamı ve ürün yol haritasının henüz netleştirilememiş olması proje sürecine başlanmasını geciktirmektedir.</t>
  </si>
  <si>
    <t>2026-PYO-001</t>
  </si>
  <si>
    <t xml:space="preserve">Borusan Otomotiv SAP Geliştirmeleri Süreç Yönetimi Projesi </t>
  </si>
  <si>
    <t>MS SQL Veritabanın Ayrıştırma Projesİ</t>
  </si>
  <si>
    <t>2026-BTA-002</t>
  </si>
  <si>
    <r>
      <t xml:space="preserve">Yapılan:
</t>
    </r>
    <r>
      <rPr>
        <sz val="11"/>
        <color theme="1"/>
        <rFont val="Calibri"/>
        <family val="2"/>
        <charset val="162"/>
        <scheme val="minor"/>
      </rPr>
      <t xml:space="preserve">Proje Başlatma Belgesi hazırlanmış ve proje sponsor onayı alınmıştır. Proje açılış duyurusu yapılmıştır.
</t>
    </r>
    <r>
      <rPr>
        <b/>
        <sz val="11"/>
        <color theme="1"/>
        <rFont val="Calibri"/>
        <family val="2"/>
        <charset val="162"/>
        <scheme val="minor"/>
      </rPr>
      <t xml:space="preserve">
Yapılması Planlanan:
</t>
    </r>
    <r>
      <rPr>
        <sz val="11"/>
        <color theme="1"/>
        <rFont val="Calibri"/>
        <family val="2"/>
        <charset val="162"/>
        <scheme val="minor"/>
      </rPr>
      <t>Proje başlatma toplantısı yapılması planlanmaktadır.</t>
    </r>
  </si>
  <si>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Türmob için pre prod ortamında entegrasyon suit UKDS modülü aktif edilecektir.
Türmob teknik ekipleriyle toplantı planlanacaktır.
</t>
    </r>
  </si>
  <si>
    <r>
      <rPr>
        <b/>
        <sz val="11"/>
        <color theme="1"/>
        <rFont val="Calibri"/>
        <family val="2"/>
        <charset val="162"/>
        <scheme val="minor"/>
      </rPr>
      <t>Yapılan</t>
    </r>
    <r>
      <rPr>
        <sz val="11"/>
        <color theme="1"/>
        <rFont val="Calibri"/>
        <family val="2"/>
        <charset val="162"/>
        <scheme val="minor"/>
      </rPr>
      <t xml:space="preserve">:
Datassist senaryosuna uygun olacak şekilde yapılan geliştirmeler neticesinde, Ent Süit, UKDS, CRM ve Mobil uygulama taşımaları tamamlanmış, uygulama canlıya alınmıştır.
Datassist canlı ortam geçişi sağlanmış ve ilk kurumsal kep hesabı açılış süreci tamamlanmıştır.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TÇM ve Operasyon Birimi'ne Datassist kullanım senaryosu gösterimi yapılacaktır.
Açılan kurumsal kep hesabı altına eklenecek bireysel kep hesapları için UKDS süreci Datassist tarafından başlatılacaktır. Süreç Ürün Yönetimi ve Operasyon ekipleriyle kordineli şekilde takip edilecektir.
</t>
    </r>
  </si>
  <si>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 kullanım senaryosu belirlenmiştir.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banka ilgili ekipleriyle bir toplantı düzenlenerek görüşülecektir.
</t>
    </r>
  </si>
  <si>
    <r>
      <rPr>
        <b/>
        <sz val="11"/>
        <color theme="1"/>
        <rFont val="Calibri"/>
        <family val="2"/>
        <charset val="162"/>
        <scheme val="minor"/>
      </rPr>
      <t>Yapılan</t>
    </r>
    <r>
      <rPr>
        <sz val="11"/>
        <color theme="1"/>
        <rFont val="Calibri"/>
        <family val="2"/>
        <charset val="162"/>
        <scheme val="minor"/>
      </rPr>
      <t xml:space="preserve">:
Haftalık proje ilerleme toplantısı gerçekleştirilmiştir.
Mevcut danışmanın yoğunluğu nedeniyle sürecin olumsuz etkilenme riski tespit edilmiş; bu kapsamda alternatif danışmanlık seçeneklerinin değerlendirilmesine karar verilmiştir. Proje takvimi bu doğrultuda yeniden güncellenecektir.
</t>
    </r>
    <r>
      <rPr>
        <b/>
        <sz val="11"/>
        <color theme="1"/>
        <rFont val="Calibri"/>
        <family val="2"/>
        <charset val="162"/>
        <scheme val="minor"/>
      </rPr>
      <t>Yapılması Planlanan:
J</t>
    </r>
    <r>
      <rPr>
        <sz val="11"/>
        <color theme="1"/>
        <rFont val="Calibri"/>
        <family val="2"/>
        <charset val="162"/>
        <scheme val="minor"/>
      </rPr>
      <t>ava ortamında geliştirilen uygulama yeni ortama taşınacaktır. Felaket Kurtarma senaryosu çalışılacaktır.
DevOps danışmanlığı verebilecek bir firma ile 29 Ocak'ta bir toplantı yapılacaktır.
.NET ve Java kapsamında yapılması planlanan denemeler, yeni danışmanlık anlaşması sağlandıktan sonra yeniden planlanacaktır.</t>
    </r>
  </si>
  <si>
    <t>e-Güven tarafındaki gecikmeler nedeniyle projenin 1 ay uzama riski vardır.</t>
  </si>
  <si>
    <r>
      <rPr>
        <b/>
        <sz val="11"/>
        <color theme="1"/>
        <rFont val="Calibri"/>
        <family val="2"/>
        <charset val="162"/>
        <scheme val="minor"/>
      </rPr>
      <t>Yapılan</t>
    </r>
    <r>
      <rPr>
        <sz val="11"/>
        <color theme="1"/>
        <rFont val="Calibri"/>
        <family val="2"/>
        <charset val="162"/>
        <scheme val="minor"/>
      </rPr>
      <t xml:space="preserve">:
Hesap açılışlarında karşılaşılan hatalara müdahale edilmektedir. 
</t>
    </r>
    <r>
      <rPr>
        <b/>
        <sz val="11"/>
        <color theme="1"/>
        <rFont val="Calibri"/>
        <family val="2"/>
        <charset val="162"/>
        <scheme val="minor"/>
      </rPr>
      <t>Yapılması Planlanan:</t>
    </r>
    <r>
      <rPr>
        <sz val="11"/>
        <color theme="1"/>
        <rFont val="Calibri"/>
        <family val="2"/>
        <charset val="162"/>
        <scheme val="minor"/>
      </rPr>
      <t xml:space="preserve">
Proje kapanış belgesi hazırlanacaktır.</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</si>
  <si>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t>
    </r>
    <r>
      <rPr>
        <b/>
        <sz val="11"/>
        <color theme="1"/>
        <rFont val="Calibri"/>
        <family val="2"/>
        <charset val="162"/>
        <scheme val="minor"/>
      </rPr>
      <t xml:space="preserve">Yapılması Planlanan:
</t>
    </r>
    <r>
      <rPr>
        <sz val="11"/>
        <color theme="1"/>
        <rFont val="Calibri"/>
        <family val="2"/>
        <charset val="162"/>
        <scheme val="minor"/>
      </rPr>
      <t>Proje ilerleme toplantısı yapılacaktır.
Organizasyon, kota ve paket tanımlamaları için senaryolar çalışılacaktır.</t>
    </r>
  </si>
  <si>
    <r>
      <rPr>
        <b/>
        <sz val="11"/>
        <color theme="1"/>
        <rFont val="Calibri"/>
        <family val="2"/>
        <charset val="162"/>
        <scheme val="minor"/>
      </rPr>
      <t xml:space="preserve">
Yapılan:
</t>
    </r>
    <r>
      <rPr>
        <sz val="11"/>
        <color theme="1"/>
        <rFont val="Calibri"/>
        <family val="2"/>
        <charset val="162"/>
        <scheme val="minor"/>
      </rPr>
      <t xml:space="preserve">UI ve API otomasyon testleri tamamlanmıştır.
Java ve .Net uygulamaları yanı sıra Php uygulamaları için de test otomasyonu pilotu yapılmıştır.
</t>
    </r>
    <r>
      <rPr>
        <b/>
        <sz val="11"/>
        <color theme="1"/>
        <rFont val="Calibri"/>
        <family val="2"/>
        <charset val="162"/>
        <scheme val="minor"/>
      </rPr>
      <t xml:space="preserve">Yapılması Planlanan:
</t>
    </r>
    <r>
      <rPr>
        <sz val="11"/>
        <color theme="1"/>
        <rFont val="Calibri"/>
        <family val="2"/>
        <charset val="162"/>
        <scheme val="minor"/>
      </rPr>
      <t xml:space="preserve">DevOps sürecindeki danışman değişikliği nedeniyle bu kapsam projede açık madde olarak takip edilecektir.
Proje sponsorundan onay alındıktan sonra proje kapanış duyurusunun yapılması planlanmıştır.
</t>
    </r>
  </si>
  <si>
    <t>Lisans güncellemesi sonrası devam eden bug fix süreçleri nedeni ile proje 2 hafta uzatılmıştır.</t>
  </si>
  <si>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Ürün Müdürü tarafından tamamlanmış olup, Ürün Yönetimi birim onayındadır.
Analiz doğrulama, kullanılacak yazılım /donanım altyapı teknolojileri, yazılım mimari tasarımı konusunda hizmet danışmanlığı için bir firmadan teklif alınmış, yönetim onayına sunulmuştur. Firmanı proje konusundaki yetkinliğini değerlendirmek üzere CTO seviyesinde toplantı yapılmıştır. 
Firmadan teklif revizyonu istenmiştir. Kabul edilmesi halinde yazılım ekibi ile tanışma toplantısı yapılacaktır.
Yazılım mimarı arayışı da devam etmektedir.
</t>
    </r>
    <r>
      <rPr>
        <b/>
        <sz val="11"/>
        <color theme="1"/>
        <rFont val="Calibri"/>
        <family val="2"/>
        <charset val="162"/>
        <scheme val="minor"/>
      </rPr>
      <t xml:space="preserve">
Yapılması Planlanan</t>
    </r>
    <r>
      <rPr>
        <sz val="11"/>
        <color theme="1"/>
        <rFont val="Calibri"/>
        <family val="2"/>
        <charset val="162"/>
        <scheme val="minor"/>
      </rPr>
      <t xml:space="preserve"> :
Firmadan danışmanlık alınması kararının sonucuna göre proje planı revize edilecektir.
</t>
    </r>
  </si>
  <si>
    <t xml:space="preserve">
Yazılım mimarı olmadığı için Mart 2025 tarihiden itibaren yazılım tasarım ve yazılım geliştirme sürecine başlanamamıştır. Proje yazılım ekibi mevcut ürünlere destek vermektedir. Yazılım geliştirme sürecine hızlı geçiş için yazılım mimarı ve/veya danışmanlık desteği alınması için bir süreç başlatılmıştır.
</t>
  </si>
  <si>
    <r>
      <rPr>
        <b/>
        <sz val="11"/>
        <color theme="1"/>
        <rFont val="Calibri"/>
        <family val="2"/>
        <charset val="162"/>
        <scheme val="minor"/>
      </rPr>
      <t xml:space="preserve">Yapılan:
</t>
    </r>
    <r>
      <rPr>
        <sz val="11"/>
        <color theme="1"/>
        <rFont val="Calibri"/>
        <family val="2"/>
        <charset val="162"/>
        <scheme val="minor"/>
      </rPr>
      <t xml:space="preserve">Chatbot model doğrulama testi yapan Co-one firmasından iletilen birinci faz test sonuçları, yapay zeka geliştirme ortamını sağlayan Orbina firması ile de değerlendirilmiş, modelde bazı düzenlemeler yapılmıştır.
Chatbot Türkkep web sitesinde 22 Ocak tarihi itibariyle web sitesinde anasayfada canlıya alınmıştır.
</t>
    </r>
    <r>
      <rPr>
        <b/>
        <sz val="11"/>
        <color theme="1"/>
        <rFont val="Calibri"/>
        <family val="2"/>
        <charset val="162"/>
        <scheme val="minor"/>
      </rPr>
      <t xml:space="preserve">
Yapılması Planlanan:
C</t>
    </r>
    <r>
      <rPr>
        <sz val="11"/>
        <color theme="1"/>
        <rFont val="Calibri"/>
        <family val="2"/>
        <charset val="162"/>
        <scheme val="minor"/>
      </rPr>
      <t>hatbota gelen ancak cevaplanamayan sorular günlük olarak takip edilmektedir. Testler esnasında derlenen bu tip sorular ilgili birimlere yönlendirilmiştir. Gelecek cevaplar veritabanına eklenecektir.
Co-one'ın ikinci faz test süreci için gerekli hazırlıklar yapılmaktadır.
Proje kapanış sürecine geçilecek ve proje kapanış raporu hazırlanacaktır.</t>
    </r>
  </si>
  <si>
    <r>
      <rPr>
        <b/>
        <sz val="11"/>
        <color theme="1"/>
        <rFont val="Calibri"/>
        <family val="2"/>
        <charset val="162"/>
        <scheme val="minor"/>
      </rPr>
      <t xml:space="preserve">Yapılan: 
</t>
    </r>
    <r>
      <rPr>
        <sz val="11"/>
        <color theme="1"/>
        <rFont val="Calibri"/>
        <family val="2"/>
        <charset val="162"/>
        <scheme val="minor"/>
      </rPr>
      <t xml:space="preserve">Halkbank KEP entegrasyonunda banka tarafından geliştirilen statü servisinin testlerine devam edilmektedir.
Banka tarafından başvuru iptal edilme senaryosu için talep edilen değişiklikler için geliştirme süreci tamamlanmıştır.
</t>
    </r>
    <r>
      <rPr>
        <b/>
        <sz val="11"/>
        <color theme="1"/>
        <rFont val="Calibri"/>
        <family val="2"/>
        <charset val="162"/>
        <scheme val="minor"/>
      </rPr>
      <t xml:space="preserve">Yapılması Planlanan: </t>
    </r>
    <r>
      <rPr>
        <sz val="11"/>
        <color theme="1"/>
        <rFont val="Calibri"/>
        <family val="2"/>
        <charset val="162"/>
        <scheme val="minor"/>
      </rPr>
      <t xml:space="preserve">
Geliştirmeler banka ekibi tarafından test edilecektir.
Canlıya alınma tarihi banka ile koordineli olarak planlanacaktır.</t>
    </r>
  </si>
  <si>
    <r>
      <rPr>
        <b/>
        <sz val="11"/>
        <color theme="1"/>
        <rFont val="Calibri"/>
        <family val="2"/>
        <charset val="162"/>
        <scheme val="minor"/>
      </rPr>
      <t>Yapılan</t>
    </r>
    <r>
      <rPr>
        <sz val="11"/>
        <color theme="1"/>
        <rFont val="Calibri"/>
        <family val="2"/>
        <charset val="162"/>
        <scheme val="minor"/>
      </rPr>
      <t xml:space="preserve">:
Proje çıktısı olacak ürün için Ürün Yönetimi tarafından gereksinim analizi dokümanı hazırlığı devam etmektedir. 
13 Ocak 2026 tarihinde Proje Sponsoru katılımı ile taslak Proje Başlatma Belgesi gözden geçirme toplantısı yapılmıştır. Proje kapsamı, teslimatlar ve km taşları netleştirilmiştir.
Projede yazılım geliştirme platformu (Java veya .Net) kararı için CTO katılımlı toplantı yapılmış, uygulamalar bazında ilgili yazılımcılar ile görüşülmesine ve önerilerinin alınmasına karar verilmiştir.
</t>
    </r>
    <r>
      <rPr>
        <b/>
        <sz val="11"/>
        <color theme="1"/>
        <rFont val="Calibri"/>
        <family val="2"/>
        <charset val="162"/>
        <scheme val="minor"/>
      </rPr>
      <t xml:space="preserve">Yapılması Planlanan:
</t>
    </r>
    <r>
      <rPr>
        <sz val="11"/>
        <color theme="1"/>
        <rFont val="Calibri"/>
        <family val="2"/>
        <charset val="162"/>
        <scheme val="minor"/>
      </rPr>
      <t>Ürün Yönetimi, projede</t>
    </r>
    <r>
      <rPr>
        <b/>
        <sz val="11"/>
        <color theme="1"/>
        <rFont val="Calibri"/>
        <family val="2"/>
        <charset val="162"/>
        <scheme val="minor"/>
      </rPr>
      <t xml:space="preserve"> </t>
    </r>
    <r>
      <rPr>
        <sz val="11"/>
        <color theme="1"/>
        <rFont val="Calibri"/>
        <family val="2"/>
        <charset val="162"/>
        <scheme val="minor"/>
      </rPr>
      <t>görevlendiren yazılım mimarı/teknik lider ile gereksinim analizi dokümanı üzerinde çalışmalarına devam edecektir.
Ürün Yöneitmi tarafından SAT dokümanı hazırlıklarına başlanacaktır.
Platform seçimine göre proje ekibi belirlenerek Proje Başlatma Belgesi için Proje Sponsoru onayı alınacak proje duyurusu yapılacaktır.</t>
    </r>
    <r>
      <rPr>
        <b/>
        <sz val="11"/>
        <color theme="1"/>
        <rFont val="Calibri"/>
        <family val="2"/>
        <charset val="162"/>
        <scheme val="minor"/>
      </rPr>
      <t xml:space="preserve">
</t>
    </r>
  </si>
  <si>
    <r>
      <rPr>
        <b/>
        <sz val="11"/>
        <color theme="1"/>
        <rFont val="Calibri"/>
        <family val="2"/>
        <charset val="162"/>
        <scheme val="minor"/>
      </rPr>
      <t>Yapılan</t>
    </r>
    <r>
      <rPr>
        <sz val="11"/>
        <color theme="1"/>
        <rFont val="Calibri"/>
        <family val="2"/>
        <charset val="162"/>
        <scheme val="minor"/>
      </rPr>
      <t xml:space="preserve">:
12 Ocak'ta yapılan toplantıda oluşturulan aksiyon maddelerine göre iş planlaması yapılmıştır.
İmza üretim tarihi, yenileme tarihi ve imzanın güncel statü bilgilerinin e-Güven üzerinden alınabilmesi için gerekli servisler hazırlanmış ve e-Güven tarafına iletilmiştir.
</t>
    </r>
    <r>
      <rPr>
        <b/>
        <sz val="11"/>
        <color theme="1"/>
        <rFont val="Calibri"/>
        <family val="2"/>
        <charset val="162"/>
        <scheme val="minor"/>
      </rPr>
      <t xml:space="preserve">Yapılması Planlanan:
</t>
    </r>
    <r>
      <rPr>
        <sz val="11"/>
        <color theme="1"/>
        <rFont val="Calibri"/>
        <family val="2"/>
        <charset val="162"/>
        <scheme val="minor"/>
      </rPr>
      <t>Pin-puk gönderimi için e-Güven'den servis beklenmektedir.</t>
    </r>
  </si>
  <si>
    <t>Proje, 01 Ağustos 2025 itibariyle Ar-Ge portalında açılmıştır. Ar-Ge Proje kartı 13 Ocak 2026 tarihinde güncellenmiş, bu karta göre Proje Başlatma Belgesi taslak olarak hazırlanmıştır. Uygulama geliştirme platform (Java veya .Net) seçimine göre proje ekibi güncellenecek ve Proje Başlatma Belgesi için onay alınacaktır.</t>
  </si>
  <si>
    <t>Proje çıktısı olacak ürününün kapsamı ve ürün yol haritası 13 Ocak 2026 tarihinde netleştirilebilmiştir. Proje 5 aylık gecikme ile başlayabilecek aşamaya gelmiştir.</t>
  </si>
  <si>
    <t>Türmob kaynaklı olarak proje 3 ay ötelenerek Aralık 2025 sonu olarak güncellenmiştir. Ancak Aralık ayı içinde de herhangi bir ilerleme olmamıştır. Firma ile bir toplantı yapılarak proje planının güncellenmesine ihtiyaç vardır.</t>
  </si>
  <si>
    <t>Projede herhangi bir ilerleme yoktur. TÜRMOB ile bir toplantı yapılarak proje takvimi oluşturulmasına ihtiyaç vardır.</t>
  </si>
  <si>
    <t>Geliştirmeler Datassist senaryosunu karşılayacak şekilde yapılmıştır. Ancak özellikle müşterek yetki durumları için UKDS genelinde geliştirme ihtiyaçları hâla bulunmaktadır. UKDS iş akışlarında eksik olduğu düşünülen senaryolar için ilgili birimlerin katılımı ile bir toplantı yapılmış, bu konudaki geliştirmelerin yeni bir proje üzerinden takip edilmesi kararlaştırılmıştır.</t>
  </si>
  <si>
    <r>
      <rPr>
        <b/>
        <sz val="11"/>
        <color theme="1"/>
        <rFont val="Calibri"/>
        <family val="2"/>
        <charset val="162"/>
        <scheme val="minor"/>
      </rPr>
      <t>Yapılan</t>
    </r>
    <r>
      <rPr>
        <sz val="11"/>
        <color theme="1"/>
        <rFont val="Calibri"/>
        <family val="2"/>
        <charset val="162"/>
        <scheme val="minor"/>
      </rPr>
      <t xml:space="preserve">:
Kod-A sunucusundaki verilerin GreenDocs' aktarımına devam edilmektedir.
Greendocs sürüm güncellemesi ve danışmanlık konusunda firmaya talep yazısı gönderilmiştir.
Yıllık bakım anlaşması ve danışmanlık hizmetleri için teklif talep edilmiştir.
Islak imza sürecine ilişkin mevcut yapının geliştirilmesine yönelik yeni bir süreç tasarlanmıştır.
</t>
    </r>
    <r>
      <rPr>
        <b/>
        <sz val="11"/>
        <color theme="1"/>
        <rFont val="Calibri"/>
        <family val="2"/>
        <charset val="162"/>
        <scheme val="minor"/>
      </rPr>
      <t xml:space="preserve">Yapılması Planlanan:
</t>
    </r>
    <r>
      <rPr>
        <sz val="11"/>
        <color theme="1"/>
        <rFont val="Calibri"/>
        <family val="2"/>
        <charset val="162"/>
        <scheme val="minor"/>
      </rPr>
      <t>Islak imza sürecinin geliştirilmesine yönelik hazırlanan iş akışı görüş ve onay alınması için proje sponsoru ile paylaşılacaktır.</t>
    </r>
  </si>
  <si>
    <r>
      <rPr>
        <b/>
        <sz val="11"/>
        <color theme="1"/>
        <rFont val="Calibri"/>
        <family val="2"/>
        <charset val="162"/>
        <scheme val="minor"/>
      </rPr>
      <t xml:space="preserve">Yapılan:
</t>
    </r>
    <r>
      <rPr>
        <sz val="11"/>
        <color theme="1"/>
        <rFont val="Calibri"/>
        <family val="2"/>
        <charset val="162"/>
        <scheme val="minor"/>
      </rPr>
      <t xml:space="preserve">Uygulamada bulunan network DLP özelliğinin de beklentiyi karşıladığı görülmüştür.
POC sonuç raporu hazırlanmış ve Proje Sponsoru ile paylaşılmıştır.
Proje kapanış raporu hazırlanmış olup, proje sponsorundan onay beklenmektedir.
</t>
    </r>
    <r>
      <rPr>
        <b/>
        <sz val="11"/>
        <color theme="1"/>
        <rFont val="Calibri"/>
        <family val="2"/>
        <charset val="162"/>
        <scheme val="minor"/>
      </rPr>
      <t>Yapılması Planlanan:</t>
    </r>
    <r>
      <rPr>
        <sz val="11"/>
        <color theme="1"/>
        <rFont val="Calibri"/>
        <family val="2"/>
        <charset val="162"/>
        <scheme val="minor"/>
      </rPr>
      <t xml:space="preserve">
Proje sponsorundan onay alındıktan sonra proje kapanış duyurusunun yapılması planlanmıştır.</t>
    </r>
  </si>
  <si>
    <r>
      <rPr>
        <b/>
        <sz val="11"/>
        <color theme="1"/>
        <rFont val="Calibri"/>
        <family val="2"/>
        <charset val="162"/>
        <scheme val="minor"/>
      </rPr>
      <t>Yapılan:</t>
    </r>
    <r>
      <rPr>
        <sz val="11"/>
        <color theme="1"/>
        <rFont val="Calibri"/>
        <family val="2"/>
        <charset val="162"/>
        <scheme val="minor"/>
      </rPr>
      <t xml:space="preserve">
Türkkep-client tarafında token içerisinde aynı alana NES ve şifreleme sertifikaları yüklenmesinden kaynaklı uyumsuzluk hatası için geliştirme süreci tamamlanıp, https://depo.turkkep.com.tr/client alanında aktif edilmiştir.
14.01.2026 tarihi itibariyle  Türkkep İmza ürününde, e-imza ile uygulamaya girişlerde sınırlı sayıda hata yaşandığı (Kullanıcılar şifre ile giriş yaparak ve sonrasında imzalama işlemlerini de gerçekleştirebilmiştir.) hata alan müşteriler Kurumsal Çözümler Destek birimince şifre kullanımına yönlendirilerek süreç yönetilmiştir. İlgili sorun, 15.01.2026’da gerçekleştirilen deploy kapsamında giderilmiştir.
Signature servisi için servis güncelleme sonrası servisin kendiliğinden durması ve çalışmaması ile ilgili soruna müdahale edilmiş aynı gün sorun giderilmiştir.
Entegrasyon müşterileri tarafında minör seviyede bazı hatalar oluşmuş, destek ekipleri tarafından gerekli manuel müdahaleler ile süreç yönetilmiştir.
Lisans indirmeleri için kullanılan depo.türkkep ortamında bant genişliği kullanımının maksimum 100 Mbps seviyesinde gerçekleştiği, herhangi bir teknik aksaklık veya performans yavaşlığı yaşanmadığı gözlemlenmiştir.
Entegrasyon Suit tarafındaki sorunlar, mikro servislerde yapılan düzenlemeler ile giderilmiştir.
İmza Client için testlere 22 Ocak itibariyle başlanmıştır.
Güncelleme sonrası olası performans sorunlarını önlemek amacıyla load balancer yapısının bir ay daha uzatılması için gerekli aksiyonlar Altyapı birimi ile koordine edilmiştir.
</t>
    </r>
    <r>
      <rPr>
        <b/>
        <sz val="11"/>
        <color theme="1"/>
        <rFont val="Calibri"/>
        <family val="2"/>
        <charset val="162"/>
        <scheme val="minor"/>
      </rPr>
      <t xml:space="preserve">Yapılması Planlanan:
</t>
    </r>
    <r>
      <rPr>
        <sz val="11"/>
        <color theme="1"/>
        <rFont val="Calibri"/>
        <family val="2"/>
        <charset val="162"/>
        <scheme val="minor"/>
      </rPr>
      <t>İmza Client için testlerin önümüzdeki hafta tamamlanması planlanmaktadır.
Devam eden süreçlerin takibi için proje ay sonuna kadar uzatılmıştır. Testler tamamlandıktan sonra proje kapanış aşamasına geçilecektir.
Proje kapanış raporu hazırlanacak ve proje kapanış duyurusu yapılacaktır.</t>
    </r>
  </si>
  <si>
    <r>
      <t xml:space="preserve">
Yapılan:
</t>
    </r>
    <r>
      <rPr>
        <sz val="11"/>
        <color theme="1"/>
        <rFont val="Calibri"/>
        <family val="2"/>
        <charset val="162"/>
        <scheme val="minor"/>
      </rPr>
      <t>Proje Başlatma Belgesi hazırlanmış ve proje sponsor onayı alınmıştır. 
Proje açılış duyurusu yapılmıştır.</t>
    </r>
    <r>
      <rPr>
        <b/>
        <sz val="11"/>
        <color theme="1"/>
        <rFont val="Calibri"/>
        <family val="2"/>
        <charset val="162"/>
        <scheme val="minor"/>
      </rPr>
      <t xml:space="preserve">
Yapılması Planlanan:
</t>
    </r>
    <r>
      <rPr>
        <sz val="11"/>
        <color theme="1"/>
        <rFont val="Calibri"/>
        <family val="2"/>
        <charset val="162"/>
        <scheme val="minor"/>
      </rPr>
      <t xml:space="preserve">Sözleşme süreçleri tamamlandıktan sonra entegrasyon suit tanımlamaları gerçekleştirilecektir.
Geliştirme sürecinde SAP iş ortağımız SMOD'a destek sağlanacaktır.
</t>
    </r>
  </si>
  <si>
    <t>Devam eden çalışmalar nedeniyle 3 ay  ötelenerek Nisan sonu olarak güncellenmiştir</t>
  </si>
  <si>
    <r>
      <rPr>
        <b/>
        <sz val="11"/>
        <color theme="1"/>
        <rFont val="Calibri"/>
        <family val="2"/>
        <charset val="162"/>
        <scheme val="minor"/>
      </rPr>
      <t xml:space="preserve">
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çalışmalara devam edilecektir.
Çalışmalar tamamlandıktan sonra proje kapanışı için proje kapanış dokümanı hazırlığı yapılacaktır.
</t>
    </r>
  </si>
  <si>
    <r>
      <rPr>
        <b/>
        <sz val="11"/>
        <color theme="1"/>
        <rFont val="Calibri"/>
        <family val="2"/>
        <charset val="162"/>
        <scheme val="minor"/>
      </rPr>
      <t xml:space="preserve">
Yapılan</t>
    </r>
    <r>
      <rPr>
        <sz val="11"/>
        <color theme="1"/>
        <rFont val="Calibri"/>
        <family val="2"/>
        <charset val="162"/>
        <scheme val="minor"/>
      </rPr>
      <t xml:space="preserve">:
Kod-A sunucusundaki verilerin GreenDocs' aktarımına devam edilmektedir.
Greendocs sürüm güncellemesi ve danışmanlık hizmetleri kapsamında  firmaya talep yazısı iletilmiştir.
Yıllık bakım anlaşması ve danışmanlık hizmetleri için teklif talebinde bulunulmuştur.
Islak imza sürecinin geliştirilmesine yönelik hazırlanan iş akışı, görüş ve onay alınmak üzere proje sponsoru ile paylaşılmıştır.
</t>
    </r>
    <r>
      <rPr>
        <b/>
        <sz val="11"/>
        <color theme="1"/>
        <rFont val="Calibri"/>
        <family val="2"/>
        <charset val="162"/>
        <scheme val="minor"/>
      </rPr>
      <t xml:space="preserve">Yapılması Planlanan:
</t>
    </r>
    <r>
      <rPr>
        <sz val="11"/>
        <color theme="1"/>
        <rFont val="Calibri"/>
        <family val="2"/>
        <charset val="162"/>
        <scheme val="minor"/>
      </rPr>
      <t xml:space="preserve">Greendocs sürüm güncellemesi ve danışmanlık konusunda firma ile 10 Şubat tarihinde toplantı gerçekleştirilmesi planlanmaktadır.
Proje sponsoru ile paylaşılan iş akışına yönelik geri bildirim beklenmektedir.
</t>
    </r>
    <r>
      <rPr>
        <sz val="11"/>
        <color rgb="FFFF0000"/>
        <rFont val="Calibri"/>
        <family val="2"/>
        <charset val="162"/>
        <scheme val="minor"/>
      </rPr>
      <t xml:space="preserve">
</t>
    </r>
  </si>
  <si>
    <t>Devam eden çalışmalar nedeniyle 3 ay  ötelenerek Mart sonu olarak güncellenmiştir</t>
  </si>
  <si>
    <r>
      <t>Yapılan:</t>
    </r>
    <r>
      <rPr>
        <sz val="11"/>
        <color theme="1"/>
        <rFont val="Calibri"/>
        <family val="2"/>
        <charset val="162"/>
        <scheme val="minor"/>
      </rPr>
      <t xml:space="preserve">
</t>
    </r>
    <r>
      <rPr>
        <sz val="11"/>
        <rFont val="Calibri"/>
        <family val="2"/>
        <charset val="162"/>
        <scheme val="minor"/>
      </rPr>
      <t>Proje başlatma toplantısı yapılmıştır.</t>
    </r>
    <r>
      <rPr>
        <b/>
        <sz val="11"/>
        <rFont val="Calibri"/>
        <family val="2"/>
        <charset val="162"/>
        <scheme val="minor"/>
      </rPr>
      <t xml:space="preserve">
Yapılması Planlanan:</t>
    </r>
    <r>
      <rPr>
        <sz val="11"/>
        <rFont val="Calibri"/>
        <family val="2"/>
        <charset val="162"/>
        <scheme val="minor"/>
      </rPr>
      <t xml:space="preserve">
Veritabanı sorumlusu ile görüşme gerçekleştirilerek, database bazında yapılacak çalışmalar ve bu çalışmalardan sorumlu yazılımcılarla ilgili planlama yapılacaktır.
Yazılım ekibinin katılım sağlayacağı toplantı planlaması yapılacaktır.</t>
    </r>
  </si>
  <si>
    <r>
      <rPr>
        <b/>
        <sz val="11"/>
        <color theme="1"/>
        <rFont val="Calibri"/>
        <family val="2"/>
        <charset val="162"/>
        <scheme val="minor"/>
      </rPr>
      <t>Yapılan</t>
    </r>
    <r>
      <rPr>
        <sz val="11"/>
        <color theme="1"/>
        <rFont val="Calibri"/>
        <family val="2"/>
        <charset val="162"/>
        <scheme val="minor"/>
      </rPr>
      <t xml:space="preserve">:
İmza üretim tarihi, yenileme tarihi ve imzanın güncel statü bilgilerinin e-Güven üzerinden alınabilmesine yönelik servisler hazırlanmış olup, serviste şifre kaynaklı bir sorun tespit edilmiştir.
</t>
    </r>
    <r>
      <rPr>
        <sz val="11"/>
        <rFont val="Calibri"/>
        <family val="2"/>
        <charset val="162"/>
        <scheme val="minor"/>
      </rPr>
      <t xml:space="preserve">e-Güven tarafındaki gecikmeler nedeniyle projenin Mart ayı sonunda tamamlanabileceği değerlendirilmiştir.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Pin-puk gönderimi için e-Güven'den servis beklenmektedir.
İmza bilgilerine yönelik hazırlanan serviste yaşanan şifre problemi nedeniyle gerekli şifre güncellemesinin tamamlanması planlanmaktadır.</t>
    </r>
  </si>
  <si>
    <r>
      <rPr>
        <b/>
        <sz val="11"/>
        <color theme="1"/>
        <rFont val="Calibri"/>
        <family val="2"/>
        <charset val="162"/>
        <scheme val="minor"/>
      </rPr>
      <t xml:space="preserve">Yapılan:
</t>
    </r>
    <r>
      <rPr>
        <sz val="11"/>
        <color theme="1"/>
        <rFont val="Calibri"/>
        <family val="2"/>
        <charset val="162"/>
        <scheme val="minor"/>
      </rPr>
      <t xml:space="preserve">Chatbota gelen ancak cevaplanamayan sorular günlük olarak takip edilmektedir. Testler esnasında tespit edilen bu tür sorular ilgili birimlerden derlenmiş, gelen cevaplar veritabanına eklenmiştir.
Co-one’ın ikinci faz test süreci için gerekli hazırlıklar tamamlanmış olup, firma testlere başlamıştır.
</t>
    </r>
    <r>
      <rPr>
        <b/>
        <sz val="11"/>
        <color theme="1"/>
        <rFont val="Calibri"/>
        <family val="2"/>
        <charset val="162"/>
        <scheme val="minor"/>
      </rPr>
      <t xml:space="preserve">
Yapılması Planlanan:
</t>
    </r>
    <r>
      <rPr>
        <sz val="11"/>
        <color theme="1"/>
        <rFont val="Calibri"/>
        <family val="2"/>
        <charset val="162"/>
        <scheme val="minor"/>
      </rPr>
      <t>Co-one'ın ikinci faz testinin raporunun hazırlanıp iletilmesi beklenmektedir. Rapor bulgularına göre çalışmalar planlanacaktır.
Proje kapanış sürecine geçilecek ve proje kapanış raporu hazırlanacaktır.</t>
    </r>
  </si>
  <si>
    <r>
      <rPr>
        <b/>
        <sz val="11"/>
        <color theme="1"/>
        <rFont val="Calibri"/>
        <family val="2"/>
        <charset val="162"/>
        <scheme val="minor"/>
      </rPr>
      <t xml:space="preserve">Yapılan: </t>
    </r>
    <r>
      <rPr>
        <sz val="11"/>
        <color theme="1"/>
        <rFont val="Calibri"/>
        <family val="2"/>
        <charset val="162"/>
        <scheme val="minor"/>
      </rPr>
      <t xml:space="preserve">
Canlıya alım süreci tamamlanmıştır.
</t>
    </r>
    <r>
      <rPr>
        <b/>
        <sz val="11"/>
        <color theme="1"/>
        <rFont val="Calibri"/>
        <family val="2"/>
        <charset val="162"/>
        <scheme val="minor"/>
      </rPr>
      <t xml:space="preserve">Yapılması Planlanan: </t>
    </r>
    <r>
      <rPr>
        <sz val="11"/>
        <color theme="1"/>
        <rFont val="Calibri"/>
        <family val="2"/>
        <charset val="162"/>
        <scheme val="minor"/>
      </rPr>
      <t xml:space="preserve">
Canlı ortamdan başvuru gönderim denemeleri yapılacaktır.
</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</si>
  <si>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Proje ilerleme toplantısı yapılmıştır.
</t>
    </r>
    <r>
      <rPr>
        <b/>
        <sz val="11"/>
        <color theme="1"/>
        <rFont val="Calibri"/>
        <family val="2"/>
        <charset val="162"/>
        <scheme val="minor"/>
      </rPr>
      <t>Yapılması Planlanan:</t>
    </r>
    <r>
      <rPr>
        <sz val="11"/>
        <color theme="1"/>
        <rFont val="Calibri"/>
        <family val="2"/>
        <charset val="162"/>
        <scheme val="minor"/>
      </rPr>
      <t xml:space="preserve">
Organizasyon, kota ve paket tanımlamaları için senaryolar çalışılacaktır.</t>
    </r>
  </si>
  <si>
    <r>
      <t xml:space="preserve">
Yapılan:
</t>
    </r>
    <r>
      <rPr>
        <sz val="11"/>
        <color theme="1"/>
        <rFont val="Calibri"/>
        <family val="2"/>
        <charset val="162"/>
        <scheme val="minor"/>
      </rPr>
      <t>Borusan teknik ekipleri ile mimari tasarım konusunda görüşme gerçekleştirilmiştir.
Belge imzalama seçenekleri detaylandırılmış ve zaman damgası kullanım ihtiyacı tespit edilmiştir.Borusan için zaman damgası satış süreci işletilmektedir.</t>
    </r>
    <r>
      <rPr>
        <b/>
        <sz val="11"/>
        <color theme="1"/>
        <rFont val="Calibri"/>
        <family val="2"/>
        <charset val="162"/>
        <scheme val="minor"/>
      </rPr>
      <t xml:space="preserve">
Yapılması Planlanan:
</t>
    </r>
    <r>
      <rPr>
        <sz val="11"/>
        <color theme="1"/>
        <rFont val="Calibri"/>
        <family val="2"/>
        <charset val="162"/>
        <scheme val="minor"/>
      </rPr>
      <t xml:space="preserve">Sözleşme süreçleri tamamlandıktan sonra entegrasyon suit tanımlamaları gerçekleştirilecektir.
Geliştirme sürecinde SAP iş ortağımız SMOD'a destek sağlanacaktır.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</si>
  <si>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çalışmalara devam edilecektir.
</t>
    </r>
    <r>
      <rPr>
        <sz val="11"/>
        <rFont val="Calibri"/>
        <family val="2"/>
        <charset val="162"/>
        <scheme val="minor"/>
      </rPr>
      <t xml:space="preserve">Linux sunucularının domain ortamına taşınması ile Ubuntu sürümlerinin 14’ten 24’e yükseltilmesi işlemlerinin eş zamanlı olarak gerçekleştirilmesine karar verilmiştir. Çalışmaların Mart ayı ortasında başlatılması ve Nisan ayı sonunda tamamlanması planlanmaktadır. Bu işlemlerin farklı zamanlarda yapılması, sistemlerde tekrarlayan güncelleme ve ek operasyonel yük oluşturacağından, birlikte yürütülmesi daha verimli görülmüştür.
</t>
    </r>
    <r>
      <rPr>
        <sz val="11"/>
        <color theme="1"/>
        <rFont val="Calibri"/>
        <family val="2"/>
        <charset val="162"/>
        <scheme val="minor"/>
      </rPr>
      <t>Çalışmalar tamamlandıktan sonra proje kapanışı için proje kapanış dokümanı hazırlığı yapılacaktır.</t>
    </r>
  </si>
  <si>
    <r>
      <rPr>
        <b/>
        <sz val="11"/>
        <color theme="1"/>
        <rFont val="Calibri"/>
        <family val="2"/>
        <charset val="162"/>
        <scheme val="minor"/>
      </rPr>
      <t>Yapılan</t>
    </r>
    <r>
      <rPr>
        <sz val="11"/>
        <color theme="1"/>
        <rFont val="Calibri"/>
        <family val="2"/>
        <charset val="162"/>
        <scheme val="minor"/>
      </rPr>
      <t xml:space="preserve">:
Datassist senaryosuna uygun olacak şekilde yapılan geliştirmeler neticesinde, Ent Suit, UKDS, CRM ve Mobil uygulama taşımaları tamamlanmış, uygulama canlıya alınmıştır.
Datassist canlı ortam geçişi sağlanmış ve ilk kurumsal kep hesabı açılış süreci tamamlanmıştır.
Açılan kurumsal kep hesabına bağlanacak bireysel hesap açılışları gerçekleştirilmeye başlanmıştır.
Datassist ekiplerine e-imza temini süreci işletilmiştir.
TÇM ve Operasyon ekibi tarafından Datassist ekiplerine operasyonel süreçler konusunda bilgilendirme yapılmıştır.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TÇM ve Operasyon Birimi'ne Datassist kullanım senaryosu gösterimi yapılacaktır.
</t>
    </r>
  </si>
  <si>
    <t>Projenin yazılım geliştirme tarafında 11 aylık gecikme vardır. Proje kapsamı daraltılacak ve 2025 yılı içinde geliştirilmesi planlanan 3 modülün (e-Fatura, e-Arşiv Fatura ve e-İrsaliye) Haziran 2026 sonuna kadar  tamamlanmasına çalışılacaktır.</t>
  </si>
  <si>
    <t>e-Güven tarafındaki gecikmeler  nedeniyle 2 ay ötelenerek Mart 2026 sonu olarak güncellenmiştir</t>
  </si>
  <si>
    <r>
      <rPr>
        <b/>
        <sz val="11"/>
        <color theme="1"/>
        <rFont val="Calibri"/>
        <family val="2"/>
        <charset val="162"/>
        <scheme val="minor"/>
      </rPr>
      <t>Yapılan:</t>
    </r>
    <r>
      <rPr>
        <sz val="11"/>
        <color theme="1"/>
        <rFont val="Calibri"/>
        <family val="2"/>
        <charset val="162"/>
        <scheme val="minor"/>
      </rPr>
      <t xml:space="preserve">
İmza Client testlerine devam edilmiştir.
Proje kapanış raporu hazırlanmıştır.
</t>
    </r>
    <r>
      <rPr>
        <b/>
        <sz val="11"/>
        <color theme="1"/>
        <rFont val="Calibri"/>
        <family val="2"/>
        <charset val="162"/>
        <scheme val="minor"/>
      </rPr>
      <t xml:space="preserve">Yapılması Planlanan:
</t>
    </r>
    <r>
      <rPr>
        <sz val="11"/>
        <color theme="1"/>
        <rFont val="Calibri"/>
        <family val="2"/>
        <charset val="162"/>
        <scheme val="minor"/>
      </rPr>
      <t>Devam eden süreçlerin takibi için proje Şubat 2026 ayı sonuna kadar uzatılmıştır. Testler tamamlandıktan sonra proje kapanış aşamasına geçilecektir.
Proje kapanış raporu için sponsor onayı alınacak ve proje kapanış duyurusu yapılacaktır.</t>
    </r>
  </si>
  <si>
    <r>
      <rPr>
        <b/>
        <sz val="11"/>
        <color theme="1"/>
        <rFont val="Calibri"/>
        <family val="2"/>
        <charset val="162"/>
        <scheme val="minor"/>
      </rPr>
      <t>Yapılan</t>
    </r>
    <r>
      <rPr>
        <sz val="11"/>
        <color theme="1"/>
        <rFont val="Calibri"/>
        <family val="2"/>
        <charset val="162"/>
        <scheme val="minor"/>
      </rPr>
      <t xml:space="preserve"> :
Ürün Yönetimi tarafından e-Fatura, e-Arşiv Fatura ve e-İrsaliye UI/UX gereksinimleri Ürün Müdürü tarafından tamamlanmış olup, Ürün Yönetimi Direktör onayında beklemektedir.</t>
    </r>
    <r>
      <rPr>
        <b/>
        <sz val="11"/>
        <color theme="1"/>
        <rFont val="Calibri"/>
        <family val="2"/>
        <charset val="162"/>
        <scheme val="minor"/>
      </rPr>
      <t xml:space="preserve">
</t>
    </r>
    <r>
      <rPr>
        <sz val="11"/>
        <color theme="1"/>
        <rFont val="Calibri"/>
        <family val="2"/>
        <charset val="162"/>
        <scheme val="minor"/>
      </rPr>
      <t xml:space="preserve">Analiz doğrulama, kullanılacak yazılım/donanım altyapı teknolojileri ve yazılım mimari tasarımı konularında hizmet danışmanlığı için alınan teklife revize sonrasında uygunluk verilmiştir.
Firmadan alınacak hizmetin şirket içi değerlendirilmesi kapsamında proje ekibi ile toplantı yapılmış, iç toplantı sonrasında proje ekibi ve firma katılımı ile 04 Şubat'ta bir tanışma toplantısı gerçekleştirilmiştir. Hizmet alımı değerlendirme aşamasındadır.
Yazılım mimarı arayışı devam etmekte olup, proje kapsamında yazılım mimarlığı için danışmanlık hizmeti alınmasına yönelik teklif talep edilmiştir.
</t>
    </r>
    <r>
      <rPr>
        <b/>
        <sz val="11"/>
        <color theme="1"/>
        <rFont val="Calibri"/>
        <family val="2"/>
        <charset val="162"/>
        <scheme val="minor"/>
      </rPr>
      <t xml:space="preserve">
Yapılması Planlanan</t>
    </r>
    <r>
      <rPr>
        <sz val="11"/>
        <color theme="1"/>
        <rFont val="Calibri"/>
        <family val="2"/>
        <charset val="162"/>
        <scheme val="minor"/>
      </rPr>
      <t xml:space="preserve"> :
Firmadan danışmanlık alınması kararının sonucuna göre proje planı revize edilecektir.
</t>
    </r>
  </si>
  <si>
    <t xml:space="preserve">
Yazılım mimarı olmadığı için Mart 2025'ten itibaren yazılım tasarım ve yazılım geliştirme sürecine başlanamamıştır. Proje yazılım ekibi mevcut ürünlere destek vermektedir. Yazılım geliştirme sürecine hızlı geçiş için yazılım mimarı ve/veya danışmanlık desteği alınması süreci devam etmektedir.
</t>
  </si>
  <si>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 kullanım senaryosu belirlenmiştir.
Proje ekibi olarak bir toplantı ile entegrasyon öncesi yapılacaklar görüşülmüştür.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gelecek hafta başında banka ilgili ekipleriyle bir toplantı düzenlenerek görüşülecektir.
</t>
    </r>
  </si>
  <si>
    <r>
      <rPr>
        <b/>
        <sz val="11"/>
        <rFont val="Calibri"/>
        <family val="2"/>
        <charset val="162"/>
        <scheme val="minor"/>
      </rPr>
      <t>Yapılan</t>
    </r>
    <r>
      <rPr>
        <sz val="11"/>
        <rFont val="Calibri"/>
        <family val="2"/>
        <charset val="162"/>
        <scheme val="minor"/>
      </rPr>
      <t xml:space="preserve">:
Haftalık proje ilerleme toplantısı gerçekleştirilmiştir.
DevOps uzmanı tarafından bazı uygulamalara yönelik tarama çalışmaları yapılmıştır.
DevOps danışmanlığı verecek bir firma ile görüşme sağlanmış olup, teklif alınmıştır. İkinci bir firma ile de bugün (06 Şubat) bir toplantı yapılmış, teklif istenmiştir.
</t>
    </r>
    <r>
      <rPr>
        <b/>
        <sz val="11"/>
        <rFont val="Calibri"/>
        <family val="2"/>
        <charset val="162"/>
        <scheme val="minor"/>
      </rPr>
      <t xml:space="preserve">Yapılması Planlanan:
</t>
    </r>
    <r>
      <rPr>
        <sz val="11"/>
        <rFont val="Calibri"/>
        <family val="2"/>
        <charset val="162"/>
        <scheme val="minor"/>
      </rPr>
      <t>.NET ve Java kapsamında yapılması planlanan geçiş çalışması, yeni danışmanlık anlaşması sağlandıktan sonra planlanacaktır.
DevOps danışmanlığı kapsamında teklif değerlendirme süreci işletilecektir.</t>
    </r>
  </si>
  <si>
    <t>Seçilen bir uygulamanın (FileServer) FKM'ye geçişine yönelik bir senaryo ile süreç işletilmiş, kanıt maksatlı kayıt altına alınmıştır.</t>
  </si>
  <si>
    <r>
      <rPr>
        <b/>
        <sz val="11"/>
        <color theme="1"/>
        <rFont val="Calibri"/>
        <family val="2"/>
        <charset val="162"/>
        <scheme val="minor"/>
      </rPr>
      <t>Yapılan</t>
    </r>
    <r>
      <rPr>
        <sz val="11"/>
        <color theme="1"/>
        <rFont val="Calibri"/>
        <family val="2"/>
        <charset val="162"/>
        <scheme val="minor"/>
      </rPr>
      <t xml:space="preserve">:
Proje çıktısı olacak ürün için Ürün Yönetimi tarafından gereksinim analizi dokümanı hazırlığı devam etmektedir. 
13 Ocak 2026 tarihinde Proje Sponsoru katılımı ile taslak Proje Başlatma Belgesi gözden geçirme toplantısı yapılmıştır. Proje kapsamı, teslimatlar ve km taşları netleştirilmiştir.
Projede yazılım geliştirme platformu (Java veya .Net) kararı için CTO katılımlı toplantı yapılmış, Java ile ilerleme kararı alınmıştır.
Proje Başlatma Belgesi, Proje Sponsoru onayına gönderilmiştir.
</t>
    </r>
    <r>
      <rPr>
        <b/>
        <sz val="11"/>
        <color theme="1"/>
        <rFont val="Calibri"/>
        <family val="2"/>
        <charset val="162"/>
        <scheme val="minor"/>
      </rPr>
      <t xml:space="preserve">Yapılması Planlanan:
</t>
    </r>
    <r>
      <rPr>
        <sz val="11"/>
        <color theme="1"/>
        <rFont val="Calibri"/>
        <family val="2"/>
        <charset val="162"/>
        <scheme val="minor"/>
      </rPr>
      <t>Ürün Yönetimi, projede</t>
    </r>
    <r>
      <rPr>
        <b/>
        <sz val="11"/>
        <color theme="1"/>
        <rFont val="Calibri"/>
        <family val="2"/>
        <charset val="162"/>
        <scheme val="minor"/>
      </rPr>
      <t xml:space="preserve"> </t>
    </r>
    <r>
      <rPr>
        <sz val="11"/>
        <color theme="1"/>
        <rFont val="Calibri"/>
        <family val="2"/>
        <charset val="162"/>
        <scheme val="minor"/>
      </rPr>
      <t xml:space="preserve">görevlendiren yazılım mimarı/teknik lider ile gereksinim analizi dokümanı üzerinde çalışmalarına devam edecektir.
Ürün Yönetimi tarafından SAT dokümanı hazırlıklarına başlanacaktır.
Proje Başlatma Belgesi onayı sonrasında duyurusu yapılacak, proje başlangıç toplantısı yapılacaktır.
</t>
    </r>
    <r>
      <rPr>
        <b/>
        <sz val="11"/>
        <color theme="1"/>
        <rFont val="Calibri"/>
        <family val="2"/>
        <charset val="162"/>
        <scheme val="minor"/>
      </rPr>
      <t xml:space="preserve">
</t>
    </r>
  </si>
  <si>
    <t>Proje, 01 Ağustos 2025 itibariyle Ar-Ge portalında açılmıştır. Ar-Ge Proje kartı 13 Ocak 2026 tarihinde güncellenmiş, bu karta göre Proje Başlatma Belgesi taslak olarak hazırlanmıştır. Uygulama geliştirme platformunun Java  olması kararına uygun olarak proje ekibi mevcut personelden belirlenmiştir. Gereksinim Analiz Dokümanı paylaşıldığında ihtiyaç halinde yeni personel alımı gerçekleştirilecektir.</t>
  </si>
  <si>
    <r>
      <rPr>
        <b/>
        <sz val="11"/>
        <color theme="1"/>
        <rFont val="Calibri"/>
        <family val="2"/>
        <charset val="162"/>
        <scheme val="minor"/>
      </rPr>
      <t xml:space="preserve">
Yapılan:
</t>
    </r>
    <r>
      <rPr>
        <sz val="11"/>
        <color theme="1"/>
        <rFont val="Calibri"/>
        <family val="2"/>
        <charset val="162"/>
        <scheme val="minor"/>
      </rPr>
      <t>UI ve API otomasyon testleri tamamlanmıştır.
Java ve .Net uygulamaları yanı sıra Php uygulamaları için de test otomasyonu pilotu yapılmıştır.
Proje kapanış toplantısı yapılmıştır.</t>
    </r>
    <r>
      <rPr>
        <sz val="11"/>
        <color rgb="FFFF0000"/>
        <rFont val="Calibri"/>
        <family val="2"/>
        <charset val="162"/>
        <scheme val="minor"/>
      </rPr>
      <t xml:space="preserve">
</t>
    </r>
    <r>
      <rPr>
        <sz val="11"/>
        <rFont val="Calibri"/>
        <family val="2"/>
        <charset val="162"/>
        <scheme val="minor"/>
      </rPr>
      <t xml:space="preserve">Üst yönetimden otomasyon süreçlerine geçiş </t>
    </r>
    <r>
      <rPr>
        <sz val="11"/>
        <color theme="1"/>
        <rFont val="Calibri"/>
        <family val="2"/>
        <charset val="162"/>
        <scheme val="minor"/>
      </rPr>
      <t xml:space="preserve">için geçiş planı talep edilmiştir. Talep doğrultusunda hazırlıklar devam etmekte olup, gelen geri bildirime göre geçiş planı oluşturularak dönüş sağlanacaktır.
</t>
    </r>
    <r>
      <rPr>
        <b/>
        <sz val="11"/>
        <color theme="1"/>
        <rFont val="Calibri"/>
        <family val="2"/>
        <charset val="162"/>
        <scheme val="minor"/>
      </rPr>
      <t xml:space="preserve">Yapılması Planlanan:
</t>
    </r>
    <r>
      <rPr>
        <sz val="11"/>
        <color theme="1"/>
        <rFont val="Calibri"/>
        <family val="2"/>
        <charset val="162"/>
        <scheme val="minor"/>
      </rPr>
      <t xml:space="preserve">DevOps sürecindeki danışman değişikliği nedeniyle bu kapsam projede açık madde olarak takip edilecektir.
Proje sponsorundan onay alındıktan sonra proje kapanış duyurusunun yapılması planlanmaktadır.
</t>
    </r>
  </si>
  <si>
    <t>*%80 ve üzeri yeşil, %50 altı sarı olarak renklendirilmiştir.</t>
  </si>
  <si>
    <t>Proje bitiş tarihi, banka ile devam eden çalışmalar nedeniyle 10 ay ötelenerek Mart 2026 ayı sonu olarak güncellenmiştir</t>
  </si>
  <si>
    <t>Belirlenecektir</t>
  </si>
  <si>
    <t xml:space="preserve">Kurumsal Bilgi Yönetimi ve Dijital Hafıza Platformu – TÜRKKEPEDIA </t>
  </si>
  <si>
    <t>2026-TKEP-031</t>
  </si>
  <si>
    <r>
      <rPr>
        <b/>
        <sz val="11"/>
        <color theme="1"/>
        <rFont val="Calibri"/>
        <family val="2"/>
        <charset val="162"/>
        <scheme val="minor"/>
      </rPr>
      <t xml:space="preserve">Yapılan:
</t>
    </r>
    <r>
      <rPr>
        <sz val="11"/>
        <color theme="1"/>
        <rFont val="Calibri"/>
        <family val="2"/>
        <charset val="162"/>
        <scheme val="minor"/>
      </rPr>
      <t xml:space="preserve">Co-one’ın ikinci faz test raporu hazırlanarak iletilmiştir.
Firma ile gerçekleştirilen toplantı sonrasında, rapor bulgularına istinaden çalışmalara başlanmıştır.
Rapordan çıkarılan ve veritabanına eklenebilecek sorular ilgili birimlere iletilmiştir.
</t>
    </r>
    <r>
      <rPr>
        <b/>
        <sz val="11"/>
        <color theme="1"/>
        <rFont val="Calibri"/>
        <family val="2"/>
        <charset val="162"/>
        <scheme val="minor"/>
      </rPr>
      <t xml:space="preserve">
Yapılması Planlanan:
</t>
    </r>
    <r>
      <rPr>
        <sz val="11"/>
        <color theme="1"/>
        <rFont val="Calibri"/>
        <family val="2"/>
        <charset val="162"/>
        <scheme val="minor"/>
      </rPr>
      <t>İlgili birimlerden gelecek geri bildirimler doğrultusunda veritabanına soru eklemeleri yapılacaktır.
Proje kapanış raporu hazırlanacak ve proje kapanış duyurusu yapılacaktır.</t>
    </r>
  </si>
  <si>
    <r>
      <rPr>
        <b/>
        <sz val="11"/>
        <color theme="1"/>
        <rFont val="Calibri"/>
        <family val="2"/>
        <charset val="162"/>
        <scheme val="minor"/>
      </rPr>
      <t>Yapılan</t>
    </r>
    <r>
      <rPr>
        <sz val="11"/>
        <color theme="1"/>
        <rFont val="Calibri"/>
        <family val="2"/>
        <charset val="162"/>
        <scheme val="minor"/>
      </rPr>
      <t>:
İmza üretim tarihi, yenileme tarihi ve imzanın güncel statü bilgilerinin e-Güven üzerinden alınabilmesine yönelik servislerde yaşanan şifre sorunu çözülüp e-Güven'e iletilmiştir.</t>
    </r>
    <r>
      <rPr>
        <sz val="1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Pin-puk gönderimi için e-Güven'den servis beklenmektedir.
Şifre sorunu ile ilgili e-Güven'den olumlu ya da olumsuz dönüş beklenmektedir.</t>
    </r>
  </si>
  <si>
    <r>
      <rPr>
        <b/>
        <sz val="11"/>
        <color theme="1"/>
        <rFont val="Calibri"/>
        <family val="2"/>
        <charset val="162"/>
        <scheme val="minor"/>
      </rPr>
      <t xml:space="preserve">
Yapılan</t>
    </r>
    <r>
      <rPr>
        <sz val="11"/>
        <color theme="1"/>
        <rFont val="Calibri"/>
        <family val="2"/>
        <charset val="162"/>
        <scheme val="minor"/>
      </rPr>
      <t xml:space="preserve">:
Kod-A sunucusundaki verilerin GreenDocs'a aktarımına devam edilmektedir.
Greendocs sürüm güncellemesi ve danışmanlık konusunda firma toplantı gerçekleştirilmiştir.
Proje sponsoru ile paylaşılan iş akışına yönelik geri bildirime göre akış revize edilmiştir.
</t>
    </r>
    <r>
      <rPr>
        <b/>
        <sz val="11"/>
        <color theme="1"/>
        <rFont val="Calibri"/>
        <family val="2"/>
        <charset val="162"/>
        <scheme val="minor"/>
      </rPr>
      <t xml:space="preserve">Yapılması Planlanan:
</t>
    </r>
    <r>
      <rPr>
        <sz val="11"/>
        <color theme="1"/>
        <rFont val="Calibri"/>
        <family val="2"/>
        <charset val="162"/>
        <scheme val="minor"/>
      </rPr>
      <t>Kod-A sunucusundaki verilerin GreenDocs'a aktarımı yapılan veriler üzerinden test yapılacaktır.</t>
    </r>
    <r>
      <rPr>
        <sz val="11"/>
        <color rgb="FFFF0000"/>
        <rFont val="Calibri"/>
        <family val="2"/>
        <charset val="162"/>
        <scheme val="minor"/>
      </rPr>
      <t xml:space="preserve">
</t>
    </r>
    <r>
      <rPr>
        <sz val="11"/>
        <color theme="1"/>
        <rFont val="Calibri"/>
        <family val="2"/>
        <charset val="162"/>
        <scheme val="minor"/>
      </rPr>
      <t>Greendocs sürüm güncellemesi ve danışmanlık konusunda teklif beklenmektedir.</t>
    </r>
  </si>
  <si>
    <r>
      <rPr>
        <b/>
        <sz val="11"/>
        <color theme="1"/>
        <rFont val="Calibri"/>
        <family val="2"/>
        <charset val="162"/>
        <scheme val="minor"/>
      </rPr>
      <t xml:space="preserve">Yapılan: </t>
    </r>
    <r>
      <rPr>
        <sz val="11"/>
        <color theme="1"/>
        <rFont val="Calibri"/>
        <family val="2"/>
        <charset val="162"/>
        <scheme val="minor"/>
      </rPr>
      <t xml:space="preserve">
Canlıya alım süreci tamamlanmıştır.
</t>
    </r>
    <r>
      <rPr>
        <b/>
        <sz val="11"/>
        <color theme="1"/>
        <rFont val="Calibri"/>
        <family val="2"/>
        <charset val="162"/>
        <scheme val="minor"/>
      </rPr>
      <t xml:space="preserve">Yapılması Planlanan: </t>
    </r>
    <r>
      <rPr>
        <sz val="11"/>
        <color theme="1"/>
        <rFont val="Calibri"/>
        <family val="2"/>
        <charset val="162"/>
        <scheme val="minor"/>
      </rPr>
      <t xml:space="preserve">
Canlı ortamdan başvuru gönderim denemeleri yapılacaktır.
Banka tarafından proje için son onay alınacaktır.
</t>
    </r>
  </si>
  <si>
    <r>
      <t xml:space="preserve">
Yapılan:
</t>
    </r>
    <r>
      <rPr>
        <sz val="11"/>
        <color theme="1"/>
        <rFont val="Calibri"/>
        <family val="2"/>
        <charset val="162"/>
        <scheme val="minor"/>
      </rPr>
      <t>Belge imzalama seçenekleri detaylandırılmış ve zaman damgası kullanım ihtiyacı tespit edilmiştir.Borusan için zaman damgası satış süreci işletilmektedir.
İmza doğrulama methodları ile ilgili SMOD tarafına bilgilendirme sağlanmıştır.</t>
    </r>
    <r>
      <rPr>
        <b/>
        <sz val="11"/>
        <color theme="1"/>
        <rFont val="Calibri"/>
        <family val="2"/>
        <charset val="162"/>
        <scheme val="minor"/>
      </rPr>
      <t xml:space="preserve">
Yapılması Planlanan:
</t>
    </r>
    <r>
      <rPr>
        <sz val="11"/>
        <color theme="1"/>
        <rFont val="Calibri"/>
        <family val="2"/>
        <charset val="162"/>
        <scheme val="minor"/>
      </rPr>
      <t xml:space="preserve">Sözleşme süreçleri tamamlandıktan sonra entegrasyon suit tanımlamaları gerçekleştirilecektir.
Geliştirme sürecinde SAP iş ortağımız SMOD'a destek sağlanacaktır.
</t>
    </r>
  </si>
  <si>
    <t xml:space="preserve">
Yazılım mimarı olmadığı için Mart 2025'ten itibaren yazılım tasarım ve yazılım geliştirme sürecine başlanamamıştır. Proje yazılım ekibi bu süreçte GIB'ten gelen değişiklikler için mevcut ürünlere destek vermiştir. Yazılım geliştirme çalışmaları için danışmanlık hizmeti alınacaktır.
</t>
  </si>
  <si>
    <t>Projenin yazılım geliştirme tarafında 12 aylık gecikme vardır. Proje kapsamı daraltılacak ve 2025 yılı içinde geliştirilmesi planlanan 3 modülün (e-Fatura, e-Arşiv Fatura ve e-İrsaliye) Haziran 2026 sonuna kadar  tamamlanmasına çalışılacaktır.</t>
  </si>
  <si>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 kullanım senaryosu belirlenmiştir.
Kuveyt Türk senaryosunun karşılanabilmesi adına UKDS süreçlerinde yapılacak değişiklikler değerlendirilmiş ve iş paketleri oluşturulmuştur.
</t>
    </r>
    <r>
      <rPr>
        <b/>
        <sz val="11"/>
        <color theme="1"/>
        <rFont val="Calibri"/>
        <family val="2"/>
        <charset val="162"/>
        <scheme val="minor"/>
      </rPr>
      <t>Yapılması Planlanan:</t>
    </r>
    <r>
      <rPr>
        <sz val="11"/>
        <color theme="1"/>
        <rFont val="Calibri"/>
        <family val="2"/>
        <charset val="162"/>
        <scheme val="minor"/>
      </rPr>
      <t xml:space="preserve">
Bankaya önerilecek kullanım senaryosunun detayları, gelecek hafta başında banka ilgili ekipleriyle bir toplantı düzenlenerek görüşülecektir.
Oluşturulan iş paketleri için geliştirme süreçleri UKDS ve CRM ürünlerinde başlatılacaktır.
Entegrasyon Süit dokümanına UKDS modül eklentisi tamamlanarak banka ile paylaşılacaktır.
</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</si>
  <si>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çalışmalara devam edilecektir.
</t>
    </r>
    <r>
      <rPr>
        <sz val="11"/>
        <rFont val="Calibri"/>
        <family val="2"/>
        <charset val="162"/>
        <scheme val="minor"/>
      </rPr>
      <t xml:space="preserve">Linux sunucularının domain ortamına taşınması ile Ubuntu sürümlerinin 14’ten 24’e yükseltilmesi işlemlerinin eş zamanlı olarak gerçekleştirilmesine karar verilmiştir. Çalışmaların Mart ayı ortasında başlatılması ve Nisan ayı sonunda tamamlanması planlanmaktadır.
</t>
    </r>
  </si>
  <si>
    <t>Proje çıktısı olacak ürününün kapsamı ve ürün yol haritası 13 Ocak 2026 tarihinde netleştirilebilmiştir. Proje 6 aylık gecikme ile başlayabilecek aşamaya gelmiştir.</t>
  </si>
  <si>
    <r>
      <rPr>
        <b/>
        <sz val="11"/>
        <color theme="1"/>
        <rFont val="Calibri"/>
        <family val="2"/>
        <charset val="162"/>
        <scheme val="minor"/>
      </rPr>
      <t xml:space="preserve">Yapılan:
</t>
    </r>
    <r>
      <rPr>
        <sz val="11"/>
        <color theme="1"/>
        <rFont val="Calibri"/>
        <family val="2"/>
        <charset val="162"/>
        <scheme val="minor"/>
      </rPr>
      <t xml:space="preserve">Proje kapanış raporu hazırlanmış olup, proje sponsorundan onay beklenmektedir.
</t>
    </r>
    <r>
      <rPr>
        <b/>
        <sz val="11"/>
        <color theme="1"/>
        <rFont val="Calibri"/>
        <family val="2"/>
        <charset val="162"/>
        <scheme val="minor"/>
      </rPr>
      <t>Yapılması Planlanan:</t>
    </r>
    <r>
      <rPr>
        <sz val="11"/>
        <color theme="1"/>
        <rFont val="Calibri"/>
        <family val="2"/>
        <charset val="162"/>
        <scheme val="minor"/>
      </rPr>
      <t xml:space="preserve">
Proje sponsorundan onay alındıktan sonra proje kapanış duyurusunun yapılması planlanmıştır.</t>
    </r>
  </si>
  <si>
    <r>
      <t xml:space="preserve">Yapılan:
</t>
    </r>
    <r>
      <rPr>
        <sz val="11"/>
        <rFont val="Calibri"/>
        <family val="2"/>
        <charset val="162"/>
        <scheme val="minor"/>
      </rPr>
      <t>Haftalık proje ilerleme toplantısı yapılmıştır.</t>
    </r>
    <r>
      <rPr>
        <sz val="11"/>
        <color theme="1"/>
        <rFont val="Calibri"/>
        <family val="2"/>
        <charset val="162"/>
        <scheme val="minor"/>
      </rPr>
      <t xml:space="preserve">
</t>
    </r>
    <r>
      <rPr>
        <b/>
        <sz val="11"/>
        <rFont val="Calibri"/>
        <family val="2"/>
        <charset val="162"/>
        <scheme val="minor"/>
      </rPr>
      <t xml:space="preserve">
Yapılması Planlanan:</t>
    </r>
    <r>
      <rPr>
        <sz val="11"/>
        <rFont val="Calibri"/>
        <family val="2"/>
        <charset val="162"/>
        <scheme val="minor"/>
      </rPr>
      <t xml:space="preserve">
Veritabanı sorumlusu ile görüşme gerçekleştirilerek, database bazında yapılacak çalışmalar ve bu çalışmalardan sorumlu yazılımcılarla ilgili planlama yapılacaktır.
Yazılım ekibinin katılım sağlayacağı toplantı planlaması yapılacaktır.</t>
    </r>
  </si>
  <si>
    <r>
      <rPr>
        <b/>
        <sz val="11"/>
        <color theme="1"/>
        <rFont val="Calibri"/>
        <family val="2"/>
        <charset val="162"/>
        <scheme val="minor"/>
      </rPr>
      <t>Yapılan</t>
    </r>
    <r>
      <rPr>
        <sz val="11"/>
        <color theme="1"/>
        <rFont val="Calibri"/>
        <family val="2"/>
        <charset val="162"/>
        <scheme val="minor"/>
      </rPr>
      <t xml:space="preserve"> :
e-Fatura, e-Arşiv Fatura ve e-İrsaliye modüllerinin analiz doğrulama ve tasarımı için danışmanlık hizmeti alınacak Sorentum firması ile 18 Şubat Çarşamba günü framework konusunda  bir  toplantı yapılmıştır. Toplantıda, firma geliştireceği framework hakkında  bilgi vermiş, proje ekibi tarafından mevcut framework anlatılarak beklentiler aktarılmıştır.  
Ürün Yönetimi tarafından SAT dokümanları ve UI/UX gereksinim dokümanı tasarımları paylaşılmıştır.
Yazılım mimarı danışmanlık hizmeti alınacak kişi ile sözleşme süreci tamamlanmıştır.</t>
    </r>
    <r>
      <rPr>
        <b/>
        <sz val="11"/>
        <color theme="1"/>
        <rFont val="Calibri"/>
        <family val="2"/>
        <charset val="162"/>
        <scheme val="minor"/>
      </rPr>
      <t xml:space="preserve">
Yapılması Planlanan</t>
    </r>
    <r>
      <rPr>
        <sz val="11"/>
        <color theme="1"/>
        <rFont val="Calibri"/>
        <family val="2"/>
        <charset val="162"/>
        <scheme val="minor"/>
      </rPr>
      <t xml:space="preserve"> :
Sorentum firmasına teklif kabulü iletilerek sözleşme sürecine geçilecektir.
Proje planı 01 Mart'ta başlayacak şekilde yeni duruma göre güncellenecektir.
Pazartesi günü proje ilerleme toplantısı yapılacaktır.
</t>
    </r>
  </si>
  <si>
    <r>
      <rPr>
        <b/>
        <sz val="11"/>
        <rFont val="Calibri"/>
        <family val="2"/>
        <charset val="162"/>
        <scheme val="minor"/>
      </rPr>
      <t>Yapılan</t>
    </r>
    <r>
      <rPr>
        <sz val="11"/>
        <rFont val="Calibri"/>
        <family val="2"/>
        <charset val="162"/>
        <scheme val="minor"/>
      </rPr>
      <t xml:space="preserve">:
Haftalık proje ilerleme toplantısı gerçekleştirilmiştir.
DevOps uzmanı tarafından bazı uygulamalara yönelik tarama çalışmaları yapılmıştır.
DevOps hizmet danışmanlığı alınacak firma için onay alınmıştır.
</t>
    </r>
    <r>
      <rPr>
        <b/>
        <sz val="11"/>
        <rFont val="Calibri"/>
        <family val="2"/>
        <charset val="162"/>
        <scheme val="minor"/>
      </rPr>
      <t xml:space="preserve">Yapılması Planlanan:
</t>
    </r>
    <r>
      <rPr>
        <sz val="11"/>
        <rFont val="Calibri"/>
        <family val="2"/>
        <charset val="162"/>
        <scheme val="minor"/>
      </rPr>
      <t xml:space="preserve">DevOps danışmanlığı için sözleşme süreci tamamlanacaktır.
DevOps uzmanı tarafından Jira tarafındaki ürünlere yönelik tarama ve test çalışmalarının yapılması planlanmaktadır.
</t>
    </r>
  </si>
  <si>
    <r>
      <rPr>
        <b/>
        <sz val="11"/>
        <color theme="1"/>
        <rFont val="Calibri"/>
        <family val="2"/>
        <charset val="162"/>
        <scheme val="minor"/>
      </rPr>
      <t>Yapılan</t>
    </r>
    <r>
      <rPr>
        <sz val="11"/>
        <color theme="1"/>
        <rFont val="Calibri"/>
        <family val="2"/>
        <charset val="162"/>
        <scheme val="minor"/>
      </rPr>
      <t xml:space="preserve">:
Proje Başlatma Belgesi, Proje Sponsoru onayına gönderilmiştir, onaylanması beklenmektedir.
Ürün Yönetimi tarafından ürün gereksinim dokümanı paylaşılmıştır. 
</t>
    </r>
    <r>
      <rPr>
        <b/>
        <sz val="11"/>
        <color theme="1"/>
        <rFont val="Calibri"/>
        <family val="2"/>
        <charset val="162"/>
        <scheme val="minor"/>
      </rPr>
      <t xml:space="preserve">Yapılması Planlanan:
</t>
    </r>
    <r>
      <rPr>
        <sz val="11"/>
        <color theme="1"/>
        <rFont val="Calibri"/>
        <family val="2"/>
        <charset val="162"/>
        <scheme val="minor"/>
      </rPr>
      <t xml:space="preserve">
Gelecek hafta başında proje iş analisti ve yazılım ekibi ile gerekesinim dokümanı üzerinde çalışma yapılarak kaynak ihtiyaçları değerlendirilecektir.
Proje Başlatma Belgesi onayı sonrasında duyurusu yapılacak, proje başlangıç toplantısı yapılacaktır.
</t>
    </r>
    <r>
      <rPr>
        <b/>
        <sz val="11"/>
        <color theme="1"/>
        <rFont val="Calibri"/>
        <family val="2"/>
        <charset val="162"/>
        <scheme val="minor"/>
      </rPr>
      <t xml:space="preserve">
</t>
    </r>
  </si>
  <si>
    <t>Proje, 01 Ağustos 2025 itibariyle Ar-Ge portalında açılmıştır. Ar-Ge Proje kartı 13 Ocak 2026 tarihinde güncellenmiş, bu karta göre Proje Başlatma Belgesi taslak olarak hazırlanmış ve onaya gönderilmiştir. Uygulama geliştirme platformunun Java  olması kararına uygun olarak proje ekibi mevcut personellerden belirlenmiştir. Gereksinim Analiz Dokümanı kapsamına göre yeni personel alımı gerçekleştirilecektir.</t>
  </si>
  <si>
    <r>
      <rPr>
        <b/>
        <sz val="11"/>
        <color theme="1"/>
        <rFont val="Calibri"/>
        <family val="2"/>
        <charset val="162"/>
        <scheme val="minor"/>
      </rPr>
      <t>Yapılan</t>
    </r>
    <r>
      <rPr>
        <sz val="11"/>
        <color theme="1"/>
        <rFont val="Calibri"/>
        <family val="2"/>
        <charset val="162"/>
        <scheme val="minor"/>
      </rPr>
      <t xml:space="preserve">:
Uygulama canlıda olup firmaya operasyonel kullanıma yönelik desteklere devam edilmektedir.
</t>
    </r>
    <r>
      <rPr>
        <b/>
        <sz val="11"/>
        <color theme="1"/>
        <rFont val="Calibri"/>
        <family val="2"/>
        <charset val="162"/>
        <scheme val="minor"/>
      </rPr>
      <t>Yapılması Planlanan:</t>
    </r>
    <r>
      <rPr>
        <sz val="11"/>
        <color theme="1"/>
        <rFont val="Calibri"/>
        <family val="2"/>
        <charset val="162"/>
        <scheme val="minor"/>
      </rPr>
      <t xml:space="preserve">
Müşteri entegrasyon sürecine destek sağlanmaktadır.
Proje kapanış sürecine geçilecektir.
</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</si>
  <si>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t>
    </r>
    <r>
      <rPr>
        <b/>
        <sz val="11"/>
        <color theme="1"/>
        <rFont val="Calibri"/>
        <family val="2"/>
        <charset val="162"/>
        <scheme val="minor"/>
      </rPr>
      <t>Yapılması Planlanan:</t>
    </r>
    <r>
      <rPr>
        <sz val="11"/>
        <color theme="1"/>
        <rFont val="Calibri"/>
        <family val="2"/>
        <charset val="162"/>
        <scheme val="minor"/>
      </rPr>
      <t xml:space="preserve">
Organizasyon, kota ve paket tanımlamaları için senaryolar çalışılacaktır.
Gelecek hafta Salı günü proje ilerleme toplantısı yapılacaktır.</t>
    </r>
  </si>
  <si>
    <r>
      <rPr>
        <b/>
        <sz val="11"/>
        <color theme="1"/>
        <rFont val="Calibri"/>
        <family val="2"/>
        <charset val="162"/>
        <scheme val="minor"/>
      </rPr>
      <t xml:space="preserve">
Yapılan:
</t>
    </r>
    <r>
      <rPr>
        <sz val="11"/>
        <color theme="1"/>
        <rFont val="Calibri"/>
        <family val="2"/>
        <charset val="162"/>
        <scheme val="minor"/>
      </rPr>
      <t xml:space="preserve">Tüm uygulamalar için test otomasyonuna geçiş planı hazırlanmıştır.
Proje kapanış duyurusu yayınlanmıştır.
</t>
    </r>
  </si>
  <si>
    <r>
      <t xml:space="preserve">Yapılan:
</t>
    </r>
    <r>
      <rPr>
        <sz val="11"/>
        <color theme="1"/>
        <rFont val="Calibri"/>
        <family val="2"/>
        <charset val="162"/>
        <scheme val="minor"/>
      </rPr>
      <t>Projenin Ar-Ge projesi olarak 1 Şubat'ta açıldığı bilgisi Muhasebe'ye iletilmiştir.
Proje Başlatma Belgesi hazırlık sürecine geçilmiştir.</t>
    </r>
    <r>
      <rPr>
        <b/>
        <sz val="11"/>
        <color theme="1"/>
        <rFont val="Calibri"/>
        <family val="2"/>
        <charset val="162"/>
        <scheme val="minor"/>
      </rPr>
      <t xml:space="preserve">
Yapılması Planlanan:
</t>
    </r>
    <r>
      <rPr>
        <sz val="11"/>
        <color theme="1"/>
        <rFont val="Calibri"/>
        <family val="2"/>
        <charset val="162"/>
        <scheme val="minor"/>
      </rPr>
      <t>Proje  KM taşları, tarih atamaları ve projede çalışmasına ihtiyaç duyulacak kişilerin belirlenecektir.
Proje Başlatma Belgesi nihai hale getirilip, sponsor onayı alındıktan sonra açılış duyurusunun yapılması planlanmaktadır.</t>
    </r>
  </si>
  <si>
    <r>
      <rPr>
        <b/>
        <sz val="11"/>
        <color theme="1"/>
        <rFont val="Calibri"/>
        <family val="2"/>
        <charset val="162"/>
        <scheme val="minor"/>
      </rPr>
      <t>Yapılan</t>
    </r>
    <r>
      <rPr>
        <sz val="11"/>
        <color theme="1"/>
        <rFont val="Calibri"/>
        <family val="2"/>
        <charset val="162"/>
        <scheme val="minor"/>
      </rPr>
      <t xml:space="preserve">:
Faz-2 ve 3 işleri için planlama yapılmaktadır.
Parametrik sistem tanımlamalarının yapılacağı ekran için taslak çıkarılmıştır.
Proje ekibi ile geliştirme süreci için ön toplantı yapılmıştır.
Fonksiyonel ve tasarımsal test süreçleri işletilmiştir.
</t>
    </r>
    <r>
      <rPr>
        <b/>
        <sz val="11"/>
        <color theme="1"/>
        <rFont val="Calibri"/>
        <family val="2"/>
        <charset val="162"/>
        <scheme val="minor"/>
      </rPr>
      <t>Yapılması Planlanan:</t>
    </r>
    <r>
      <rPr>
        <sz val="11"/>
        <color theme="1"/>
        <rFont val="Calibri"/>
        <family val="2"/>
        <charset val="162"/>
        <scheme val="minor"/>
      </rPr>
      <t xml:space="preserve">
Organizasyon, kota ve paket tanımlamaları için senaryolar çalışılacaktır.
Tespit edilen bilgiler için geliştirme süreci başlatılacaktır.
Ticarileşme adına ihtiyaç duyulan fonksiyonlar için geliştirme süreci başlatılacaktır.</t>
    </r>
  </si>
  <si>
    <r>
      <rPr>
        <b/>
        <sz val="11"/>
        <color theme="1"/>
        <rFont val="Calibri"/>
        <family val="2"/>
        <charset val="162"/>
        <scheme val="minor"/>
      </rPr>
      <t xml:space="preserve">Yapılan:
</t>
    </r>
    <r>
      <rPr>
        <sz val="11"/>
        <color theme="1"/>
        <rFont val="Calibri"/>
        <family val="2"/>
        <charset val="162"/>
        <scheme val="minor"/>
      </rPr>
      <t>Projenin birinci fazı kapsamında yapılması gerekenler tamamlanmıştır.</t>
    </r>
    <r>
      <rPr>
        <b/>
        <sz val="11"/>
        <color theme="1"/>
        <rFont val="Calibri"/>
        <family val="2"/>
        <charset val="162"/>
        <scheme val="minor"/>
      </rPr>
      <t xml:space="preserve">
</t>
    </r>
    <r>
      <rPr>
        <sz val="11"/>
        <color theme="1"/>
        <rFont val="Calibri"/>
        <family val="2"/>
        <charset val="162"/>
        <scheme val="minor"/>
      </rPr>
      <t xml:space="preserve">CRM ve intranet chatbotları için ilgili worfklow ön yüz çalışmaları yapılmaktadır.
</t>
    </r>
    <r>
      <rPr>
        <b/>
        <sz val="11"/>
        <color theme="1"/>
        <rFont val="Calibri"/>
        <family val="2"/>
        <charset val="162"/>
        <scheme val="minor"/>
      </rPr>
      <t xml:space="preserve">
Yapılması Planlanan:
</t>
    </r>
    <r>
      <rPr>
        <sz val="11"/>
        <color theme="1"/>
        <rFont val="Calibri"/>
        <family val="2"/>
        <charset val="162"/>
        <scheme val="minor"/>
      </rPr>
      <t>Günlük olarak yanıtlanamayan sorular iletilecek ve uygun bulunanlar değerlendirilerek veritabanına eklenecektir.</t>
    </r>
    <r>
      <rPr>
        <b/>
        <sz val="11"/>
        <color theme="1"/>
        <rFont val="Calibri"/>
        <family val="2"/>
        <charset val="162"/>
        <scheme val="minor"/>
      </rPr>
      <t xml:space="preserve">
</t>
    </r>
    <r>
      <rPr>
        <sz val="11"/>
        <color theme="1"/>
        <rFont val="Calibri"/>
        <family val="2"/>
        <charset val="162"/>
        <scheme val="minor"/>
      </rPr>
      <t>İlgili birimlerden gelecek geri bildirimler doğrultusunda veritabanına soru eklemeleri yapılacaktır.
Proje kapanış raporu son haline getirilerek proje kapanış duyurusu gerçekleştirilecektir.</t>
    </r>
  </si>
  <si>
    <r>
      <rPr>
        <b/>
        <sz val="11"/>
        <color theme="1"/>
        <rFont val="Calibri"/>
        <family val="2"/>
        <charset val="162"/>
        <scheme val="minor"/>
      </rPr>
      <t xml:space="preserve">
Yapılan:
</t>
    </r>
    <r>
      <rPr>
        <sz val="11"/>
        <color theme="1"/>
        <rFont val="Calibri"/>
        <family val="2"/>
        <charset val="162"/>
        <scheme val="minor"/>
      </rPr>
      <t xml:space="preserve">Tüm uygulamalar için test otomasyonuna geçiş planı hazırlanmıştır.
Proje kapanış duyurusu yayınlanmıştır.
</t>
    </r>
  </si>
  <si>
    <r>
      <rPr>
        <b/>
        <sz val="11"/>
        <color theme="1"/>
        <rFont val="Calibri"/>
        <family val="2"/>
        <charset val="162"/>
        <scheme val="minor"/>
      </rPr>
      <t xml:space="preserve">
Yapılan:
</t>
    </r>
    <r>
      <rPr>
        <sz val="11"/>
        <color theme="1"/>
        <rFont val="Calibri"/>
        <family val="2"/>
        <charset val="162"/>
        <scheme val="minor"/>
      </rPr>
      <t xml:space="preserve">Proje kapanış duyurusu yayınlanmıştır.
</t>
    </r>
  </si>
  <si>
    <r>
      <rPr>
        <b/>
        <sz val="11"/>
        <color theme="1"/>
        <rFont val="Calibri"/>
        <family val="2"/>
        <charset val="162"/>
        <scheme val="minor"/>
      </rPr>
      <t>Yapılan</t>
    </r>
    <r>
      <rPr>
        <sz val="11"/>
        <color theme="1"/>
        <rFont val="Calibri"/>
        <family val="2"/>
        <charset val="162"/>
        <scheme val="minor"/>
      </rPr>
      <t>:
Proje kapanış duyurusu yayınlanmıştır.</t>
    </r>
  </si>
  <si>
    <r>
      <rPr>
        <b/>
        <sz val="11"/>
        <color theme="1"/>
        <rFont val="Calibri"/>
        <family val="2"/>
        <charset val="162"/>
        <scheme val="minor"/>
      </rPr>
      <t>Yapılan:</t>
    </r>
    <r>
      <rPr>
        <sz val="11"/>
        <color theme="1"/>
        <rFont val="Calibri"/>
        <family val="2"/>
        <charset val="162"/>
        <scheme val="minor"/>
      </rPr>
      <t xml:space="preserve">
İmza Client testlerine devam edilmiştir.
Proje kapanış raporu hazırlanmıştır.
</t>
    </r>
    <r>
      <rPr>
        <b/>
        <sz val="11"/>
        <color theme="1"/>
        <rFont val="Calibri"/>
        <family val="2"/>
        <charset val="162"/>
        <scheme val="minor"/>
      </rPr>
      <t xml:space="preserve">Yapılması Planlanan:
</t>
    </r>
    <r>
      <rPr>
        <sz val="11"/>
        <color theme="1"/>
        <rFont val="Calibri"/>
        <family val="2"/>
        <charset val="162"/>
        <scheme val="minor"/>
      </rPr>
      <t>Devam eden süreçlerin takibi için proje Mart ortasına kadar uzatılmıştır. Testler tamamlandıktan sonra proje kapanış aşamasına geçilecektir.
Proje kapanış raporu için sponsor onayı alınacak ve proje kapanış duyurusu yapılacaktır.</t>
    </r>
  </si>
  <si>
    <t>Lisans güncellemesi sonrası devam eden bug fix süreçleri nedeni ile proje 4 hafta uzatılmıştır.</t>
  </si>
  <si>
    <r>
      <t xml:space="preserve">Yapılan:
</t>
    </r>
    <r>
      <rPr>
        <sz val="11"/>
        <rFont val="Calibri"/>
        <family val="2"/>
        <charset val="162"/>
        <scheme val="minor"/>
      </rPr>
      <t>Haftalık proje ilerleme toplantısı yapılmıştır.
DB'in ayrıştırılmasıyla ilgili yazılım ekibinin katılım sağladığı toplantı yapılmıştır. Bu kapsamda yol haritası belirlenmiştir.</t>
    </r>
    <r>
      <rPr>
        <b/>
        <sz val="11"/>
        <color theme="1"/>
        <rFont val="Calibri"/>
        <family val="2"/>
        <charset val="162"/>
        <scheme val="minor"/>
      </rPr>
      <t xml:space="preserve">
</t>
    </r>
    <r>
      <rPr>
        <b/>
        <sz val="11"/>
        <rFont val="Calibri"/>
        <family val="2"/>
        <charset val="162"/>
        <scheme val="minor"/>
      </rPr>
      <t xml:space="preserve">
Yapılması Planlanan:</t>
    </r>
    <r>
      <rPr>
        <sz val="11"/>
        <rFont val="Calibri"/>
        <family val="2"/>
        <charset val="162"/>
        <scheme val="minor"/>
      </rPr>
      <t xml:space="preserve">
DB'in test ortamında ayrıştırılması ile ilgili çalışma yapılması ve kapsamda danışman ile görüşülmesi planlanmaktadır.</t>
    </r>
  </si>
  <si>
    <r>
      <t>Yapılan:</t>
    </r>
    <r>
      <rPr>
        <sz val="11"/>
        <color theme="1"/>
        <rFont val="Calibri"/>
        <family val="2"/>
        <charset val="162"/>
        <scheme val="minor"/>
      </rPr>
      <t xml:space="preserve">
Proje Başlatma Belgesi hazırlık sürecine geçilmiştir.</t>
    </r>
    <r>
      <rPr>
        <b/>
        <sz val="11"/>
        <color theme="1"/>
        <rFont val="Calibri"/>
        <family val="2"/>
        <charset val="162"/>
        <scheme val="minor"/>
      </rPr>
      <t xml:space="preserve">
</t>
    </r>
    <r>
      <rPr>
        <sz val="11"/>
        <color theme="1"/>
        <rFont val="Calibri"/>
        <family val="2"/>
        <charset val="162"/>
        <scheme val="minor"/>
      </rPr>
      <t>Proje öneri sahibi tarafından proje KM taşları için tarih atamaları yapılmıştır.</t>
    </r>
    <r>
      <rPr>
        <b/>
        <sz val="11"/>
        <color theme="1"/>
        <rFont val="Calibri"/>
        <family val="2"/>
        <charset val="162"/>
        <scheme val="minor"/>
      </rPr>
      <t xml:space="preserve">
Yapılması Planlanan:
</t>
    </r>
    <r>
      <rPr>
        <sz val="11"/>
        <color theme="1"/>
        <rFont val="Calibri"/>
        <family val="2"/>
        <charset val="162"/>
        <scheme val="minor"/>
      </rPr>
      <t>Projede çalışmasına ihtiyaç duyulacak kişilerin belirlenmesi planlanmaktadır.
Proje Başlatma Belgesi nihai hale getirilip, sponsor onayı alındıktan sonra açılış duyurusunun yapılması planlanmaktadır.</t>
    </r>
  </si>
  <si>
    <t>aysenur.bilgic</t>
  </si>
  <si>
    <r>
      <rPr>
        <b/>
        <sz val="11"/>
        <color theme="1"/>
        <rFont val="Calibri"/>
        <family val="2"/>
        <charset val="162"/>
        <scheme val="minor"/>
      </rPr>
      <t>Yapılan</t>
    </r>
    <r>
      <rPr>
        <sz val="11"/>
        <color theme="1"/>
        <rFont val="Calibri"/>
        <family val="2"/>
        <charset val="162"/>
        <scheme val="minor"/>
      </rPr>
      <t xml:space="preserve"> :</t>
    </r>
    <r>
      <rPr>
        <sz val="11"/>
        <color rgb="FFFF0000"/>
        <rFont val="Calibri"/>
        <family val="2"/>
        <charset val="162"/>
        <scheme val="minor"/>
      </rPr>
      <t xml:space="preserve">
</t>
    </r>
    <r>
      <rPr>
        <sz val="11"/>
        <rFont val="Calibri"/>
        <family val="2"/>
        <charset val="162"/>
        <scheme val="minor"/>
      </rPr>
      <t>23 Şubat tarihinde yazılım mimarı danışmanı ile, yazılımcılar haricindeki proje ekibi katılımıyla bir toplantı gerçekleştirilmiştir.
24 Şubat tarihinde de aynı katılımla e-Dönüşüm Projesi Organizasyon Yapıları Koordinasyon Toplantısı yapılmıştır. Bu toplantıda, ürün yönetimi tarafından yetkilendirme mekanizmasına ilişkin bir çalışma yapılmasına ve bir sonraki hafta paylaşılmasına karar verilmiştir.
27 Şubat tarihinde firma katılımıyla e-Dönüşüm Projesi Mimari Gereksinimler Toplantısı gerçekleştirilmiştir.
5 Mart tarihinde e-Dönüşüm Projesi Yetkilendirme Değerlendirmesi Koordinasyon Toplantısı yapılmıştır. Toplantı kapsamında yetkilendirme mekanizmasına ilişkin hazırlanan dokümantasyon Ürün Yönetimi tarafından paylaşılmış olup, ilgili dokümanın en geç 9 Mart tarihinde iletilmesi beklenmektedir.
Projeye ilişkin sözleşme imza süreci tamamlanmıştır.
Geliştirilecek ürünlere e-Defter'in de eklenmesi konusunda teknik değerlendirme toplantısı yapılmıştır.</t>
    </r>
    <r>
      <rPr>
        <b/>
        <sz val="11"/>
        <rFont val="Calibri"/>
        <family val="2"/>
        <charset val="162"/>
        <scheme val="minor"/>
      </rPr>
      <t xml:space="preserve">
</t>
    </r>
    <r>
      <rPr>
        <b/>
        <sz val="11"/>
        <color theme="1"/>
        <rFont val="Calibri"/>
        <family val="2"/>
        <charset val="162"/>
        <scheme val="minor"/>
      </rPr>
      <t xml:space="preserve">
Yapılması Planlanan</t>
    </r>
    <r>
      <rPr>
        <sz val="11"/>
        <color theme="1"/>
        <rFont val="Calibri"/>
        <family val="2"/>
        <charset val="162"/>
        <scheme val="minor"/>
      </rPr>
      <t xml:space="preserve"> :
Proje planı 02 Mart'ta başlayacak şekilde yeni duruma göre güncellenecektir.
Projede analiz doğrulama ve tasarım desteği verecek firma ile Proje Başlangıç Toplantısı yapılacaktır.
Yazılım mimarı danışmanı ile e-Fatura ürün hayat döngüsü, ürünün olası durumları (state’leri) ve bu durumlar arasındaki geçişlerin değerlendirilmesine yönelik bir toplantı planlanacaktır.
Yetkilendirme mekanizmasına ilişkin hazırlanan dokümantasyonunun Ürün Yönetimi tarafından 9 Mart tarihine kadar iletilmesi beklenmektedir.</t>
    </r>
  </si>
  <si>
    <t xml:space="preserve">
2025 yılı içinde Yazılım Mimarı alınamadığı için yazılım tasarım ve geliştirme sürecine başlanamamıştır. Proje ekibinde görevli yazılımcılar, GIB'ten gelen değişiklikler için mevcut ürünlere destek vermiştir. 
</t>
  </si>
  <si>
    <r>
      <rPr>
        <b/>
        <sz val="11"/>
        <rFont val="Calibri"/>
        <family val="2"/>
        <charset val="162"/>
        <scheme val="minor"/>
      </rPr>
      <t>Yapılan</t>
    </r>
    <r>
      <rPr>
        <sz val="11"/>
        <rFont val="Calibri"/>
        <family val="2"/>
        <charset val="162"/>
        <scheme val="minor"/>
      </rPr>
      <t xml:space="preserve">:
Haftalık proje ilerleme toplantısı yapılmıştır.
DevOps hizmetleri için aylık 40 saatlik danışmanlık hizmeti alınmasına yönelik sözleşme imza süreci tamamlanmıştır.
</t>
    </r>
    <r>
      <rPr>
        <b/>
        <sz val="11"/>
        <rFont val="Calibri"/>
        <family val="2"/>
        <charset val="162"/>
        <scheme val="minor"/>
      </rPr>
      <t xml:space="preserve">Yapılması Planlanan:
</t>
    </r>
    <r>
      <rPr>
        <sz val="11"/>
        <rFont val="Calibri"/>
        <family val="2"/>
        <charset val="162"/>
        <scheme val="minor"/>
      </rPr>
      <t xml:space="preserve">İmza süreci tamamlandıktan sonra önümüzdeki hafta toplantı organize edilerek çalışmanın başlatılması planlanmaktadır.
</t>
    </r>
  </si>
  <si>
    <r>
      <rPr>
        <b/>
        <sz val="11"/>
        <color theme="1"/>
        <rFont val="Calibri"/>
        <family val="2"/>
        <charset val="162"/>
        <scheme val="minor"/>
      </rPr>
      <t>Yapılan</t>
    </r>
    <r>
      <rPr>
        <sz val="11"/>
        <color theme="1"/>
        <rFont val="Calibri"/>
        <family val="2"/>
        <charset val="162"/>
        <scheme val="minor"/>
      </rPr>
      <t xml:space="preserve">:
Proje Başlatma Belgesi'nde  Proje Sponsoru, Proje Yönlendirme Komitesi olarak değiştirilmiştir.
Proje ekibi revize edilecektir.
Ürün Yönetimi tarafından ürün gereksinim dokümanı paylaşılmıştır. 
</t>
    </r>
    <r>
      <rPr>
        <b/>
        <sz val="11"/>
        <color theme="1"/>
        <rFont val="Calibri"/>
        <family val="2"/>
        <charset val="162"/>
        <scheme val="minor"/>
      </rPr>
      <t xml:space="preserve">Yapılması Planlanan:
</t>
    </r>
    <r>
      <rPr>
        <sz val="11"/>
        <color theme="1"/>
        <rFont val="Calibri"/>
        <family val="2"/>
        <charset val="162"/>
        <scheme val="minor"/>
      </rPr>
      <t xml:space="preserve">
Gelecek hafta başında proje iş analisti ve yazılım ekibi ile gereksinim dokümanı üzerinde çalışma yapılarak kaynak ihtiyaçları değerlendirilecektir.
Proje Başlatma Belgesi onayı sonrasında duyurusu yapılacak, proje başlangıç toplantısı yapılacaktır.
</t>
    </r>
    <r>
      <rPr>
        <b/>
        <sz val="11"/>
        <color theme="1"/>
        <rFont val="Calibri"/>
        <family val="2"/>
        <charset val="162"/>
        <scheme val="minor"/>
      </rPr>
      <t xml:space="preserve">
</t>
    </r>
  </si>
  <si>
    <t>Proje, 01 Ağustos 2025 itibariyle Ar-Ge portalında açılmıştır. Ar-Ge Proje kartı 13 Ocak 2026 tarihinde güncellenmiş, bu karta göre Proje Başlatma Belgesi taslak olarak hazırlanmış ve onaya gönderilmiştir. Uygulama geliştirme platformunun Java  olması kararına uygun olarak proje ekibi mevcut personellerden belirlenmiştir. Gereksinim Analiz Dokümanı kapsamına göre revize edilecektir.</t>
  </si>
  <si>
    <t>Proje çıktısı olacak ürününün kapsamı ve ürün yol haritası 13 Ocak 2026 tarihinde netleştirilebilmiştir. Ürün Gereksinim Dokümanı da 19 Şubat 2026'da iletilmiştir. Proje 6 aylık gecikme ile başlayabilecek aşamaya gelmiştir.</t>
  </si>
  <si>
    <r>
      <rPr>
        <b/>
        <sz val="11"/>
        <color theme="1"/>
        <rFont val="Calibri"/>
        <family val="2"/>
        <charset val="162"/>
        <scheme val="minor"/>
      </rPr>
      <t>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Proje takvimi TÜRMOB ile yapılan görüşmeye istinaden yeni duruma göre güncellenecektir.
</t>
    </r>
  </si>
  <si>
    <r>
      <rPr>
        <b/>
        <sz val="11"/>
        <color theme="1"/>
        <rFont val="Calibri"/>
        <family val="2"/>
        <charset val="162"/>
        <scheme val="minor"/>
      </rPr>
      <t xml:space="preserve">
Yapılan</t>
    </r>
    <r>
      <rPr>
        <sz val="11"/>
        <color theme="1"/>
        <rFont val="Calibri"/>
        <family val="2"/>
        <charset val="162"/>
        <scheme val="minor"/>
      </rPr>
      <t xml:space="preserve">:
Firma ile yapılan toplantı sonrasında teklif gönderilmesi tekrar hatırlatılmıştır.
</t>
    </r>
    <r>
      <rPr>
        <b/>
        <sz val="11"/>
        <color theme="1"/>
        <rFont val="Calibri"/>
        <family val="2"/>
        <charset val="162"/>
        <scheme val="minor"/>
      </rPr>
      <t xml:space="preserve">Yapılması Planlanan:
</t>
    </r>
    <r>
      <rPr>
        <sz val="11"/>
        <color theme="1"/>
        <rFont val="Calibri"/>
        <family val="2"/>
        <charset val="162"/>
        <scheme val="minor"/>
      </rPr>
      <t>Kod-A sunucusundaki verilerin GreenDocs'a aktarımı yapılan veriler üzerinden test yapılacaktır.</t>
    </r>
    <r>
      <rPr>
        <sz val="11"/>
        <color rgb="FFFF0000"/>
        <rFont val="Calibri"/>
        <family val="2"/>
        <charset val="162"/>
        <scheme val="minor"/>
      </rPr>
      <t xml:space="preserve">
</t>
    </r>
  </si>
  <si>
    <t>Yapay Zeka</t>
  </si>
  <si>
    <t>TÜRKKEPEDIA</t>
  </si>
  <si>
    <r>
      <rPr>
        <b/>
        <sz val="11"/>
        <color theme="1"/>
        <rFont val="Calibri"/>
        <family val="2"/>
        <charset val="162"/>
        <scheme val="minor"/>
      </rPr>
      <t>Proje Yönlendirme Komitesi</t>
    </r>
    <r>
      <rPr>
        <sz val="11"/>
        <color theme="1"/>
        <rFont val="Calibri"/>
        <family val="2"/>
        <scheme val="minor"/>
      </rPr>
      <t xml:space="preserve">
-Ayhan Ağırgöl
- Sibel Aka
-Hülya Yemşen
-Cemal Önder Doğan
-Aykut Kutlusan</t>
    </r>
  </si>
  <si>
    <t>Proje bitiş tarihi, banka ile devam eden çalışmalar nedeniyle 10 ay ötelenerek Mart sonu olarak güncellenmiştir</t>
  </si>
  <si>
    <r>
      <rPr>
        <b/>
        <sz val="11"/>
        <color theme="1"/>
        <rFont val="Calibri"/>
        <family val="2"/>
        <charset val="162"/>
        <scheme val="minor"/>
      </rPr>
      <t xml:space="preserve">
Yapılan</t>
    </r>
    <r>
      <rPr>
        <sz val="11"/>
        <color theme="1"/>
        <rFont val="Calibri"/>
        <family val="2"/>
        <charset val="162"/>
        <scheme val="minor"/>
      </rPr>
      <t xml:space="preserve">:
Firma tarafından teklif alınmış olup, değerlendirme sürecindedir.
</t>
    </r>
    <r>
      <rPr>
        <b/>
        <sz val="11"/>
        <color theme="1"/>
        <rFont val="Calibri"/>
        <family val="2"/>
        <charset val="162"/>
        <scheme val="minor"/>
      </rPr>
      <t xml:space="preserve">Yapılması Planlanan:
</t>
    </r>
    <r>
      <rPr>
        <sz val="11"/>
        <color theme="1"/>
        <rFont val="Calibri"/>
        <family val="2"/>
        <charset val="162"/>
        <scheme val="minor"/>
      </rPr>
      <t>Kod-A sunucusundaki verilerin GreenDocs'a aktarımı yapılan veriler üzerinden test yapılacaktır.</t>
    </r>
    <r>
      <rPr>
        <sz val="11"/>
        <color rgb="FFFF0000"/>
        <rFont val="Calibri"/>
        <family val="2"/>
        <charset val="162"/>
        <scheme val="minor"/>
      </rPr>
      <t xml:space="preserve">
</t>
    </r>
  </si>
  <si>
    <r>
      <rPr>
        <b/>
        <sz val="11"/>
        <color theme="1"/>
        <rFont val="Calibri"/>
        <family val="2"/>
        <charset val="162"/>
        <scheme val="minor"/>
      </rPr>
      <t xml:space="preserve">
Yapılan</t>
    </r>
    <r>
      <rPr>
        <sz val="11"/>
        <color theme="1"/>
        <rFont val="Calibri"/>
        <family val="2"/>
        <charset val="162"/>
        <scheme val="minor"/>
      </rPr>
      <t xml:space="preserve">:
Entegrasyon suit servis dokümanı paylaşılmıştır.
Entegrasyon suit UKDS modülü geliştirmeleri ve testleri tamamlanmış ve pre prod ortama aktarılmıştır.
</t>
    </r>
    <r>
      <rPr>
        <b/>
        <sz val="11"/>
        <color theme="1"/>
        <rFont val="Calibri"/>
        <family val="2"/>
        <charset val="162"/>
        <scheme val="minor"/>
      </rPr>
      <t xml:space="preserve">Yapılması Planlanan:
</t>
    </r>
    <r>
      <rPr>
        <sz val="11"/>
        <color theme="1"/>
        <rFont val="Calibri"/>
        <family val="2"/>
        <charset val="162"/>
        <scheme val="minor"/>
      </rPr>
      <t xml:space="preserve">Proje takvimi TÜRMOB ile yapılan görüşmeye istinaden yeni duruma göre güncellenecektir.
</t>
    </r>
  </si>
  <si>
    <r>
      <rPr>
        <b/>
        <sz val="11"/>
        <color theme="1"/>
        <rFont val="Calibri"/>
        <family val="2"/>
        <charset val="162"/>
        <scheme val="minor"/>
      </rPr>
      <t>Yapılan</t>
    </r>
    <r>
      <rPr>
        <sz val="11"/>
        <color theme="1"/>
        <rFont val="Calibri"/>
        <family val="2"/>
        <charset val="162"/>
        <scheme val="minor"/>
      </rPr>
      <t xml:space="preserve">:
Proje kapanış duyurusu yayınlanmıştır.
</t>
    </r>
    <r>
      <rPr>
        <b/>
        <sz val="11"/>
        <color theme="1"/>
        <rFont val="Calibri"/>
        <family val="2"/>
        <charset val="162"/>
        <scheme val="minor"/>
      </rPr>
      <t>Yapılması Planlanan:</t>
    </r>
    <r>
      <rPr>
        <sz val="11"/>
        <color theme="1"/>
        <rFont val="Calibri"/>
        <family val="2"/>
        <charset val="162"/>
        <scheme val="minor"/>
      </rPr>
      <t xml:space="preserve">
Proje kapanış toplantısının yapılması planlanmaktadır.
</t>
    </r>
  </si>
  <si>
    <t>Proje yazılım ekibinin mevcut ürünlere verdiği destek ve GIB tarafından gelen kısa miatlı değişiklikler, yazılım geliştirme çalışmalarını olumsuz etkileyebilecektir. Yazılım ekibine 2-3 kişilik yeni kaynak eklenmesi bu riski azaltacaktır.</t>
  </si>
  <si>
    <r>
      <rPr>
        <b/>
        <sz val="11"/>
        <color theme="1"/>
        <rFont val="Calibri"/>
        <family val="2"/>
        <charset val="162"/>
        <scheme val="minor"/>
      </rPr>
      <t xml:space="preserve">Yapılan: </t>
    </r>
    <r>
      <rPr>
        <sz val="11"/>
        <color theme="1"/>
        <rFont val="Calibri"/>
        <family val="2"/>
        <charset val="162"/>
        <scheme val="minor"/>
      </rPr>
      <t xml:space="preserve">
Kuveyt Türk Katılım Bankası'na gönderilen soru  setlerine gelen cevaplar kapsamında bankaya önerilecek kullanım senaryosu belirlenmiştir.
Kuveyt Türk senaryosunun karşılanabilmesi adına UKDS süreçlerinde yapılacak değişiklikler değerlendirilmiş ve iş paketleri oluşturulmuştur.
</t>
    </r>
    <r>
      <rPr>
        <b/>
        <sz val="11"/>
        <color theme="1"/>
        <rFont val="Calibri"/>
        <family val="2"/>
        <charset val="162"/>
        <scheme val="minor"/>
      </rPr>
      <t>Yapılması Planlanan:</t>
    </r>
    <r>
      <rPr>
        <sz val="11"/>
        <color theme="1"/>
        <rFont val="Calibri"/>
        <family val="2"/>
        <charset val="162"/>
        <scheme val="minor"/>
      </rPr>
      <t xml:space="preserve">
25 Mart Çarşamba günü banka ilgili ekipleriyle toplantı düzenlenecektir.
Oluşturulan iş paketleri için geliştirme süreçleri UKDS ve CRM ürünlerinde başlatılacaktır.
</t>
    </r>
  </si>
  <si>
    <t>Proje bitiş tarihi, banka ile devam eden çalışmalar nedeniyle 10 ay ötelenerek Nisan 2026 ayı sonu olarak güncellenmiştir</t>
  </si>
  <si>
    <r>
      <rPr>
        <b/>
        <sz val="11"/>
        <rFont val="Calibri"/>
        <family val="2"/>
        <charset val="162"/>
        <scheme val="minor"/>
      </rPr>
      <t>Yapılan</t>
    </r>
    <r>
      <rPr>
        <sz val="11"/>
        <rFont val="Calibri"/>
        <family val="2"/>
        <charset val="162"/>
        <scheme val="minor"/>
      </rPr>
      <t xml:space="preserve">:
DevSecOps çalışmaları için danışmanlık desteği alacağımız firma ile 16 Mart Pazartesi günü proje başlangıç toplantısı yapılmış ve çalışma yöntemi ve kapsamı görüşülmüştür.
</t>
    </r>
    <r>
      <rPr>
        <b/>
        <sz val="11"/>
        <rFont val="Calibri"/>
        <family val="2"/>
        <charset val="162"/>
        <scheme val="minor"/>
      </rPr>
      <t xml:space="preserve">Yapılması Planlanan:
</t>
    </r>
    <r>
      <rPr>
        <sz val="11"/>
        <rFont val="Calibri"/>
        <family val="2"/>
        <charset val="162"/>
        <scheme val="minor"/>
      </rPr>
      <t xml:space="preserve">Firma danışmanı tarafından GitLab kullanımı incelenecek, ilk uygulama olarak e-Dönüşüm Paketi Yazılım Geliştirme Projesi test, preprod ve prod ihtiyaçları değerlendirilecektir.
</t>
    </r>
  </si>
  <si>
    <t>DevSecOps ortam kurulumu için alınan yeni danışmanlık kapsamında 6 aylık yeni bir planlama yapılmıştır.</t>
  </si>
  <si>
    <t>Proje çıktısı olacak ürününün kapsamı ve ürün yol haritası 13 Ocak 2026 tarihinde netleştirilebilmiştir. Ürün Gereksinim Dokümanı da 19 Şubat 2026'da iletilmiştir. Proje 6 aylık gecikme ile başlayabilecek aşamaya gelmiştir.Mevcut projeler nedeniyle proje ekibinin oluşturulması ve çalışmalara başlanmasında kaynak yetersizliği riski mevcuttur. Proje ekibine bir iş analisti ve 2-3 yazılım geliştirme personeli alınması riski azaltacaktır.</t>
  </si>
  <si>
    <t>Proje, 01 Ağustos 2025 itibariyle Ar-Ge portalında açılmıştır. Ar-Ge Proje kartı 13 Ocak 2026 tarihinde güncellenmiş, bu karta göre Proje Başlatma Belgesi taslak olarak hazırlanmıştır. Proje kapsamı ve ürün yol haritası için beklenen Gereksinim Dokümanı, Ürün Yönetimi tarafından 19 Şubat 2026'da paylaşılmıştır.Proje geliştirme ortamı kararı netleştiğinde mevcut kaynaklardan proje ekibi oluşturularak, proje çalışmalarına başlanacaktır.</t>
  </si>
  <si>
    <r>
      <rPr>
        <b/>
        <sz val="11"/>
        <color theme="1"/>
        <rFont val="Calibri"/>
        <family val="2"/>
        <charset val="162"/>
        <scheme val="minor"/>
      </rPr>
      <t>Yapılan</t>
    </r>
    <r>
      <rPr>
        <sz val="11"/>
        <color theme="1"/>
        <rFont val="Calibri"/>
        <family val="2"/>
        <charset val="162"/>
        <scheme val="minor"/>
      </rPr>
      <t xml:space="preserve">:
İmza üretim tarihi, yenileme tarihi ve imzanın güncel statü bilgilerinin e-Güven üzerinden alınabilmesine yönelik servislerde yaşanan şifre sorunu çözülüp e-Güven'e iletilmiştir.
</t>
    </r>
    <r>
      <rPr>
        <sz val="11"/>
        <rFont val="Calibri"/>
        <family val="2"/>
        <charset val="162"/>
        <scheme val="minor"/>
      </rPr>
      <t xml:space="preserve">
</t>
    </r>
    <r>
      <rPr>
        <sz val="11"/>
        <color theme="1"/>
        <rFont val="Calibri"/>
        <family val="2"/>
        <charset val="162"/>
        <scheme val="minor"/>
      </rPr>
      <t xml:space="preserve">
</t>
    </r>
    <r>
      <rPr>
        <b/>
        <sz val="11"/>
        <color theme="1"/>
        <rFont val="Calibri"/>
        <family val="2"/>
        <charset val="162"/>
        <scheme val="minor"/>
      </rPr>
      <t xml:space="preserve">Yapılması Planlanan:
</t>
    </r>
    <r>
      <rPr>
        <sz val="11"/>
        <color theme="1"/>
        <rFont val="Calibri"/>
        <family val="2"/>
        <charset val="162"/>
        <scheme val="minor"/>
      </rPr>
      <t xml:space="preserve">Pin-puk gönderimi için e-Güven'den servis beklenmektedir.
Şifre sorunu ile ilgili e-Güven'den dönüş beklenmektedir.
</t>
    </r>
  </si>
  <si>
    <t>Proje kapsamı ve planı halen oluşturulamamıştır.</t>
  </si>
  <si>
    <t xml:space="preserve">Türmob kaynaklı olarak proje 3 ay ötelenerek Aralık 2025 sonu olarak güncellenmiştir. Ancak şu ana kadar da herhangi bir ilerleme olmamıştır. </t>
  </si>
  <si>
    <t>e-Güven tarafındaki gecikmeler  nedeniyle proje yavaş ilerlemektedir.</t>
  </si>
  <si>
    <t>e-Güven tarafındaki gecikmeler  nedeniyle 2 ay ötelenerek Mart 2026 sonu olarak güncellenmiştir. Ancak firma teknik ekibinin geliştirme sürecindeki yavaşlığı ve dönüşlerinin gecikmesi nedeniyle proje planının yeniden güncellenmesi riski vardır.</t>
  </si>
  <si>
    <t>Veri aktarım çalışmaları nedeniyle 3 ay  ötelenerek Mart sonu olarak güncellenmiştir</t>
  </si>
  <si>
    <r>
      <rPr>
        <b/>
        <sz val="11"/>
        <color theme="1"/>
        <rFont val="Calibri"/>
        <family val="2"/>
        <charset val="162"/>
        <scheme val="minor"/>
      </rPr>
      <t>Yapılan</t>
    </r>
    <r>
      <rPr>
        <sz val="11"/>
        <color theme="1"/>
        <rFont val="Calibri"/>
        <family val="2"/>
        <charset val="162"/>
        <scheme val="minor"/>
      </rPr>
      <t xml:space="preserve">:
Parametrik sistem tanımlamalarının yapılacağı ekran için taslak çıkarılmıştır.
Ürün Yönetimi tarafından yapılacak işler için Jira maddeleri açılmaktadır.
Fonksiyonel ve tasarımsal test süreçlerinde tespit edilen hatalar için jira'da maddeleri açılmış, atamaları yapılmaktadır.
</t>
    </r>
    <r>
      <rPr>
        <b/>
        <sz val="11"/>
        <color theme="1"/>
        <rFont val="Calibri"/>
        <family val="2"/>
        <charset val="162"/>
        <scheme val="minor"/>
      </rPr>
      <t>Yapılması Planlanan:</t>
    </r>
    <r>
      <rPr>
        <sz val="11"/>
        <color theme="1"/>
        <rFont val="Calibri"/>
        <family val="2"/>
        <charset val="162"/>
        <scheme val="minor"/>
      </rPr>
      <t xml:space="preserve">
Organizasyon, kota ve paket tanımlamaları için senaryolar çalışılacaktır.
Jira'da açılan maddeler için analiz çalışmaları 05 Nisan'da tamamlanma hedefi ile devam edecektir.</t>
    </r>
  </si>
  <si>
    <t>Proje planı henüz netleştirilememiştir. Ürün Yönetimi, proje kapsamında yapılacak işler için jira maddelerini bu hafta tamamlamıştır. Analiz ekibi de 05 Nisan'a kadar analiz çalışmalarını tamamlayacaktır.</t>
  </si>
  <si>
    <t>Yapılacak işler için analiz çalışmaları tamamlandıktan sonra yazılım geliştirme ekibinden geliştirme süre bilgisi alınacaktır. 2 ay içinde tamamlanamama riski mevcuttur.</t>
  </si>
  <si>
    <r>
      <t xml:space="preserve">Yapılan:
</t>
    </r>
    <r>
      <rPr>
        <sz val="11"/>
        <rFont val="Calibri"/>
        <family val="2"/>
        <charset val="162"/>
        <scheme val="minor"/>
      </rPr>
      <t>Veritabanı danışmanımız Ekrem Bey ile toplantı yapılmış, çalışma detayları ve riskleri görüşülmüştür.</t>
    </r>
    <r>
      <rPr>
        <b/>
        <sz val="11"/>
        <color theme="1"/>
        <rFont val="Calibri"/>
        <family val="2"/>
        <charset val="162"/>
        <scheme val="minor"/>
      </rPr>
      <t xml:space="preserve">
</t>
    </r>
    <r>
      <rPr>
        <b/>
        <sz val="11"/>
        <rFont val="Calibri"/>
        <family val="2"/>
        <charset val="162"/>
        <scheme val="minor"/>
      </rPr>
      <t xml:space="preserve">
Yapılması Planlanan:</t>
    </r>
    <r>
      <rPr>
        <sz val="11"/>
        <rFont val="Calibri"/>
        <family val="2"/>
        <charset val="162"/>
        <scheme val="minor"/>
      </rPr>
      <t xml:space="preserve">
MS SQL 2025 Express sürümünde lisan ihtiyacı olmadan 50 GB'a kadar kullanım mümkün olduğu için eğer uygulamaların 2025 sürümü kullanımında sorun olmazsa, bir grup uygulama veritabanı yeni kurulacak sunucuayataşınacaktır.</t>
    </r>
  </si>
  <si>
    <r>
      <t>Yapılan:</t>
    </r>
    <r>
      <rPr>
        <sz val="11"/>
        <color theme="1"/>
        <rFont val="Calibri"/>
        <family val="2"/>
        <charset val="162"/>
        <scheme val="minor"/>
      </rPr>
      <t xml:space="preserve">
Proje Başlatma Belgesi hazırlık sürecine geçilmiştir.</t>
    </r>
    <r>
      <rPr>
        <b/>
        <sz val="11"/>
        <color theme="1"/>
        <rFont val="Calibri"/>
        <family val="2"/>
        <charset val="162"/>
        <scheme val="minor"/>
      </rPr>
      <t xml:space="preserve">
</t>
    </r>
    <r>
      <rPr>
        <sz val="11"/>
        <color theme="1"/>
        <rFont val="Calibri"/>
        <family val="2"/>
        <charset val="162"/>
        <scheme val="minor"/>
      </rPr>
      <t>Proje öneri sahibi tarafından proje KM taşları için tarih atamaları yapılmıştır.
19 Mart tarihinde proje öneri sahibi ve teknik Lider ile yapılan toplantıda proje kapsamı ve ihtiyaçları tekrar değerlendirilmiştir.</t>
    </r>
    <r>
      <rPr>
        <b/>
        <sz val="11"/>
        <color theme="1"/>
        <rFont val="Calibri"/>
        <family val="2"/>
        <charset val="162"/>
        <scheme val="minor"/>
      </rPr>
      <t xml:space="preserve">
Yapılması Planlanan:</t>
    </r>
    <r>
      <rPr>
        <sz val="11"/>
        <color theme="1"/>
        <rFont val="Calibri"/>
        <family val="2"/>
        <charset val="162"/>
        <scheme val="minor"/>
      </rPr>
      <t xml:space="preserve">.
Proje Başlatma Belgesi nihai hale getirilip, sponsor onayı alındıktan sonra açılış duyurusunun yapılması planlanmaktadır.
</t>
    </r>
  </si>
  <si>
    <t>Bayram ve izin planlamaları dolayısıyla tamamlanma oranları düşük gerçekleşmiştir.</t>
  </si>
  <si>
    <t>09-13.03.2026</t>
  </si>
  <si>
    <t>16-18.03.2026</t>
  </si>
  <si>
    <t xml:space="preserve">Standart Çalışma Süresi </t>
  </si>
  <si>
    <r>
      <rPr>
        <b/>
        <sz val="11"/>
        <color theme="1"/>
        <rFont val="Calibri"/>
        <family val="2"/>
        <charset val="162"/>
        <scheme val="minor"/>
      </rPr>
      <t>Yapılan</t>
    </r>
    <r>
      <rPr>
        <sz val="11"/>
        <color theme="1"/>
        <rFont val="Calibri"/>
        <family val="2"/>
        <charset val="162"/>
        <scheme val="minor"/>
      </rPr>
      <t xml:space="preserve"> :
Projede analiz doğrulama ve tasarım desteği sağlayacak Soretum firması ile 11 Mart tarihinde Proje Başlangıç Toplantısı gerçekleştirilmiştir.
16 Mart itibarıyla haftada 2 gün olacak şekilde analiz ve tasarım süreçlerine yönelik koordinasyon toplantıları başlatılmıştır. Bu toplantılarda SRS dokümanı madde bazlı incelenmekte, gerekli revizyon ve eklemeler yapılmaktadır. Her toplantı sonrasında güncellenen doküman firma tarafından paylaşılmakta ve karşılıklı teyitle ilerlenmektedir.
17 Mart tarihinde Sorentum ve Ürün Yönetimi katılımıyla e-Dönüşüm ürünleri hakkında bilgilendirme toplantısı yapılmıştır. Toplantıda, ürün vizyonuna ilişkin genel bilgilendirme Ürün Yönetimi tarafından sunulmuştur. Toplantı sonrasında kullanılan doküman firma ile paylaşılmış olup, proje kapsamında yürütülecek çalışmalara genel çerçeve oluşturması amacıyla kullanılacaktır.
18 Mart tarihinde firma ve yazılım mimarı danışmanımızın katılımı ile framework dokümanı için genel değerlendirme toplantısı yapılmıştır.
Firma tarafından hazırlanan proje planı ve risk değerlendirmelerini içeren kapsam dokümanı üzerinden görüşme yapılmış olup, ilgili dokümanın tarafımızla paylaşılmıştır.
Projenin UI/UX tasarım süreçlerini yürütecek firmaya karar verilmiş, sözleşme süreci başlatılmıştır.
</t>
    </r>
    <r>
      <rPr>
        <b/>
        <sz val="11"/>
        <color theme="1"/>
        <rFont val="Calibri"/>
        <family val="2"/>
        <charset val="162"/>
        <scheme val="minor"/>
      </rPr>
      <t xml:space="preserve">
Yapılması Planlanan</t>
    </r>
    <r>
      <rPr>
        <sz val="11"/>
        <color theme="1"/>
        <rFont val="Calibri"/>
        <family val="2"/>
        <charset val="162"/>
        <scheme val="minor"/>
      </rPr>
      <t xml:space="preserve"> :
Yazılım mimarı danışmanımızla e-Fatura ürün hayat döngüsü, ürünün olası durumları (state’leri) ve bu durumlar arasındaki geçişlerin değerlendirilmesine yönelik bir toplantı planlanacaktır.
Analiz ve tasarım koordinasyon toplantılarına (haftada 2 gün) devam edilecektir ve SRS dokümanı güncellenerek ilerlenmesi sağlanacaktır.
Projenin Tasarım UI/UX süreçleri ile ilgili çalışması kararlaştırılan firma ile yazılım süreçlerinin proje takvimi paylaşılarak tasarım çalışma fazları, teslim planı, proje takvimi, ödeme planı, sözleşme dokümanı konularında dönüş beklenmektedir.
</t>
    </r>
  </si>
  <si>
    <t xml:space="preserve">
Proje, ekibe katılan yazılım mimarı danışmanımız ve analiz doğrulama ve tasarım desteği verecek firma çalışmaları ile hız kazanmış olup, Ağustos ayı sonu hedefi ile e-Fatura, e-Arşiv Fatura ve e-İrsaliye modüllerinin geliştirilmesine yönelik planlama yapılmıştır.
</t>
  </si>
  <si>
    <r>
      <rPr>
        <b/>
        <sz val="11"/>
        <color theme="1"/>
        <rFont val="Calibri"/>
        <family val="2"/>
        <charset val="162"/>
        <scheme val="minor"/>
      </rPr>
      <t>Yapılan:</t>
    </r>
    <r>
      <rPr>
        <sz val="11"/>
        <color theme="1"/>
        <rFont val="Calibri"/>
        <family val="2"/>
        <charset val="162"/>
        <scheme val="minor"/>
      </rPr>
      <t xml:space="preserve">
Proje kapanış duyurusu yayınlanmıştır.
</t>
    </r>
    <r>
      <rPr>
        <b/>
        <sz val="11"/>
        <color theme="1"/>
        <rFont val="Calibri"/>
        <family val="2"/>
        <charset val="162"/>
        <scheme val="minor"/>
      </rPr>
      <t>Yapılması Planlanan:</t>
    </r>
    <r>
      <rPr>
        <sz val="11"/>
        <color theme="1"/>
        <rFont val="Calibri"/>
        <family val="2"/>
        <charset val="162"/>
        <scheme val="minor"/>
      </rPr>
      <t xml:space="preserve">
Gelecek hafta proje kapanış toplantısının yapılması ve 1.fazda eksik kalan maddeler ile 2. faz çalışmalarının Proje Yönlendirme Komitesi ile görüşülmesi planlanmaktadır.</t>
    </r>
  </si>
  <si>
    <r>
      <rPr>
        <b/>
        <sz val="11"/>
        <color theme="1"/>
        <rFont val="Calibri"/>
        <family val="2"/>
        <charset val="162"/>
        <scheme val="minor"/>
      </rPr>
      <t xml:space="preserve">Yapılan: 
</t>
    </r>
    <r>
      <rPr>
        <sz val="11"/>
        <color theme="1"/>
        <rFont val="Calibri"/>
        <family val="2"/>
        <charset val="162"/>
        <scheme val="minor"/>
      </rPr>
      <t xml:space="preserve">Halkbank ürün tanımlamaları kapsamında bankanın talebine istinaden alıcı ve alıcı-gönderici tanımlamalarının eklenmesi için ürün isim değişikliği yerine farklı bir çözüm ile ilerlenmesi planlanmıştır.
Halkbank talebi doğrultusunda, 17 Mart tarihinde  güncel durumun ele alındığı değerlendirme toplantısı gerçekleştirilmiştir. Banka teknik ekibi çalışmaların tamamlandığını ve Mart ayı sonuna kadar iş birimine teslim edileceği bilgisini vermiştir.
Halkbank prod ortam için servis üzerinde tanımlama yapılmıştır.
Proje kapsamında olmayan ancak sözleşme kapsamında yer alan Türkkep UETS Gateway ihtiyacı için kurulumu yapılacak Entegrasyon Suit uygulamamız için banka tarafından talep edilen kurulum bilgilerinin derlenmesi konusunda ilgili birimlerin katılımı ile toplantı yapılmıştır. 
</t>
    </r>
    <r>
      <rPr>
        <b/>
        <sz val="11"/>
        <color theme="1"/>
        <rFont val="Calibri"/>
        <family val="2"/>
        <charset val="162"/>
        <scheme val="minor"/>
      </rPr>
      <t xml:space="preserve">Yapılması Planlanan: </t>
    </r>
    <r>
      <rPr>
        <sz val="11"/>
        <color theme="1"/>
        <rFont val="Calibri"/>
        <family val="2"/>
        <charset val="162"/>
        <scheme val="minor"/>
      </rPr>
      <t xml:space="preserve">
Canlı ve test ortamdan başvuru gönderim denemeleri yapılacaktır.
Banka tarafından proje için son onay alınacaktır.
Servis üzerinden giden ürün isimleri banka talebi üzerine güncellenmesi planlanmaktadır.
Başvurularda e-devlet onayında hata alınması durumunda 16 statü kodu ile servis üzerinden geliştme yapılması planlanmaktadır.
Entegrasyon Suit kurulumu kapsamında, banka tarafından talep edilen aksiyonlara ilişkin toplantı 23 Mart haftasında planlanacaktır.</t>
    </r>
  </si>
  <si>
    <r>
      <rPr>
        <b/>
        <sz val="11"/>
        <color theme="1"/>
        <rFont val="Calibri"/>
        <family val="2"/>
        <charset val="162"/>
        <scheme val="minor"/>
      </rPr>
      <t>Yapılan</t>
    </r>
    <r>
      <rPr>
        <sz val="11"/>
        <color theme="1"/>
        <rFont val="Calibri"/>
        <family val="2"/>
        <charset val="162"/>
        <scheme val="minor"/>
      </rPr>
      <t xml:space="preserve">:
Haftalık proje ilerleme toplantısı yapılmıştır.
Linux sunucularının domaine taşınması ile ilgili çalışma yapılmaktadır.
</t>
    </r>
    <r>
      <rPr>
        <b/>
        <sz val="11"/>
        <color theme="1"/>
        <rFont val="Calibri"/>
        <family val="2"/>
        <charset val="162"/>
        <scheme val="minor"/>
      </rPr>
      <t>Yapılması Planlanan:</t>
    </r>
    <r>
      <rPr>
        <sz val="11"/>
        <color theme="1"/>
        <rFont val="Calibri"/>
        <family val="2"/>
        <charset val="162"/>
        <scheme val="minor"/>
      </rPr>
      <t xml:space="preserve">
Linux sunucularının domaine taşınması ile ilgili çalışmalara devam edilecektir.
</t>
    </r>
    <r>
      <rPr>
        <sz val="11"/>
        <rFont val="Calibri"/>
        <family val="2"/>
        <charset val="162"/>
        <scheme val="minor"/>
      </rPr>
      <t xml:space="preserve"> Çalışmaların Nisan ayı sonunda tamamlanması planlanmaktadır.
</t>
    </r>
  </si>
  <si>
    <r>
      <rPr>
        <b/>
        <sz val="11"/>
        <color theme="1"/>
        <rFont val="Calibri"/>
        <family val="2"/>
        <charset val="162"/>
        <scheme val="minor"/>
      </rPr>
      <t>Yapılan</t>
    </r>
    <r>
      <rPr>
        <sz val="11"/>
        <color theme="1"/>
        <rFont val="Calibri"/>
        <family val="2"/>
        <charset val="162"/>
        <scheme val="minor"/>
      </rPr>
      <t xml:space="preserve">:
Proje Başlatma Belgesi'nde  Proje Sponsoru, Proje Yönlendirme Komitesi olarak değiştirilmiştir.
e-Dönüşüm Paketi Yazılım Geliştirme Projesi kapsamında alınan .Net framework ve değiştirilmesi planlı 3 uygulamanın .Net tabanlı olması nedeniyle projenin .Net Core ortamında geliştirilmesi planlanmaktadır.
Ürün Yönetimi tarafından ürün gereksinim dokümanı paylaşılmış, ancak yazılım mimari ile doküman değerlendirme/güncelleme çalışması henüz başlatılamamıştır.
</t>
    </r>
    <r>
      <rPr>
        <b/>
        <sz val="11"/>
        <color theme="1"/>
        <rFont val="Calibri"/>
        <family val="2"/>
        <charset val="162"/>
        <scheme val="minor"/>
      </rPr>
      <t xml:space="preserve">Yapılması Planlanan:
</t>
    </r>
    <r>
      <rPr>
        <sz val="11"/>
        <color theme="1"/>
        <rFont val="Calibri"/>
        <family val="2"/>
        <charset val="162"/>
        <scheme val="minor"/>
      </rPr>
      <t xml:space="preserve">
Projenin .Net ortamında geliştirilmesi nihai kararı sonrasında proje ekibi tekrar güncellenerek proje başlatma belgesi onayı alınacaktır.
Proje Başlatma Belgesi onayı sonrasında duyurusu yapılacak, proje başlangıç toplantısı yapılacaktır.
</t>
    </r>
  </si>
  <si>
    <t>Greendocs'un güncellenmesi ve bakım hizmetleri için Firma'dan alınan teklif tutarı yüksektir. Firma ile bu konuda görüşülerek teklifin revize edilmesi ve bakım hizmetine başlanmasına ihtiyaç vardır. Mevcut verilerin Greendocs'a aktarımındaki destek için de firma ile çalışma planlanması gerekecektir. Proje planının tekrar güncellenmesi riski mevcuttur.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</si>
</sst>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64">
    <font>
      <sz val="11"/>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b/>
      <sz val="11"/>
      <color theme="1"/>
      <name val="Calibri"/>
      <family val="2"/>
      <charset val="162"/>
      <scheme val="minor"/>
    </font>
    <font>
      <b/>
      <sz val="12"/>
      <color theme="1"/>
      <name val="Calibri"/>
      <family val="2"/>
      <charset val="162"/>
      <scheme val="minor"/>
    </font>
    <font>
      <b/>
      <sz val="14"/>
      <color theme="1"/>
      <name val="Calibri"/>
      <family val="2"/>
      <charset val="162"/>
      <scheme val="minor"/>
    </font>
    <font>
      <b/>
      <sz val="11"/>
      <color theme="1"/>
      <name val="Calibri"/>
      <family val="2"/>
      <scheme val="minor"/>
    </font>
    <font>
      <sz val="11"/>
      <color theme="1"/>
      <name val="Calibri"/>
      <family val="2"/>
      <scheme val="minor"/>
    </font>
    <font>
      <b/>
      <sz val="11"/>
      <color theme="0"/>
      <name val="Calibri"/>
      <family val="2"/>
      <scheme val="minor"/>
    </font>
    <font>
      <b/>
      <sz val="12"/>
      <color rgb="FF000000"/>
      <name val="Calibri"/>
      <family val="2"/>
      <charset val="162"/>
    </font>
    <font>
      <sz val="12"/>
      <color rgb="FF000000"/>
      <name val="Calibri"/>
      <family val="2"/>
      <charset val="162"/>
    </font>
    <font>
      <b/>
      <sz val="12"/>
      <name val="Calibri"/>
      <family val="2"/>
      <scheme val="minor"/>
    </font>
    <font>
      <sz val="11"/>
      <name val="Calibri"/>
      <family val="2"/>
      <scheme val="minor"/>
    </font>
    <font>
      <b/>
      <sz val="11"/>
      <name val="Calibri"/>
      <family val="2"/>
      <scheme val="minor"/>
    </font>
    <font>
      <b/>
      <sz val="12"/>
      <color rgb="FF000000"/>
      <name val="Calibri"/>
      <family val="2"/>
    </font>
    <font>
      <sz val="12"/>
      <color theme="1"/>
      <name val="Calibri"/>
      <family val="2"/>
      <scheme val="minor"/>
    </font>
    <font>
      <sz val="12"/>
      <color rgb="FF000000"/>
      <name val="Calibri"/>
      <family val="2"/>
    </font>
    <font>
      <sz val="11"/>
      <name val="Calibri"/>
      <family val="2"/>
      <charset val="162"/>
      <scheme val="minor"/>
    </font>
    <font>
      <sz val="12"/>
      <color theme="1"/>
      <name val="Calibri"/>
      <family val="2"/>
      <charset val="162"/>
      <scheme val="minor"/>
    </font>
    <font>
      <b/>
      <sz val="10"/>
      <color theme="1"/>
      <name val="Calibri Light"/>
      <family val="2"/>
      <scheme val="major"/>
    </font>
    <font>
      <b/>
      <sz val="10"/>
      <color rgb="FF000000"/>
      <name val="Calibri Light"/>
      <family val="2"/>
      <scheme val="major"/>
    </font>
    <font>
      <sz val="10"/>
      <color rgb="FF333333"/>
      <name val="Calibri Light"/>
      <family val="2"/>
      <scheme val="major"/>
    </font>
    <font>
      <sz val="10"/>
      <color theme="1"/>
      <name val="Calibri Light"/>
      <family val="2"/>
      <scheme val="major"/>
    </font>
    <font>
      <sz val="10"/>
      <color rgb="FF333333"/>
      <name val="Aptos Display"/>
      <family val="2"/>
    </font>
    <font>
      <b/>
      <sz val="11"/>
      <color rgb="FF000000"/>
      <name val="Calibri"/>
      <family val="2"/>
      <charset val="162"/>
    </font>
    <font>
      <sz val="11"/>
      <color rgb="FFC00000"/>
      <name val="Calibri"/>
      <family val="2"/>
      <charset val="162"/>
      <scheme val="minor"/>
    </font>
    <font>
      <sz val="12"/>
      <color theme="1"/>
      <name val="Aptos"/>
      <family val="2"/>
    </font>
    <font>
      <sz val="10"/>
      <color theme="1"/>
      <name val="Calibri"/>
      <family val="2"/>
      <charset val="162"/>
    </font>
    <font>
      <sz val="11"/>
      <color rgb="FFFF0000"/>
      <name val="Calibri"/>
      <family val="2"/>
      <charset val="162"/>
      <scheme val="minor"/>
    </font>
    <font>
      <b/>
      <sz val="11"/>
      <color rgb="FFFF0000"/>
      <name val="Calibri"/>
      <family val="2"/>
      <charset val="162"/>
      <scheme val="minor"/>
    </font>
    <font>
      <u/>
      <sz val="11"/>
      <color theme="1"/>
      <name val="Calibri"/>
      <family val="2"/>
      <charset val="162"/>
      <scheme val="minor"/>
    </font>
    <font>
      <b/>
      <sz val="11"/>
      <name val="Calibri"/>
      <family val="2"/>
      <charset val="162"/>
      <scheme val="minor"/>
    </font>
    <font>
      <sz val="11"/>
      <name val="Arial"/>
      <family val="2"/>
      <charset val="162"/>
    </font>
    <font>
      <b/>
      <sz val="11"/>
      <color rgb="FF0070C0"/>
      <name val="Calibri"/>
      <family val="2"/>
      <charset val="162"/>
    </font>
    <font>
      <sz val="11"/>
      <color rgb="FF0070C0"/>
      <name val="Calibri"/>
      <family val="2"/>
      <charset val="162"/>
    </font>
    <font>
      <b/>
      <sz val="11"/>
      <name val="Calibri"/>
      <family val="2"/>
      <charset val="162"/>
    </font>
    <font>
      <sz val="11"/>
      <name val="Calibri"/>
      <family val="2"/>
      <charset val="162"/>
    </font>
    <font>
      <sz val="11"/>
      <name val="Calibri,"/>
      <charset val="162"/>
    </font>
  </fonts>
  <fills count="19">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4"/>
        <bgColor theme="4"/>
      </patternFill>
    </fill>
    <fill>
      <patternFill patternType="solid">
        <fgColor rgb="FFFFFFFF"/>
        <bgColor indexed="64"/>
      </patternFill>
    </fill>
    <fill>
      <patternFill patternType="solid">
        <fgColor rgb="FFCAEDFB"/>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rgb="FFC0E6F5"/>
        <bgColor indexed="64"/>
      </patternFill>
    </fill>
    <fill>
      <patternFill patternType="solid">
        <fgColor theme="7"/>
        <bgColor indexed="64"/>
      </patternFill>
    </fill>
    <fill>
      <patternFill patternType="solid">
        <fgColor rgb="FFFFFF00"/>
        <bgColor indexed="64"/>
      </patternFill>
    </fill>
    <fill>
      <patternFill patternType="solid">
        <fgColor rgb="FFFFCCCC"/>
        <bgColor indexed="64"/>
      </patternFill>
    </fill>
    <fill>
      <patternFill patternType="solid">
        <fgColor theme="9"/>
        <bgColor indexed="64"/>
      </patternFill>
    </fill>
  </fills>
  <borders count="34">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156082"/>
      </left>
      <right style="medium">
        <color indexed="64"/>
      </right>
      <top style="medium">
        <color rgb="FF156082"/>
      </top>
      <bottom/>
      <diagonal/>
    </border>
    <border>
      <left style="medium">
        <color indexed="64"/>
      </left>
      <right style="medium">
        <color indexed="64"/>
      </right>
      <top style="medium">
        <color indexed="64"/>
      </top>
      <bottom/>
      <diagonal/>
    </border>
    <border>
      <left/>
      <right/>
      <top/>
      <bottom style="medium">
        <color rgb="FF8EA9DB"/>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bottom style="medium">
        <color rgb="FF8EA9DB"/>
      </bottom>
      <diagonal/>
    </border>
    <border>
      <left style="thin">
        <color indexed="64"/>
      </left>
      <right style="thin">
        <color indexed="64"/>
      </right>
      <top/>
      <bottom/>
      <diagonal/>
    </border>
    <border>
      <left style="thin">
        <color indexed="64"/>
      </left>
      <right style="thin">
        <color indexed="64"/>
      </right>
      <top/>
      <bottom style="medium">
        <color rgb="FF8EA9DB"/>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156082"/>
      </left>
      <right style="medium">
        <color indexed="64"/>
      </right>
      <top/>
      <bottom style="medium">
        <color indexed="64"/>
      </bottom>
      <diagonal/>
    </border>
    <border>
      <left style="medium">
        <color indexed="64"/>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top/>
      <bottom/>
      <diagonal/>
    </border>
  </borders>
  <cellStyleXfs count="20">
    <xf numFmtId="0" fontId="0" fillId="0" borderId="0"/>
    <xf numFmtId="9" fontId="133" fillId="0" borderId="0" applyFont="0" applyFill="0" applyBorder="0" applyAlignment="0" applyProtection="0"/>
    <xf numFmtId="0" fontId="126" fillId="0" borderId="0"/>
    <xf numFmtId="43" fontId="133" fillId="0" borderId="0" applyFont="0" applyFill="0" applyBorder="0" applyAlignment="0" applyProtection="0"/>
    <xf numFmtId="0" fontId="133" fillId="0" borderId="0"/>
    <xf numFmtId="0" fontId="87" fillId="0" borderId="0"/>
    <xf numFmtId="0" fontId="87" fillId="0" borderId="0"/>
    <xf numFmtId="43" fontId="87" fillId="0" borderId="0" applyFont="0" applyFill="0" applyBorder="0" applyAlignment="0" applyProtection="0"/>
    <xf numFmtId="0" fontId="86" fillId="0" borderId="0"/>
    <xf numFmtId="0" fontId="86" fillId="0" borderId="0"/>
    <xf numFmtId="43" fontId="133" fillId="0" borderId="0" applyFont="0" applyFill="0" applyBorder="0" applyAlignment="0" applyProtection="0"/>
    <xf numFmtId="0" fontId="86" fillId="0" borderId="0"/>
    <xf numFmtId="0" fontId="86" fillId="0" borderId="0"/>
    <xf numFmtId="43" fontId="86" fillId="0" borderId="0" applyFont="0" applyFill="0" applyBorder="0" applyAlignment="0" applyProtection="0"/>
    <xf numFmtId="0" fontId="67" fillId="0" borderId="0"/>
    <xf numFmtId="0" fontId="67" fillId="0" borderId="0"/>
    <xf numFmtId="43" fontId="133" fillId="0" borderId="0" applyFont="0" applyFill="0" applyBorder="0" applyAlignment="0" applyProtection="0"/>
    <xf numFmtId="0" fontId="67" fillId="0" borderId="0"/>
    <xf numFmtId="0" fontId="67" fillId="0" borderId="0"/>
    <xf numFmtId="43" fontId="67" fillId="0" borderId="0" applyFont="0" applyFill="0" applyBorder="0" applyAlignment="0" applyProtection="0"/>
  </cellStyleXfs>
  <cellXfs count="373">
    <xf numFmtId="0" fontId="0" fillId="0" borderId="0" xfId="0"/>
    <xf numFmtId="0" fontId="0" fillId="0" borderId="0" xfId="0" applyAlignment="1">
      <alignment vertical="center" wrapText="1"/>
    </xf>
    <xf numFmtId="0" fontId="0" fillId="0" borderId="0" xfId="0" applyAlignment="1">
      <alignment wrapText="1"/>
    </xf>
    <xf numFmtId="0" fontId="130" fillId="0" borderId="2" xfId="0" applyFont="1" applyBorder="1" applyAlignment="1">
      <alignment horizontal="center" vertical="center" wrapText="1"/>
    </xf>
    <xf numFmtId="0" fontId="130" fillId="0" borderId="3"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vertical="center"/>
    </xf>
    <xf numFmtId="0" fontId="0" fillId="3" borderId="3" xfId="0" applyFill="1" applyBorder="1" applyAlignment="1">
      <alignment horizontal="left" vertical="center" wrapText="1"/>
    </xf>
    <xf numFmtId="0" fontId="0" fillId="0" borderId="3" xfId="0" applyBorder="1" applyAlignment="1">
      <alignment vertical="center"/>
    </xf>
    <xf numFmtId="0" fontId="0" fillId="3" borderId="3" xfId="0" applyFill="1" applyBorder="1" applyAlignment="1">
      <alignment vertical="center" wrapText="1"/>
    </xf>
    <xf numFmtId="0" fontId="0" fillId="0" borderId="3" xfId="0" applyBorder="1" applyAlignment="1">
      <alignment vertical="center" wrapText="1"/>
    </xf>
    <xf numFmtId="0" fontId="0" fillId="2" borderId="3" xfId="0" applyFill="1" applyBorder="1" applyAlignment="1">
      <alignment vertical="center" wrapText="1"/>
    </xf>
    <xf numFmtId="0" fontId="0" fillId="4" borderId="3" xfId="0" applyFill="1" applyBorder="1" applyAlignment="1">
      <alignment vertical="center" wrapText="1"/>
    </xf>
    <xf numFmtId="15" fontId="0" fillId="0" borderId="3" xfId="0" applyNumberFormat="1" applyBorder="1" applyAlignment="1">
      <alignment horizontal="center" vertical="center"/>
    </xf>
    <xf numFmtId="15" fontId="0" fillId="0" borderId="4" xfId="0" applyNumberFormat="1" applyBorder="1" applyAlignment="1">
      <alignment horizontal="center" vertical="center"/>
    </xf>
    <xf numFmtId="0" fontId="0" fillId="0" borderId="0" xfId="0" applyAlignment="1">
      <alignment horizontal="center" vertical="center"/>
    </xf>
    <xf numFmtId="9" fontId="132" fillId="6" borderId="3" xfId="0" applyNumberFormat="1" applyFont="1" applyFill="1" applyBorder="1" applyAlignment="1">
      <alignment horizontal="center" vertical="center" wrapText="1"/>
    </xf>
    <xf numFmtId="0" fontId="128" fillId="0" borderId="3" xfId="0" applyFont="1" applyBorder="1" applyAlignment="1">
      <alignment vertical="center" wrapText="1"/>
    </xf>
    <xf numFmtId="0" fontId="127" fillId="0" borderId="3" xfId="0" applyFont="1" applyBorder="1" applyAlignment="1">
      <alignment horizontal="left" vertical="center" wrapText="1"/>
    </xf>
    <xf numFmtId="0" fontId="127" fillId="0" borderId="3" xfId="0" applyFont="1" applyBorder="1" applyAlignment="1">
      <alignment vertical="center" wrapText="1"/>
    </xf>
    <xf numFmtId="0" fontId="134" fillId="7" borderId="8" xfId="0" applyFont="1" applyFill="1" applyBorder="1" applyAlignment="1">
      <alignment vertical="center"/>
    </xf>
    <xf numFmtId="0" fontId="134" fillId="7" borderId="8" xfId="0" applyFont="1" applyFill="1" applyBorder="1" applyAlignment="1">
      <alignment horizontal="center" vertical="center" wrapText="1"/>
    </xf>
    <xf numFmtId="0" fontId="0" fillId="0" borderId="8" xfId="0" applyBorder="1" applyAlignment="1">
      <alignment horizontal="left"/>
    </xf>
    <xf numFmtId="0" fontId="0" fillId="0" borderId="8" xfId="0" applyBorder="1" applyAlignment="1">
      <alignment horizontal="center"/>
    </xf>
    <xf numFmtId="9" fontId="0" fillId="0" borderId="8" xfId="1" applyFont="1" applyBorder="1" applyAlignment="1">
      <alignment horizontal="center"/>
    </xf>
    <xf numFmtId="0" fontId="129" fillId="0" borderId="0" xfId="0" applyFont="1" applyAlignment="1">
      <alignment horizontal="left"/>
    </xf>
    <xf numFmtId="0" fontId="129" fillId="0" borderId="0" xfId="0" applyFont="1" applyAlignment="1">
      <alignment horizontal="center"/>
    </xf>
    <xf numFmtId="9" fontId="129" fillId="0" borderId="8" xfId="1" applyFont="1" applyBorder="1" applyAlignment="1">
      <alignment horizontal="center"/>
    </xf>
    <xf numFmtId="0" fontId="129" fillId="0" borderId="0" xfId="0" applyFont="1"/>
    <xf numFmtId="14" fontId="0" fillId="0" borderId="0" xfId="0" applyNumberFormat="1"/>
    <xf numFmtId="14" fontId="130" fillId="10" borderId="1" xfId="0" applyNumberFormat="1" applyFont="1" applyFill="1" applyBorder="1" applyAlignment="1">
      <alignment horizontal="center" vertical="center" wrapText="1"/>
    </xf>
    <xf numFmtId="14" fontId="130" fillId="10" borderId="2" xfId="0" applyNumberFormat="1" applyFont="1" applyFill="1" applyBorder="1" applyAlignment="1">
      <alignment horizontal="center" vertical="center" wrapText="1"/>
    </xf>
    <xf numFmtId="14" fontId="0" fillId="10" borderId="0" xfId="0" applyNumberFormat="1" applyFill="1" applyAlignment="1">
      <alignment horizontal="center" vertical="center"/>
    </xf>
    <xf numFmtId="0" fontId="136" fillId="0" borderId="0" xfId="2" applyFont="1" applyAlignment="1">
      <alignment horizontal="left" vertical="center" indent="2"/>
    </xf>
    <xf numFmtId="0" fontId="135" fillId="0" borderId="0" xfId="2" applyFont="1" applyAlignment="1">
      <alignment horizontal="left" vertical="center" indent="1"/>
    </xf>
    <xf numFmtId="0" fontId="135" fillId="5" borderId="13" xfId="2" applyFont="1" applyFill="1" applyBorder="1" applyAlignment="1">
      <alignment vertical="center"/>
    </xf>
    <xf numFmtId="0" fontId="125" fillId="0" borderId="3" xfId="0" applyFont="1" applyBorder="1" applyAlignment="1">
      <alignment vertical="center" wrapText="1"/>
    </xf>
    <xf numFmtId="0" fontId="124" fillId="0" borderId="3" xfId="0" applyFont="1" applyBorder="1" applyAlignment="1">
      <alignment horizontal="left" vertical="center" wrapText="1"/>
    </xf>
    <xf numFmtId="0" fontId="124" fillId="0" borderId="3" xfId="0" applyFont="1" applyBorder="1" applyAlignment="1">
      <alignment vertical="center" wrapText="1"/>
    </xf>
    <xf numFmtId="0" fontId="123" fillId="0" borderId="3" xfId="0" applyFont="1" applyBorder="1" applyAlignment="1">
      <alignment vertical="center" wrapText="1"/>
    </xf>
    <xf numFmtId="0" fontId="124" fillId="3" borderId="3" xfId="0" applyFont="1" applyFill="1" applyBorder="1" applyAlignment="1">
      <alignment vertical="center" wrapText="1"/>
    </xf>
    <xf numFmtId="0" fontId="0" fillId="2" borderId="14" xfId="0" applyFill="1" applyBorder="1" applyAlignment="1">
      <alignment vertical="center" wrapText="1"/>
    </xf>
    <xf numFmtId="0" fontId="0" fillId="3" borderId="14" xfId="0" applyFill="1" applyBorder="1" applyAlignment="1">
      <alignment vertical="center" wrapText="1"/>
    </xf>
    <xf numFmtId="15" fontId="0" fillId="0" borderId="14" xfId="0" applyNumberFormat="1" applyBorder="1" applyAlignment="1">
      <alignment horizontal="center" vertical="center"/>
    </xf>
    <xf numFmtId="15" fontId="0" fillId="0" borderId="15" xfId="0" applyNumberFormat="1" applyBorder="1" applyAlignment="1">
      <alignment horizontal="center" vertical="center"/>
    </xf>
    <xf numFmtId="0" fontId="137" fillId="0" borderId="2" xfId="0" applyFont="1" applyBorder="1" applyAlignment="1">
      <alignment horizontal="center" vertical="center" wrapText="1"/>
    </xf>
    <xf numFmtId="0" fontId="137" fillId="0" borderId="3" xfId="0" applyFont="1" applyBorder="1" applyAlignment="1">
      <alignment horizontal="center" vertical="center" wrapText="1"/>
    </xf>
    <xf numFmtId="0" fontId="138" fillId="0" borderId="3" xfId="0" applyFont="1" applyBorder="1" applyAlignment="1">
      <alignment horizontal="center" vertical="center"/>
    </xf>
    <xf numFmtId="0" fontId="138" fillId="0" borderId="3" xfId="0" applyFont="1" applyBorder="1" applyAlignment="1">
      <alignment vertical="center" wrapText="1"/>
    </xf>
    <xf numFmtId="9" fontId="139" fillId="0" borderId="3" xfId="0" applyNumberFormat="1" applyFont="1" applyBorder="1" applyAlignment="1">
      <alignment horizontal="center" vertical="center" wrapText="1"/>
    </xf>
    <xf numFmtId="15" fontId="138" fillId="0" borderId="3" xfId="0" applyNumberFormat="1" applyFont="1" applyBorder="1" applyAlignment="1">
      <alignment horizontal="center" vertical="center"/>
    </xf>
    <xf numFmtId="0" fontId="130" fillId="11" borderId="2" xfId="0" applyFont="1" applyFill="1" applyBorder="1" applyAlignment="1">
      <alignment horizontal="center" vertical="center" wrapText="1"/>
    </xf>
    <xf numFmtId="0" fontId="130" fillId="11" borderId="3" xfId="0" applyFont="1" applyFill="1" applyBorder="1" applyAlignment="1">
      <alignment horizontal="center" vertical="center" wrapText="1"/>
    </xf>
    <xf numFmtId="0" fontId="0" fillId="11" borderId="3" xfId="0" applyFill="1" applyBorder="1" applyAlignment="1">
      <alignment horizontal="center" vertical="center"/>
    </xf>
    <xf numFmtId="9" fontId="132" fillId="11" borderId="3" xfId="0" applyNumberFormat="1" applyFont="1" applyFill="1" applyBorder="1" applyAlignment="1">
      <alignment horizontal="center" vertical="center" wrapText="1"/>
    </xf>
    <xf numFmtId="0" fontId="0" fillId="11" borderId="8" xfId="0" applyFill="1" applyBorder="1" applyAlignment="1">
      <alignment vertical="center" wrapText="1"/>
    </xf>
    <xf numFmtId="0" fontId="0" fillId="11" borderId="8" xfId="0" applyFill="1" applyBorder="1" applyAlignment="1">
      <alignment horizontal="center" vertical="center"/>
    </xf>
    <xf numFmtId="0" fontId="130" fillId="10" borderId="1" xfId="0" applyFont="1" applyFill="1" applyBorder="1" applyAlignment="1">
      <alignment horizontal="center" vertical="center" wrapText="1"/>
    </xf>
    <xf numFmtId="0" fontId="130" fillId="10" borderId="1" xfId="0" applyFont="1" applyFill="1" applyBorder="1" applyAlignment="1">
      <alignment horizontal="center" vertical="center"/>
    </xf>
    <xf numFmtId="0" fontId="141" fillId="0" borderId="0" xfId="0" applyFont="1"/>
    <xf numFmtId="0" fontId="140" fillId="0" borderId="0" xfId="2" applyFont="1" applyAlignment="1">
      <alignment horizontal="left" vertical="center" indent="1"/>
    </xf>
    <xf numFmtId="0" fontId="142" fillId="0" borderId="0" xfId="2" applyFont="1" applyAlignment="1">
      <alignment horizontal="left" vertical="center" indent="2"/>
    </xf>
    <xf numFmtId="0" fontId="129" fillId="4" borderId="3" xfId="0" applyFont="1" applyFill="1" applyBorder="1" applyAlignment="1">
      <alignment vertical="center" wrapText="1"/>
    </xf>
    <xf numFmtId="0" fontId="122" fillId="0" borderId="3" xfId="0" applyFont="1" applyBorder="1" applyAlignment="1">
      <alignment horizontal="left" vertical="center" wrapText="1"/>
    </xf>
    <xf numFmtId="0" fontId="122" fillId="0" borderId="3" xfId="0" applyFont="1" applyBorder="1" applyAlignment="1">
      <alignment vertical="center" wrapText="1"/>
    </xf>
    <xf numFmtId="0" fontId="122" fillId="11" borderId="3" xfId="0" applyFont="1" applyFill="1" applyBorder="1" applyAlignment="1">
      <alignment vertical="center" wrapText="1"/>
    </xf>
    <xf numFmtId="0" fontId="140" fillId="12" borderId="17" xfId="2" applyFont="1" applyFill="1" applyBorder="1" applyAlignment="1">
      <alignment vertical="center"/>
    </xf>
    <xf numFmtId="0" fontId="140" fillId="12" borderId="19" xfId="2" applyFont="1" applyFill="1" applyBorder="1" applyAlignment="1">
      <alignment vertical="center"/>
    </xf>
    <xf numFmtId="0" fontId="140" fillId="0" borderId="18" xfId="2" applyFont="1" applyBorder="1" applyAlignment="1">
      <alignment horizontal="left" vertical="center" indent="1"/>
    </xf>
    <xf numFmtId="0" fontId="142" fillId="0" borderId="18" xfId="2" applyFont="1" applyBorder="1" applyAlignment="1">
      <alignment horizontal="left" vertical="center" indent="2"/>
    </xf>
    <xf numFmtId="0" fontId="135" fillId="12" borderId="17" xfId="2" applyFont="1" applyFill="1" applyBorder="1" applyAlignment="1">
      <alignment vertical="center"/>
    </xf>
    <xf numFmtId="0" fontId="135" fillId="0" borderId="16" xfId="2" applyFont="1" applyBorder="1" applyAlignment="1">
      <alignment horizontal="left" vertical="center" indent="1"/>
    </xf>
    <xf numFmtId="0" fontId="136" fillId="0" borderId="16" xfId="2" applyFont="1" applyBorder="1" applyAlignment="1">
      <alignment horizontal="left" vertical="center" indent="2"/>
    </xf>
    <xf numFmtId="0" fontId="135" fillId="12" borderId="19" xfId="2" applyFont="1" applyFill="1" applyBorder="1" applyAlignment="1">
      <alignment vertical="center"/>
    </xf>
    <xf numFmtId="0" fontId="135" fillId="0" borderId="18" xfId="2" applyFont="1" applyBorder="1" applyAlignment="1">
      <alignment horizontal="left" vertical="center" indent="1"/>
    </xf>
    <xf numFmtId="0" fontId="136" fillId="0" borderId="18" xfId="2" applyFont="1" applyBorder="1" applyAlignment="1">
      <alignment horizontal="left" vertical="center" indent="2"/>
    </xf>
    <xf numFmtId="0" fontId="0" fillId="0" borderId="18" xfId="0" applyBorder="1"/>
    <xf numFmtId="0" fontId="129" fillId="3" borderId="3" xfId="0" applyFont="1" applyFill="1" applyBorder="1" applyAlignment="1">
      <alignment vertical="center" wrapText="1"/>
    </xf>
    <xf numFmtId="0" fontId="121" fillId="0" borderId="3" xfId="0" applyFont="1" applyBorder="1" applyAlignment="1">
      <alignment vertical="center" wrapText="1"/>
    </xf>
    <xf numFmtId="0" fontId="120" fillId="2" borderId="3" xfId="0" applyFont="1" applyFill="1" applyBorder="1" applyAlignment="1">
      <alignment vertical="center" wrapText="1"/>
    </xf>
    <xf numFmtId="0" fontId="129" fillId="4" borderId="3" xfId="0" applyFont="1" applyFill="1" applyBorder="1" applyAlignment="1">
      <alignment horizontal="left" vertical="center" wrapText="1"/>
    </xf>
    <xf numFmtId="0" fontId="119" fillId="0" borderId="3" xfId="0" applyFont="1" applyBorder="1" applyAlignment="1">
      <alignment vertical="center" wrapText="1"/>
    </xf>
    <xf numFmtId="0" fontId="118" fillId="0" borderId="3" xfId="0" applyFont="1" applyBorder="1" applyAlignment="1">
      <alignment horizontal="left" vertical="center" wrapText="1"/>
    </xf>
    <xf numFmtId="0" fontId="118" fillId="0" borderId="3" xfId="0" applyFont="1" applyBorder="1" applyAlignment="1">
      <alignment vertical="center" wrapText="1"/>
    </xf>
    <xf numFmtId="0" fontId="118" fillId="2" borderId="3" xfId="0" applyFont="1" applyFill="1" applyBorder="1" applyAlignment="1">
      <alignment vertical="center" wrapText="1"/>
    </xf>
    <xf numFmtId="0" fontId="122" fillId="3" borderId="3" xfId="0" applyFont="1" applyFill="1" applyBorder="1" applyAlignment="1">
      <alignment vertical="center" wrapText="1"/>
    </xf>
    <xf numFmtId="0" fontId="138" fillId="3" borderId="3" xfId="0" applyFont="1" applyFill="1" applyBorder="1" applyAlignment="1">
      <alignment vertical="center" wrapText="1"/>
    </xf>
    <xf numFmtId="9" fontId="132" fillId="0" borderId="3" xfId="0" applyNumberFormat="1" applyFont="1" applyBorder="1" applyAlignment="1">
      <alignment horizontal="center" vertical="center" wrapText="1"/>
    </xf>
    <xf numFmtId="0" fontId="0" fillId="0" borderId="8" xfId="0" applyBorder="1" applyAlignment="1">
      <alignment vertical="center" wrapText="1"/>
    </xf>
    <xf numFmtId="0" fontId="117" fillId="0" borderId="3" xfId="0" applyFont="1" applyBorder="1" applyAlignment="1">
      <alignment vertical="center" wrapText="1"/>
    </xf>
    <xf numFmtId="9" fontId="0" fillId="0" borderId="0" xfId="1" applyFont="1"/>
    <xf numFmtId="0" fontId="117" fillId="2" borderId="3" xfId="0" applyFont="1" applyFill="1" applyBorder="1" applyAlignment="1">
      <alignment vertical="center" wrapText="1"/>
    </xf>
    <xf numFmtId="0" fontId="116" fillId="11" borderId="3" xfId="0" applyFont="1" applyFill="1" applyBorder="1" applyAlignment="1">
      <alignment vertical="center" wrapText="1"/>
    </xf>
    <xf numFmtId="0" fontId="115" fillId="0" borderId="3" xfId="0" applyFont="1" applyBorder="1" applyAlignment="1">
      <alignment vertical="center" wrapText="1"/>
    </xf>
    <xf numFmtId="0" fontId="114" fillId="0" borderId="3" xfId="0" applyFont="1" applyBorder="1" applyAlignment="1">
      <alignment vertical="center" wrapText="1"/>
    </xf>
    <xf numFmtId="9" fontId="132" fillId="3" borderId="3" xfId="0" applyNumberFormat="1" applyFont="1" applyFill="1" applyBorder="1" applyAlignment="1">
      <alignment horizontal="center" vertical="center" wrapText="1"/>
    </xf>
    <xf numFmtId="0" fontId="113" fillId="2" borderId="3" xfId="0" applyFont="1" applyFill="1" applyBorder="1" applyAlignment="1">
      <alignment vertical="center" wrapText="1"/>
    </xf>
    <xf numFmtId="0" fontId="113" fillId="0" borderId="3" xfId="0" applyFont="1" applyBorder="1" applyAlignment="1">
      <alignment vertical="center" wrapText="1"/>
    </xf>
    <xf numFmtId="0" fontId="112" fillId="3" borderId="3" xfId="0" applyFont="1" applyFill="1" applyBorder="1" applyAlignment="1">
      <alignment vertical="center" wrapText="1"/>
    </xf>
    <xf numFmtId="0" fontId="112" fillId="2" borderId="3" xfId="0" applyFont="1" applyFill="1" applyBorder="1" applyAlignment="1">
      <alignment vertical="center" wrapText="1"/>
    </xf>
    <xf numFmtId="0" fontId="111" fillId="0" borderId="3" xfId="0" applyFont="1" applyBorder="1" applyAlignment="1">
      <alignment horizontal="left" vertical="center" wrapText="1"/>
    </xf>
    <xf numFmtId="0" fontId="110" fillId="0" borderId="3" xfId="0" applyFont="1" applyBorder="1" applyAlignment="1">
      <alignment vertical="center" wrapText="1"/>
    </xf>
    <xf numFmtId="15" fontId="138" fillId="0" borderId="14" xfId="0" applyNumberFormat="1" applyFont="1" applyBorder="1" applyAlignment="1">
      <alignment horizontal="center" vertical="center"/>
    </xf>
    <xf numFmtId="15" fontId="0" fillId="0" borderId="8" xfId="0" applyNumberFormat="1" applyBorder="1" applyAlignment="1">
      <alignment horizontal="center" vertical="center"/>
    </xf>
    <xf numFmtId="0" fontId="109" fillId="0" borderId="3" xfId="0" applyFont="1" applyBorder="1" applyAlignment="1">
      <alignment vertical="center" wrapText="1"/>
    </xf>
    <xf numFmtId="0" fontId="109" fillId="3" borderId="3" xfId="0" applyFont="1" applyFill="1" applyBorder="1" applyAlignment="1">
      <alignment vertical="center" wrapText="1"/>
    </xf>
    <xf numFmtId="0" fontId="108" fillId="0" borderId="3" xfId="0" applyFont="1" applyBorder="1" applyAlignment="1">
      <alignment vertical="center" wrapText="1"/>
    </xf>
    <xf numFmtId="0" fontId="107" fillId="0" borderId="3" xfId="0" applyFont="1" applyBorder="1" applyAlignment="1">
      <alignment vertical="center" wrapText="1"/>
    </xf>
    <xf numFmtId="0" fontId="106" fillId="2" borderId="3" xfId="0" applyFont="1" applyFill="1" applyBorder="1" applyAlignment="1">
      <alignment vertical="center" wrapText="1"/>
    </xf>
    <xf numFmtId="0" fontId="105" fillId="0" borderId="3" xfId="0" applyFont="1" applyBorder="1" applyAlignment="1">
      <alignment vertical="center" wrapText="1"/>
    </xf>
    <xf numFmtId="0" fontId="105" fillId="2" borderId="3" xfId="0" applyFont="1" applyFill="1" applyBorder="1" applyAlignment="1">
      <alignment vertical="center" wrapText="1"/>
    </xf>
    <xf numFmtId="0" fontId="105" fillId="3" borderId="3" xfId="0" applyFont="1" applyFill="1" applyBorder="1" applyAlignment="1">
      <alignment vertical="center" wrapText="1"/>
    </xf>
    <xf numFmtId="0" fontId="104" fillId="0" borderId="3" xfId="0" applyFont="1" applyBorder="1" applyAlignment="1">
      <alignment vertical="center" wrapText="1"/>
    </xf>
    <xf numFmtId="0" fontId="103" fillId="2" borderId="3" xfId="0" applyFont="1" applyFill="1" applyBorder="1" applyAlignment="1">
      <alignment vertical="center" wrapText="1"/>
    </xf>
    <xf numFmtId="0" fontId="103" fillId="0" borderId="3" xfId="0" applyFont="1" applyBorder="1" applyAlignment="1">
      <alignment vertical="center" wrapText="1"/>
    </xf>
    <xf numFmtId="0" fontId="103" fillId="3" borderId="3" xfId="0" applyFont="1" applyFill="1" applyBorder="1" applyAlignment="1">
      <alignment vertical="center" wrapText="1"/>
    </xf>
    <xf numFmtId="0" fontId="102" fillId="0" borderId="3" xfId="0" applyFont="1" applyBorder="1" applyAlignment="1">
      <alignment vertical="center" wrapText="1"/>
    </xf>
    <xf numFmtId="0" fontId="101" fillId="0" borderId="3" xfId="0" applyFont="1" applyBorder="1" applyAlignment="1">
      <alignment vertical="center" wrapText="1"/>
    </xf>
    <xf numFmtId="0" fontId="100" fillId="0" borderId="3" xfId="0" applyFont="1" applyBorder="1" applyAlignment="1">
      <alignment vertical="center" wrapText="1"/>
    </xf>
    <xf numFmtId="0" fontId="100" fillId="3" borderId="3" xfId="0" applyFont="1" applyFill="1" applyBorder="1" applyAlignment="1">
      <alignment vertical="center" wrapText="1"/>
    </xf>
    <xf numFmtId="0" fontId="99" fillId="0" borderId="3" xfId="0" applyFont="1" applyBorder="1" applyAlignment="1">
      <alignment vertical="center" wrapText="1"/>
    </xf>
    <xf numFmtId="0" fontId="99" fillId="11" borderId="3" xfId="0" applyFont="1" applyFill="1" applyBorder="1" applyAlignment="1">
      <alignment vertical="center" wrapText="1"/>
    </xf>
    <xf numFmtId="0" fontId="98" fillId="0" borderId="3" xfId="0" applyFont="1" applyBorder="1" applyAlignment="1">
      <alignment vertical="center" wrapText="1"/>
    </xf>
    <xf numFmtId="0" fontId="97" fillId="0" borderId="3" xfId="0" applyFont="1" applyBorder="1" applyAlignment="1">
      <alignment vertical="center" wrapText="1"/>
    </xf>
    <xf numFmtId="0" fontId="96" fillId="0" borderId="3" xfId="0" applyFont="1" applyBorder="1" applyAlignment="1">
      <alignment vertical="center" wrapText="1"/>
    </xf>
    <xf numFmtId="0" fontId="95" fillId="0" borderId="3" xfId="0" applyFont="1" applyBorder="1" applyAlignment="1">
      <alignment vertical="center" wrapText="1"/>
    </xf>
    <xf numFmtId="0" fontId="95" fillId="3" borderId="3" xfId="0" applyFont="1" applyFill="1" applyBorder="1" applyAlignment="1">
      <alignment vertical="center" wrapText="1"/>
    </xf>
    <xf numFmtId="0" fontId="95" fillId="2" borderId="3" xfId="0" applyFont="1" applyFill="1" applyBorder="1" applyAlignment="1">
      <alignment vertical="center" wrapText="1"/>
    </xf>
    <xf numFmtId="0" fontId="94" fillId="0" borderId="3" xfId="0" applyFont="1" applyBorder="1" applyAlignment="1">
      <alignment vertical="center" wrapText="1"/>
    </xf>
    <xf numFmtId="0" fontId="94" fillId="3" borderId="3" xfId="0" applyFont="1" applyFill="1" applyBorder="1" applyAlignment="1">
      <alignment vertical="center" wrapText="1"/>
    </xf>
    <xf numFmtId="0" fontId="93" fillId="0" borderId="3" xfId="0" applyFont="1" applyBorder="1" applyAlignment="1">
      <alignment vertical="center" wrapText="1"/>
    </xf>
    <xf numFmtId="0" fontId="145" fillId="13" borderId="1" xfId="0" applyFont="1" applyFill="1" applyBorder="1" applyAlignment="1">
      <alignment vertical="center"/>
    </xf>
    <xf numFmtId="0" fontId="146" fillId="14" borderId="8" xfId="0" applyFont="1" applyFill="1" applyBorder="1" applyAlignment="1">
      <alignment horizontal="center" vertical="center" wrapText="1"/>
    </xf>
    <xf numFmtId="9" fontId="146" fillId="14" borderId="8" xfId="1" applyFont="1" applyFill="1" applyBorder="1" applyAlignment="1">
      <alignment horizontal="center" vertical="center" wrapText="1"/>
    </xf>
    <xf numFmtId="0" fontId="92" fillId="0" borderId="3" xfId="0" applyFont="1" applyBorder="1" applyAlignment="1">
      <alignment vertical="center" wrapText="1"/>
    </xf>
    <xf numFmtId="0" fontId="92" fillId="2" borderId="3" xfId="0" applyFont="1" applyFill="1" applyBorder="1" applyAlignment="1">
      <alignment vertical="center" wrapText="1"/>
    </xf>
    <xf numFmtId="9" fontId="92" fillId="0" borderId="3" xfId="0" applyNumberFormat="1" applyFont="1" applyBorder="1" applyAlignment="1">
      <alignment horizontal="center" vertical="center" wrapText="1"/>
    </xf>
    <xf numFmtId="0" fontId="149" fillId="0" borderId="0" xfId="0" applyFont="1"/>
    <xf numFmtId="0" fontId="91" fillId="0" borderId="3" xfId="0" applyFont="1" applyBorder="1" applyAlignment="1">
      <alignment vertical="center" wrapText="1"/>
    </xf>
    <xf numFmtId="0" fontId="90" fillId="3" borderId="3" xfId="0" applyFont="1" applyFill="1" applyBorder="1" applyAlignment="1">
      <alignment vertical="center" wrapText="1"/>
    </xf>
    <xf numFmtId="0" fontId="90" fillId="0" borderId="3" xfId="0" applyFont="1" applyBorder="1" applyAlignment="1">
      <alignment vertical="center" wrapText="1"/>
    </xf>
    <xf numFmtId="0" fontId="89" fillId="0" borderId="3" xfId="0" applyFont="1" applyBorder="1" applyAlignment="1">
      <alignment vertical="center" wrapText="1"/>
    </xf>
    <xf numFmtId="0" fontId="89" fillId="3" borderId="3" xfId="0" applyFont="1" applyFill="1" applyBorder="1" applyAlignment="1">
      <alignment vertical="center" wrapText="1"/>
    </xf>
    <xf numFmtId="9" fontId="89" fillId="0" borderId="3" xfId="0" applyNumberFormat="1" applyFont="1" applyBorder="1" applyAlignment="1">
      <alignment horizontal="center" vertical="center" wrapText="1"/>
    </xf>
    <xf numFmtId="0" fontId="88" fillId="0" borderId="3" xfId="0" applyFont="1" applyBorder="1" applyAlignment="1">
      <alignment vertical="center" wrapText="1"/>
    </xf>
    <xf numFmtId="0" fontId="85" fillId="0" borderId="3" xfId="0" applyFont="1" applyBorder="1" applyAlignment="1">
      <alignment vertical="center" wrapText="1"/>
    </xf>
    <xf numFmtId="0" fontId="140" fillId="0" borderId="18" xfId="2" applyFont="1" applyBorder="1" applyAlignment="1">
      <alignment horizontal="left" vertical="center" wrapText="1"/>
    </xf>
    <xf numFmtId="0" fontId="142" fillId="0" borderId="18" xfId="2" applyFont="1" applyBorder="1" applyAlignment="1">
      <alignment horizontal="left" vertical="center" wrapText="1"/>
    </xf>
    <xf numFmtId="0" fontId="84" fillId="0" borderId="3" xfId="0" applyFont="1" applyBorder="1" applyAlignment="1">
      <alignment vertical="center" wrapText="1"/>
    </xf>
    <xf numFmtId="0" fontId="83" fillId="0" borderId="3" xfId="0" applyFont="1" applyBorder="1" applyAlignment="1">
      <alignment vertical="center" wrapText="1"/>
    </xf>
    <xf numFmtId="0" fontId="83" fillId="2" borderId="3" xfId="0" applyFont="1" applyFill="1" applyBorder="1" applyAlignment="1">
      <alignment vertical="center" wrapText="1"/>
    </xf>
    <xf numFmtId="0" fontId="83" fillId="3" borderId="3" xfId="0" applyFont="1" applyFill="1" applyBorder="1" applyAlignment="1">
      <alignment vertical="center" wrapText="1"/>
    </xf>
    <xf numFmtId="0" fontId="82" fillId="0" borderId="3" xfId="0" applyFont="1" applyBorder="1" applyAlignment="1">
      <alignment vertical="center" wrapText="1"/>
    </xf>
    <xf numFmtId="0" fontId="129" fillId="0" borderId="3" xfId="0" applyFont="1" applyBorder="1" applyAlignment="1">
      <alignment vertical="center" wrapText="1"/>
    </xf>
    <xf numFmtId="0" fontId="81" fillId="3" borderId="3" xfId="0" applyFont="1" applyFill="1" applyBorder="1" applyAlignment="1">
      <alignment vertical="center" wrapText="1"/>
    </xf>
    <xf numFmtId="0" fontId="80" fillId="0" borderId="3" xfId="0" applyFont="1" applyBorder="1" applyAlignment="1">
      <alignment vertical="center" wrapText="1"/>
    </xf>
    <xf numFmtId="9" fontId="80" fillId="0" borderId="3" xfId="0" applyNumberFormat="1" applyFont="1" applyBorder="1" applyAlignment="1">
      <alignment horizontal="center" vertical="center" wrapText="1"/>
    </xf>
    <xf numFmtId="0" fontId="79" fillId="0" borderId="3" xfId="0" applyFont="1" applyBorder="1" applyAlignment="1">
      <alignment vertical="center" wrapText="1"/>
    </xf>
    <xf numFmtId="0" fontId="79" fillId="2" borderId="3" xfId="0" applyFont="1" applyFill="1" applyBorder="1" applyAlignment="1">
      <alignment vertical="center" wrapText="1"/>
    </xf>
    <xf numFmtId="9" fontId="79" fillId="0" borderId="3" xfId="0" applyNumberFormat="1" applyFont="1" applyBorder="1" applyAlignment="1">
      <alignment horizontal="center" vertical="center" wrapText="1"/>
    </xf>
    <xf numFmtId="0" fontId="79" fillId="3" borderId="3" xfId="0" applyFont="1" applyFill="1" applyBorder="1" applyAlignment="1">
      <alignment vertical="center" wrapText="1"/>
    </xf>
    <xf numFmtId="164" fontId="0" fillId="0" borderId="8" xfId="3" applyNumberFormat="1" applyFont="1" applyBorder="1" applyAlignment="1">
      <alignment vertical="center" wrapText="1"/>
    </xf>
    <xf numFmtId="0" fontId="78" fillId="0" borderId="3" xfId="0" applyFont="1" applyBorder="1" applyAlignment="1">
      <alignment vertical="center" wrapText="1"/>
    </xf>
    <xf numFmtId="0" fontId="77" fillId="0" borderId="3" xfId="0" applyFont="1" applyBorder="1" applyAlignment="1">
      <alignment vertical="center" wrapText="1"/>
    </xf>
    <xf numFmtId="0" fontId="76" fillId="0" borderId="3" xfId="0" applyFont="1" applyBorder="1" applyAlignment="1">
      <alignment vertical="center" wrapText="1"/>
    </xf>
    <xf numFmtId="0" fontId="75" fillId="0" borderId="3" xfId="0" applyFont="1" applyBorder="1" applyAlignment="1">
      <alignment vertical="center" wrapText="1"/>
    </xf>
    <xf numFmtId="0" fontId="74" fillId="0" borderId="3" xfId="0" applyFont="1" applyBorder="1" applyAlignment="1">
      <alignment vertical="center" wrapText="1"/>
    </xf>
    <xf numFmtId="0" fontId="74" fillId="3" borderId="3" xfId="0" applyFont="1" applyFill="1" applyBorder="1" applyAlignment="1">
      <alignment vertical="center" wrapText="1"/>
    </xf>
    <xf numFmtId="9" fontId="73" fillId="0" borderId="3" xfId="0" applyNumberFormat="1" applyFont="1" applyBorder="1" applyAlignment="1">
      <alignment horizontal="center" vertical="center" wrapText="1"/>
    </xf>
    <xf numFmtId="0" fontId="72" fillId="0" borderId="3" xfId="0" applyFont="1" applyBorder="1" applyAlignment="1">
      <alignment vertical="center" wrapText="1"/>
    </xf>
    <xf numFmtId="0" fontId="130" fillId="0" borderId="3" xfId="0" applyFont="1" applyBorder="1" applyAlignment="1">
      <alignment horizontal="left" vertical="center" wrapText="1"/>
    </xf>
    <xf numFmtId="0" fontId="71" fillId="0" borderId="3" xfId="0" applyFont="1" applyBorder="1" applyAlignment="1">
      <alignment vertical="center" wrapText="1"/>
    </xf>
    <xf numFmtId="0" fontId="70" fillId="0" borderId="3" xfId="0" applyFont="1" applyBorder="1" applyAlignment="1">
      <alignment vertical="center" wrapText="1"/>
    </xf>
    <xf numFmtId="0" fontId="69" fillId="0" borderId="3" xfId="0" applyFont="1" applyBorder="1" applyAlignment="1">
      <alignment vertical="center" wrapText="1"/>
    </xf>
    <xf numFmtId="0" fontId="68" fillId="0" borderId="3" xfId="0" applyFont="1" applyBorder="1" applyAlignment="1">
      <alignment vertical="center" wrapText="1"/>
    </xf>
    <xf numFmtId="0" fontId="67" fillId="0" borderId="3" xfId="0" applyFont="1" applyBorder="1" applyAlignment="1">
      <alignment vertical="center" wrapText="1"/>
    </xf>
    <xf numFmtId="0" fontId="0" fillId="0" borderId="3" xfId="0" applyBorder="1" applyAlignment="1">
      <alignment horizontal="center" vertical="center" wrapText="1"/>
    </xf>
    <xf numFmtId="0" fontId="140" fillId="0" borderId="16" xfId="2" applyFont="1" applyBorder="1" applyAlignment="1">
      <alignment vertical="center" wrapText="1"/>
    </xf>
    <xf numFmtId="0" fontId="142" fillId="0" borderId="16" xfId="2" applyFont="1" applyBorder="1" applyAlignment="1">
      <alignment vertical="center" wrapText="1"/>
    </xf>
    <xf numFmtId="0" fontId="140" fillId="0" borderId="18" xfId="2" applyFont="1" applyBorder="1" applyAlignment="1">
      <alignment vertical="center" wrapText="1"/>
    </xf>
    <xf numFmtId="0" fontId="142" fillId="0" borderId="18" xfId="2" applyFont="1" applyBorder="1" applyAlignment="1">
      <alignment vertical="center" wrapText="1"/>
    </xf>
    <xf numFmtId="0" fontId="136" fillId="0" borderId="18" xfId="2" applyFont="1" applyBorder="1" applyAlignment="1">
      <alignment horizontal="left" vertical="center" wrapText="1"/>
    </xf>
    <xf numFmtId="0" fontId="142" fillId="0" borderId="18" xfId="2" applyFont="1" applyBorder="1" applyAlignment="1">
      <alignment vertical="center"/>
    </xf>
    <xf numFmtId="0" fontId="140" fillId="12" borderId="19" xfId="2" applyFont="1" applyFill="1" applyBorder="1" applyAlignment="1">
      <alignment horizontal="left" vertical="center"/>
    </xf>
    <xf numFmtId="0" fontId="141" fillId="0" borderId="0" xfId="0" applyFont="1" applyAlignment="1">
      <alignment horizontal="left" wrapText="1"/>
    </xf>
    <xf numFmtId="0" fontId="141" fillId="0" borderId="0" xfId="0" applyFont="1" applyAlignment="1">
      <alignment horizontal="left"/>
    </xf>
    <xf numFmtId="0" fontId="141" fillId="0" borderId="18" xfId="0" applyFont="1" applyBorder="1"/>
    <xf numFmtId="0" fontId="140" fillId="0" borderId="16" xfId="2" applyFont="1" applyBorder="1" applyAlignment="1">
      <alignment horizontal="left" vertical="center" wrapText="1"/>
    </xf>
    <xf numFmtId="0" fontId="66" fillId="0" borderId="3" xfId="0" applyFont="1" applyBorder="1" applyAlignment="1">
      <alignment vertical="center" wrapText="1"/>
    </xf>
    <xf numFmtId="0" fontId="65" fillId="0" borderId="3" xfId="0" applyFont="1" applyBorder="1" applyAlignment="1">
      <alignment vertical="center" wrapText="1"/>
    </xf>
    <xf numFmtId="9" fontId="64" fillId="0" borderId="3" xfId="0" applyNumberFormat="1" applyFont="1" applyBorder="1" applyAlignment="1">
      <alignment horizontal="center" vertical="center" wrapText="1"/>
    </xf>
    <xf numFmtId="0" fontId="64" fillId="0" borderId="3" xfId="0" applyFont="1" applyBorder="1" applyAlignment="1">
      <alignment vertical="center" wrapText="1"/>
    </xf>
    <xf numFmtId="9" fontId="63" fillId="0" borderId="3" xfId="0" applyNumberFormat="1" applyFont="1" applyBorder="1" applyAlignment="1">
      <alignment horizontal="center" vertical="center" wrapText="1"/>
    </xf>
    <xf numFmtId="0" fontId="62" fillId="0" borderId="3" xfId="0" applyFont="1" applyBorder="1" applyAlignment="1">
      <alignment vertical="center" wrapText="1"/>
    </xf>
    <xf numFmtId="0" fontId="61" fillId="0" borderId="3" xfId="0" applyFont="1" applyBorder="1" applyAlignment="1">
      <alignment vertical="center" wrapText="1"/>
    </xf>
    <xf numFmtId="0" fontId="61" fillId="3" borderId="3" xfId="0" applyFont="1" applyFill="1" applyBorder="1" applyAlignment="1">
      <alignment vertical="center" wrapText="1"/>
    </xf>
    <xf numFmtId="0" fontId="60" fillId="0" borderId="3" xfId="0" applyFont="1" applyBorder="1" applyAlignment="1">
      <alignment vertical="center" wrapText="1"/>
    </xf>
    <xf numFmtId="9" fontId="59" fillId="0" borderId="3" xfId="0" applyNumberFormat="1" applyFont="1" applyBorder="1" applyAlignment="1">
      <alignment horizontal="center" vertical="center" wrapText="1"/>
    </xf>
    <xf numFmtId="0" fontId="58" fillId="0" borderId="3" xfId="0" applyFont="1" applyBorder="1" applyAlignment="1">
      <alignment vertical="center" wrapText="1"/>
    </xf>
    <xf numFmtId="0" fontId="57" fillId="0" borderId="3" xfId="0" applyFont="1" applyBorder="1" applyAlignment="1">
      <alignment vertical="center" wrapText="1"/>
    </xf>
    <xf numFmtId="0" fontId="56" fillId="0" borderId="3" xfId="0" applyFont="1" applyBorder="1" applyAlignment="1">
      <alignment vertical="center" wrapText="1"/>
    </xf>
    <xf numFmtId="0" fontId="55" fillId="0" borderId="3" xfId="0" applyFont="1" applyBorder="1" applyAlignment="1">
      <alignment vertical="center" wrapText="1"/>
    </xf>
    <xf numFmtId="0" fontId="130" fillId="3" borderId="3" xfId="0" applyFont="1" applyFill="1" applyBorder="1" applyAlignment="1">
      <alignment horizontal="center" vertical="center" wrapText="1"/>
    </xf>
    <xf numFmtId="0" fontId="54" fillId="0" borderId="3" xfId="0" applyFont="1" applyBorder="1" applyAlignment="1">
      <alignment vertical="center" wrapText="1"/>
    </xf>
    <xf numFmtId="9" fontId="53" fillId="0" borderId="3" xfId="0" applyNumberFormat="1" applyFont="1" applyBorder="1" applyAlignment="1">
      <alignment horizontal="center" vertical="center" wrapText="1"/>
    </xf>
    <xf numFmtId="0" fontId="52" fillId="0" borderId="3" xfId="0" applyFont="1" applyBorder="1" applyAlignment="1">
      <alignment vertical="center" wrapText="1"/>
    </xf>
    <xf numFmtId="0" fontId="51" fillId="0" borderId="3" xfId="0" applyFont="1" applyBorder="1" applyAlignment="1">
      <alignment vertical="center" wrapText="1"/>
    </xf>
    <xf numFmtId="0" fontId="50" fillId="0" borderId="3" xfId="0" applyFont="1" applyBorder="1" applyAlignment="1">
      <alignment vertical="center" wrapText="1"/>
    </xf>
    <xf numFmtId="0" fontId="49" fillId="0" borderId="3" xfId="0" applyFont="1" applyBorder="1" applyAlignment="1">
      <alignment vertical="center" wrapText="1"/>
    </xf>
    <xf numFmtId="0" fontId="48" fillId="0" borderId="3" xfId="0" applyFont="1" applyBorder="1" applyAlignment="1">
      <alignment vertical="center" wrapText="1"/>
    </xf>
    <xf numFmtId="0" fontId="47" fillId="0" borderId="3" xfId="0" applyFont="1" applyBorder="1" applyAlignment="1">
      <alignment vertical="center" wrapText="1"/>
    </xf>
    <xf numFmtId="0" fontId="46" fillId="0" borderId="3" xfId="0" applyFont="1" applyBorder="1" applyAlignment="1">
      <alignment vertical="center" wrapText="1"/>
    </xf>
    <xf numFmtId="0" fontId="130" fillId="10" borderId="1" xfId="0" applyFont="1" applyFill="1" applyBorder="1" applyAlignment="1">
      <alignment horizontal="left" vertical="center"/>
    </xf>
    <xf numFmtId="0" fontId="0" fillId="0" borderId="3" xfId="0" applyBorder="1" applyAlignment="1">
      <alignment horizontal="left" vertical="center"/>
    </xf>
    <xf numFmtId="0" fontId="0" fillId="0" borderId="0" xfId="0" applyAlignment="1">
      <alignment horizontal="left"/>
    </xf>
    <xf numFmtId="0" fontId="46" fillId="3" borderId="3" xfId="0" applyFont="1" applyFill="1" applyBorder="1" applyAlignment="1">
      <alignment vertical="center" wrapText="1"/>
    </xf>
    <xf numFmtId="0" fontId="45" fillId="0" borderId="3" xfId="0" applyFont="1" applyBorder="1" applyAlignment="1">
      <alignment vertical="center" wrapText="1"/>
    </xf>
    <xf numFmtId="0" fontId="150" fillId="8" borderId="24" xfId="0" applyFont="1" applyFill="1" applyBorder="1" applyAlignment="1">
      <alignment vertical="center"/>
    </xf>
    <xf numFmtId="0" fontId="150" fillId="0" borderId="25" xfId="0" applyFont="1" applyBorder="1" applyAlignment="1">
      <alignment vertical="center" wrapText="1"/>
    </xf>
    <xf numFmtId="0" fontId="150" fillId="0" borderId="24" xfId="0" applyFont="1" applyBorder="1" applyAlignment="1">
      <alignment vertical="center"/>
    </xf>
    <xf numFmtId="0" fontId="150" fillId="8" borderId="25" xfId="0" applyFont="1" applyFill="1" applyBorder="1" applyAlignment="1">
      <alignment vertical="center" wrapText="1"/>
    </xf>
    <xf numFmtId="0" fontId="152" fillId="0" borderId="0" xfId="0" applyFont="1" applyAlignment="1">
      <alignment vertical="center"/>
    </xf>
    <xf numFmtId="0" fontId="44" fillId="0" borderId="3" xfId="0" applyFont="1" applyBorder="1" applyAlignment="1">
      <alignment vertical="center" wrapText="1"/>
    </xf>
    <xf numFmtId="0" fontId="43" fillId="0" borderId="3" xfId="0" applyFont="1" applyBorder="1" applyAlignment="1">
      <alignment vertical="center" wrapText="1"/>
    </xf>
    <xf numFmtId="9" fontId="43" fillId="2" borderId="3" xfId="0" applyNumberFormat="1" applyFont="1" applyFill="1" applyBorder="1" applyAlignment="1">
      <alignment horizontal="center" vertical="center" wrapText="1"/>
    </xf>
    <xf numFmtId="0" fontId="42" fillId="0" borderId="3" xfId="0" applyFont="1" applyBorder="1" applyAlignment="1">
      <alignment vertical="center" wrapText="1"/>
    </xf>
    <xf numFmtId="0" fontId="41" fillId="0" borderId="3" xfId="0" applyFont="1" applyBorder="1" applyAlignment="1">
      <alignment vertical="center" wrapText="1"/>
    </xf>
    <xf numFmtId="0" fontId="40" fillId="0" borderId="3" xfId="0" applyFont="1" applyBorder="1" applyAlignment="1">
      <alignment vertical="center" wrapText="1"/>
    </xf>
    <xf numFmtId="0" fontId="40" fillId="3" borderId="3" xfId="0" applyFont="1" applyFill="1" applyBorder="1" applyAlignment="1">
      <alignment vertical="center" wrapText="1"/>
    </xf>
    <xf numFmtId="0" fontId="40" fillId="2" borderId="3" xfId="0" applyFont="1" applyFill="1" applyBorder="1" applyAlignment="1">
      <alignment vertical="center" wrapText="1"/>
    </xf>
    <xf numFmtId="0" fontId="39" fillId="0" borderId="3" xfId="0" applyFont="1" applyBorder="1" applyAlignment="1">
      <alignment vertical="center" wrapText="1"/>
    </xf>
    <xf numFmtId="9" fontId="39" fillId="0" borderId="3" xfId="0" applyNumberFormat="1" applyFont="1" applyBorder="1" applyAlignment="1">
      <alignment horizontal="center" vertical="center" wrapText="1"/>
    </xf>
    <xf numFmtId="0" fontId="38" fillId="0" borderId="3" xfId="0" applyFont="1" applyBorder="1" applyAlignment="1">
      <alignment vertical="center" wrapText="1"/>
    </xf>
    <xf numFmtId="0" fontId="37" fillId="0" borderId="3" xfId="0" applyFont="1" applyBorder="1" applyAlignment="1">
      <alignment vertical="center" wrapText="1"/>
    </xf>
    <xf numFmtId="0" fontId="37" fillId="3" borderId="3" xfId="0" applyFont="1" applyFill="1" applyBorder="1" applyAlignment="1">
      <alignment vertical="center" wrapText="1"/>
    </xf>
    <xf numFmtId="0" fontId="37" fillId="2" borderId="3" xfId="0" applyFont="1" applyFill="1" applyBorder="1" applyAlignment="1">
      <alignment vertical="center" wrapText="1"/>
    </xf>
    <xf numFmtId="0" fontId="36" fillId="0" borderId="3" xfId="0" applyFont="1" applyBorder="1" applyAlignment="1">
      <alignment vertical="center" wrapText="1"/>
    </xf>
    <xf numFmtId="0" fontId="35" fillId="0" borderId="3" xfId="0" applyFont="1" applyBorder="1" applyAlignment="1">
      <alignment vertical="center" wrapText="1"/>
    </xf>
    <xf numFmtId="0" fontId="34" fillId="0" borderId="3" xfId="0" applyFont="1" applyBorder="1" applyAlignment="1">
      <alignment vertical="center" wrapText="1"/>
    </xf>
    <xf numFmtId="0" fontId="33" fillId="0" borderId="3" xfId="0" applyFont="1" applyBorder="1" applyAlignment="1">
      <alignment vertical="center" wrapText="1"/>
    </xf>
    <xf numFmtId="0" fontId="32" fillId="0" borderId="3" xfId="0" applyFont="1" applyBorder="1" applyAlignment="1">
      <alignment vertical="center" wrapText="1"/>
    </xf>
    <xf numFmtId="0" fontId="0" fillId="15" borderId="3" xfId="0" applyFill="1" applyBorder="1" applyAlignment="1">
      <alignment horizontal="left" vertical="center" wrapText="1"/>
    </xf>
    <xf numFmtId="0" fontId="32" fillId="3" borderId="3" xfId="0" applyFont="1" applyFill="1" applyBorder="1" applyAlignment="1">
      <alignment vertical="center" wrapText="1"/>
    </xf>
    <xf numFmtId="164" fontId="0" fillId="15" borderId="8" xfId="3" applyNumberFormat="1" applyFont="1" applyFill="1" applyBorder="1" applyAlignment="1">
      <alignment vertical="center" wrapText="1"/>
    </xf>
    <xf numFmtId="0" fontId="31" fillId="0" borderId="3" xfId="0" applyFont="1" applyBorder="1" applyAlignment="1">
      <alignment vertical="center" wrapText="1"/>
    </xf>
    <xf numFmtId="0" fontId="31" fillId="0" borderId="3" xfId="0" applyFont="1" applyBorder="1" applyAlignment="1">
      <alignment horizontal="left" vertical="center" wrapText="1"/>
    </xf>
    <xf numFmtId="0" fontId="30" fillId="0" borderId="3" xfId="0" applyFont="1" applyBorder="1" applyAlignment="1">
      <alignment vertical="center" wrapText="1"/>
    </xf>
    <xf numFmtId="0" fontId="30" fillId="3" borderId="3" xfId="0" applyFont="1" applyFill="1" applyBorder="1" applyAlignment="1">
      <alignment vertical="center" wrapText="1"/>
    </xf>
    <xf numFmtId="9" fontId="30" fillId="2" borderId="3" xfId="0" applyNumberFormat="1" applyFont="1" applyFill="1" applyBorder="1" applyAlignment="1">
      <alignment horizontal="center" vertical="center" wrapText="1"/>
    </xf>
    <xf numFmtId="0" fontId="30" fillId="2" borderId="3" xfId="0" applyFont="1" applyFill="1" applyBorder="1" applyAlignment="1">
      <alignment vertical="center" wrapText="1"/>
    </xf>
    <xf numFmtId="0" fontId="29" fillId="0" borderId="3" xfId="0" applyFont="1" applyBorder="1" applyAlignment="1">
      <alignment vertical="center" wrapText="1"/>
    </xf>
    <xf numFmtId="0" fontId="29" fillId="3" borderId="3" xfId="0" applyFont="1" applyFill="1" applyBorder="1" applyAlignment="1">
      <alignment vertical="center" wrapText="1"/>
    </xf>
    <xf numFmtId="0" fontId="28" fillId="0" borderId="3" xfId="0" applyFont="1" applyBorder="1" applyAlignment="1">
      <alignment horizontal="left" vertical="center" wrapText="1"/>
    </xf>
    <xf numFmtId="0" fontId="27" fillId="0" borderId="3" xfId="0" applyFont="1" applyBorder="1" applyAlignment="1">
      <alignment vertical="center" wrapText="1"/>
    </xf>
    <xf numFmtId="0" fontId="26" fillId="0" borderId="3" xfId="0" applyFont="1" applyBorder="1" applyAlignment="1">
      <alignment vertical="center" wrapText="1"/>
    </xf>
    <xf numFmtId="0" fontId="25" fillId="3" borderId="3" xfId="0" applyFont="1" applyFill="1" applyBorder="1" applyAlignment="1">
      <alignment vertical="center" wrapText="1"/>
    </xf>
    <xf numFmtId="0" fontId="25" fillId="0" borderId="3" xfId="0" applyFont="1" applyBorder="1" applyAlignment="1">
      <alignment vertical="center" wrapText="1"/>
    </xf>
    <xf numFmtId="15" fontId="0" fillId="16" borderId="8" xfId="0" applyNumberFormat="1" applyFill="1" applyBorder="1" applyAlignment="1">
      <alignment horizontal="center" vertical="center"/>
    </xf>
    <xf numFmtId="0" fontId="24" fillId="0" borderId="3" xfId="0" applyFont="1" applyBorder="1" applyAlignment="1">
      <alignment vertical="center" wrapText="1"/>
    </xf>
    <xf numFmtId="0" fontId="23" fillId="0" borderId="3" xfId="0" applyFont="1" applyBorder="1" applyAlignment="1">
      <alignment vertical="center" wrapText="1"/>
    </xf>
    <xf numFmtId="0" fontId="22" fillId="0" borderId="3" xfId="0" applyFont="1" applyBorder="1" applyAlignment="1">
      <alignment vertical="center" wrapText="1"/>
    </xf>
    <xf numFmtId="0" fontId="21" fillId="0" borderId="3" xfId="0" applyFont="1" applyBorder="1" applyAlignment="1">
      <alignment vertical="center" wrapText="1"/>
    </xf>
    <xf numFmtId="0" fontId="21" fillId="3" borderId="3" xfId="0" applyFont="1" applyFill="1" applyBorder="1" applyAlignment="1">
      <alignment vertical="center" wrapText="1"/>
    </xf>
    <xf numFmtId="9" fontId="21" fillId="2" borderId="3" xfId="0" applyNumberFormat="1" applyFont="1" applyFill="1" applyBorder="1" applyAlignment="1">
      <alignment horizontal="center" vertical="center" wrapText="1"/>
    </xf>
    <xf numFmtId="0" fontId="20" fillId="3" borderId="3" xfId="0" applyFont="1" applyFill="1" applyBorder="1" applyAlignment="1">
      <alignment vertical="center" wrapText="1"/>
    </xf>
    <xf numFmtId="0" fontId="20" fillId="2" borderId="3" xfId="0" applyFont="1" applyFill="1" applyBorder="1" applyAlignment="1">
      <alignment vertical="center" wrapText="1"/>
    </xf>
    <xf numFmtId="0" fontId="19" fillId="0" borderId="3" xfId="0" applyFont="1" applyBorder="1" applyAlignment="1">
      <alignment horizontal="left" vertical="center" wrapText="1"/>
    </xf>
    <xf numFmtId="0" fontId="18" fillId="0" borderId="3" xfId="0" applyFont="1" applyBorder="1" applyAlignment="1">
      <alignment vertical="center" wrapText="1"/>
    </xf>
    <xf numFmtId="0" fontId="18" fillId="3" borderId="3" xfId="0" applyFont="1" applyFill="1" applyBorder="1" applyAlignment="1">
      <alignment vertical="center" wrapText="1"/>
    </xf>
    <xf numFmtId="0" fontId="17" fillId="3" borderId="3" xfId="0" applyFont="1" applyFill="1" applyBorder="1" applyAlignment="1">
      <alignment vertical="center" wrapText="1"/>
    </xf>
    <xf numFmtId="0" fontId="17" fillId="0" borderId="3" xfId="0" applyFont="1" applyBorder="1" applyAlignment="1">
      <alignment vertical="center" wrapText="1"/>
    </xf>
    <xf numFmtId="0" fontId="142" fillId="0" borderId="16" xfId="2" applyFont="1" applyBorder="1" applyAlignment="1">
      <alignment horizontal="left" vertical="center" wrapText="1"/>
    </xf>
    <xf numFmtId="0" fontId="16" fillId="0" borderId="3" xfId="0" applyFont="1" applyBorder="1" applyAlignment="1">
      <alignment vertical="center" wrapText="1"/>
    </xf>
    <xf numFmtId="0" fontId="16" fillId="3" borderId="3" xfId="0" applyFont="1" applyFill="1" applyBorder="1" applyAlignment="1">
      <alignment vertical="center" wrapText="1"/>
    </xf>
    <xf numFmtId="0" fontId="16" fillId="2" borderId="3" xfId="0" applyFont="1" applyFill="1" applyBorder="1" applyAlignment="1">
      <alignment vertical="center" wrapText="1"/>
    </xf>
    <xf numFmtId="9" fontId="16" fillId="2" borderId="3" xfId="0" applyNumberFormat="1" applyFont="1" applyFill="1" applyBorder="1" applyAlignment="1">
      <alignment horizontal="center" vertical="center" wrapText="1"/>
    </xf>
    <xf numFmtId="9" fontId="16" fillId="0" borderId="3" xfId="0" applyNumberFormat="1" applyFont="1" applyBorder="1" applyAlignment="1">
      <alignment horizontal="center" vertical="center" wrapText="1"/>
    </xf>
    <xf numFmtId="0" fontId="15" fillId="0" borderId="3" xfId="0" applyFont="1" applyBorder="1" applyAlignment="1">
      <alignment vertical="center" wrapText="1"/>
    </xf>
    <xf numFmtId="0" fontId="14" fillId="0" borderId="3" xfId="0" applyFont="1" applyBorder="1" applyAlignment="1">
      <alignment horizontal="left" vertical="center" wrapText="1"/>
    </xf>
    <xf numFmtId="0" fontId="13" fillId="3" borderId="3" xfId="0" applyFont="1" applyFill="1" applyBorder="1" applyAlignment="1">
      <alignment vertical="center" wrapText="1"/>
    </xf>
    <xf numFmtId="0" fontId="13" fillId="0" borderId="3" xfId="0" applyFont="1" applyBorder="1" applyAlignment="1">
      <alignment vertical="center" wrapText="1"/>
    </xf>
    <xf numFmtId="9" fontId="132" fillId="2" borderId="3" xfId="0" applyNumberFormat="1" applyFont="1" applyFill="1" applyBorder="1" applyAlignment="1">
      <alignment horizontal="center" vertical="center" wrapText="1"/>
    </xf>
    <xf numFmtId="164" fontId="0" fillId="0" borderId="8" xfId="3" applyNumberFormat="1" applyFont="1" applyFill="1" applyBorder="1" applyAlignment="1">
      <alignment vertical="center" wrapText="1"/>
    </xf>
    <xf numFmtId="0" fontId="143" fillId="0" borderId="3" xfId="0" applyFont="1" applyBorder="1" applyAlignment="1">
      <alignment vertical="center" wrapText="1"/>
    </xf>
    <xf numFmtId="0" fontId="12" fillId="0" borderId="3" xfId="0" applyFont="1" applyBorder="1" applyAlignment="1">
      <alignment vertical="center" wrapText="1"/>
    </xf>
    <xf numFmtId="0" fontId="11" fillId="0" borderId="3" xfId="0" applyFont="1" applyBorder="1" applyAlignment="1">
      <alignment vertical="center" wrapText="1"/>
    </xf>
    <xf numFmtId="0" fontId="11" fillId="3" borderId="3" xfId="0" applyFont="1" applyFill="1" applyBorder="1" applyAlignment="1">
      <alignment vertical="center" wrapText="1"/>
    </xf>
    <xf numFmtId="0" fontId="11" fillId="2" borderId="3" xfId="0" applyFont="1" applyFill="1" applyBorder="1" applyAlignment="1">
      <alignment vertical="center" wrapText="1"/>
    </xf>
    <xf numFmtId="0" fontId="147" fillId="16" borderId="8" xfId="0" applyFont="1" applyFill="1" applyBorder="1" applyAlignment="1">
      <alignment horizontal="left" vertical="center"/>
    </xf>
    <xf numFmtId="43" fontId="148" fillId="16" borderId="8" xfId="3" applyFont="1" applyFill="1" applyBorder="1"/>
    <xf numFmtId="9" fontId="148" fillId="16" borderId="8" xfId="1" applyFont="1" applyFill="1" applyBorder="1"/>
    <xf numFmtId="0" fontId="153" fillId="0" borderId="0" xfId="0" applyFont="1" applyAlignment="1">
      <alignment vertical="center"/>
    </xf>
    <xf numFmtId="15" fontId="0" fillId="17" borderId="8" xfId="0" applyNumberFormat="1" applyFill="1" applyBorder="1" applyAlignment="1">
      <alignment horizontal="center" vertical="center"/>
    </xf>
    <xf numFmtId="0" fontId="10" fillId="0" borderId="3" xfId="0" applyFont="1" applyBorder="1" applyAlignment="1">
      <alignment vertical="center" wrapText="1"/>
    </xf>
    <xf numFmtId="0" fontId="9" fillId="0" borderId="3" xfId="0" applyFont="1" applyBorder="1" applyAlignment="1">
      <alignment vertical="center" wrapText="1"/>
    </xf>
    <xf numFmtId="0" fontId="8" fillId="0" borderId="3" xfId="0" applyFont="1" applyBorder="1" applyAlignment="1">
      <alignment vertical="center" wrapText="1"/>
    </xf>
    <xf numFmtId="0" fontId="8" fillId="3" borderId="3" xfId="0" applyFont="1" applyFill="1" applyBorder="1" applyAlignment="1">
      <alignment vertical="center" wrapText="1"/>
    </xf>
    <xf numFmtId="0" fontId="8" fillId="2" borderId="3" xfId="0" applyFont="1" applyFill="1" applyBorder="1" applyAlignment="1">
      <alignment vertical="center" wrapText="1"/>
    </xf>
    <xf numFmtId="0" fontId="7" fillId="0" borderId="3" xfId="0" applyFont="1" applyBorder="1" applyAlignment="1">
      <alignment vertical="center" wrapText="1"/>
    </xf>
    <xf numFmtId="0" fontId="7" fillId="3" borderId="3" xfId="0" applyFont="1" applyFill="1" applyBorder="1" applyAlignment="1">
      <alignment vertical="center" wrapText="1"/>
    </xf>
    <xf numFmtId="0" fontId="7" fillId="2" borderId="3" xfId="0" applyFont="1" applyFill="1" applyBorder="1" applyAlignment="1">
      <alignment vertical="center" wrapText="1"/>
    </xf>
    <xf numFmtId="0" fontId="6" fillId="0" borderId="3" xfId="0" applyFont="1" applyBorder="1" applyAlignment="1">
      <alignment vertical="center" wrapText="1"/>
    </xf>
    <xf numFmtId="0" fontId="6" fillId="3" borderId="3" xfId="0" applyFont="1" applyFill="1" applyBorder="1" applyAlignment="1">
      <alignment vertical="center" wrapText="1"/>
    </xf>
    <xf numFmtId="0" fontId="6" fillId="0" borderId="3" xfId="0" applyFont="1" applyBorder="1" applyAlignment="1">
      <alignment horizontal="left" vertical="center" wrapText="1"/>
    </xf>
    <xf numFmtId="0" fontId="147" fillId="3" borderId="8" xfId="0" applyFont="1" applyFill="1" applyBorder="1" applyAlignment="1">
      <alignment horizontal="left" vertical="center"/>
    </xf>
    <xf numFmtId="43" fontId="148" fillId="3" borderId="8" xfId="3" applyFont="1" applyFill="1" applyBorder="1"/>
    <xf numFmtId="9" fontId="148" fillId="3" borderId="8" xfId="1" applyFont="1" applyFill="1" applyBorder="1"/>
    <xf numFmtId="43" fontId="148" fillId="0" borderId="8" xfId="3" applyFont="1" applyFill="1" applyBorder="1"/>
    <xf numFmtId="9" fontId="148" fillId="0" borderId="8" xfId="1" applyFont="1" applyFill="1" applyBorder="1"/>
    <xf numFmtId="0" fontId="5" fillId="0" borderId="3" xfId="0" applyFont="1" applyBorder="1" applyAlignment="1">
      <alignment vertical="center" wrapText="1"/>
    </xf>
    <xf numFmtId="0" fontId="5" fillId="0" borderId="3" xfId="0" applyFont="1" applyBorder="1" applyAlignment="1">
      <alignment horizontal="left" vertical="center" wrapText="1"/>
    </xf>
    <xf numFmtId="0" fontId="5" fillId="3" borderId="3" xfId="0" applyFont="1" applyFill="1" applyBorder="1" applyAlignment="1">
      <alignment vertical="center" wrapText="1"/>
    </xf>
    <xf numFmtId="0" fontId="5" fillId="2" borderId="3" xfId="0" applyFont="1" applyFill="1" applyBorder="1" applyAlignment="1">
      <alignment vertical="center" wrapText="1"/>
    </xf>
    <xf numFmtId="0" fontId="150" fillId="2" borderId="29" xfId="0" applyFont="1" applyFill="1" applyBorder="1" applyAlignment="1">
      <alignment horizontal="center" vertical="center" wrapText="1" readingOrder="1"/>
    </xf>
    <xf numFmtId="0" fontId="150" fillId="2" borderId="30" xfId="0" applyFont="1" applyFill="1" applyBorder="1" applyAlignment="1">
      <alignment horizontal="center" vertical="center" wrapText="1" readingOrder="1"/>
    </xf>
    <xf numFmtId="0" fontId="158" fillId="2" borderId="30" xfId="0" applyFont="1" applyFill="1" applyBorder="1" applyAlignment="1">
      <alignment vertical="top" wrapText="1"/>
    </xf>
    <xf numFmtId="0" fontId="150" fillId="0" borderId="31" xfId="0" applyFont="1" applyBorder="1" applyAlignment="1">
      <alignment horizontal="center" vertical="center" wrapText="1" readingOrder="1"/>
    </xf>
    <xf numFmtId="9" fontId="150" fillId="0" borderId="31" xfId="0" applyNumberFormat="1" applyFont="1" applyBorder="1" applyAlignment="1">
      <alignment horizontal="center" vertical="center" wrapText="1" readingOrder="1"/>
    </xf>
    <xf numFmtId="0" fontId="158" fillId="0" borderId="31" xfId="0" applyFont="1" applyBorder="1" applyAlignment="1">
      <alignment horizontal="center" vertical="center" wrapText="1"/>
    </xf>
    <xf numFmtId="0" fontId="159" fillId="0" borderId="31" xfId="0" applyFont="1" applyBorder="1" applyAlignment="1">
      <alignment horizontal="center" vertical="center" wrapText="1" readingOrder="1"/>
    </xf>
    <xf numFmtId="9" fontId="160" fillId="0" borderId="31" xfId="0" applyNumberFormat="1" applyFont="1" applyBorder="1" applyAlignment="1">
      <alignment horizontal="center" vertical="center" wrapText="1" readingOrder="1"/>
    </xf>
    <xf numFmtId="0" fontId="4" fillId="0" borderId="3" xfId="0" applyFont="1" applyBorder="1" applyAlignment="1">
      <alignment vertical="center" wrapText="1"/>
    </xf>
    <xf numFmtId="0" fontId="4" fillId="3" borderId="3" xfId="0" applyFont="1" applyFill="1" applyBorder="1" applyAlignment="1">
      <alignment vertical="center" wrapText="1"/>
    </xf>
    <xf numFmtId="0" fontId="3" fillId="0" borderId="3" xfId="0" applyFont="1" applyBorder="1" applyAlignment="1">
      <alignment vertical="center" wrapText="1"/>
    </xf>
    <xf numFmtId="0" fontId="2" fillId="0" borderId="3" xfId="0" applyFont="1" applyBorder="1" applyAlignment="1">
      <alignment vertical="center" wrapText="1"/>
    </xf>
    <xf numFmtId="0" fontId="2" fillId="6" borderId="3" xfId="0" applyFont="1" applyFill="1" applyBorder="1" applyAlignment="1">
      <alignment vertical="center" wrapText="1"/>
    </xf>
    <xf numFmtId="0" fontId="143" fillId="6" borderId="3" xfId="0" applyFont="1" applyFill="1" applyBorder="1" applyAlignment="1">
      <alignment vertical="center" wrapText="1"/>
    </xf>
    <xf numFmtId="9" fontId="2" fillId="6" borderId="3" xfId="0" applyNumberFormat="1" applyFont="1" applyFill="1" applyBorder="1" applyAlignment="1">
      <alignment horizontal="center" vertical="center" wrapText="1"/>
    </xf>
    <xf numFmtId="0" fontId="2" fillId="2" borderId="3" xfId="0" applyFont="1" applyFill="1" applyBorder="1" applyAlignment="1">
      <alignment vertical="center" wrapText="1"/>
    </xf>
    <xf numFmtId="9" fontId="2" fillId="2" borderId="3" xfId="0" applyNumberFormat="1" applyFont="1" applyFill="1" applyBorder="1" applyAlignment="1">
      <alignment horizontal="center" vertical="center" wrapText="1"/>
    </xf>
    <xf numFmtId="164" fontId="0" fillId="2" borderId="8" xfId="3" applyNumberFormat="1" applyFont="1" applyFill="1" applyBorder="1" applyAlignment="1">
      <alignment vertical="center" wrapText="1"/>
    </xf>
    <xf numFmtId="0" fontId="147" fillId="8" borderId="8" xfId="0" applyFont="1" applyFill="1" applyBorder="1" applyAlignment="1">
      <alignment horizontal="left" vertical="center"/>
    </xf>
    <xf numFmtId="43" fontId="148" fillId="0" borderId="8" xfId="3" applyFont="1" applyBorder="1"/>
    <xf numFmtId="0" fontId="147" fillId="18" borderId="8" xfId="0" applyFont="1" applyFill="1" applyBorder="1" applyAlignment="1">
      <alignment horizontal="left" vertical="center"/>
    </xf>
    <xf numFmtId="43" fontId="148" fillId="18" borderId="8" xfId="3" applyFont="1" applyFill="1" applyBorder="1"/>
    <xf numFmtId="9" fontId="148" fillId="18" borderId="8" xfId="1" applyFont="1" applyFill="1" applyBorder="1"/>
    <xf numFmtId="0" fontId="131" fillId="10" borderId="5" xfId="0" applyFont="1" applyFill="1" applyBorder="1" applyAlignment="1">
      <alignment horizontal="center"/>
    </xf>
    <xf numFmtId="0" fontId="131" fillId="10" borderId="6" xfId="0" applyFont="1" applyFill="1" applyBorder="1" applyAlignment="1">
      <alignment horizontal="center" vertical="center"/>
    </xf>
    <xf numFmtId="0" fontId="131" fillId="10" borderId="6" xfId="0" applyFont="1" applyFill="1" applyBorder="1" applyAlignment="1">
      <alignment horizontal="left"/>
    </xf>
    <xf numFmtId="0" fontId="131" fillId="10" borderId="6" xfId="0" applyFont="1" applyFill="1" applyBorder="1" applyAlignment="1">
      <alignment horizontal="center"/>
    </xf>
    <xf numFmtId="0" fontId="131" fillId="10" borderId="7" xfId="0" applyFont="1" applyFill="1" applyBorder="1" applyAlignment="1">
      <alignment horizontal="center"/>
    </xf>
    <xf numFmtId="0" fontId="134" fillId="7" borderId="9" xfId="0" applyFont="1" applyFill="1" applyBorder="1" applyAlignment="1">
      <alignment horizontal="center" vertical="center" wrapText="1"/>
    </xf>
    <xf numFmtId="0" fontId="134" fillId="7" borderId="20" xfId="0" applyFont="1" applyFill="1" applyBorder="1" applyAlignment="1">
      <alignment horizontal="center" vertical="center" wrapText="1"/>
    </xf>
    <xf numFmtId="0" fontId="134" fillId="7" borderId="10" xfId="0" applyFont="1" applyFill="1" applyBorder="1" applyAlignment="1">
      <alignment horizontal="center" vertical="center" wrapText="1"/>
    </xf>
    <xf numFmtId="0" fontId="147" fillId="8" borderId="1" xfId="0" applyFont="1" applyFill="1" applyBorder="1" applyAlignment="1">
      <alignment horizontal="center" vertical="center"/>
    </xf>
    <xf numFmtId="0" fontId="147" fillId="8" borderId="23" xfId="0" applyFont="1" applyFill="1" applyBorder="1" applyAlignment="1">
      <alignment horizontal="center" vertical="center"/>
    </xf>
    <xf numFmtId="14" fontId="145" fillId="13" borderId="21" xfId="0" applyNumberFormat="1" applyFont="1" applyFill="1" applyBorder="1" applyAlignment="1">
      <alignment horizontal="center" vertical="center"/>
    </xf>
    <xf numFmtId="14" fontId="145" fillId="13" borderId="22" xfId="0" applyNumberFormat="1" applyFont="1" applyFill="1" applyBorder="1" applyAlignment="1">
      <alignment horizontal="center" vertical="center"/>
    </xf>
    <xf numFmtId="0" fontId="147" fillId="8" borderId="18" xfId="0" applyFont="1" applyFill="1" applyBorder="1" applyAlignment="1">
      <alignment horizontal="center" vertical="center"/>
    </xf>
    <xf numFmtId="0" fontId="145" fillId="13" borderId="1" xfId="0" applyFont="1" applyFill="1" applyBorder="1" applyAlignment="1">
      <alignment horizontal="center" vertical="center"/>
    </xf>
    <xf numFmtId="0" fontId="145" fillId="13" borderId="23" xfId="0" applyFont="1" applyFill="1" applyBorder="1" applyAlignment="1">
      <alignment horizontal="center" vertical="center"/>
    </xf>
    <xf numFmtId="0" fontId="150" fillId="0" borderId="29" xfId="0" applyFont="1" applyBorder="1" applyAlignment="1">
      <alignment horizontal="center" vertical="center" wrapText="1" readingOrder="1"/>
    </xf>
    <xf numFmtId="0" fontId="150" fillId="0" borderId="30" xfId="0" applyFont="1" applyBorder="1" applyAlignment="1">
      <alignment horizontal="center" vertical="center" wrapText="1" readingOrder="1"/>
    </xf>
    <xf numFmtId="0" fontId="150" fillId="9" borderId="12" xfId="0" applyFont="1" applyFill="1" applyBorder="1" applyAlignment="1">
      <alignment vertical="center" wrapText="1"/>
    </xf>
    <xf numFmtId="0" fontId="150" fillId="9" borderId="24" xfId="0" applyFont="1" applyFill="1" applyBorder="1" applyAlignment="1">
      <alignment vertical="center" wrapText="1"/>
    </xf>
    <xf numFmtId="0" fontId="150" fillId="8" borderId="11" xfId="0" applyFont="1" applyFill="1" applyBorder="1" applyAlignment="1">
      <alignment horizontal="center" vertical="center"/>
    </xf>
    <xf numFmtId="0" fontId="150" fillId="8" borderId="26" xfId="0" applyFont="1" applyFill="1" applyBorder="1" applyAlignment="1">
      <alignment horizontal="center" vertical="center"/>
    </xf>
    <xf numFmtId="0" fontId="150" fillId="0" borderId="12" xfId="0" applyFont="1" applyBorder="1" applyAlignment="1">
      <alignment vertical="center"/>
    </xf>
    <xf numFmtId="0" fontId="150" fillId="0" borderId="24" xfId="0" applyFont="1" applyBorder="1" applyAlignment="1">
      <alignment vertical="center"/>
    </xf>
    <xf numFmtId="9" fontId="150" fillId="0" borderId="27" xfId="0" applyNumberFormat="1" applyFont="1" applyBorder="1" applyAlignment="1">
      <alignment horizontal="center" vertical="center" wrapText="1" readingOrder="1"/>
    </xf>
    <xf numFmtId="9" fontId="150" fillId="0" borderId="28" xfId="0" applyNumberFormat="1" applyFont="1" applyBorder="1" applyAlignment="1">
      <alignment horizontal="center" vertical="center" wrapText="1" readingOrder="1"/>
    </xf>
    <xf numFmtId="0" fontId="150" fillId="2" borderId="33" xfId="0" applyFont="1" applyFill="1" applyBorder="1" applyAlignment="1">
      <alignment horizontal="center" vertical="center" wrapText="1" readingOrder="1"/>
    </xf>
    <xf numFmtId="0" fontId="150" fillId="2" borderId="32" xfId="0" applyFont="1" applyFill="1" applyBorder="1" applyAlignment="1">
      <alignment horizontal="center" vertical="center" wrapText="1" readingOrder="1"/>
    </xf>
    <xf numFmtId="9" fontId="143" fillId="0" borderId="31" xfId="0" applyNumberFormat="1" applyFont="1" applyBorder="1" applyAlignment="1">
      <alignment horizontal="center" vertical="center" wrapText="1"/>
    </xf>
    <xf numFmtId="0" fontId="161" fillId="0" borderId="31" xfId="0" applyFont="1" applyBorder="1" applyAlignment="1">
      <alignment horizontal="center" vertical="center" wrapText="1" readingOrder="1"/>
    </xf>
    <xf numFmtId="9" fontId="162" fillId="0" borderId="31" xfId="0" applyNumberFormat="1" applyFont="1" applyBorder="1" applyAlignment="1">
      <alignment horizontal="center" vertical="center" wrapText="1" readingOrder="1"/>
    </xf>
    <xf numFmtId="9" fontId="161" fillId="0" borderId="31" xfId="0" applyNumberFormat="1" applyFont="1" applyBorder="1" applyAlignment="1">
      <alignment horizontal="center" vertical="center" wrapText="1" readingOrder="1"/>
    </xf>
    <xf numFmtId="9" fontId="163" fillId="0" borderId="31" xfId="0" applyNumberFormat="1" applyFont="1" applyBorder="1" applyAlignment="1">
      <alignment horizontal="center" vertical="center" wrapText="1"/>
    </xf>
    <xf numFmtId="0" fontId="1" fillId="0" borderId="3" xfId="0" applyFont="1" applyBorder="1" applyAlignment="1">
      <alignment vertical="center" wrapText="1"/>
    </xf>
    <xf numFmtId="0" fontId="1" fillId="0" borderId="3" xfId="0" applyFont="1" applyBorder="1" applyAlignment="1">
      <alignment horizontal="left" vertical="center" wrapText="1"/>
    </xf>
    <xf numFmtId="0" fontId="1" fillId="3" borderId="3" xfId="0" applyFont="1" applyFill="1" applyBorder="1" applyAlignment="1">
      <alignment vertical="center" wrapText="1"/>
    </xf>
    <xf numFmtId="9" fontId="1" fillId="2" borderId="3" xfId="0" applyNumberFormat="1" applyFont="1" applyFill="1" applyBorder="1" applyAlignment="1">
      <alignment horizontal="center" vertical="center" wrapText="1"/>
    </xf>
    <xf numFmtId="9" fontId="1" fillId="0" borderId="3" xfId="0" applyNumberFormat="1" applyFont="1" applyBorder="1" applyAlignment="1">
      <alignment horizontal="center" vertical="center" wrapText="1"/>
    </xf>
  </cellXfs>
  <cellStyles count="20">
    <cellStyle name="Normal" xfId="0" builtinId="0"/>
    <cellStyle name="Normal 2" xfId="2" xr:uid="{C8A52ABE-B393-41C3-AB34-B8FF98D6D1DE}"/>
    <cellStyle name="Normal 2 2" xfId="5" xr:uid="{D00071AB-1116-4EBE-A711-6DD51AF07470}"/>
    <cellStyle name="Normal 2 2 2" xfId="11" xr:uid="{69DBA3BB-4C62-42C7-BED5-32DA47DF8495}"/>
    <cellStyle name="Normal 2 2 3" xfId="17" xr:uid="{74DFDB8B-9D6B-46B7-8CB0-7734222A2801}"/>
    <cellStyle name="Normal 2 3" xfId="4" xr:uid="{234279A2-DBA9-445A-826A-A47E192761A9}"/>
    <cellStyle name="Normal 2 4" xfId="9" xr:uid="{C31593A1-2FF3-4886-B2FB-06FA69E19E5E}"/>
    <cellStyle name="Normal 2 4 2" xfId="15" xr:uid="{4F15D46F-A155-4C02-8CA1-C0AA560451F3}"/>
    <cellStyle name="Normal 2 5" xfId="8" xr:uid="{5590A145-3320-405F-B3E7-C8CAA1CA0E5D}"/>
    <cellStyle name="Normal 2 6" xfId="14" xr:uid="{FEC39C41-E004-43F9-9373-A58289532C38}"/>
    <cellStyle name="Normal 3" xfId="6" xr:uid="{ABA070D2-9B1E-4477-BF85-88C78C76A5C8}"/>
    <cellStyle name="Normal 3 2" xfId="12" xr:uid="{0B1A9120-C573-4ACC-9A72-92720FB0BCED}"/>
    <cellStyle name="Normal 3 3" xfId="18" xr:uid="{B4A8A9D8-5EF0-4937-B47D-6AFAD3D05269}"/>
    <cellStyle name="Virgül" xfId="3" builtinId="3"/>
    <cellStyle name="Virgül 2" xfId="7" xr:uid="{43E48E98-E35F-4EB8-9137-F660C688CB2A}"/>
    <cellStyle name="Virgül 2 2" xfId="13" xr:uid="{BC84E543-4241-46EF-BFE0-4F13789AD61F}"/>
    <cellStyle name="Virgül 2 3" xfId="19" xr:uid="{7BCF88EC-BCD9-4AF1-B79F-9B8899033969}"/>
    <cellStyle name="Virgül 3" xfId="10" xr:uid="{3CA5B2C4-163F-4BC5-AB04-C9CA6FDE386F}"/>
    <cellStyle name="Virgül 3 2" xfId="16" xr:uid="{F70BEA18-EE56-402C-8361-AA77548C7F96}"/>
    <cellStyle name="Yüzde" xfId="1" builtinId="5"/>
  </cellStyles>
  <dxfs count="0"/>
  <tableStyles count="0" defaultTableStyle="TableStyleMedium2" defaultPivotStyle="PivotStyleLight16"/>
  <colors>
    <mruColors>
      <color rgb="FFFFCCCC"/>
      <color rgb="FFBC9BFF"/>
      <color rgb="FFFF69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kern="1200" spc="0" baseline="0">
                <a:solidFill>
                  <a:sysClr val="windowText" lastClr="000000">
                    <a:lumMod val="65000"/>
                    <a:lumOff val="35000"/>
                  </a:sysClr>
                </a:solidFill>
              </a:rPr>
              <a:t>09-13.03.2026 Worklog Raporlaması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stacked"/>
        <c:varyColors val="0"/>
        <c:ser>
          <c:idx val="0"/>
          <c:order val="0"/>
          <c:tx>
            <c:strRef>
              <c:f>'Jira Worklog Analizi-Sprint'!$D$3</c:f>
              <c:strCache>
                <c:ptCount val="1"/>
                <c:pt idx="0">
                  <c:v>Ek İşler</c:v>
                </c:pt>
              </c:strCache>
            </c:strRef>
          </c:tx>
          <c:spPr>
            <a:solidFill>
              <a:schemeClr val="accent1"/>
            </a:solidFill>
            <a:ln>
              <a:noFill/>
            </a:ln>
            <a:effectLst/>
          </c:spPr>
          <c:invertIfNegative val="0"/>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Analizi-Sprint'!$D$4:$D$25</c:f>
              <c:numCache>
                <c:formatCode>_(* #,##0.00_);_(* \(#,##0.00\);_(* "-"??_);_(@_)</c:formatCode>
                <c:ptCount val="22"/>
                <c:pt idx="0">
                  <c:v>0</c:v>
                </c:pt>
                <c:pt idx="1">
                  <c:v>0</c:v>
                </c:pt>
                <c:pt idx="2">
                  <c:v>0</c:v>
                </c:pt>
                <c:pt idx="3">
                  <c:v>0</c:v>
                </c:pt>
                <c:pt idx="4">
                  <c:v>0.75</c:v>
                </c:pt>
                <c:pt idx="5">
                  <c:v>0</c:v>
                </c:pt>
                <c:pt idx="6">
                  <c:v>19</c:v>
                </c:pt>
                <c:pt idx="7">
                  <c:v>13</c:v>
                </c:pt>
                <c:pt idx="8">
                  <c:v>25</c:v>
                </c:pt>
                <c:pt idx="9">
                  <c:v>12.5</c:v>
                </c:pt>
                <c:pt idx="10">
                  <c:v>12</c:v>
                </c:pt>
                <c:pt idx="11">
                  <c:v>16</c:v>
                </c:pt>
                <c:pt idx="12">
                  <c:v>5.5</c:v>
                </c:pt>
                <c:pt idx="13">
                  <c:v>1</c:v>
                </c:pt>
                <c:pt idx="14">
                  <c:v>0</c:v>
                </c:pt>
                <c:pt idx="15">
                  <c:v>0.66666666666666663</c:v>
                </c:pt>
                <c:pt idx="16">
                  <c:v>24.5</c:v>
                </c:pt>
                <c:pt idx="17">
                  <c:v>0</c:v>
                </c:pt>
                <c:pt idx="18">
                  <c:v>0</c:v>
                </c:pt>
                <c:pt idx="19">
                  <c:v>10</c:v>
                </c:pt>
                <c:pt idx="20">
                  <c:v>0</c:v>
                </c:pt>
                <c:pt idx="21">
                  <c:v>0</c:v>
                </c:pt>
              </c:numCache>
            </c:numRef>
          </c:val>
          <c:extLst>
            <c:ext xmlns:c16="http://schemas.microsoft.com/office/drawing/2014/chart" uri="{C3380CC4-5D6E-409C-BE32-E72D297353CC}">
              <c16:uniqueId val="{00000000-B54A-47D4-A9D7-35813A94A768}"/>
            </c:ext>
          </c:extLst>
        </c:ser>
        <c:ser>
          <c:idx val="1"/>
          <c:order val="1"/>
          <c:tx>
            <c:strRef>
              <c:f>'Jira Worklog Analizi-Sprint'!$E$3</c:f>
              <c:strCache>
                <c:ptCount val="1"/>
                <c:pt idx="0">
                  <c:v>Sprint İşleri</c:v>
                </c:pt>
              </c:strCache>
            </c:strRef>
          </c:tx>
          <c:spPr>
            <a:solidFill>
              <a:schemeClr val="accent2"/>
            </a:solidFill>
            <a:ln>
              <a:noFill/>
            </a:ln>
            <a:effectLst/>
          </c:spPr>
          <c:invertIfNegative val="0"/>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Analizi-Sprint'!$E$4:$E$25</c:f>
              <c:numCache>
                <c:formatCode>_(* #,##0.00_);_(* \(#,##0.00\);_(* "-"??_);_(@_)</c:formatCode>
                <c:ptCount val="22"/>
                <c:pt idx="0">
                  <c:v>18</c:v>
                </c:pt>
                <c:pt idx="1">
                  <c:v>0</c:v>
                </c:pt>
                <c:pt idx="2">
                  <c:v>0</c:v>
                </c:pt>
                <c:pt idx="3">
                  <c:v>0</c:v>
                </c:pt>
                <c:pt idx="4">
                  <c:v>4.333333333333333</c:v>
                </c:pt>
                <c:pt idx="5">
                  <c:v>27</c:v>
                </c:pt>
                <c:pt idx="6">
                  <c:v>8</c:v>
                </c:pt>
                <c:pt idx="7">
                  <c:v>5</c:v>
                </c:pt>
                <c:pt idx="8">
                  <c:v>0</c:v>
                </c:pt>
                <c:pt idx="9">
                  <c:v>5.5</c:v>
                </c:pt>
                <c:pt idx="10">
                  <c:v>21</c:v>
                </c:pt>
                <c:pt idx="11">
                  <c:v>7</c:v>
                </c:pt>
                <c:pt idx="12">
                  <c:v>6</c:v>
                </c:pt>
                <c:pt idx="13">
                  <c:v>23</c:v>
                </c:pt>
                <c:pt idx="14">
                  <c:v>26.333333333333336</c:v>
                </c:pt>
                <c:pt idx="15">
                  <c:v>15.5</c:v>
                </c:pt>
                <c:pt idx="16">
                  <c:v>3</c:v>
                </c:pt>
                <c:pt idx="17">
                  <c:v>0</c:v>
                </c:pt>
                <c:pt idx="18">
                  <c:v>16</c:v>
                </c:pt>
                <c:pt idx="19">
                  <c:v>25</c:v>
                </c:pt>
                <c:pt idx="20">
                  <c:v>0</c:v>
                </c:pt>
                <c:pt idx="21">
                  <c:v>0</c:v>
                </c:pt>
              </c:numCache>
            </c:numRef>
          </c:val>
          <c:extLst>
            <c:ext xmlns:c16="http://schemas.microsoft.com/office/drawing/2014/chart" uri="{C3380CC4-5D6E-409C-BE32-E72D297353CC}">
              <c16:uniqueId val="{00000001-B54A-47D4-A9D7-35813A94A768}"/>
            </c:ext>
          </c:extLst>
        </c:ser>
        <c:dLbls>
          <c:showLegendKey val="0"/>
          <c:showVal val="0"/>
          <c:showCatName val="0"/>
          <c:showSerName val="0"/>
          <c:showPercent val="0"/>
          <c:showBubbleSize val="0"/>
        </c:dLbls>
        <c:gapWidth val="219"/>
        <c:overlap val="100"/>
        <c:axId val="780576368"/>
        <c:axId val="786413376"/>
      </c:barChart>
      <c:lineChart>
        <c:grouping val="standard"/>
        <c:varyColors val="0"/>
        <c:ser>
          <c:idx val="2"/>
          <c:order val="2"/>
          <c:tx>
            <c:strRef>
              <c:f>'Jira Worklog Analizi-Sprint'!$G$3</c:f>
              <c:strCache>
                <c:ptCount val="1"/>
                <c:pt idx="0">
                  <c:v>Standart Çalışma Süresi (45 Saat)</c:v>
                </c:pt>
              </c:strCache>
            </c:strRef>
          </c:tx>
          <c:spPr>
            <a:ln w="28575" cap="rnd">
              <a:solidFill>
                <a:schemeClr val="accent3"/>
              </a:solidFill>
              <a:round/>
            </a:ln>
            <a:effectLst/>
          </c:spPr>
          <c:marker>
            <c:symbol val="none"/>
          </c:marker>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Analizi-Sprint'!$G$4:$G$25</c:f>
              <c:numCache>
                <c:formatCode>_(* #,##0.00_);_(* \(#,##0.00\);_(* "-"??_);_(@_)</c:formatCode>
                <c:ptCount val="22"/>
                <c:pt idx="0">
                  <c:v>45</c:v>
                </c:pt>
                <c:pt idx="1">
                  <c:v>45</c:v>
                </c:pt>
                <c:pt idx="2">
                  <c:v>45</c:v>
                </c:pt>
                <c:pt idx="3">
                  <c:v>45</c:v>
                </c:pt>
                <c:pt idx="4">
                  <c:v>45</c:v>
                </c:pt>
                <c:pt idx="5">
                  <c:v>45</c:v>
                </c:pt>
                <c:pt idx="6">
                  <c:v>45</c:v>
                </c:pt>
                <c:pt idx="7">
                  <c:v>45</c:v>
                </c:pt>
                <c:pt idx="8">
                  <c:v>45</c:v>
                </c:pt>
                <c:pt idx="9">
                  <c:v>45</c:v>
                </c:pt>
                <c:pt idx="10">
                  <c:v>45</c:v>
                </c:pt>
                <c:pt idx="11">
                  <c:v>45</c:v>
                </c:pt>
                <c:pt idx="12">
                  <c:v>45</c:v>
                </c:pt>
                <c:pt idx="13">
                  <c:v>45</c:v>
                </c:pt>
                <c:pt idx="14">
                  <c:v>45</c:v>
                </c:pt>
                <c:pt idx="15">
                  <c:v>45</c:v>
                </c:pt>
                <c:pt idx="16">
                  <c:v>45</c:v>
                </c:pt>
                <c:pt idx="17">
                  <c:v>45</c:v>
                </c:pt>
                <c:pt idx="18">
                  <c:v>45</c:v>
                </c:pt>
                <c:pt idx="19">
                  <c:v>45</c:v>
                </c:pt>
                <c:pt idx="20">
                  <c:v>45</c:v>
                </c:pt>
                <c:pt idx="21">
                  <c:v>45</c:v>
                </c:pt>
              </c:numCache>
            </c:numRef>
          </c:val>
          <c:smooth val="0"/>
          <c:extLst>
            <c:ext xmlns:c16="http://schemas.microsoft.com/office/drawing/2014/chart" uri="{C3380CC4-5D6E-409C-BE32-E72D297353CC}">
              <c16:uniqueId val="{00000002-B54A-47D4-A9D7-35813A94A768}"/>
            </c:ext>
          </c:extLst>
        </c:ser>
        <c:dLbls>
          <c:showLegendKey val="0"/>
          <c:showVal val="0"/>
          <c:showCatName val="0"/>
          <c:showSerName val="0"/>
          <c:showPercent val="0"/>
          <c:showBubbleSize val="0"/>
        </c:dLbls>
        <c:marker val="1"/>
        <c:smooth val="0"/>
        <c:axId val="780576368"/>
        <c:axId val="786413376"/>
      </c:lineChart>
      <c:catAx>
        <c:axId val="7805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6413376"/>
        <c:crosses val="autoZero"/>
        <c:auto val="1"/>
        <c:lblAlgn val="ctr"/>
        <c:lblOffset val="100"/>
        <c:noMultiLvlLbl val="0"/>
      </c:catAx>
      <c:valAx>
        <c:axId val="7864133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057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sz="1400" b="0" i="0" u="none" strike="noStrike" kern="1200" spc="0" baseline="0">
                <a:solidFill>
                  <a:sysClr val="windowText" lastClr="000000">
                    <a:lumMod val="65000"/>
                    <a:lumOff val="35000"/>
                  </a:sysClr>
                </a:solidFill>
              </a:rPr>
              <a:t>16-18.03.2026 Worklog Raporlaması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4979532444837262E-2"/>
          <c:y val="0.13974509972617211"/>
          <c:w val="0.91945175238813315"/>
          <c:h val="0.37242110759390401"/>
        </c:manualLayout>
      </c:layout>
      <c:barChart>
        <c:barDir val="col"/>
        <c:grouping val="stacked"/>
        <c:varyColors val="0"/>
        <c:ser>
          <c:idx val="0"/>
          <c:order val="0"/>
          <c:tx>
            <c:strRef>
              <c:f>'Jira Worklog Analizi-Sprint'!$D$3</c:f>
              <c:strCache>
                <c:ptCount val="1"/>
                <c:pt idx="0">
                  <c:v>Ek İşler</c:v>
                </c:pt>
              </c:strCache>
            </c:strRef>
          </c:tx>
          <c:spPr>
            <a:solidFill>
              <a:schemeClr val="accent1"/>
            </a:solidFill>
            <a:ln>
              <a:noFill/>
            </a:ln>
            <a:effectLst/>
          </c:spPr>
          <c:invertIfNegative val="0"/>
          <c:cat>
            <c:multiLvlStrRef>
              <c:f>'Jira Worklog Analizi-Sprint'!$B$30:$C$50</c:f>
              <c:multiLvlStrCache>
                <c:ptCount val="21"/>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lvl>
                <c:lvl>
                  <c:pt idx="0">
                    <c:v>Ceren Sertkaya</c:v>
                  </c:pt>
                  <c:pt idx="5">
                    <c:v>Elvan Güler</c:v>
                  </c:pt>
                  <c:pt idx="12">
                    <c:v>Remzi Sefer</c:v>
                  </c:pt>
                  <c:pt idx="20">
                    <c:v>Kemal Gür</c:v>
                  </c:pt>
                </c:lvl>
              </c:multiLvlStrCache>
            </c:multiLvlStrRef>
          </c:cat>
          <c:val>
            <c:numRef>
              <c:f>'Jira Worklog Analizi-Sprint'!$D$30:$D$50</c:f>
              <c:numCache>
                <c:formatCode>_(* #,##0.00_);_(* \(#,##0.00\);_(* "-"??_);_(@_)</c:formatCode>
                <c:ptCount val="21"/>
                <c:pt idx="0">
                  <c:v>2</c:v>
                </c:pt>
                <c:pt idx="1">
                  <c:v>0</c:v>
                </c:pt>
                <c:pt idx="2">
                  <c:v>0</c:v>
                </c:pt>
                <c:pt idx="3">
                  <c:v>0</c:v>
                </c:pt>
                <c:pt idx="4">
                  <c:v>3.5</c:v>
                </c:pt>
                <c:pt idx="5">
                  <c:v>0</c:v>
                </c:pt>
                <c:pt idx="6">
                  <c:v>6</c:v>
                </c:pt>
                <c:pt idx="7">
                  <c:v>6</c:v>
                </c:pt>
                <c:pt idx="8">
                  <c:v>4</c:v>
                </c:pt>
                <c:pt idx="9">
                  <c:v>6.25</c:v>
                </c:pt>
                <c:pt idx="10">
                  <c:v>7</c:v>
                </c:pt>
                <c:pt idx="11">
                  <c:v>8</c:v>
                </c:pt>
                <c:pt idx="12">
                  <c:v>18.5</c:v>
                </c:pt>
                <c:pt idx="13">
                  <c:v>2</c:v>
                </c:pt>
                <c:pt idx="14">
                  <c:v>0</c:v>
                </c:pt>
                <c:pt idx="15">
                  <c:v>1.5</c:v>
                </c:pt>
                <c:pt idx="16">
                  <c:v>12</c:v>
                </c:pt>
                <c:pt idx="17">
                  <c:v>0</c:v>
                </c:pt>
                <c:pt idx="18">
                  <c:v>9</c:v>
                </c:pt>
                <c:pt idx="19">
                  <c:v>0</c:v>
                </c:pt>
                <c:pt idx="20">
                  <c:v>0</c:v>
                </c:pt>
              </c:numCache>
            </c:numRef>
          </c:val>
          <c:extLst>
            <c:ext xmlns:c16="http://schemas.microsoft.com/office/drawing/2014/chart" uri="{C3380CC4-5D6E-409C-BE32-E72D297353CC}">
              <c16:uniqueId val="{00000000-80A7-4F99-8E81-B2721691E001}"/>
            </c:ext>
          </c:extLst>
        </c:ser>
        <c:ser>
          <c:idx val="1"/>
          <c:order val="1"/>
          <c:tx>
            <c:strRef>
              <c:f>'Jira Worklog Analizi-Sprint'!$E$29</c:f>
              <c:strCache>
                <c:ptCount val="1"/>
                <c:pt idx="0">
                  <c:v>Sprint İşleri</c:v>
                </c:pt>
              </c:strCache>
            </c:strRef>
          </c:tx>
          <c:spPr>
            <a:solidFill>
              <a:schemeClr val="accent2"/>
            </a:solidFill>
            <a:ln>
              <a:noFill/>
            </a:ln>
            <a:effectLst/>
          </c:spPr>
          <c:invertIfNegative val="0"/>
          <c:cat>
            <c:multiLvlStrRef>
              <c:f>'Jira Worklog Analizi-Sprint'!$B$30:$C$50</c:f>
              <c:multiLvlStrCache>
                <c:ptCount val="21"/>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lvl>
                <c:lvl>
                  <c:pt idx="0">
                    <c:v>Ceren Sertkaya</c:v>
                  </c:pt>
                  <c:pt idx="5">
                    <c:v>Elvan Güler</c:v>
                  </c:pt>
                  <c:pt idx="12">
                    <c:v>Remzi Sefer</c:v>
                  </c:pt>
                  <c:pt idx="20">
                    <c:v>Kemal Gür</c:v>
                  </c:pt>
                </c:lvl>
              </c:multiLvlStrCache>
            </c:multiLvlStrRef>
          </c:cat>
          <c:val>
            <c:numRef>
              <c:f>'Jira Worklog Analizi-Sprint'!$E$30:$E$50</c:f>
              <c:numCache>
                <c:formatCode>_(* #,##0.00_);_(* \(#,##0.00\);_(* "-"??_);_(@_)</c:formatCode>
                <c:ptCount val="21"/>
                <c:pt idx="0">
                  <c:v>6</c:v>
                </c:pt>
                <c:pt idx="1">
                  <c:v>0</c:v>
                </c:pt>
                <c:pt idx="2">
                  <c:v>0</c:v>
                </c:pt>
                <c:pt idx="3">
                  <c:v>0</c:v>
                </c:pt>
                <c:pt idx="4">
                  <c:v>0.16666666666666666</c:v>
                </c:pt>
                <c:pt idx="5">
                  <c:v>9</c:v>
                </c:pt>
                <c:pt idx="6">
                  <c:v>18</c:v>
                </c:pt>
                <c:pt idx="7">
                  <c:v>18</c:v>
                </c:pt>
                <c:pt idx="8">
                  <c:v>10.5</c:v>
                </c:pt>
                <c:pt idx="9">
                  <c:v>10</c:v>
                </c:pt>
                <c:pt idx="10">
                  <c:v>13</c:v>
                </c:pt>
                <c:pt idx="11">
                  <c:v>7</c:v>
                </c:pt>
                <c:pt idx="12">
                  <c:v>8</c:v>
                </c:pt>
                <c:pt idx="13">
                  <c:v>9</c:v>
                </c:pt>
                <c:pt idx="14">
                  <c:v>5.166666666666667</c:v>
                </c:pt>
                <c:pt idx="15">
                  <c:v>6</c:v>
                </c:pt>
                <c:pt idx="16">
                  <c:v>2.5</c:v>
                </c:pt>
                <c:pt idx="17">
                  <c:v>0</c:v>
                </c:pt>
                <c:pt idx="18">
                  <c:v>18</c:v>
                </c:pt>
                <c:pt idx="19">
                  <c:v>0</c:v>
                </c:pt>
                <c:pt idx="20">
                  <c:v>0</c:v>
                </c:pt>
              </c:numCache>
            </c:numRef>
          </c:val>
          <c:extLst>
            <c:ext xmlns:c16="http://schemas.microsoft.com/office/drawing/2014/chart" uri="{C3380CC4-5D6E-409C-BE32-E72D297353CC}">
              <c16:uniqueId val="{00000001-80A7-4F99-8E81-B2721691E001}"/>
            </c:ext>
          </c:extLst>
        </c:ser>
        <c:dLbls>
          <c:showLegendKey val="0"/>
          <c:showVal val="0"/>
          <c:showCatName val="0"/>
          <c:showSerName val="0"/>
          <c:showPercent val="0"/>
          <c:showBubbleSize val="0"/>
        </c:dLbls>
        <c:gapWidth val="219"/>
        <c:overlap val="100"/>
        <c:axId val="780576368"/>
        <c:axId val="786413376"/>
      </c:barChart>
      <c:lineChart>
        <c:grouping val="standard"/>
        <c:varyColors val="0"/>
        <c:ser>
          <c:idx val="2"/>
          <c:order val="2"/>
          <c:tx>
            <c:strRef>
              <c:f>'Jira Worklog Analizi-Sprint'!$G$29</c:f>
              <c:strCache>
                <c:ptCount val="1"/>
                <c:pt idx="0">
                  <c:v>Standart Çalışma Süresi </c:v>
                </c:pt>
              </c:strCache>
            </c:strRef>
          </c:tx>
          <c:spPr>
            <a:ln w="28575" cap="rnd">
              <a:solidFill>
                <a:schemeClr val="accent3"/>
              </a:solidFill>
              <a:round/>
            </a:ln>
            <a:effectLst/>
          </c:spPr>
          <c:marker>
            <c:symbol val="none"/>
          </c:marker>
          <c:cat>
            <c:multiLvlStrRef>
              <c:f>'Jira Worklog Analizi-Sprint'!$B$4:$C$25</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'Jira Worklog Analizi-Sprint'!$G$30:$G$50</c:f>
              <c:numCache>
                <c:formatCode>_(* #,##0.00_);_(* \(#,##0.00\);_(* "-"??_);_(@_)</c:formatCode>
                <c:ptCount val="21"/>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numCache>
            </c:numRef>
          </c:val>
          <c:smooth val="0"/>
          <c:extLst>
            <c:ext xmlns:c16="http://schemas.microsoft.com/office/drawing/2014/chart" uri="{C3380CC4-5D6E-409C-BE32-E72D297353CC}">
              <c16:uniqueId val="{00000002-80A7-4F99-8E81-B2721691E001}"/>
            </c:ext>
          </c:extLst>
        </c:ser>
        <c:dLbls>
          <c:showLegendKey val="0"/>
          <c:showVal val="0"/>
          <c:showCatName val="0"/>
          <c:showSerName val="0"/>
          <c:showPercent val="0"/>
          <c:showBubbleSize val="0"/>
        </c:dLbls>
        <c:marker val="1"/>
        <c:smooth val="0"/>
        <c:axId val="780576368"/>
        <c:axId val="786413376"/>
      </c:lineChart>
      <c:catAx>
        <c:axId val="7805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6413376"/>
        <c:crosses val="autoZero"/>
        <c:auto val="1"/>
        <c:lblAlgn val="ctr"/>
        <c:lblOffset val="100"/>
        <c:noMultiLvlLbl val="0"/>
      </c:catAx>
      <c:valAx>
        <c:axId val="78641337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780576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tr-TR"/>
              <a:t>Sprint</a:t>
            </a:r>
            <a:r>
              <a:rPr lang="tr-TR" baseline="0"/>
              <a:t> Doluluk Oranları</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tr-TR"/>
        </a:p>
      </c:txPr>
    </c:title>
    <c:autoTitleDeleted val="0"/>
    <c:plotArea>
      <c:layout/>
      <c:lineChart>
        <c:grouping val="standard"/>
        <c:varyColors val="0"/>
        <c:ser>
          <c:idx val="0"/>
          <c:order val="0"/>
          <c:spPr>
            <a:ln w="28575" cap="rnd">
              <a:solidFill>
                <a:schemeClr val="accent1"/>
              </a:solidFill>
              <a:round/>
            </a:ln>
            <a:effectLst/>
          </c:spPr>
          <c:marker>
            <c:symbol val="none"/>
          </c:marker>
          <c:dLbls>
            <c:numFmt formatCode="#,##0.00" sourceLinked="0"/>
            <c:spPr>
              <a:solidFill>
                <a:schemeClr val="lt1"/>
              </a:solidFill>
              <a:ln w="19050" cap="flat" cmpd="sng" algn="ctr">
                <a:solidFill>
                  <a:schemeClr val="accent1"/>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tr-T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('[1]genel durum'!$H$4,'[1]genel durum'!$M$4,'[1]genel durum'!$R$4,'[1]genel durum'!$W$4,'[1]genel durum'!$AB$4,'[1]genel durum'!$AG$4,'[1]genel durum'!$AL$4,'[1]genel durum'!$AQ$4,'[1]genel durum'!$AV$4,'[1]genel durum'!$BA$4,'[1]genel durum'!$BF$4,'[1]genel durum'!$BK$4,'[1]genel durum'!$BP$4,'[1]genel durum'!$BU$4,'[1]genel durum'!$BZ$4,'[1]genel durum'!$CE$4,'[1]genel durum'!$CJ$4,'[1]genel durum'!$CO$4,'[1]genel durum'!$CT$4,'[1]genel durum'!$CY$4,'[1]genel durum'!$DD$4,'[1]genel durum'!$DD$4)</c:f>
              <c:strCache>
                <c:ptCount val="22"/>
                <c:pt idx="0">
                  <c:v>Sprint 1_(02.06-13.06_Bayram Var) Doluluk Oranı</c:v>
                </c:pt>
                <c:pt idx="1">
                  <c:v>Sprint 2_(16.06-27.06) Doluluk Oranı</c:v>
                </c:pt>
                <c:pt idx="2">
                  <c:v>Sprint 3_(30.06-11.07) Doluluk Oranı</c:v>
                </c:pt>
                <c:pt idx="3">
                  <c:v>Sprint 4_(14.07-25.07_15 Tem. Tatili Var) Doluluk Oranı</c:v>
                </c:pt>
                <c:pt idx="4">
                  <c:v>Sprint 5_(28.07_08.08) Doluluk Oranı</c:v>
                </c:pt>
                <c:pt idx="5">
                  <c:v>Sprint 6_(11-22.08) Doluluk Oranı</c:v>
                </c:pt>
                <c:pt idx="6">
                  <c:v>Sprint 7_(25.08-05.09) Doluluk Oranı</c:v>
                </c:pt>
                <c:pt idx="7">
                  <c:v>Sprint 8_(08-19.09) Doluluk Oranı</c:v>
                </c:pt>
                <c:pt idx="8">
                  <c:v>Sprint 9_(22.09-03.10) Doluluk Oranı</c:v>
                </c:pt>
                <c:pt idx="9">
                  <c:v>Sprint 10_(06-17.10) Doluluk Oranı</c:v>
                </c:pt>
                <c:pt idx="10">
                  <c:v>Sprint 11_(20-31.10) Doluluk Oranı</c:v>
                </c:pt>
                <c:pt idx="11">
                  <c:v>Sprint 12_(03-14.11) Doluluk Oranı</c:v>
                </c:pt>
                <c:pt idx="12">
                  <c:v>Sprint 13_(17-28.11) Doluluk Oranı</c:v>
                </c:pt>
                <c:pt idx="13">
                  <c:v>Sprint 14_(01-12.12) Doluluk Oranı</c:v>
                </c:pt>
                <c:pt idx="14">
                  <c:v>Sprint 15_(15-26.12) Doluluk Oranı</c:v>
                </c:pt>
                <c:pt idx="15">
                  <c:v>Sprint 16_(29.12-09.01) Doluluk Oranı</c:v>
                </c:pt>
                <c:pt idx="16">
                  <c:v>Sprint 17_(12-23.01) Doluluk Oranı</c:v>
                </c:pt>
                <c:pt idx="17">
                  <c:v>Sprint 18_(26.01-06.02) Doluluk Oranı</c:v>
                </c:pt>
                <c:pt idx="18">
                  <c:v>Sprint 19_(09-20.02) Doluluk Oranı</c:v>
                </c:pt>
                <c:pt idx="19">
                  <c:v>Sprint 20_(23.02-06.03) Doluluk Oranı</c:v>
                </c:pt>
                <c:pt idx="20">
                  <c:v>Sprint 20_(09-19.4.03_Bayram var) Doluluk Oranı</c:v>
                </c:pt>
                <c:pt idx="21">
                  <c:v>Sprint 20_(09-19.4.03_Bayram var) Doluluk Oranı</c:v>
                </c:pt>
              </c:strCache>
            </c:strRef>
          </c:cat>
          <c:val>
            <c:numRef>
              <c:f>('[1]genel durum'!$H$27,'[1]genel durum'!$M$27,'[1]genel durum'!$R$27,'[1]genel durum'!$W$27,'[1]genel durum'!$AB$27,'[1]genel durum'!$AG$27,'[1]genel durum'!$AL$27,'[1]genel durum'!$AQ$27,'[1]genel durum'!$AV$27,'[1]genel durum'!$BA$27,'[1]genel durum'!$BF$27,'[1]genel durum'!$BK$27,'[1]genel durum'!$BP$27,'[1]genel durum'!$BU$27,'[1]genel durum'!$BZ$27,'[1]genel durum'!$CE$27,'[1]genel durum'!$CJ$27,'[1]genel durum'!$CO$27,'[1]genel durum'!$CT$27,'[1]genel durum'!$CY$27,'[1]genel durum'!$DD$27)</c:f>
              <c:numCache>
                <c:formatCode>General</c:formatCode>
                <c:ptCount val="21"/>
                <c:pt idx="0">
                  <c:v>0.45784411276948594</c:v>
                </c:pt>
                <c:pt idx="1">
                  <c:v>0.4957973251028806</c:v>
                </c:pt>
                <c:pt idx="2">
                  <c:v>0.4568240740740741</c:v>
                </c:pt>
                <c:pt idx="3">
                  <c:v>0.54261545496113395</c:v>
                </c:pt>
                <c:pt idx="4">
                  <c:v>0.60393004115226334</c:v>
                </c:pt>
                <c:pt idx="5">
                  <c:v>0.5840637860082305</c:v>
                </c:pt>
                <c:pt idx="6">
                  <c:v>0.46260288065843624</c:v>
                </c:pt>
                <c:pt idx="7">
                  <c:v>0.61955761316872426</c:v>
                </c:pt>
                <c:pt idx="8">
                  <c:v>0.54670781893004117</c:v>
                </c:pt>
                <c:pt idx="9">
                  <c:v>0.51635802469135805</c:v>
                </c:pt>
                <c:pt idx="10">
                  <c:v>0.54880174291938999</c:v>
                </c:pt>
                <c:pt idx="11">
                  <c:v>0.52417267517101129</c:v>
                </c:pt>
                <c:pt idx="12">
                  <c:v>0.47143649473100391</c:v>
                </c:pt>
                <c:pt idx="13">
                  <c:v>0.53521164021164025</c:v>
                </c:pt>
                <c:pt idx="14">
                  <c:v>0.50233686067019401</c:v>
                </c:pt>
                <c:pt idx="15">
                  <c:v>0.52171271800901431</c:v>
                </c:pt>
                <c:pt idx="16">
                  <c:v>0.54440035273368603</c:v>
                </c:pt>
                <c:pt idx="17">
                  <c:v>0.49761904761904763</c:v>
                </c:pt>
                <c:pt idx="18">
                  <c:v>0.42197530864197536</c:v>
                </c:pt>
                <c:pt idx="19">
                  <c:v>0.42486363636363639</c:v>
                </c:pt>
                <c:pt idx="20">
                  <c:v>0.36468855218855223</c:v>
                </c:pt>
              </c:numCache>
            </c:numRef>
          </c:val>
          <c:smooth val="0"/>
          <c:extLst>
            <c:ext xmlns:c16="http://schemas.microsoft.com/office/drawing/2014/chart" uri="{C3380CC4-5D6E-409C-BE32-E72D297353CC}">
              <c16:uniqueId val="{00000000-8AF5-4D2E-BA93-927D4C1656DB}"/>
            </c:ext>
          </c:extLst>
        </c:ser>
        <c:dLbls>
          <c:dLblPos val="ctr"/>
          <c:showLegendKey val="0"/>
          <c:showVal val="1"/>
          <c:showCatName val="0"/>
          <c:showSerName val="0"/>
          <c:showPercent val="0"/>
          <c:showBubbleSize val="0"/>
        </c:dLbls>
        <c:smooth val="0"/>
        <c:axId val="413513344"/>
        <c:axId val="413512384"/>
      </c:lineChart>
      <c:catAx>
        <c:axId val="41351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tr-TR"/>
          </a:p>
        </c:txPr>
        <c:crossAx val="413512384"/>
        <c:crosses val="autoZero"/>
        <c:auto val="1"/>
        <c:lblAlgn val="ctr"/>
        <c:lblOffset val="100"/>
        <c:noMultiLvlLbl val="0"/>
      </c:catAx>
      <c:valAx>
        <c:axId val="413512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tr-TR"/>
          </a:p>
        </c:txPr>
        <c:crossAx val="41351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tr-TR" sz="1400" b="1" i="0" u="none" strike="noStrike" kern="1200" spc="0" baseline="0">
                <a:solidFill>
                  <a:sysClr val="windowText" lastClr="000000">
                    <a:lumMod val="65000"/>
                    <a:lumOff val="35000"/>
                  </a:sysClr>
                </a:solidFill>
              </a:rPr>
              <a:t>Kümüle Worklog/ Standart Çalışma Süreleri</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tr-TR"/>
        </a:p>
      </c:txPr>
    </c:title>
    <c:autoTitleDeleted val="0"/>
    <c:plotArea>
      <c:layout/>
      <c:barChart>
        <c:barDir val="col"/>
        <c:grouping val="clustered"/>
        <c:varyColors val="0"/>
        <c:ser>
          <c:idx val="0"/>
          <c:order val="0"/>
          <c:tx>
            <c:strRef>
              <c:f>'[1]genel durum'!$F$30</c:f>
              <c:strCache>
                <c:ptCount val="1"/>
                <c:pt idx="0">
                  <c:v>Toplam Worklog</c:v>
                </c:pt>
              </c:strCache>
            </c:strRef>
          </c:tx>
          <c:spPr>
            <a:solidFill>
              <a:schemeClr val="accent1"/>
            </a:solidFill>
            <a:ln>
              <a:noFill/>
            </a:ln>
            <a:effectLst/>
          </c:spPr>
          <c:invertIfNegative val="0"/>
          <c:cat>
            <c:multiLvlStrRef>
              <c:f>'[1]genel durum'!$B$31:$C$52</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'[1]genel durum'!$F$31:$F$52</c:f>
              <c:numCache>
                <c:formatCode>General</c:formatCode>
                <c:ptCount val="22"/>
                <c:pt idx="0">
                  <c:v>1357.2966666666666</c:v>
                </c:pt>
                <c:pt idx="1">
                  <c:v>460.7166666666667</c:v>
                </c:pt>
                <c:pt idx="2">
                  <c:v>217.25</c:v>
                </c:pt>
                <c:pt idx="3">
                  <c:v>144.56666666666666</c:v>
                </c:pt>
                <c:pt idx="4">
                  <c:v>243.74999999999994</c:v>
                </c:pt>
                <c:pt idx="5">
                  <c:v>369</c:v>
                </c:pt>
                <c:pt idx="6">
                  <c:v>1210.4166666666665</c:v>
                </c:pt>
                <c:pt idx="7">
                  <c:v>1139.6666666666665</c:v>
                </c:pt>
                <c:pt idx="8">
                  <c:v>1041.9166666666667</c:v>
                </c:pt>
                <c:pt idx="9">
                  <c:v>1337</c:v>
                </c:pt>
                <c:pt idx="10">
                  <c:v>607</c:v>
                </c:pt>
                <c:pt idx="11">
                  <c:v>544.5</c:v>
                </c:pt>
                <c:pt idx="12">
                  <c:v>1485.8333333333333</c:v>
                </c:pt>
                <c:pt idx="13">
                  <c:v>1166</c:v>
                </c:pt>
                <c:pt idx="14">
                  <c:v>885.29666666666685</c:v>
                </c:pt>
                <c:pt idx="15">
                  <c:v>1057.1666666666667</c:v>
                </c:pt>
                <c:pt idx="16">
                  <c:v>1155.5</c:v>
                </c:pt>
                <c:pt idx="17">
                  <c:v>411.5</c:v>
                </c:pt>
                <c:pt idx="18">
                  <c:v>1700.4766666666667</c:v>
                </c:pt>
                <c:pt idx="19">
                  <c:v>72.5</c:v>
                </c:pt>
                <c:pt idx="20">
                  <c:v>1047.5</c:v>
                </c:pt>
                <c:pt idx="21">
                  <c:v>300.50000000000006</c:v>
                </c:pt>
              </c:numCache>
            </c:numRef>
          </c:val>
          <c:extLst>
            <c:ext xmlns:c16="http://schemas.microsoft.com/office/drawing/2014/chart" uri="{C3380CC4-5D6E-409C-BE32-E72D297353CC}">
              <c16:uniqueId val="{00000000-43A2-4580-B961-9667B1CBEF60}"/>
            </c:ext>
          </c:extLst>
        </c:ser>
        <c:dLbls>
          <c:showLegendKey val="0"/>
          <c:showVal val="0"/>
          <c:showCatName val="0"/>
          <c:showSerName val="0"/>
          <c:showPercent val="0"/>
          <c:showBubbleSize val="0"/>
        </c:dLbls>
        <c:gapWidth val="219"/>
        <c:overlap val="-27"/>
        <c:axId val="411290528"/>
        <c:axId val="411291008"/>
      </c:barChart>
      <c:lineChart>
        <c:grouping val="stacked"/>
        <c:varyColors val="0"/>
        <c:ser>
          <c:idx val="1"/>
          <c:order val="1"/>
          <c:tx>
            <c:strRef>
              <c:f>'[1]genel durum'!$G$30</c:f>
              <c:strCache>
                <c:ptCount val="1"/>
                <c:pt idx="0">
                  <c:v>Standart Çalışma Süresi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'[1]genel durum'!$B$31:$C$52</c:f>
              <c:multiLvlStrCache>
                <c:ptCount val="22"/>
                <c:lvl>
                  <c:pt idx="0">
                    <c:v>can.macit</c:v>
                  </c:pt>
                  <c:pt idx="1">
                    <c:v>mehmetcan.olgun</c:v>
                  </c:pt>
                  <c:pt idx="2">
                    <c:v>onder.bar</c:v>
                  </c:pt>
                  <c:pt idx="3">
                    <c:v>ugur.dundar</c:v>
                  </c:pt>
                  <c:pt idx="4">
                    <c:v>dogukan.oncuer</c:v>
                  </c:pt>
                  <c:pt idx="5">
                    <c:v>batikan.ozturk</c:v>
                  </c:pt>
                  <c:pt idx="6">
                    <c:v>cem.kara</c:v>
                  </c:pt>
                  <c:pt idx="7">
                    <c:v>emre.yilmaz</c:v>
                  </c:pt>
                  <c:pt idx="8">
                    <c:v>hamza.ceylan</c:v>
                  </c:pt>
                  <c:pt idx="9">
                    <c:v>mert.tanel</c:v>
                  </c:pt>
                  <c:pt idx="10">
                    <c:v>omer.saritoy</c:v>
                  </c:pt>
                  <c:pt idx="11">
                    <c:v>basak.ayverdi</c:v>
                  </c:pt>
                  <c:pt idx="12">
                    <c:v>batuhan.tufan</c:v>
                  </c:pt>
                  <c:pt idx="13">
                    <c:v>berrin.akan</c:v>
                  </c:pt>
                  <c:pt idx="14">
                    <c:v>gurkan.guney</c:v>
                  </c:pt>
                  <c:pt idx="15">
                    <c:v>omer.turkmen</c:v>
                  </c:pt>
                  <c:pt idx="16">
                    <c:v>recep.simsek</c:v>
                  </c:pt>
                  <c:pt idx="17">
                    <c:v>ugur.acik</c:v>
                  </c:pt>
                  <c:pt idx="18">
                    <c:v>melih.cesur</c:v>
                  </c:pt>
                  <c:pt idx="19">
                    <c:v>aysenur.bilgic</c:v>
                  </c:pt>
                  <c:pt idx="20">
                    <c:v>ahmet.hekim</c:v>
                  </c:pt>
                  <c:pt idx="21">
                    <c:v>baris.tunc</c:v>
                  </c:pt>
                </c:lvl>
                <c:lvl>
                  <c:pt idx="0">
                    <c:v>Ceren Sertkaya</c:v>
                  </c:pt>
                  <c:pt idx="5">
                    <c:v>Elvan Güler</c:v>
                  </c:pt>
                  <c:pt idx="12">
                    <c:v>Remzi Sefer</c:v>
                  </c:pt>
                  <c:pt idx="20">
                    <c:v>Kemal Gür</c:v>
                  </c:pt>
                </c:lvl>
              </c:multiLvlStrCache>
            </c:multiLvlStrRef>
          </c:cat>
          <c:val>
            <c:numRef>
              <c:f>'[1]genel durum'!$G$31:$G$52</c:f>
              <c:numCache>
                <c:formatCode>General</c:formatCode>
                <c:ptCount val="22"/>
                <c:pt idx="0">
                  <c:v>1817.5</c:v>
                </c:pt>
                <c:pt idx="1">
                  <c:v>1817.5</c:v>
                </c:pt>
                <c:pt idx="2">
                  <c:v>1817.5</c:v>
                </c:pt>
                <c:pt idx="3">
                  <c:v>1817.5</c:v>
                </c:pt>
                <c:pt idx="4">
                  <c:v>693</c:v>
                </c:pt>
                <c:pt idx="5">
                  <c:v>1817.5</c:v>
                </c:pt>
                <c:pt idx="6">
                  <c:v>1817.5</c:v>
                </c:pt>
                <c:pt idx="7">
                  <c:v>1817.5</c:v>
                </c:pt>
                <c:pt idx="8">
                  <c:v>1817.5</c:v>
                </c:pt>
                <c:pt idx="9">
                  <c:v>1817.5</c:v>
                </c:pt>
                <c:pt idx="10">
                  <c:v>951.5</c:v>
                </c:pt>
                <c:pt idx="11">
                  <c:v>953.5</c:v>
                </c:pt>
                <c:pt idx="12">
                  <c:v>1817.5</c:v>
                </c:pt>
                <c:pt idx="13">
                  <c:v>1817.5</c:v>
                </c:pt>
                <c:pt idx="14">
                  <c:v>1817.5</c:v>
                </c:pt>
                <c:pt idx="15">
                  <c:v>1817.5</c:v>
                </c:pt>
                <c:pt idx="16">
                  <c:v>1817.5</c:v>
                </c:pt>
                <c:pt idx="17">
                  <c:v>1817.5</c:v>
                </c:pt>
                <c:pt idx="18">
                  <c:v>1817.5</c:v>
                </c:pt>
                <c:pt idx="19">
                  <c:v>162</c:v>
                </c:pt>
                <c:pt idx="20">
                  <c:v>1817.5</c:v>
                </c:pt>
                <c:pt idx="21">
                  <c:v>1817.5</c:v>
                </c:pt>
              </c:numCache>
            </c:numRef>
          </c:val>
          <c:smooth val="0"/>
          <c:extLst>
            <c:ext xmlns:c16="http://schemas.microsoft.com/office/drawing/2014/chart" uri="{C3380CC4-5D6E-409C-BE32-E72D297353CC}">
              <c16:uniqueId val="{00000001-43A2-4580-B961-9667B1CBEF60}"/>
            </c:ext>
          </c:extLst>
        </c:ser>
        <c:dLbls>
          <c:showLegendKey val="0"/>
          <c:showVal val="0"/>
          <c:showCatName val="0"/>
          <c:showSerName val="0"/>
          <c:showPercent val="0"/>
          <c:showBubbleSize val="0"/>
        </c:dLbls>
        <c:marker val="1"/>
        <c:smooth val="0"/>
        <c:axId val="411290528"/>
        <c:axId val="411291008"/>
      </c:lineChart>
      <c:catAx>
        <c:axId val="41129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11291008"/>
        <c:crosses val="autoZero"/>
        <c:auto val="1"/>
        <c:lblAlgn val="ctr"/>
        <c:lblOffset val="100"/>
        <c:noMultiLvlLbl val="0"/>
      </c:catAx>
      <c:valAx>
        <c:axId val="41129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11290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11</xdr:col>
      <xdr:colOff>129987</xdr:colOff>
      <xdr:row>2</xdr:row>
      <xdr:rowOff>107576</xdr:rowOff>
    </xdr:from>
    <xdr:to>
      <xdr:col>24</xdr:col>
      <xdr:colOff>152399</xdr:colOff>
      <xdr:row>21</xdr:row>
      <xdr:rowOff>89646</xdr:rowOff>
    </xdr:to>
    <xdr:graphicFrame macro="">
      <xdr:nvGraphicFramePr>
        <xdr:cNvPr id="6" name="Grafik 5">
          <a:extLst>
            <a:ext uri="{FF2B5EF4-FFF2-40B4-BE49-F238E27FC236}">
              <a16:creationId xmlns:a16="http://schemas.microsoft.com/office/drawing/2014/main" id="{410783D6-E604-ECC9-E017-810C69A82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484095</xdr:colOff>
      <xdr:row>26</xdr:row>
      <xdr:rowOff>116541</xdr:rowOff>
    </xdr:from>
    <xdr:to>
      <xdr:col>23</xdr:col>
      <xdr:colOff>506507</xdr:colOff>
      <xdr:row>42</xdr:row>
      <xdr:rowOff>98612</xdr:rowOff>
    </xdr:to>
    <xdr:graphicFrame macro="">
      <xdr:nvGraphicFramePr>
        <xdr:cNvPr id="7" name="Grafik 6">
          <a:extLst>
            <a:ext uri="{FF2B5EF4-FFF2-40B4-BE49-F238E27FC236}">
              <a16:creationId xmlns:a16="http://schemas.microsoft.com/office/drawing/2014/main" id="{9A650204-F466-4627-8B38-7F6F74ED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726141</xdr:colOff>
      <xdr:row>2</xdr:row>
      <xdr:rowOff>8965</xdr:rowOff>
    </xdr:from>
    <xdr:to>
      <xdr:col>17</xdr:col>
      <xdr:colOff>68174</xdr:colOff>
      <xdr:row>21</xdr:row>
      <xdr:rowOff>113531</xdr:rowOff>
    </xdr:to>
    <xdr:graphicFrame macro="">
      <xdr:nvGraphicFramePr>
        <xdr:cNvPr id="2" name="Grafik 1">
          <a:extLst>
            <a:ext uri="{FF2B5EF4-FFF2-40B4-BE49-F238E27FC236}">
              <a16:creationId xmlns:a16="http://schemas.microsoft.com/office/drawing/2014/main" id="{B124852C-0112-45DF-8940-A253DA114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636494</xdr:colOff>
      <xdr:row>23</xdr:row>
      <xdr:rowOff>71717</xdr:rowOff>
    </xdr:from>
    <xdr:to>
      <xdr:col>13</xdr:col>
      <xdr:colOff>578293</xdr:colOff>
      <xdr:row>41</xdr:row>
      <xdr:rowOff>24582</xdr:rowOff>
    </xdr:to>
    <xdr:graphicFrame macro="">
      <xdr:nvGraphicFramePr>
        <xdr:cNvPr id="6" name="Grafik 5">
          <a:extLst>
            <a:ext uri="{FF2B5EF4-FFF2-40B4-BE49-F238E27FC236}">
              <a16:creationId xmlns:a16="http://schemas.microsoft.com/office/drawing/2014/main" id="{B4CAA7D2-5D31-4C72-BCC5-68FD34BD6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zeynep.oran/Desktop/Zeynep%20Oran/03_Mart/Takip%20Raporlar&#305;/19.03/Jira%20Worklog%20Raporlamas&#305;_2026_18.03.2026.xlsx" TargetMode="External"/><Relationship Id="rId2" Type="http://schemas.openxmlformats.org/officeDocument/2006/relationships/externalLinkPath" Target="file:///C:\Users\zeynep.oran\Desktop\Zeynep%20Oran\03_Mart\Takip%20Raporlar&#305;\19.03\Jira%20Worklog%20Raporlamas&#305;_2026_18.03.2026.xlsx" TargetMode="External"/><Relationship Id="rId1" Type="http://schemas.openxmlformats.org/officeDocument/2006/relationships/externalLinkPath" Target="/Users/zeynep.oran/Desktop/Zeynep%20Oran/03_Mart/Takip%20Raporlar&#305;/19.03/Jira%20Worklog%20Raporlamas&#305;_2026_18.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naliz"/>
      <sheetName val="Ayrıntı1"/>
      <sheetName val="Ayrıntı12"/>
      <sheetName val="Ayrıntı123"/>
      <sheetName val="özet1"/>
      <sheetName val="Sayfa2"/>
      <sheetName val="Türkkep Jira"/>
      <sheetName val="sprint durum"/>
      <sheetName val="Sayfa1"/>
      <sheetName val="genel durum"/>
    </sheetNames>
    <sheetDataSet>
      <sheetData sheetId="0"/>
      <sheetData sheetId="1"/>
      <sheetData sheetId="2"/>
      <sheetData sheetId="3"/>
      <sheetData sheetId="4"/>
      <sheetData sheetId="5"/>
      <sheetData sheetId="6"/>
      <sheetData sheetId="7"/>
      <sheetData sheetId="8"/>
      <sheetData sheetId="9">
        <row r="4">
          <cell r="H4" t="str">
            <v>Sprint 1_(02.06-13.06_Bayram Var) Doluluk Oranı</v>
          </cell>
          <cell r="M4" t="str">
            <v>Sprint 2_(16.06-27.06) Doluluk Oranı</v>
          </cell>
          <cell r="R4" t="str">
            <v>Sprint 3_(30.06-11.07) Doluluk Oranı</v>
          </cell>
          <cell r="W4" t="str">
            <v>Sprint 4_(14.07-25.07_15 Tem. Tatili Var) Doluluk Oranı</v>
          </cell>
          <cell r="AB4" t="str">
            <v>Sprint 5_(28.07_08.08) Doluluk Oranı</v>
          </cell>
          <cell r="AG4" t="str">
            <v>Sprint 6_(11-22.08) Doluluk Oranı</v>
          </cell>
          <cell r="AL4" t="str">
            <v>Sprint 7_(25.08-05.09) Doluluk Oranı</v>
          </cell>
          <cell r="AQ4" t="str">
            <v>Sprint 8_(08-19.09) Doluluk Oranı</v>
          </cell>
          <cell r="AV4" t="str">
            <v>Sprint 9_(22.09-03.10) Doluluk Oranı</v>
          </cell>
          <cell r="BA4" t="str">
            <v>Sprint 10_(06-17.10) Doluluk Oranı</v>
          </cell>
          <cell r="BF4" t="str">
            <v>Sprint 11_(20-31.10) Doluluk Oranı</v>
          </cell>
          <cell r="BK4" t="str">
            <v>Sprint 12_(03-14.11) Doluluk Oranı</v>
          </cell>
          <cell r="BP4" t="str">
            <v>Sprint 13_(17-28.11) Doluluk Oranı</v>
          </cell>
          <cell r="BU4" t="str">
            <v>Sprint 14_(01-12.12) Doluluk Oranı</v>
          </cell>
          <cell r="BZ4" t="str">
            <v>Sprint 15_(15-26.12) Doluluk Oranı</v>
          </cell>
          <cell r="CE4" t="str">
            <v>Sprint 16_(29.12-09.01) Doluluk Oranı</v>
          </cell>
          <cell r="CJ4" t="str">
            <v>Sprint 17_(12-23.01) Doluluk Oranı</v>
          </cell>
          <cell r="CO4" t="str">
            <v>Sprint 18_(26.01-06.02) Doluluk Oranı</v>
          </cell>
          <cell r="CT4" t="str">
            <v>Sprint 19_(09-20.02) Doluluk Oranı</v>
          </cell>
          <cell r="CY4" t="str">
            <v>Sprint 20_(23.02-06.03) Doluluk Oranı</v>
          </cell>
          <cell r="DD4" t="str">
            <v>Sprint 20_(09-19.4.03_Bayram var) Doluluk Oranı</v>
          </cell>
        </row>
        <row r="27">
          <cell r="H27">
            <v>0.45784411276948594</v>
          </cell>
          <cell r="M27">
            <v>0.4957973251028806</v>
          </cell>
          <cell r="R27">
            <v>0.4568240740740741</v>
          </cell>
          <cell r="W27">
            <v>0.54261545496113395</v>
          </cell>
          <cell r="AB27">
            <v>0.60393004115226334</v>
          </cell>
          <cell r="AG27">
            <v>0.5840637860082305</v>
          </cell>
          <cell r="AL27">
            <v>0.46260288065843624</v>
          </cell>
          <cell r="AQ27">
            <v>0.61955761316872426</v>
          </cell>
          <cell r="AV27">
            <v>0.54670781893004117</v>
          </cell>
          <cell r="BA27">
            <v>0.51635802469135805</v>
          </cell>
          <cell r="BF27">
            <v>0.54880174291938999</v>
          </cell>
          <cell r="BK27">
            <v>0.52417267517101129</v>
          </cell>
          <cell r="BP27">
            <v>0.47143649473100391</v>
          </cell>
          <cell r="BU27">
            <v>0.53521164021164025</v>
          </cell>
          <cell r="BZ27">
            <v>0.50233686067019401</v>
          </cell>
          <cell r="CE27">
            <v>0.52171271800901431</v>
          </cell>
          <cell r="CJ27">
            <v>0.54440035273368603</v>
          </cell>
          <cell r="CO27">
            <v>0.49761904761904763</v>
          </cell>
          <cell r="CT27">
            <v>0.42197530864197536</v>
          </cell>
          <cell r="CY27">
            <v>0.42486363636363639</v>
          </cell>
          <cell r="DD27">
            <v>0.36468855218855223</v>
          </cell>
        </row>
        <row r="30">
          <cell r="F30" t="str">
            <v>Toplam Worklog</v>
          </cell>
          <cell r="G30" t="str">
            <v xml:space="preserve">Standart Çalışma Süresi </v>
          </cell>
        </row>
        <row r="31">
          <cell r="B31" t="str">
            <v>Ceren Sertkaya</v>
          </cell>
          <cell r="C31" t="str">
            <v>can.macit</v>
          </cell>
          <cell r="F31">
            <v>1357.2966666666666</v>
          </cell>
          <cell r="G31">
            <v>1817.5</v>
          </cell>
        </row>
        <row r="32">
          <cell r="C32" t="str">
            <v>mehmetcan.olgun</v>
          </cell>
          <cell r="F32">
            <v>460.7166666666667</v>
          </cell>
          <cell r="G32">
            <v>1817.5</v>
          </cell>
        </row>
        <row r="33">
          <cell r="C33" t="str">
            <v>onder.bar</v>
          </cell>
          <cell r="F33">
            <v>217.25</v>
          </cell>
          <cell r="G33">
            <v>1817.5</v>
          </cell>
        </row>
        <row r="34">
          <cell r="C34" t="str">
            <v>ugur.dundar</v>
          </cell>
          <cell r="F34">
            <v>144.56666666666666</v>
          </cell>
          <cell r="G34">
            <v>1817.5</v>
          </cell>
        </row>
        <row r="35">
          <cell r="C35" t="str">
            <v>dogukan.oncuer</v>
          </cell>
          <cell r="F35">
            <v>243.74999999999994</v>
          </cell>
          <cell r="G35">
            <v>693</v>
          </cell>
        </row>
        <row r="36">
          <cell r="B36" t="str">
            <v>Elvan Güler</v>
          </cell>
          <cell r="C36" t="str">
            <v>batikan.ozturk</v>
          </cell>
          <cell r="F36">
            <v>369</v>
          </cell>
          <cell r="G36">
            <v>1817.5</v>
          </cell>
        </row>
        <row r="37">
          <cell r="C37" t="str">
            <v>cem.kara</v>
          </cell>
          <cell r="F37">
            <v>1210.4166666666665</v>
          </cell>
          <cell r="G37">
            <v>1817.5</v>
          </cell>
        </row>
        <row r="38">
          <cell r="C38" t="str">
            <v>emre.yilmaz</v>
          </cell>
          <cell r="F38">
            <v>1139.6666666666665</v>
          </cell>
          <cell r="G38">
            <v>1817.5</v>
          </cell>
        </row>
        <row r="39">
          <cell r="C39" t="str">
            <v>hamza.ceylan</v>
          </cell>
          <cell r="F39">
            <v>1041.9166666666667</v>
          </cell>
          <cell r="G39">
            <v>1817.5</v>
          </cell>
        </row>
        <row r="40">
          <cell r="C40" t="str">
            <v>mert.tanel</v>
          </cell>
          <cell r="F40">
            <v>1337</v>
          </cell>
          <cell r="G40">
            <v>1817.5</v>
          </cell>
        </row>
        <row r="41">
          <cell r="C41" t="str">
            <v>omer.saritoy</v>
          </cell>
          <cell r="F41">
            <v>607</v>
          </cell>
          <cell r="G41">
            <v>951.5</v>
          </cell>
        </row>
        <row r="42">
          <cell r="C42" t="str">
            <v>basak.ayverdi</v>
          </cell>
          <cell r="F42">
            <v>544.5</v>
          </cell>
          <cell r="G42">
            <v>953.5</v>
          </cell>
        </row>
        <row r="43">
          <cell r="B43" t="str">
            <v>Remzi Sefer</v>
          </cell>
          <cell r="C43" t="str">
            <v>batuhan.tufan</v>
          </cell>
          <cell r="F43">
            <v>1485.8333333333333</v>
          </cell>
          <cell r="G43">
            <v>1817.5</v>
          </cell>
        </row>
        <row r="44">
          <cell r="C44" t="str">
            <v>berrin.akan</v>
          </cell>
          <cell r="F44">
            <v>1166</v>
          </cell>
          <cell r="G44">
            <v>1817.5</v>
          </cell>
        </row>
        <row r="45">
          <cell r="C45" t="str">
            <v>gurkan.guney</v>
          </cell>
          <cell r="F45">
            <v>885.29666666666685</v>
          </cell>
          <cell r="G45">
            <v>1817.5</v>
          </cell>
        </row>
        <row r="46">
          <cell r="C46" t="str">
            <v>omer.turkmen</v>
          </cell>
          <cell r="F46">
            <v>1057.1666666666667</v>
          </cell>
          <cell r="G46">
            <v>1817.5</v>
          </cell>
        </row>
        <row r="47">
          <cell r="C47" t="str">
            <v>recep.simsek</v>
          </cell>
          <cell r="F47">
            <v>1155.5</v>
          </cell>
          <cell r="G47">
            <v>1817.5</v>
          </cell>
        </row>
        <row r="48">
          <cell r="C48" t="str">
            <v>ugur.acik</v>
          </cell>
          <cell r="F48">
            <v>411.5</v>
          </cell>
          <cell r="G48">
            <v>1817.5</v>
          </cell>
        </row>
        <row r="49">
          <cell r="C49" t="str">
            <v>melih.cesur</v>
          </cell>
          <cell r="F49">
            <v>1700.4766666666667</v>
          </cell>
          <cell r="G49">
            <v>1817.5</v>
          </cell>
        </row>
        <row r="50">
          <cell r="C50" t="str">
            <v>aysenur.bilgic</v>
          </cell>
          <cell r="F50">
            <v>72.5</v>
          </cell>
          <cell r="G50">
            <v>162</v>
          </cell>
        </row>
        <row r="51">
          <cell r="B51" t="str">
            <v>Kemal Gür</v>
          </cell>
          <cell r="C51" t="str">
            <v>ahmet.hekim</v>
          </cell>
          <cell r="F51">
            <v>1047.5</v>
          </cell>
          <cell r="G51">
            <v>1817.5</v>
          </cell>
        </row>
        <row r="52">
          <cell r="C52" t="str">
            <v>baris.tunc</v>
          </cell>
          <cell r="F52">
            <v>300.50000000000006</v>
          </cell>
          <cell r="G52">
            <v>1817.5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filterMode="1"/>
  <dimension ref="A1:O402"/>
  <sheetViews>
    <sheetView showGridLines="0" tabSelected="1" zoomScale="80" zoomScaleNormal="80" workbookViewId="0">
      <pane xSplit="3" ySplit="2" topLeftCell="D387" activePane="bottomRight" state="frozen"/>
      <selection pane="topRight" activeCell="C1" sqref="C1"/>
      <selection pane="bottomLeft" activeCell="A3" sqref="A3"/>
      <selection pane="bottomRight" activeCell="H390" sqref="H390"/>
    </sheetView>
  </sheetViews>
  <sheetFormatPr defaultRowHeight="15"/>
  <cols>
    <col min="1" max="1" width="17.140625" style="29" customWidth="1"/>
    <col min="2" max="2" width="18.7109375" customWidth="1"/>
    <col min="3" max="3" width="54.7109375" style="15" customWidth="1"/>
    <col min="4" max="4" width="24.5703125" style="214" bestFit="1" customWidth="1"/>
    <col min="5" max="5" width="18.5703125" style="214" customWidth="1"/>
    <col min="6" max="6" width="92.28515625" customWidth="1"/>
    <col min="7" max="7" width="20.42578125" customWidth="1"/>
    <col min="8" max="8" width="55.140625" style="2" customWidth="1"/>
    <col min="9" max="9" width="65.28515625" style="1" customWidth="1"/>
    <col min="10" max="11" width="16.28515625" style="15" customWidth="1"/>
    <col min="13" max="13" width="10" bestFit="1" customWidth="1"/>
    <col min="15" max="15" width="10.85546875" bestFit="1" customWidth="1"/>
  </cols>
  <sheetData>
    <row r="1" spans="1:13" ht="18.75">
      <c r="A1" s="32"/>
      <c r="B1" s="336" t="s">
        <v>158</v>
      </c>
      <c r="C1" s="337"/>
      <c r="D1" s="338"/>
      <c r="E1" s="338"/>
      <c r="F1" s="339"/>
      <c r="G1" s="339"/>
      <c r="H1" s="339"/>
      <c r="I1" s="337"/>
      <c r="J1" s="339"/>
      <c r="K1" s="340"/>
    </row>
    <row r="2" spans="1:13" s="15" customFormat="1" ht="48" thickBot="1">
      <c r="A2" s="30" t="s">
        <v>168</v>
      </c>
      <c r="B2" s="57" t="s">
        <v>0</v>
      </c>
      <c r="C2" s="58" t="s">
        <v>1</v>
      </c>
      <c r="D2" s="212" t="s">
        <v>2</v>
      </c>
      <c r="E2" s="212" t="s">
        <v>3</v>
      </c>
      <c r="F2" s="57" t="s">
        <v>4</v>
      </c>
      <c r="G2" s="57" t="s">
        <v>5</v>
      </c>
      <c r="H2" s="57" t="s">
        <v>6</v>
      </c>
      <c r="I2" s="57" t="s">
        <v>7</v>
      </c>
      <c r="J2" s="57" t="s">
        <v>8</v>
      </c>
      <c r="K2" s="57" t="s">
        <v>9</v>
      </c>
    </row>
    <row r="3" spans="1:13" ht="180.75" hidden="1" thickBot="1">
      <c r="A3" s="31">
        <v>45681</v>
      </c>
      <c r="B3" s="3" t="s">
        <v>207</v>
      </c>
      <c r="C3" s="4" t="s">
        <v>10</v>
      </c>
      <c r="D3" s="5" t="s">
        <v>11</v>
      </c>
      <c r="E3" s="6" t="s">
        <v>12</v>
      </c>
      <c r="F3" s="18" t="s">
        <v>38</v>
      </c>
      <c r="G3" s="16">
        <v>0.03</v>
      </c>
      <c r="H3" s="12" t="s">
        <v>39</v>
      </c>
      <c r="I3" s="7" t="s">
        <v>56</v>
      </c>
      <c r="J3" s="13">
        <v>45658</v>
      </c>
      <c r="K3" s="14">
        <v>46387</v>
      </c>
    </row>
    <row r="4" spans="1:13" ht="135.75" hidden="1" thickBot="1">
      <c r="A4" s="31">
        <v>45681</v>
      </c>
      <c r="B4" s="3" t="s">
        <v>14</v>
      </c>
      <c r="C4" s="4" t="s">
        <v>15</v>
      </c>
      <c r="D4" s="8" t="s">
        <v>16</v>
      </c>
      <c r="E4" s="8" t="s">
        <v>17</v>
      </c>
      <c r="F4" s="36" t="s">
        <v>117</v>
      </c>
      <c r="G4" s="16">
        <v>0.23</v>
      </c>
      <c r="H4" s="11" t="s">
        <v>40</v>
      </c>
      <c r="I4" s="9" t="s">
        <v>88</v>
      </c>
      <c r="J4" s="13">
        <v>45294</v>
      </c>
      <c r="K4" s="14">
        <v>45745</v>
      </c>
    </row>
    <row r="5" spans="1:13" ht="135.75" hidden="1" thickBot="1">
      <c r="A5" s="31">
        <v>45681</v>
      </c>
      <c r="B5" s="3" t="s">
        <v>19</v>
      </c>
      <c r="C5" s="4" t="s">
        <v>20</v>
      </c>
      <c r="D5" s="8" t="s">
        <v>21</v>
      </c>
      <c r="E5" s="8" t="s">
        <v>22</v>
      </c>
      <c r="F5" s="17" t="s">
        <v>23</v>
      </c>
      <c r="G5" s="16">
        <v>0.4</v>
      </c>
      <c r="H5" s="12" t="s">
        <v>13</v>
      </c>
      <c r="I5" s="9" t="s">
        <v>116</v>
      </c>
      <c r="J5" s="13">
        <v>45614</v>
      </c>
      <c r="K5" s="14">
        <v>45714</v>
      </c>
    </row>
    <row r="6" spans="1:13" ht="120.75" hidden="1" thickBot="1">
      <c r="A6" s="31">
        <v>45681</v>
      </c>
      <c r="B6" s="3" t="s">
        <v>162</v>
      </c>
      <c r="C6" s="4" t="s">
        <v>24</v>
      </c>
      <c r="D6" s="8" t="s">
        <v>25</v>
      </c>
      <c r="E6" s="8" t="s">
        <v>26</v>
      </c>
      <c r="F6" s="17" t="s">
        <v>27</v>
      </c>
      <c r="G6" s="16">
        <v>0.44</v>
      </c>
      <c r="H6" s="12" t="s">
        <v>13</v>
      </c>
      <c r="I6" s="9"/>
      <c r="J6" s="13">
        <v>45600</v>
      </c>
      <c r="K6" s="14">
        <v>45723</v>
      </c>
    </row>
    <row r="7" spans="1:13" ht="165.75" hidden="1" thickBot="1">
      <c r="A7" s="31">
        <v>45681</v>
      </c>
      <c r="B7" s="3" t="s">
        <v>209</v>
      </c>
      <c r="C7" s="4" t="s">
        <v>28</v>
      </c>
      <c r="D7" s="10" t="s">
        <v>29</v>
      </c>
      <c r="E7" s="8" t="s">
        <v>30</v>
      </c>
      <c r="F7" s="19" t="s">
        <v>58</v>
      </c>
      <c r="G7" s="16">
        <v>0.03</v>
      </c>
      <c r="H7" s="12" t="s">
        <v>13</v>
      </c>
      <c r="I7" s="9" t="s">
        <v>57</v>
      </c>
      <c r="J7" s="13">
        <v>45658</v>
      </c>
      <c r="K7" s="14">
        <v>46022</v>
      </c>
      <c r="L7" s="1"/>
      <c r="M7" s="1"/>
    </row>
    <row r="8" spans="1:13" ht="105.75" hidden="1" thickBot="1">
      <c r="A8" s="31">
        <v>45681</v>
      </c>
      <c r="B8" s="3" t="s">
        <v>214</v>
      </c>
      <c r="C8" s="4" t="s">
        <v>31</v>
      </c>
      <c r="D8" s="8" t="s">
        <v>16</v>
      </c>
      <c r="E8" s="8" t="s">
        <v>30</v>
      </c>
      <c r="F8" s="17" t="s">
        <v>32</v>
      </c>
      <c r="G8" s="16">
        <v>0.03</v>
      </c>
      <c r="H8" s="11" t="s">
        <v>18</v>
      </c>
      <c r="I8" s="9" t="s">
        <v>60</v>
      </c>
      <c r="J8" s="13">
        <v>45383</v>
      </c>
      <c r="K8" s="14">
        <v>45838</v>
      </c>
      <c r="L8" s="1"/>
      <c r="M8" s="1"/>
    </row>
    <row r="9" spans="1:13" ht="90.75" hidden="1" thickBot="1">
      <c r="A9" s="31">
        <v>45681</v>
      </c>
      <c r="B9" s="45" t="s">
        <v>210</v>
      </c>
      <c r="C9" s="4" t="s">
        <v>33</v>
      </c>
      <c r="D9" s="8" t="s">
        <v>34</v>
      </c>
      <c r="E9" s="8" t="s">
        <v>30</v>
      </c>
      <c r="F9" s="19" t="s">
        <v>35</v>
      </c>
      <c r="G9" s="16">
        <v>0.66</v>
      </c>
      <c r="H9" s="12" t="s">
        <v>13</v>
      </c>
      <c r="I9" s="9"/>
      <c r="J9" s="13">
        <v>45292</v>
      </c>
      <c r="K9" s="14">
        <v>45777</v>
      </c>
    </row>
    <row r="10" spans="1:13" ht="105.75" hidden="1" thickBot="1">
      <c r="A10" s="31">
        <v>45681</v>
      </c>
      <c r="B10" s="3" t="s">
        <v>211</v>
      </c>
      <c r="C10" s="4" t="s">
        <v>36</v>
      </c>
      <c r="D10" s="8" t="s">
        <v>25</v>
      </c>
      <c r="E10" s="8" t="s">
        <v>26</v>
      </c>
      <c r="F10" s="17" t="s">
        <v>37</v>
      </c>
      <c r="G10" s="16">
        <v>0.5</v>
      </c>
      <c r="H10" s="11" t="s">
        <v>18</v>
      </c>
      <c r="I10" s="9" t="s">
        <v>59</v>
      </c>
      <c r="J10" s="13">
        <v>45352</v>
      </c>
      <c r="K10" s="14">
        <v>45716</v>
      </c>
    </row>
    <row r="11" spans="1:13" ht="180.75" hidden="1" thickBot="1">
      <c r="A11" s="31">
        <v>45695</v>
      </c>
      <c r="B11" s="3" t="s">
        <v>207</v>
      </c>
      <c r="C11" s="4" t="s">
        <v>10</v>
      </c>
      <c r="D11" s="5" t="s">
        <v>129</v>
      </c>
      <c r="E11" s="6" t="s">
        <v>119</v>
      </c>
      <c r="F11" s="37" t="s">
        <v>118</v>
      </c>
      <c r="G11" s="16">
        <v>0.04</v>
      </c>
      <c r="H11" s="12" t="s">
        <v>39</v>
      </c>
      <c r="I11" s="7" t="s">
        <v>120</v>
      </c>
      <c r="J11" s="13">
        <v>45658</v>
      </c>
      <c r="K11" s="14">
        <v>46387</v>
      </c>
    </row>
    <row r="12" spans="1:13" ht="120.75" hidden="1" thickBot="1">
      <c r="A12" s="31">
        <v>45695</v>
      </c>
      <c r="B12" s="3" t="s">
        <v>14</v>
      </c>
      <c r="C12" s="4" t="s">
        <v>15</v>
      </c>
      <c r="D12" s="6" t="s">
        <v>16</v>
      </c>
      <c r="E12" s="6" t="s">
        <v>17</v>
      </c>
      <c r="F12" s="39" t="s">
        <v>126</v>
      </c>
      <c r="G12" s="16">
        <v>0.56999999999999995</v>
      </c>
      <c r="H12" s="11" t="s">
        <v>40</v>
      </c>
      <c r="I12" s="9" t="s">
        <v>88</v>
      </c>
      <c r="J12" s="13">
        <v>45294</v>
      </c>
      <c r="K12" s="14">
        <v>45745</v>
      </c>
    </row>
    <row r="13" spans="1:13" ht="105.75" hidden="1" thickBot="1">
      <c r="A13" s="31">
        <v>45695</v>
      </c>
      <c r="B13" s="3" t="s">
        <v>19</v>
      </c>
      <c r="C13" s="4" t="s">
        <v>20</v>
      </c>
      <c r="D13" s="6" t="s">
        <v>21</v>
      </c>
      <c r="E13" s="6" t="s">
        <v>22</v>
      </c>
      <c r="F13" s="40" t="s">
        <v>121</v>
      </c>
      <c r="G13" s="16">
        <v>0.7</v>
      </c>
      <c r="H13" s="12" t="s">
        <v>13</v>
      </c>
      <c r="I13" s="9" t="s">
        <v>128</v>
      </c>
      <c r="J13" s="13">
        <v>45614</v>
      </c>
      <c r="K13" s="14">
        <v>45714</v>
      </c>
    </row>
    <row r="14" spans="1:13" ht="165.75" hidden="1" thickBot="1">
      <c r="A14" s="31">
        <v>45695</v>
      </c>
      <c r="B14" s="3" t="s">
        <v>162</v>
      </c>
      <c r="C14" s="4" t="s">
        <v>24</v>
      </c>
      <c r="D14" s="6" t="s">
        <v>25</v>
      </c>
      <c r="E14" s="6" t="s">
        <v>26</v>
      </c>
      <c r="F14" s="38" t="s">
        <v>122</v>
      </c>
      <c r="G14" s="16">
        <v>0.64</v>
      </c>
      <c r="H14" s="12" t="s">
        <v>13</v>
      </c>
      <c r="I14" s="9"/>
      <c r="J14" s="13">
        <v>45600</v>
      </c>
      <c r="K14" s="14">
        <v>45723</v>
      </c>
    </row>
    <row r="15" spans="1:13" ht="90.75" hidden="1" thickBot="1">
      <c r="A15" s="31">
        <v>45695</v>
      </c>
      <c r="B15" s="3" t="s">
        <v>209</v>
      </c>
      <c r="C15" s="4" t="s">
        <v>28</v>
      </c>
      <c r="D15" s="5" t="s">
        <v>29</v>
      </c>
      <c r="E15" s="6" t="s">
        <v>30</v>
      </c>
      <c r="F15" s="39" t="s">
        <v>125</v>
      </c>
      <c r="G15" s="16">
        <v>0.03</v>
      </c>
      <c r="H15" s="12" t="s">
        <v>13</v>
      </c>
      <c r="I15" s="9" t="s">
        <v>57</v>
      </c>
      <c r="J15" s="13">
        <v>45658</v>
      </c>
      <c r="K15" s="14">
        <v>46022</v>
      </c>
    </row>
    <row r="16" spans="1:13" ht="105.75" hidden="1" thickBot="1">
      <c r="A16" s="31">
        <v>45695</v>
      </c>
      <c r="B16" s="3" t="s">
        <v>214</v>
      </c>
      <c r="C16" s="4" t="s">
        <v>31</v>
      </c>
      <c r="D16" s="6" t="s">
        <v>16</v>
      </c>
      <c r="E16" s="6" t="s">
        <v>30</v>
      </c>
      <c r="F16" s="39" t="s">
        <v>123</v>
      </c>
      <c r="G16" s="16">
        <v>0.03</v>
      </c>
      <c r="H16" s="11" t="s">
        <v>18</v>
      </c>
      <c r="I16" s="9" t="s">
        <v>60</v>
      </c>
      <c r="J16" s="13">
        <v>45383</v>
      </c>
      <c r="K16" s="14">
        <v>45838</v>
      </c>
    </row>
    <row r="17" spans="1:11" ht="90.75" hidden="1" thickBot="1">
      <c r="A17" s="31">
        <v>45695</v>
      </c>
      <c r="B17" s="45" t="s">
        <v>210</v>
      </c>
      <c r="C17" s="4" t="s">
        <v>33</v>
      </c>
      <c r="D17" s="6" t="s">
        <v>34</v>
      </c>
      <c r="E17" s="6" t="s">
        <v>30</v>
      </c>
      <c r="F17" s="39" t="s">
        <v>124</v>
      </c>
      <c r="G17" s="16">
        <v>0.66</v>
      </c>
      <c r="H17" s="12" t="s">
        <v>13</v>
      </c>
      <c r="I17" s="9"/>
      <c r="J17" s="13">
        <v>45292</v>
      </c>
      <c r="K17" s="14">
        <v>45777</v>
      </c>
    </row>
    <row r="18" spans="1:11" ht="105.75" hidden="1" thickBot="1">
      <c r="A18" s="31">
        <v>45695</v>
      </c>
      <c r="B18" s="3" t="s">
        <v>211</v>
      </c>
      <c r="C18" s="4" t="s">
        <v>36</v>
      </c>
      <c r="D18" s="6" t="s">
        <v>25</v>
      </c>
      <c r="E18" s="6" t="s">
        <v>26</v>
      </c>
      <c r="F18" s="39" t="s">
        <v>127</v>
      </c>
      <c r="G18" s="16">
        <v>0.78</v>
      </c>
      <c r="H18" s="11" t="s">
        <v>18</v>
      </c>
      <c r="I18" s="9" t="s">
        <v>59</v>
      </c>
      <c r="J18" s="13">
        <v>45352</v>
      </c>
      <c r="K18" s="14">
        <v>45716</v>
      </c>
    </row>
    <row r="19" spans="1:11" ht="135.75" hidden="1" thickBot="1">
      <c r="A19" s="31">
        <v>45709</v>
      </c>
      <c r="B19" s="3" t="s">
        <v>207</v>
      </c>
      <c r="C19" s="4" t="s">
        <v>10</v>
      </c>
      <c r="D19" s="5" t="s">
        <v>129</v>
      </c>
      <c r="E19" s="6" t="s">
        <v>119</v>
      </c>
      <c r="F19" s="63" t="s">
        <v>142</v>
      </c>
      <c r="G19" s="16">
        <v>0.05</v>
      </c>
      <c r="H19" s="11" t="s">
        <v>143</v>
      </c>
      <c r="I19" s="7" t="s">
        <v>144</v>
      </c>
      <c r="J19" s="13">
        <v>45658</v>
      </c>
      <c r="K19" s="14">
        <v>46387</v>
      </c>
    </row>
    <row r="20" spans="1:11" ht="120.75" hidden="1" thickBot="1">
      <c r="A20" s="31">
        <v>45709</v>
      </c>
      <c r="B20" s="3" t="s">
        <v>14</v>
      </c>
      <c r="C20" s="4" t="s">
        <v>15</v>
      </c>
      <c r="D20" s="6" t="s">
        <v>16</v>
      </c>
      <c r="E20" s="6" t="s">
        <v>17</v>
      </c>
      <c r="F20" s="64" t="s">
        <v>145</v>
      </c>
      <c r="G20" s="16">
        <v>0.68</v>
      </c>
      <c r="H20" s="11" t="s">
        <v>146</v>
      </c>
      <c r="I20" s="9" t="s">
        <v>88</v>
      </c>
      <c r="J20" s="13">
        <v>45294</v>
      </c>
      <c r="K20" s="14">
        <v>45745</v>
      </c>
    </row>
    <row r="21" spans="1:11" ht="90.75" hidden="1" thickBot="1">
      <c r="A21" s="31">
        <v>45709</v>
      </c>
      <c r="B21" s="3" t="s">
        <v>19</v>
      </c>
      <c r="C21" s="4" t="s">
        <v>20</v>
      </c>
      <c r="D21" s="6" t="s">
        <v>21</v>
      </c>
      <c r="E21" s="6" t="s">
        <v>22</v>
      </c>
      <c r="F21" s="77" t="s">
        <v>159</v>
      </c>
      <c r="G21" s="16">
        <v>1</v>
      </c>
      <c r="H21" s="62"/>
      <c r="I21" s="9" t="s">
        <v>147</v>
      </c>
      <c r="J21" s="13">
        <v>45614</v>
      </c>
      <c r="K21" s="14">
        <v>45714</v>
      </c>
    </row>
    <row r="22" spans="1:11" ht="120.75" hidden="1" thickBot="1">
      <c r="A22" s="31">
        <v>45709</v>
      </c>
      <c r="B22" s="3" t="s">
        <v>162</v>
      </c>
      <c r="C22" s="4" t="s">
        <v>24</v>
      </c>
      <c r="D22" s="6" t="s">
        <v>25</v>
      </c>
      <c r="E22" s="6" t="s">
        <v>26</v>
      </c>
      <c r="F22" s="78" t="s">
        <v>134</v>
      </c>
      <c r="G22" s="16">
        <v>0.64</v>
      </c>
      <c r="H22" s="12"/>
      <c r="I22" s="9"/>
      <c r="J22" s="13">
        <v>45600</v>
      </c>
      <c r="K22" s="14">
        <v>45723</v>
      </c>
    </row>
    <row r="23" spans="1:11" ht="120.75" hidden="1" thickBot="1">
      <c r="A23" s="31">
        <v>45709</v>
      </c>
      <c r="B23" s="3" t="s">
        <v>209</v>
      </c>
      <c r="C23" s="4" t="s">
        <v>28</v>
      </c>
      <c r="D23" s="5" t="s">
        <v>29</v>
      </c>
      <c r="E23" s="6" t="s">
        <v>30</v>
      </c>
      <c r="F23" s="64" t="s">
        <v>148</v>
      </c>
      <c r="G23" s="16">
        <v>0.03</v>
      </c>
      <c r="H23" s="12"/>
      <c r="I23" s="9"/>
      <c r="J23" s="13">
        <v>45658</v>
      </c>
      <c r="K23" s="14">
        <v>46022</v>
      </c>
    </row>
    <row r="24" spans="1:11" ht="90.75" hidden="1" thickBot="1">
      <c r="A24" s="31">
        <v>45709</v>
      </c>
      <c r="B24" s="3" t="s">
        <v>214</v>
      </c>
      <c r="C24" s="4" t="s">
        <v>31</v>
      </c>
      <c r="D24" s="6" t="s">
        <v>16</v>
      </c>
      <c r="E24" s="6" t="s">
        <v>30</v>
      </c>
      <c r="F24" s="64" t="s">
        <v>149</v>
      </c>
      <c r="G24" s="16">
        <v>0.04</v>
      </c>
      <c r="H24" s="11" t="s">
        <v>151</v>
      </c>
      <c r="I24" s="9" t="s">
        <v>152</v>
      </c>
      <c r="J24" s="13">
        <v>45383</v>
      </c>
      <c r="K24" s="14">
        <v>45838</v>
      </c>
    </row>
    <row r="25" spans="1:11" ht="75.75" hidden="1" thickBot="1">
      <c r="A25" s="31">
        <v>45709</v>
      </c>
      <c r="B25" s="45" t="s">
        <v>210</v>
      </c>
      <c r="C25" s="46" t="s">
        <v>33</v>
      </c>
      <c r="D25" s="47" t="s">
        <v>34</v>
      </c>
      <c r="E25" s="47" t="s">
        <v>30</v>
      </c>
      <c r="F25" s="48" t="s">
        <v>130</v>
      </c>
      <c r="G25" s="49">
        <v>0.66</v>
      </c>
      <c r="H25" s="12"/>
      <c r="I25" s="48" t="s">
        <v>131</v>
      </c>
      <c r="J25" s="50">
        <v>45292</v>
      </c>
      <c r="K25" s="14">
        <v>45777</v>
      </c>
    </row>
    <row r="26" spans="1:11" ht="105.75" hidden="1" thickBot="1">
      <c r="A26" s="31">
        <v>45709</v>
      </c>
      <c r="B26" s="3" t="s">
        <v>211</v>
      </c>
      <c r="C26" s="4" t="s">
        <v>36</v>
      </c>
      <c r="D26" s="6" t="s">
        <v>25</v>
      </c>
      <c r="E26" s="6" t="s">
        <v>26</v>
      </c>
      <c r="F26" s="39" t="s">
        <v>127</v>
      </c>
      <c r="G26" s="16">
        <v>0.85</v>
      </c>
      <c r="H26" s="41" t="s">
        <v>150</v>
      </c>
      <c r="I26" s="42" t="s">
        <v>153</v>
      </c>
      <c r="J26" s="43">
        <v>45352</v>
      </c>
      <c r="K26" s="44">
        <v>45716</v>
      </c>
    </row>
    <row r="27" spans="1:11" ht="90.75" hidden="1" thickBot="1">
      <c r="A27" s="31">
        <v>45709</v>
      </c>
      <c r="B27" s="51" t="s">
        <v>212</v>
      </c>
      <c r="C27" s="52" t="s">
        <v>139</v>
      </c>
      <c r="D27" s="53" t="s">
        <v>25</v>
      </c>
      <c r="E27" s="53" t="s">
        <v>26</v>
      </c>
      <c r="F27" s="121" t="s">
        <v>133</v>
      </c>
      <c r="G27" s="54" t="s">
        <v>137</v>
      </c>
      <c r="H27" s="54" t="s">
        <v>136</v>
      </c>
      <c r="I27" s="55"/>
      <c r="J27" s="56" t="s">
        <v>132</v>
      </c>
      <c r="K27" s="56" t="s">
        <v>132</v>
      </c>
    </row>
    <row r="28" spans="1:11" ht="90.75" hidden="1" thickBot="1">
      <c r="A28" s="31">
        <v>45709</v>
      </c>
      <c r="B28" s="3" t="s">
        <v>167</v>
      </c>
      <c r="C28" s="52" t="s">
        <v>140</v>
      </c>
      <c r="D28" s="53" t="s">
        <v>25</v>
      </c>
      <c r="E28" s="53" t="s">
        <v>26</v>
      </c>
      <c r="F28" s="92" t="s">
        <v>154</v>
      </c>
      <c r="G28" s="54" t="s">
        <v>137</v>
      </c>
      <c r="H28" s="54" t="s">
        <v>136</v>
      </c>
      <c r="I28" s="55"/>
      <c r="J28" s="56" t="s">
        <v>132</v>
      </c>
      <c r="K28" s="56" t="s">
        <v>132</v>
      </c>
    </row>
    <row r="29" spans="1:11" ht="105.75" hidden="1" thickBot="1">
      <c r="A29" s="31">
        <v>45709</v>
      </c>
      <c r="B29" s="51"/>
      <c r="C29" s="52" t="s">
        <v>141</v>
      </c>
      <c r="D29" s="53" t="s">
        <v>25</v>
      </c>
      <c r="E29" s="53" t="s">
        <v>26</v>
      </c>
      <c r="F29" s="65" t="s">
        <v>155</v>
      </c>
      <c r="G29" s="54" t="s">
        <v>137</v>
      </c>
      <c r="H29" s="54" t="s">
        <v>136</v>
      </c>
      <c r="I29" s="55"/>
      <c r="J29" s="56" t="s">
        <v>132</v>
      </c>
      <c r="K29" s="56" t="s">
        <v>132</v>
      </c>
    </row>
    <row r="30" spans="1:11" ht="240.75" hidden="1" thickBot="1">
      <c r="A30" s="31">
        <v>45723</v>
      </c>
      <c r="B30" s="3" t="s">
        <v>207</v>
      </c>
      <c r="C30" s="4" t="s">
        <v>10</v>
      </c>
      <c r="D30" s="5" t="s">
        <v>129</v>
      </c>
      <c r="E30" s="6" t="s">
        <v>119</v>
      </c>
      <c r="F30" s="82" t="s">
        <v>169</v>
      </c>
      <c r="G30" s="16">
        <v>0.05</v>
      </c>
      <c r="H30" s="91" t="s">
        <v>181</v>
      </c>
      <c r="I30" s="7" t="s">
        <v>170</v>
      </c>
      <c r="J30" s="13">
        <v>45658</v>
      </c>
      <c r="K30" s="14">
        <v>46387</v>
      </c>
    </row>
    <row r="31" spans="1:11" ht="120.75" hidden="1" thickBot="1">
      <c r="A31" s="31">
        <v>45723</v>
      </c>
      <c r="B31" s="3" t="s">
        <v>161</v>
      </c>
      <c r="C31" s="4" t="s">
        <v>15</v>
      </c>
      <c r="D31" s="6" t="s">
        <v>16</v>
      </c>
      <c r="E31" s="6" t="s">
        <v>17</v>
      </c>
      <c r="F31" s="89" t="s">
        <v>177</v>
      </c>
      <c r="G31" s="16">
        <v>0.68</v>
      </c>
      <c r="H31" s="11" t="s">
        <v>146</v>
      </c>
      <c r="I31" s="9" t="s">
        <v>176</v>
      </c>
      <c r="J31" s="13">
        <v>45294</v>
      </c>
      <c r="K31" s="14">
        <v>45745</v>
      </c>
    </row>
    <row r="32" spans="1:11" ht="60.75" hidden="1" thickBot="1">
      <c r="A32" s="31">
        <v>45723</v>
      </c>
      <c r="B32" s="3" t="s">
        <v>163</v>
      </c>
      <c r="C32" s="4" t="s">
        <v>20</v>
      </c>
      <c r="D32" s="6" t="s">
        <v>21</v>
      </c>
      <c r="E32" s="6" t="s">
        <v>22</v>
      </c>
      <c r="F32" s="77" t="s">
        <v>160</v>
      </c>
      <c r="G32" s="16">
        <v>1</v>
      </c>
      <c r="H32" s="80" t="s">
        <v>216</v>
      </c>
      <c r="I32" s="9"/>
      <c r="J32" s="13">
        <v>45614</v>
      </c>
      <c r="K32" s="14">
        <v>45714</v>
      </c>
    </row>
    <row r="33" spans="1:15" ht="120.75" hidden="1" thickBot="1">
      <c r="A33" s="31">
        <v>45723</v>
      </c>
      <c r="B33" s="3" t="s">
        <v>162</v>
      </c>
      <c r="C33" s="4" t="s">
        <v>24</v>
      </c>
      <c r="D33" s="6" t="s">
        <v>25</v>
      </c>
      <c r="E33" s="6" t="s">
        <v>26</v>
      </c>
      <c r="F33" s="83" t="s">
        <v>171</v>
      </c>
      <c r="G33" s="16">
        <v>0.66</v>
      </c>
      <c r="H33" s="84" t="s">
        <v>172</v>
      </c>
      <c r="I33" s="9"/>
      <c r="J33" s="13">
        <v>45600</v>
      </c>
      <c r="K33" s="14">
        <v>45744</v>
      </c>
    </row>
    <row r="34" spans="1:15" ht="135.75" hidden="1" thickBot="1">
      <c r="A34" s="31">
        <v>45723</v>
      </c>
      <c r="B34" s="3" t="s">
        <v>209</v>
      </c>
      <c r="C34" s="4" t="s">
        <v>28</v>
      </c>
      <c r="D34" s="5" t="s">
        <v>29</v>
      </c>
      <c r="E34" s="6" t="s">
        <v>30</v>
      </c>
      <c r="F34" s="83" t="s">
        <v>173</v>
      </c>
      <c r="G34" s="16">
        <v>0.03</v>
      </c>
      <c r="H34" s="10"/>
      <c r="I34" s="9"/>
      <c r="J34" s="13">
        <v>45658</v>
      </c>
      <c r="K34" s="14">
        <v>46022</v>
      </c>
    </row>
    <row r="35" spans="1:15" ht="90.75" hidden="1" thickBot="1">
      <c r="A35" s="31">
        <v>45723</v>
      </c>
      <c r="B35" s="3" t="s">
        <v>214</v>
      </c>
      <c r="C35" s="4" t="s">
        <v>31</v>
      </c>
      <c r="D35" s="6" t="s">
        <v>16</v>
      </c>
      <c r="E35" s="6" t="s">
        <v>30</v>
      </c>
      <c r="F35" s="85" t="s">
        <v>149</v>
      </c>
      <c r="G35" s="16">
        <v>0.04</v>
      </c>
      <c r="H35" s="11" t="s">
        <v>151</v>
      </c>
      <c r="I35" s="9" t="s">
        <v>182</v>
      </c>
      <c r="J35" s="13">
        <v>45383</v>
      </c>
      <c r="K35" s="14">
        <v>45838</v>
      </c>
    </row>
    <row r="36" spans="1:15" ht="90.75" hidden="1" thickBot="1">
      <c r="A36" s="31">
        <v>45723</v>
      </c>
      <c r="B36" s="45" t="s">
        <v>210</v>
      </c>
      <c r="C36" s="46" t="s">
        <v>33</v>
      </c>
      <c r="D36" s="47" t="s">
        <v>34</v>
      </c>
      <c r="E36" s="47" t="s">
        <v>30</v>
      </c>
      <c r="F36" s="86" t="s">
        <v>130</v>
      </c>
      <c r="G36" s="49">
        <v>0.66</v>
      </c>
      <c r="H36" s="79" t="s">
        <v>164</v>
      </c>
      <c r="I36" s="48" t="s">
        <v>174</v>
      </c>
      <c r="J36" s="50">
        <v>45292</v>
      </c>
      <c r="K36" s="14">
        <v>45777</v>
      </c>
    </row>
    <row r="37" spans="1:15" ht="105.75" hidden="1" thickBot="1">
      <c r="A37" s="31">
        <v>45723</v>
      </c>
      <c r="B37" s="3" t="s">
        <v>211</v>
      </c>
      <c r="C37" s="4" t="s">
        <v>36</v>
      </c>
      <c r="D37" s="6" t="s">
        <v>25</v>
      </c>
      <c r="E37" s="6" t="s">
        <v>26</v>
      </c>
      <c r="F37" s="81" t="s">
        <v>165</v>
      </c>
      <c r="G37" s="16">
        <v>1</v>
      </c>
      <c r="H37" s="62" t="s">
        <v>217</v>
      </c>
      <c r="I37" s="42"/>
      <c r="J37" s="43">
        <v>45352</v>
      </c>
      <c r="K37" s="44">
        <v>45716</v>
      </c>
    </row>
    <row r="38" spans="1:15" ht="105.75" hidden="1" thickBot="1">
      <c r="A38" s="31">
        <v>45723</v>
      </c>
      <c r="B38" s="3" t="s">
        <v>212</v>
      </c>
      <c r="C38" s="4" t="s">
        <v>183</v>
      </c>
      <c r="D38" s="5" t="s">
        <v>166</v>
      </c>
      <c r="E38" s="6" t="s">
        <v>26</v>
      </c>
      <c r="F38" s="89" t="s">
        <v>178</v>
      </c>
      <c r="G38" s="87">
        <v>0.06</v>
      </c>
      <c r="H38" s="87"/>
      <c r="I38" s="88"/>
      <c r="J38" s="43">
        <v>45719</v>
      </c>
      <c r="K38" s="44">
        <v>45807</v>
      </c>
      <c r="O38" s="29"/>
    </row>
    <row r="39" spans="1:15" ht="90.75" hidden="1" thickBot="1">
      <c r="A39" s="31">
        <v>45723</v>
      </c>
      <c r="B39" s="3" t="s">
        <v>167</v>
      </c>
      <c r="C39" s="4" t="s">
        <v>184</v>
      </c>
      <c r="D39" s="5" t="s">
        <v>166</v>
      </c>
      <c r="E39" s="6" t="s">
        <v>26</v>
      </c>
      <c r="F39" s="89" t="s">
        <v>179</v>
      </c>
      <c r="G39" s="87">
        <v>0.04</v>
      </c>
      <c r="H39" s="87"/>
      <c r="I39" s="88"/>
      <c r="J39" s="43">
        <v>45719</v>
      </c>
      <c r="K39" s="44">
        <v>45807</v>
      </c>
    </row>
    <row r="40" spans="1:15" ht="90.75" hidden="1" thickBot="1">
      <c r="A40" s="31">
        <v>45723</v>
      </c>
      <c r="B40" s="3" t="s">
        <v>208</v>
      </c>
      <c r="C40" s="4" t="s">
        <v>185</v>
      </c>
      <c r="D40" s="5" t="s">
        <v>166</v>
      </c>
      <c r="E40" s="6" t="s">
        <v>26</v>
      </c>
      <c r="F40" s="89" t="s">
        <v>180</v>
      </c>
      <c r="G40" s="87">
        <v>0.04</v>
      </c>
      <c r="H40" s="87"/>
      <c r="I40" s="88"/>
      <c r="J40" s="43">
        <v>45719</v>
      </c>
      <c r="K40" s="44">
        <v>45807</v>
      </c>
      <c r="O40" s="90"/>
    </row>
    <row r="41" spans="1:15" ht="90.75" hidden="1" thickBot="1">
      <c r="A41" s="31">
        <v>45723</v>
      </c>
      <c r="B41" s="51" t="s">
        <v>213</v>
      </c>
      <c r="C41" s="52" t="s">
        <v>186</v>
      </c>
      <c r="D41" s="53"/>
      <c r="E41" s="53" t="s">
        <v>26</v>
      </c>
      <c r="F41" s="92" t="s">
        <v>187</v>
      </c>
      <c r="G41" s="54" t="s">
        <v>137</v>
      </c>
      <c r="H41" s="54" t="s">
        <v>136</v>
      </c>
      <c r="I41" s="55"/>
      <c r="J41" s="56" t="s">
        <v>132</v>
      </c>
      <c r="K41" s="56" t="s">
        <v>132</v>
      </c>
      <c r="O41" s="90"/>
    </row>
    <row r="42" spans="1:15" ht="271.14999999999998" hidden="1" customHeight="1" thickBot="1">
      <c r="A42" s="31">
        <v>45737</v>
      </c>
      <c r="B42" s="3" t="s">
        <v>207</v>
      </c>
      <c r="C42" s="4" t="s">
        <v>10</v>
      </c>
      <c r="D42" s="5" t="s">
        <v>129</v>
      </c>
      <c r="E42" s="6" t="s">
        <v>119</v>
      </c>
      <c r="F42" s="100" t="s">
        <v>206</v>
      </c>
      <c r="G42" s="95">
        <v>0.06</v>
      </c>
      <c r="H42" s="96" t="s">
        <v>197</v>
      </c>
      <c r="I42" s="7" t="s">
        <v>203</v>
      </c>
      <c r="J42" s="13">
        <v>45658</v>
      </c>
      <c r="K42" s="14">
        <v>46387</v>
      </c>
    </row>
    <row r="43" spans="1:15" ht="127.9" hidden="1" customHeight="1" thickBot="1">
      <c r="A43" s="31">
        <v>45737</v>
      </c>
      <c r="B43" s="3" t="s">
        <v>161</v>
      </c>
      <c r="C43" s="4" t="s">
        <v>15</v>
      </c>
      <c r="D43" s="6" t="s">
        <v>16</v>
      </c>
      <c r="E43" s="6" t="s">
        <v>17</v>
      </c>
      <c r="F43" s="97" t="s">
        <v>199</v>
      </c>
      <c r="G43" s="95">
        <v>0.68</v>
      </c>
      <c r="H43" s="11" t="s">
        <v>198</v>
      </c>
      <c r="I43" s="9" t="s">
        <v>176</v>
      </c>
      <c r="J43" s="13">
        <v>45294</v>
      </c>
      <c r="K43" s="14">
        <v>45745</v>
      </c>
    </row>
    <row r="44" spans="1:15" ht="144" hidden="1" customHeight="1" thickBot="1">
      <c r="A44" s="31">
        <v>45737</v>
      </c>
      <c r="B44" s="3" t="s">
        <v>162</v>
      </c>
      <c r="C44" s="4" t="s">
        <v>24</v>
      </c>
      <c r="D44" s="6" t="s">
        <v>25</v>
      </c>
      <c r="E44" s="6" t="s">
        <v>26</v>
      </c>
      <c r="F44" s="97" t="s">
        <v>200</v>
      </c>
      <c r="G44" s="95">
        <v>0.66</v>
      </c>
      <c r="H44" s="84" t="s">
        <v>172</v>
      </c>
      <c r="I44" s="9"/>
      <c r="J44" s="13">
        <v>45600</v>
      </c>
      <c r="K44" s="14">
        <v>45744</v>
      </c>
    </row>
    <row r="45" spans="1:15" ht="90.75" hidden="1" thickBot="1">
      <c r="A45" s="31">
        <v>45737</v>
      </c>
      <c r="B45" s="3" t="s">
        <v>209</v>
      </c>
      <c r="C45" s="4" t="s">
        <v>28</v>
      </c>
      <c r="D45" s="5" t="s">
        <v>29</v>
      </c>
      <c r="E45" s="6" t="s">
        <v>30</v>
      </c>
      <c r="F45" s="93" t="s">
        <v>191</v>
      </c>
      <c r="G45" s="95">
        <v>0.03</v>
      </c>
      <c r="H45" s="10"/>
      <c r="I45" s="9"/>
      <c r="J45" s="13">
        <v>45658</v>
      </c>
      <c r="K45" s="14">
        <v>46022</v>
      </c>
    </row>
    <row r="46" spans="1:15" ht="108.6" hidden="1" customHeight="1" thickBot="1">
      <c r="A46" s="31">
        <v>45737</v>
      </c>
      <c r="B46" s="3" t="s">
        <v>214</v>
      </c>
      <c r="C46" s="4" t="s">
        <v>31</v>
      </c>
      <c r="D46" s="6" t="s">
        <v>16</v>
      </c>
      <c r="E46" s="6" t="s">
        <v>30</v>
      </c>
      <c r="F46" s="98" t="s">
        <v>204</v>
      </c>
      <c r="G46" s="95">
        <v>0.04</v>
      </c>
      <c r="H46" s="11" t="s">
        <v>151</v>
      </c>
      <c r="I46" s="9" t="s">
        <v>182</v>
      </c>
      <c r="J46" s="13">
        <v>45383</v>
      </c>
      <c r="K46" s="14">
        <v>45838</v>
      </c>
    </row>
    <row r="47" spans="1:15" ht="105.75" hidden="1" thickBot="1">
      <c r="A47" s="31">
        <v>45737</v>
      </c>
      <c r="B47" s="45" t="s">
        <v>210</v>
      </c>
      <c r="C47" s="46" t="s">
        <v>33</v>
      </c>
      <c r="D47" s="47" t="s">
        <v>34</v>
      </c>
      <c r="E47" s="47" t="s">
        <v>30</v>
      </c>
      <c r="F47" s="86" t="s">
        <v>201</v>
      </c>
      <c r="G47" s="49">
        <v>0.66</v>
      </c>
      <c r="H47" s="99" t="s">
        <v>205</v>
      </c>
      <c r="I47" s="48" t="s">
        <v>174</v>
      </c>
      <c r="J47" s="50">
        <v>45292</v>
      </c>
      <c r="K47" s="14">
        <v>45777</v>
      </c>
    </row>
    <row r="48" spans="1:15" ht="139.9" hidden="1" customHeight="1" thickBot="1">
      <c r="A48" s="31">
        <v>45737</v>
      </c>
      <c r="B48" s="3" t="s">
        <v>212</v>
      </c>
      <c r="C48" s="4" t="s">
        <v>183</v>
      </c>
      <c r="D48" s="5" t="s">
        <v>166</v>
      </c>
      <c r="E48" s="6" t="s">
        <v>26</v>
      </c>
      <c r="F48" s="93" t="s">
        <v>189</v>
      </c>
      <c r="G48" s="87">
        <v>0.2</v>
      </c>
      <c r="H48" s="87"/>
      <c r="I48" s="88"/>
      <c r="J48" s="43">
        <v>45719</v>
      </c>
      <c r="K48" s="44">
        <v>45807</v>
      </c>
      <c r="O48" s="29"/>
    </row>
    <row r="49" spans="1:15" ht="90.75" hidden="1" thickBot="1">
      <c r="A49" s="31">
        <v>45737</v>
      </c>
      <c r="B49" s="3" t="s">
        <v>215</v>
      </c>
      <c r="C49" s="4" t="s">
        <v>184</v>
      </c>
      <c r="D49" s="5" t="s">
        <v>166</v>
      </c>
      <c r="E49" s="6" t="s">
        <v>26</v>
      </c>
      <c r="F49" s="93" t="s">
        <v>188</v>
      </c>
      <c r="G49" s="87">
        <v>0.15</v>
      </c>
      <c r="H49" s="87"/>
      <c r="I49" s="88"/>
      <c r="J49" s="43">
        <v>45719</v>
      </c>
      <c r="K49" s="44">
        <v>45807</v>
      </c>
    </row>
    <row r="50" spans="1:15" ht="90.75" hidden="1" thickBot="1">
      <c r="A50" s="31">
        <v>45737</v>
      </c>
      <c r="B50" s="3" t="s">
        <v>208</v>
      </c>
      <c r="C50" s="4" t="s">
        <v>185</v>
      </c>
      <c r="D50" s="5" t="s">
        <v>166</v>
      </c>
      <c r="E50" s="6" t="s">
        <v>26</v>
      </c>
      <c r="F50" s="97" t="s">
        <v>202</v>
      </c>
      <c r="G50" s="87" t="s">
        <v>137</v>
      </c>
      <c r="H50" s="87"/>
      <c r="I50" s="88"/>
      <c r="J50" s="43">
        <v>45719</v>
      </c>
      <c r="K50" s="44">
        <v>45807</v>
      </c>
      <c r="O50" s="90"/>
    </row>
    <row r="51" spans="1:15" ht="99.6" hidden="1" customHeight="1" thickBot="1">
      <c r="A51" s="31">
        <v>45737</v>
      </c>
      <c r="B51" s="3" t="s">
        <v>213</v>
      </c>
      <c r="C51" s="4" t="s">
        <v>186</v>
      </c>
      <c r="D51" s="5" t="s">
        <v>190</v>
      </c>
      <c r="E51" s="6" t="s">
        <v>26</v>
      </c>
      <c r="F51" s="94" t="s">
        <v>196</v>
      </c>
      <c r="G51" s="87" t="s">
        <v>137</v>
      </c>
      <c r="H51" s="87" t="s">
        <v>136</v>
      </c>
      <c r="I51" s="88"/>
      <c r="J51" s="56" t="s">
        <v>132</v>
      </c>
      <c r="K51" s="56" t="s">
        <v>132</v>
      </c>
      <c r="O51" s="90"/>
    </row>
    <row r="52" spans="1:15" ht="291.75" hidden="1" customHeight="1" thickBot="1">
      <c r="A52" s="31">
        <v>45751</v>
      </c>
      <c r="B52" s="3" t="s">
        <v>207</v>
      </c>
      <c r="C52" s="4" t="s">
        <v>10</v>
      </c>
      <c r="D52" s="5" t="s">
        <v>129</v>
      </c>
      <c r="E52" s="6" t="s">
        <v>119</v>
      </c>
      <c r="F52" s="107" t="s">
        <v>236</v>
      </c>
      <c r="G52" s="95">
        <v>0.06</v>
      </c>
      <c r="H52" s="96" t="s">
        <v>197</v>
      </c>
      <c r="I52" s="7" t="s">
        <v>224</v>
      </c>
      <c r="J52" s="13">
        <v>45658</v>
      </c>
      <c r="K52" s="14">
        <v>46387</v>
      </c>
    </row>
    <row r="53" spans="1:15" ht="150.6" hidden="1" customHeight="1" thickBot="1">
      <c r="A53" s="31">
        <v>45751</v>
      </c>
      <c r="B53" s="3" t="s">
        <v>161</v>
      </c>
      <c r="C53" s="4" t="s">
        <v>15</v>
      </c>
      <c r="D53" s="6" t="s">
        <v>16</v>
      </c>
      <c r="E53" s="6" t="s">
        <v>17</v>
      </c>
      <c r="F53" s="106" t="s">
        <v>234</v>
      </c>
      <c r="G53" s="95"/>
      <c r="H53" s="9" t="s">
        <v>225</v>
      </c>
      <c r="I53" s="9"/>
      <c r="J53" s="13">
        <v>45294</v>
      </c>
      <c r="K53" s="14">
        <v>45745</v>
      </c>
    </row>
    <row r="54" spans="1:15" ht="144" hidden="1" customHeight="1" thickBot="1">
      <c r="A54" s="31">
        <v>45751</v>
      </c>
      <c r="B54" s="3" t="s">
        <v>162</v>
      </c>
      <c r="C54" s="4" t="s">
        <v>24</v>
      </c>
      <c r="D54" s="6" t="s">
        <v>25</v>
      </c>
      <c r="E54" s="6" t="s">
        <v>26</v>
      </c>
      <c r="F54" s="106" t="s">
        <v>235</v>
      </c>
      <c r="G54" s="95"/>
      <c r="H54" s="9" t="s">
        <v>225</v>
      </c>
      <c r="I54" s="9"/>
      <c r="J54" s="13">
        <v>45600</v>
      </c>
      <c r="K54" s="14">
        <v>45744</v>
      </c>
    </row>
    <row r="55" spans="1:15" ht="164.45" hidden="1" customHeight="1" thickBot="1">
      <c r="A55" s="31">
        <v>45751</v>
      </c>
      <c r="B55" s="3" t="s">
        <v>209</v>
      </c>
      <c r="C55" s="4" t="s">
        <v>28</v>
      </c>
      <c r="D55" s="5" t="s">
        <v>29</v>
      </c>
      <c r="E55" s="6" t="s">
        <v>30</v>
      </c>
      <c r="F55" s="104" t="s">
        <v>226</v>
      </c>
      <c r="G55" s="95">
        <v>0.04</v>
      </c>
      <c r="H55" s="10"/>
      <c r="I55" s="9"/>
      <c r="J55" s="13">
        <v>45658</v>
      </c>
      <c r="K55" s="14">
        <v>46022</v>
      </c>
    </row>
    <row r="56" spans="1:15" ht="124.15" hidden="1" customHeight="1" thickBot="1">
      <c r="A56" s="31">
        <v>45751</v>
      </c>
      <c r="B56" s="3" t="s">
        <v>214</v>
      </c>
      <c r="C56" s="4" t="s">
        <v>31</v>
      </c>
      <c r="D56" s="6" t="s">
        <v>16</v>
      </c>
      <c r="E56" s="6" t="s">
        <v>30</v>
      </c>
      <c r="F56" s="105" t="s">
        <v>230</v>
      </c>
      <c r="G56" s="95">
        <v>0.04</v>
      </c>
      <c r="H56" s="11" t="s">
        <v>151</v>
      </c>
      <c r="I56" s="9" t="s">
        <v>231</v>
      </c>
      <c r="J56" s="13">
        <v>45383</v>
      </c>
      <c r="K56" s="14">
        <v>45838</v>
      </c>
    </row>
    <row r="57" spans="1:15" ht="105.75" hidden="1" thickBot="1">
      <c r="A57" s="31">
        <v>45751</v>
      </c>
      <c r="B57" s="45" t="s">
        <v>210</v>
      </c>
      <c r="C57" s="46" t="s">
        <v>33</v>
      </c>
      <c r="D57" s="47" t="s">
        <v>34</v>
      </c>
      <c r="E57" s="47" t="s">
        <v>30</v>
      </c>
      <c r="F57" s="86" t="s">
        <v>201</v>
      </c>
      <c r="G57" s="49">
        <v>0.66</v>
      </c>
      <c r="H57" s="99" t="s">
        <v>205</v>
      </c>
      <c r="I57" s="48" t="s">
        <v>174</v>
      </c>
      <c r="J57" s="102">
        <v>45292</v>
      </c>
      <c r="K57" s="44">
        <v>45777</v>
      </c>
    </row>
    <row r="58" spans="1:15" ht="139.9" hidden="1" customHeight="1" thickBot="1">
      <c r="A58" s="31">
        <v>45751</v>
      </c>
      <c r="B58" s="3" t="s">
        <v>212</v>
      </c>
      <c r="C58" s="4" t="s">
        <v>183</v>
      </c>
      <c r="D58" s="5" t="s">
        <v>166</v>
      </c>
      <c r="E58" s="6" t="s">
        <v>26</v>
      </c>
      <c r="F58" s="104" t="s">
        <v>227</v>
      </c>
      <c r="G58" s="87">
        <v>0.25</v>
      </c>
      <c r="H58" s="87"/>
      <c r="I58" s="88"/>
      <c r="J58" s="103">
        <v>45719</v>
      </c>
      <c r="K58" s="103">
        <v>45807</v>
      </c>
      <c r="O58" s="29"/>
    </row>
    <row r="59" spans="1:15" ht="105.75" hidden="1" thickBot="1">
      <c r="A59" s="31">
        <v>45751</v>
      </c>
      <c r="B59" s="3" t="s">
        <v>215</v>
      </c>
      <c r="C59" s="4" t="s">
        <v>184</v>
      </c>
      <c r="D59" s="5" t="s">
        <v>166</v>
      </c>
      <c r="E59" s="6" t="s">
        <v>26</v>
      </c>
      <c r="F59" s="101" t="s">
        <v>218</v>
      </c>
      <c r="G59" s="87">
        <v>0.2</v>
      </c>
      <c r="H59" s="87"/>
      <c r="I59" s="88"/>
      <c r="J59" s="103">
        <v>45719</v>
      </c>
      <c r="K59" s="103">
        <v>45807</v>
      </c>
    </row>
    <row r="60" spans="1:15" ht="99.6" hidden="1" customHeight="1" thickBot="1">
      <c r="A60" s="31">
        <v>45751</v>
      </c>
      <c r="B60" s="3" t="s">
        <v>213</v>
      </c>
      <c r="C60" s="4" t="s">
        <v>186</v>
      </c>
      <c r="D60" s="5" t="s">
        <v>190</v>
      </c>
      <c r="E60" s="6" t="s">
        <v>26</v>
      </c>
      <c r="F60" s="120" t="s">
        <v>219</v>
      </c>
      <c r="G60" s="87">
        <v>0.2</v>
      </c>
      <c r="H60" s="87"/>
      <c r="I60" s="88"/>
      <c r="J60" s="103">
        <v>45740</v>
      </c>
      <c r="K60" s="103">
        <v>45778</v>
      </c>
      <c r="O60" s="90"/>
    </row>
    <row r="61" spans="1:15" ht="100.9" hidden="1" customHeight="1" thickBot="1">
      <c r="A61" s="31">
        <v>45751</v>
      </c>
      <c r="B61" s="3" t="s">
        <v>221</v>
      </c>
      <c r="C61" s="4" t="s">
        <v>220</v>
      </c>
      <c r="D61" s="5" t="s">
        <v>223</v>
      </c>
      <c r="E61" s="6" t="s">
        <v>26</v>
      </c>
      <c r="F61" s="104" t="s">
        <v>228</v>
      </c>
      <c r="G61" s="87">
        <v>0.15</v>
      </c>
      <c r="H61" s="87"/>
      <c r="I61" s="88"/>
      <c r="J61" s="103">
        <v>45740</v>
      </c>
      <c r="K61" s="103">
        <v>45778</v>
      </c>
    </row>
    <row r="62" spans="1:15" ht="100.9" hidden="1" customHeight="1" thickBot="1">
      <c r="A62" s="31">
        <v>45751</v>
      </c>
      <c r="B62" s="3" t="s">
        <v>222</v>
      </c>
      <c r="C62" s="4" t="s">
        <v>229</v>
      </c>
      <c r="D62" s="5" t="s">
        <v>25</v>
      </c>
      <c r="E62" s="6" t="s">
        <v>26</v>
      </c>
      <c r="F62" s="169" t="s">
        <v>232</v>
      </c>
      <c r="G62" s="87" t="s">
        <v>137</v>
      </c>
      <c r="H62" s="87" t="s">
        <v>136</v>
      </c>
      <c r="I62" s="88"/>
      <c r="J62" s="103" t="s">
        <v>132</v>
      </c>
      <c r="K62" s="103" t="s">
        <v>132</v>
      </c>
    </row>
    <row r="63" spans="1:15" ht="291.75" hidden="1" customHeight="1" thickBot="1">
      <c r="A63" s="31">
        <v>45765</v>
      </c>
      <c r="B63" s="3" t="s">
        <v>207</v>
      </c>
      <c r="C63" s="4" t="s">
        <v>10</v>
      </c>
      <c r="D63" s="5" t="s">
        <v>129</v>
      </c>
      <c r="E63" s="6" t="s">
        <v>119</v>
      </c>
      <c r="F63" s="109" t="s">
        <v>238</v>
      </c>
      <c r="G63" s="95">
        <v>0.06</v>
      </c>
      <c r="H63" s="110" t="s">
        <v>239</v>
      </c>
      <c r="I63" s="7" t="s">
        <v>240</v>
      </c>
      <c r="J63" s="13">
        <v>45658</v>
      </c>
      <c r="K63" s="14">
        <v>46387</v>
      </c>
    </row>
    <row r="64" spans="1:15" ht="255.75" hidden="1" customHeight="1" thickBot="1">
      <c r="A64" s="31">
        <v>45765</v>
      </c>
      <c r="B64" s="3" t="s">
        <v>209</v>
      </c>
      <c r="C64" s="4" t="s">
        <v>28</v>
      </c>
      <c r="D64" s="5" t="s">
        <v>29</v>
      </c>
      <c r="E64" s="6" t="s">
        <v>30</v>
      </c>
      <c r="F64" s="109" t="s">
        <v>241</v>
      </c>
      <c r="G64" s="95">
        <v>0.04</v>
      </c>
      <c r="H64" s="10"/>
      <c r="I64" s="9"/>
      <c r="J64" s="13">
        <v>45658</v>
      </c>
      <c r="K64" s="14">
        <v>46022</v>
      </c>
    </row>
    <row r="65" spans="1:15" ht="172.5" hidden="1" customHeight="1" thickBot="1">
      <c r="A65" s="31">
        <v>45765</v>
      </c>
      <c r="B65" s="3" t="s">
        <v>214</v>
      </c>
      <c r="C65" s="4" t="s">
        <v>31</v>
      </c>
      <c r="D65" s="6" t="s">
        <v>16</v>
      </c>
      <c r="E65" s="6" t="s">
        <v>30</v>
      </c>
      <c r="F65" s="111" t="s">
        <v>242</v>
      </c>
      <c r="G65" s="95">
        <v>0.04</v>
      </c>
      <c r="H65" s="11" t="s">
        <v>151</v>
      </c>
      <c r="I65" s="9" t="s">
        <v>243</v>
      </c>
      <c r="J65" s="13">
        <v>45383</v>
      </c>
      <c r="K65" s="14">
        <v>45838</v>
      </c>
    </row>
    <row r="66" spans="1:15" ht="173.25" hidden="1" customHeight="1" thickBot="1">
      <c r="A66" s="31">
        <v>45765</v>
      </c>
      <c r="B66" s="45" t="s">
        <v>210</v>
      </c>
      <c r="C66" s="46" t="s">
        <v>33</v>
      </c>
      <c r="D66" s="47" t="s">
        <v>34</v>
      </c>
      <c r="E66" s="47" t="s">
        <v>30</v>
      </c>
      <c r="F66" s="86" t="s">
        <v>244</v>
      </c>
      <c r="G66" s="49">
        <v>0.66</v>
      </c>
      <c r="H66" s="108" t="s">
        <v>237</v>
      </c>
      <c r="I66" s="48" t="s">
        <v>245</v>
      </c>
      <c r="J66" s="102">
        <v>45292</v>
      </c>
      <c r="K66" s="44">
        <v>45838</v>
      </c>
    </row>
    <row r="67" spans="1:15" ht="185.25" hidden="1" customHeight="1" thickBot="1">
      <c r="A67" s="31">
        <v>45765</v>
      </c>
      <c r="B67" s="3" t="s">
        <v>212</v>
      </c>
      <c r="C67" s="4" t="s">
        <v>183</v>
      </c>
      <c r="D67" s="5" t="s">
        <v>166</v>
      </c>
      <c r="E67" s="6" t="s">
        <v>26</v>
      </c>
      <c r="F67" s="109" t="s">
        <v>246</v>
      </c>
      <c r="G67" s="87">
        <v>0.25</v>
      </c>
      <c r="H67" s="87"/>
      <c r="I67" s="88"/>
      <c r="J67" s="103">
        <v>45719</v>
      </c>
      <c r="K67" s="103">
        <v>45807</v>
      </c>
      <c r="O67" s="29"/>
    </row>
    <row r="68" spans="1:15" ht="124.5" hidden="1" customHeight="1" thickBot="1">
      <c r="A68" s="31">
        <v>45765</v>
      </c>
      <c r="B68" s="3" t="s">
        <v>215</v>
      </c>
      <c r="C68" s="4" t="s">
        <v>184</v>
      </c>
      <c r="D68" s="5" t="s">
        <v>166</v>
      </c>
      <c r="E68" s="6" t="s">
        <v>26</v>
      </c>
      <c r="F68" s="101" t="s">
        <v>218</v>
      </c>
      <c r="G68" s="87">
        <v>0.2</v>
      </c>
      <c r="H68" s="87"/>
      <c r="I68" s="88"/>
      <c r="J68" s="103">
        <v>45719</v>
      </c>
      <c r="K68" s="103">
        <v>45807</v>
      </c>
    </row>
    <row r="69" spans="1:15" ht="117.75" hidden="1" customHeight="1" thickBot="1">
      <c r="A69" s="31">
        <v>45765</v>
      </c>
      <c r="B69" s="3" t="s">
        <v>213</v>
      </c>
      <c r="C69" s="4" t="s">
        <v>186</v>
      </c>
      <c r="D69" s="5" t="s">
        <v>190</v>
      </c>
      <c r="E69" s="6" t="s">
        <v>26</v>
      </c>
      <c r="F69" s="109" t="s">
        <v>247</v>
      </c>
      <c r="G69" s="87">
        <v>0.2</v>
      </c>
      <c r="H69" s="87"/>
      <c r="I69" s="88"/>
      <c r="J69" s="103">
        <v>45740</v>
      </c>
      <c r="K69" s="103">
        <v>45778</v>
      </c>
      <c r="O69" s="90"/>
    </row>
    <row r="70" spans="1:15" ht="140.25" hidden="1" customHeight="1" thickBot="1">
      <c r="A70" s="31">
        <v>45765</v>
      </c>
      <c r="B70" s="3" t="s">
        <v>221</v>
      </c>
      <c r="C70" s="4" t="s">
        <v>220</v>
      </c>
      <c r="D70" s="5" t="s">
        <v>223</v>
      </c>
      <c r="E70" s="6" t="s">
        <v>26</v>
      </c>
      <c r="F70" s="109" t="s">
        <v>248</v>
      </c>
      <c r="G70" s="87">
        <v>0.15</v>
      </c>
      <c r="H70" s="87"/>
      <c r="I70" s="88"/>
      <c r="J70" s="103">
        <v>45740</v>
      </c>
      <c r="K70" s="103">
        <v>45778</v>
      </c>
    </row>
    <row r="71" spans="1:15" ht="112.5" hidden="1" customHeight="1" thickBot="1">
      <c r="A71" s="31">
        <v>45765</v>
      </c>
      <c r="B71" s="3" t="s">
        <v>222</v>
      </c>
      <c r="C71" s="4" t="s">
        <v>229</v>
      </c>
      <c r="D71" s="5" t="s">
        <v>25</v>
      </c>
      <c r="E71" s="6" t="s">
        <v>26</v>
      </c>
      <c r="F71" s="145" t="s">
        <v>249</v>
      </c>
      <c r="G71" s="87">
        <v>0.01</v>
      </c>
      <c r="H71" s="87"/>
      <c r="I71" s="88"/>
      <c r="J71" s="103">
        <v>45761</v>
      </c>
      <c r="K71" s="103">
        <v>45838</v>
      </c>
    </row>
    <row r="72" spans="1:15" ht="291.75" hidden="1" customHeight="1" thickBot="1">
      <c r="A72" s="31">
        <v>45779</v>
      </c>
      <c r="B72" s="3" t="s">
        <v>207</v>
      </c>
      <c r="C72" s="4" t="s">
        <v>10</v>
      </c>
      <c r="D72" s="5" t="s">
        <v>129</v>
      </c>
      <c r="E72" s="6" t="s">
        <v>119</v>
      </c>
      <c r="F72" s="112" t="s">
        <v>250</v>
      </c>
      <c r="G72" s="95">
        <v>0.06</v>
      </c>
      <c r="H72" s="113" t="s">
        <v>253</v>
      </c>
      <c r="I72" s="7" t="s">
        <v>254</v>
      </c>
      <c r="J72" s="13">
        <v>45658</v>
      </c>
      <c r="K72" s="14">
        <v>46387</v>
      </c>
    </row>
    <row r="73" spans="1:15" ht="255.75" hidden="1" customHeight="1" thickBot="1">
      <c r="A73" s="31">
        <v>45779</v>
      </c>
      <c r="B73" s="3" t="s">
        <v>209</v>
      </c>
      <c r="C73" s="4" t="s">
        <v>28</v>
      </c>
      <c r="D73" s="5" t="s">
        <v>29</v>
      </c>
      <c r="E73" s="6" t="s">
        <v>30</v>
      </c>
      <c r="F73" s="116" t="s">
        <v>260</v>
      </c>
      <c r="G73" s="95">
        <v>0.06</v>
      </c>
      <c r="H73" s="10"/>
      <c r="I73" s="9"/>
      <c r="J73" s="13">
        <v>45658</v>
      </c>
      <c r="K73" s="14">
        <v>46022</v>
      </c>
    </row>
    <row r="74" spans="1:15" ht="172.5" hidden="1" customHeight="1" thickBot="1">
      <c r="A74" s="31">
        <v>45779</v>
      </c>
      <c r="B74" s="3" t="s">
        <v>214</v>
      </c>
      <c r="C74" s="4" t="s">
        <v>31</v>
      </c>
      <c r="D74" s="6" t="s">
        <v>16</v>
      </c>
      <c r="E74" s="6" t="s">
        <v>30</v>
      </c>
      <c r="F74" s="115" t="s">
        <v>251</v>
      </c>
      <c r="G74" s="95">
        <v>0.04</v>
      </c>
      <c r="H74" s="11" t="s">
        <v>151</v>
      </c>
      <c r="I74" s="9" t="s">
        <v>255</v>
      </c>
      <c r="J74" s="13">
        <v>45383</v>
      </c>
      <c r="K74" s="14">
        <v>45838</v>
      </c>
    </row>
    <row r="75" spans="1:15" ht="173.25" hidden="1" customHeight="1" thickBot="1">
      <c r="A75" s="31">
        <v>45779</v>
      </c>
      <c r="B75" s="45" t="s">
        <v>210</v>
      </c>
      <c r="C75" s="46" t="s">
        <v>33</v>
      </c>
      <c r="D75" s="47" t="s">
        <v>34</v>
      </c>
      <c r="E75" s="47" t="s">
        <v>30</v>
      </c>
      <c r="F75" s="86" t="s">
        <v>256</v>
      </c>
      <c r="G75" s="49">
        <v>0.66</v>
      </c>
      <c r="H75" s="113" t="s">
        <v>257</v>
      </c>
      <c r="I75" s="48" t="s">
        <v>245</v>
      </c>
      <c r="J75" s="102">
        <v>45292</v>
      </c>
      <c r="K75" s="44">
        <v>45838</v>
      </c>
    </row>
    <row r="76" spans="1:15" ht="185.25" hidden="1" customHeight="1" thickBot="1">
      <c r="A76" s="31">
        <v>45779</v>
      </c>
      <c r="B76" s="3" t="s">
        <v>212</v>
      </c>
      <c r="C76" s="4" t="s">
        <v>183</v>
      </c>
      <c r="D76" s="5" t="s">
        <v>166</v>
      </c>
      <c r="E76" s="6" t="s">
        <v>26</v>
      </c>
      <c r="F76" s="116" t="s">
        <v>261</v>
      </c>
      <c r="G76" s="87">
        <v>0.25</v>
      </c>
      <c r="H76" s="87"/>
      <c r="I76" s="88"/>
      <c r="J76" s="103">
        <v>45719</v>
      </c>
      <c r="K76" s="103">
        <v>45807</v>
      </c>
      <c r="O76" s="29"/>
    </row>
    <row r="77" spans="1:15" ht="124.5" hidden="1" customHeight="1" thickBot="1">
      <c r="A77" s="31">
        <v>45779</v>
      </c>
      <c r="B77" s="3" t="s">
        <v>215</v>
      </c>
      <c r="C77" s="4" t="s">
        <v>184</v>
      </c>
      <c r="D77" s="5" t="s">
        <v>166</v>
      </c>
      <c r="E77" s="6" t="s">
        <v>26</v>
      </c>
      <c r="F77" s="112" t="s">
        <v>252</v>
      </c>
      <c r="G77" s="87">
        <v>0.2</v>
      </c>
      <c r="H77" s="87"/>
      <c r="I77" s="88"/>
      <c r="J77" s="103">
        <v>45719</v>
      </c>
      <c r="K77" s="103">
        <v>45807</v>
      </c>
    </row>
    <row r="78" spans="1:15" ht="117.75" hidden="1" customHeight="1" thickBot="1">
      <c r="A78" s="31">
        <v>45779</v>
      </c>
      <c r="B78" s="3" t="s">
        <v>213</v>
      </c>
      <c r="C78" s="4" t="s">
        <v>186</v>
      </c>
      <c r="D78" s="5" t="s">
        <v>190</v>
      </c>
      <c r="E78" s="6" t="s">
        <v>26</v>
      </c>
      <c r="F78" s="116" t="s">
        <v>262</v>
      </c>
      <c r="G78" s="87">
        <v>0.8</v>
      </c>
      <c r="H78" s="87" t="s">
        <v>259</v>
      </c>
      <c r="I78" s="88"/>
      <c r="J78" s="103">
        <v>45740</v>
      </c>
      <c r="K78" s="103">
        <v>45778</v>
      </c>
      <c r="O78" s="90"/>
    </row>
    <row r="79" spans="1:15" ht="140.25" hidden="1" customHeight="1" thickBot="1">
      <c r="A79" s="31">
        <v>45779</v>
      </c>
      <c r="B79" s="3" t="s">
        <v>221</v>
      </c>
      <c r="C79" s="4" t="s">
        <v>220</v>
      </c>
      <c r="D79" s="5" t="s">
        <v>223</v>
      </c>
      <c r="E79" s="6" t="s">
        <v>26</v>
      </c>
      <c r="F79" s="116" t="s">
        <v>263</v>
      </c>
      <c r="G79" s="87">
        <v>0.85</v>
      </c>
      <c r="H79" s="87" t="s">
        <v>259</v>
      </c>
      <c r="I79" s="88"/>
      <c r="J79" s="103">
        <v>45740</v>
      </c>
      <c r="K79" s="103">
        <v>45778</v>
      </c>
    </row>
    <row r="80" spans="1:15" ht="138.75" hidden="1" customHeight="1" thickBot="1">
      <c r="A80" s="31">
        <v>45779</v>
      </c>
      <c r="B80" s="3" t="s">
        <v>222</v>
      </c>
      <c r="C80" s="4" t="s">
        <v>229</v>
      </c>
      <c r="D80" s="5" t="s">
        <v>25</v>
      </c>
      <c r="E80" s="6" t="s">
        <v>26</v>
      </c>
      <c r="F80" s="114" t="s">
        <v>258</v>
      </c>
      <c r="G80" s="87">
        <v>0.03</v>
      </c>
      <c r="H80" s="87"/>
      <c r="I80" s="88"/>
      <c r="J80" s="103">
        <v>45761</v>
      </c>
      <c r="K80" s="103">
        <v>45838</v>
      </c>
    </row>
    <row r="81" spans="1:15" ht="291.75" hidden="1" customHeight="1" thickBot="1">
      <c r="A81" s="31">
        <v>45793</v>
      </c>
      <c r="B81" s="3" t="s">
        <v>207</v>
      </c>
      <c r="C81" s="4" t="s">
        <v>10</v>
      </c>
      <c r="D81" s="5" t="s">
        <v>129</v>
      </c>
      <c r="E81" s="6" t="s">
        <v>119</v>
      </c>
      <c r="F81" s="118" t="s">
        <v>268</v>
      </c>
      <c r="G81" s="95">
        <v>0.06</v>
      </c>
      <c r="H81" s="113" t="s">
        <v>253</v>
      </c>
      <c r="I81" s="7" t="s">
        <v>266</v>
      </c>
      <c r="J81" s="13">
        <v>45658</v>
      </c>
      <c r="K81" s="14">
        <v>46387</v>
      </c>
    </row>
    <row r="82" spans="1:15" ht="255.75" hidden="1" customHeight="1" thickBot="1">
      <c r="A82" s="31">
        <v>45793</v>
      </c>
      <c r="B82" s="3" t="s">
        <v>209</v>
      </c>
      <c r="C82" s="4" t="s">
        <v>28</v>
      </c>
      <c r="D82" s="5" t="s">
        <v>29</v>
      </c>
      <c r="E82" s="6" t="s">
        <v>30</v>
      </c>
      <c r="F82" s="118" t="s">
        <v>267</v>
      </c>
      <c r="G82" s="95">
        <v>0.1</v>
      </c>
      <c r="H82" s="10"/>
      <c r="I82" s="9"/>
      <c r="J82" s="13">
        <v>45658</v>
      </c>
      <c r="K82" s="14">
        <v>46022</v>
      </c>
    </row>
    <row r="83" spans="1:15" ht="172.5" hidden="1" customHeight="1" thickBot="1">
      <c r="A83" s="31">
        <v>45793</v>
      </c>
      <c r="B83" s="3" t="s">
        <v>214</v>
      </c>
      <c r="C83" s="4" t="s">
        <v>31</v>
      </c>
      <c r="D83" s="6" t="s">
        <v>16</v>
      </c>
      <c r="E83" s="6" t="s">
        <v>30</v>
      </c>
      <c r="F83" s="119" t="s">
        <v>269</v>
      </c>
      <c r="G83" s="95">
        <v>0.04</v>
      </c>
      <c r="H83" s="11" t="s">
        <v>151</v>
      </c>
      <c r="I83" s="9" t="s">
        <v>255</v>
      </c>
      <c r="J83" s="13">
        <v>45383</v>
      </c>
      <c r="K83" s="14">
        <v>45838</v>
      </c>
    </row>
    <row r="84" spans="1:15" ht="173.25" hidden="1" customHeight="1" thickBot="1">
      <c r="A84" s="31">
        <v>45793</v>
      </c>
      <c r="B84" s="45" t="s">
        <v>210</v>
      </c>
      <c r="C84" s="46" t="s">
        <v>33</v>
      </c>
      <c r="D84" s="47" t="s">
        <v>34</v>
      </c>
      <c r="E84" s="47" t="s">
        <v>30</v>
      </c>
      <c r="F84" s="48" t="s">
        <v>270</v>
      </c>
      <c r="G84" s="49">
        <v>0.66</v>
      </c>
      <c r="H84" s="113" t="s">
        <v>257</v>
      </c>
      <c r="I84" s="48" t="s">
        <v>271</v>
      </c>
      <c r="J84" s="102">
        <v>45292</v>
      </c>
      <c r="K84" s="44">
        <v>45838</v>
      </c>
    </row>
    <row r="85" spans="1:15" ht="180.75" hidden="1" thickBot="1">
      <c r="A85" s="31">
        <v>45793</v>
      </c>
      <c r="B85" s="3" t="s">
        <v>212</v>
      </c>
      <c r="C85" s="4" t="s">
        <v>183</v>
      </c>
      <c r="D85" s="5" t="s">
        <v>166</v>
      </c>
      <c r="E85" s="6" t="s">
        <v>26</v>
      </c>
      <c r="F85" s="118" t="s">
        <v>272</v>
      </c>
      <c r="G85" s="87">
        <v>0.25</v>
      </c>
      <c r="H85" s="87"/>
      <c r="I85" s="88"/>
      <c r="J85" s="103">
        <v>45719</v>
      </c>
      <c r="K85" s="103">
        <v>45807</v>
      </c>
      <c r="O85" s="29"/>
    </row>
    <row r="86" spans="1:15" ht="135.75" hidden="1" thickBot="1">
      <c r="A86" s="31">
        <v>45793</v>
      </c>
      <c r="B86" s="3" t="s">
        <v>215</v>
      </c>
      <c r="C86" s="4" t="s">
        <v>184</v>
      </c>
      <c r="D86" s="5" t="s">
        <v>166</v>
      </c>
      <c r="E86" s="6" t="s">
        <v>26</v>
      </c>
      <c r="F86" s="118" t="s">
        <v>273</v>
      </c>
      <c r="G86" s="87">
        <v>0.2</v>
      </c>
      <c r="H86" s="87"/>
      <c r="I86" s="88"/>
      <c r="J86" s="103">
        <v>45719</v>
      </c>
      <c r="K86" s="103">
        <v>45807</v>
      </c>
    </row>
    <row r="87" spans="1:15" ht="117.75" hidden="1" customHeight="1" thickBot="1">
      <c r="A87" s="31">
        <v>45793</v>
      </c>
      <c r="B87" s="3" t="s">
        <v>213</v>
      </c>
      <c r="C87" s="4" t="s">
        <v>186</v>
      </c>
      <c r="D87" s="5" t="s">
        <v>190</v>
      </c>
      <c r="E87" s="6" t="s">
        <v>26</v>
      </c>
      <c r="F87" s="117" t="s">
        <v>264</v>
      </c>
      <c r="G87" s="87">
        <v>1</v>
      </c>
      <c r="H87" s="80" t="s">
        <v>265</v>
      </c>
      <c r="I87" s="88"/>
      <c r="J87" s="103">
        <v>45740</v>
      </c>
      <c r="K87" s="103">
        <v>45778</v>
      </c>
      <c r="O87" s="90"/>
    </row>
    <row r="88" spans="1:15" ht="135.75" hidden="1" thickBot="1">
      <c r="A88" s="31">
        <v>45793</v>
      </c>
      <c r="B88" s="3" t="s">
        <v>221</v>
      </c>
      <c r="C88" s="4" t="s">
        <v>220</v>
      </c>
      <c r="D88" s="5" t="s">
        <v>223</v>
      </c>
      <c r="E88" s="6" t="s">
        <v>26</v>
      </c>
      <c r="F88" s="118" t="s">
        <v>274</v>
      </c>
      <c r="G88" s="87">
        <v>0.99</v>
      </c>
      <c r="H88" s="87" t="s">
        <v>259</v>
      </c>
      <c r="I88" s="88"/>
      <c r="J88" s="103">
        <v>45740</v>
      </c>
      <c r="K88" s="103">
        <v>45778</v>
      </c>
    </row>
    <row r="89" spans="1:15" ht="138.75" hidden="1" customHeight="1" thickBot="1">
      <c r="A89" s="31">
        <v>45793</v>
      </c>
      <c r="B89" s="3" t="s">
        <v>222</v>
      </c>
      <c r="C89" s="4" t="s">
        <v>229</v>
      </c>
      <c r="D89" s="5" t="s">
        <v>25</v>
      </c>
      <c r="E89" s="6" t="s">
        <v>26</v>
      </c>
      <c r="F89" s="120" t="s">
        <v>275</v>
      </c>
      <c r="G89" s="87">
        <v>0.03</v>
      </c>
      <c r="H89" s="87"/>
      <c r="I89" s="88"/>
      <c r="J89" s="103">
        <v>45761</v>
      </c>
      <c r="K89" s="103">
        <v>45838</v>
      </c>
    </row>
    <row r="90" spans="1:15" ht="268.5" hidden="1" customHeight="1" thickBot="1">
      <c r="A90" s="31">
        <v>45807</v>
      </c>
      <c r="B90" s="3" t="s">
        <v>207</v>
      </c>
      <c r="C90" s="4" t="s">
        <v>10</v>
      </c>
      <c r="D90" s="5" t="s">
        <v>129</v>
      </c>
      <c r="E90" s="6" t="s">
        <v>119</v>
      </c>
      <c r="F90" s="125" t="s">
        <v>288</v>
      </c>
      <c r="G90" s="95">
        <v>0.06</v>
      </c>
      <c r="H90" s="113" t="s">
        <v>253</v>
      </c>
      <c r="I90" s="7" t="s">
        <v>289</v>
      </c>
      <c r="J90" s="13">
        <v>45658</v>
      </c>
      <c r="K90" s="14">
        <v>46387</v>
      </c>
    </row>
    <row r="91" spans="1:15" ht="156" hidden="1" customHeight="1" thickBot="1">
      <c r="A91" s="31">
        <v>45807</v>
      </c>
      <c r="B91" s="3" t="s">
        <v>209</v>
      </c>
      <c r="C91" s="4" t="s">
        <v>28</v>
      </c>
      <c r="D91" s="5" t="s">
        <v>29</v>
      </c>
      <c r="E91" s="6" t="s">
        <v>30</v>
      </c>
      <c r="F91" s="120" t="s">
        <v>280</v>
      </c>
      <c r="G91" s="95">
        <v>0.1</v>
      </c>
      <c r="H91" s="10"/>
      <c r="I91" s="9"/>
      <c r="J91" s="13">
        <v>45658</v>
      </c>
      <c r="K91" s="14">
        <v>46022</v>
      </c>
    </row>
    <row r="92" spans="1:15" ht="193.5" hidden="1" customHeight="1" thickBot="1">
      <c r="A92" s="31">
        <v>45807</v>
      </c>
      <c r="B92" s="3" t="s">
        <v>214</v>
      </c>
      <c r="C92" s="4" t="s">
        <v>31</v>
      </c>
      <c r="D92" s="6" t="s">
        <v>16</v>
      </c>
      <c r="E92" s="6" t="s">
        <v>30</v>
      </c>
      <c r="F92" s="126" t="s">
        <v>290</v>
      </c>
      <c r="G92" s="95">
        <v>0.04</v>
      </c>
      <c r="H92" s="11" t="s">
        <v>151</v>
      </c>
      <c r="I92" s="9" t="s">
        <v>291</v>
      </c>
      <c r="J92" s="13">
        <v>45383</v>
      </c>
      <c r="K92" s="14">
        <v>45930</v>
      </c>
    </row>
    <row r="93" spans="1:15" ht="173.25" hidden="1" customHeight="1" thickBot="1">
      <c r="A93" s="31">
        <v>45807</v>
      </c>
      <c r="B93" s="45" t="s">
        <v>210</v>
      </c>
      <c r="C93" s="46" t="s">
        <v>33</v>
      </c>
      <c r="D93" s="47" t="s">
        <v>34</v>
      </c>
      <c r="E93" s="47" t="s">
        <v>30</v>
      </c>
      <c r="F93" s="48" t="s">
        <v>292</v>
      </c>
      <c r="G93" s="49">
        <v>0.66</v>
      </c>
      <c r="H93" s="127" t="s">
        <v>293</v>
      </c>
      <c r="I93" s="48" t="s">
        <v>271</v>
      </c>
      <c r="J93" s="102">
        <v>45292</v>
      </c>
      <c r="K93" s="44">
        <v>45838</v>
      </c>
    </row>
    <row r="94" spans="1:15" ht="135.6" hidden="1" customHeight="1" thickBot="1">
      <c r="A94" s="31">
        <v>45807</v>
      </c>
      <c r="B94" s="3" t="s">
        <v>212</v>
      </c>
      <c r="C94" s="4" t="s">
        <v>183</v>
      </c>
      <c r="D94" s="5" t="s">
        <v>166</v>
      </c>
      <c r="E94" s="6" t="s">
        <v>283</v>
      </c>
      <c r="F94" s="124" t="s">
        <v>287</v>
      </c>
      <c r="G94" s="87">
        <v>0.25</v>
      </c>
      <c r="H94" s="87" t="s">
        <v>293</v>
      </c>
      <c r="I94" s="88"/>
      <c r="J94" s="103">
        <v>45719</v>
      </c>
      <c r="K94" s="103">
        <v>45838</v>
      </c>
      <c r="O94" s="29"/>
    </row>
    <row r="95" spans="1:15" ht="125.45" hidden="1" customHeight="1" thickBot="1">
      <c r="A95" s="31">
        <v>45807</v>
      </c>
      <c r="B95" s="3" t="s">
        <v>215</v>
      </c>
      <c r="C95" s="4" t="s">
        <v>184</v>
      </c>
      <c r="D95" s="5" t="s">
        <v>166</v>
      </c>
      <c r="E95" s="6" t="s">
        <v>283</v>
      </c>
      <c r="F95" s="123" t="s">
        <v>279</v>
      </c>
      <c r="G95" s="87">
        <v>0.2</v>
      </c>
      <c r="H95" s="87" t="s">
        <v>286</v>
      </c>
      <c r="I95" s="88"/>
      <c r="J95" s="103">
        <v>45719</v>
      </c>
      <c r="K95" s="103">
        <v>45838</v>
      </c>
    </row>
    <row r="96" spans="1:15" ht="125.45" hidden="1" customHeight="1" thickBot="1">
      <c r="A96" s="31">
        <v>45807</v>
      </c>
      <c r="B96" s="3" t="s">
        <v>221</v>
      </c>
      <c r="C96" s="4" t="s">
        <v>220</v>
      </c>
      <c r="D96" s="5" t="s">
        <v>223</v>
      </c>
      <c r="E96" s="6" t="s">
        <v>283</v>
      </c>
      <c r="F96" s="123" t="s">
        <v>285</v>
      </c>
      <c r="G96" s="87">
        <v>0.99</v>
      </c>
      <c r="H96" s="87" t="s">
        <v>259</v>
      </c>
      <c r="I96" s="88"/>
      <c r="J96" s="103">
        <v>45740</v>
      </c>
      <c r="K96" s="103">
        <v>45778</v>
      </c>
    </row>
    <row r="97" spans="1:15" ht="75.599999999999994" hidden="1" customHeight="1" thickBot="1">
      <c r="A97" s="31">
        <v>45807</v>
      </c>
      <c r="B97" s="3" t="s">
        <v>222</v>
      </c>
      <c r="C97" s="4" t="s">
        <v>229</v>
      </c>
      <c r="D97" s="5" t="s">
        <v>25</v>
      </c>
      <c r="E97" s="6" t="s">
        <v>283</v>
      </c>
      <c r="F97" s="122" t="s">
        <v>277</v>
      </c>
      <c r="G97" s="87"/>
      <c r="H97" s="49" t="s">
        <v>278</v>
      </c>
      <c r="I97" s="88"/>
      <c r="J97" s="103">
        <v>45761</v>
      </c>
      <c r="K97" s="103">
        <v>45838</v>
      </c>
    </row>
    <row r="98" spans="1:15" ht="87" hidden="1" customHeight="1" thickBot="1">
      <c r="A98" s="31">
        <v>45807</v>
      </c>
      <c r="B98" s="3" t="s">
        <v>282</v>
      </c>
      <c r="C98" s="4" t="s">
        <v>281</v>
      </c>
      <c r="D98" s="5" t="s">
        <v>34</v>
      </c>
      <c r="E98" s="6" t="s">
        <v>283</v>
      </c>
      <c r="F98" s="145" t="s">
        <v>284</v>
      </c>
      <c r="G98" s="87">
        <v>0.03</v>
      </c>
      <c r="H98" s="87" t="s">
        <v>136</v>
      </c>
      <c r="I98" s="88"/>
      <c r="J98" s="103">
        <v>45810</v>
      </c>
      <c r="K98" s="103">
        <v>45838</v>
      </c>
    </row>
    <row r="99" spans="1:15" ht="75.75" hidden="1" thickBot="1">
      <c r="A99" s="31">
        <v>45807</v>
      </c>
      <c r="B99" s="3" t="s">
        <v>294</v>
      </c>
      <c r="C99" s="4" t="s">
        <v>296</v>
      </c>
      <c r="D99" s="5" t="s">
        <v>295</v>
      </c>
      <c r="E99" s="6" t="s">
        <v>283</v>
      </c>
      <c r="F99" s="125" t="s">
        <v>297</v>
      </c>
      <c r="G99" s="87">
        <v>0</v>
      </c>
      <c r="H99" s="87" t="s">
        <v>136</v>
      </c>
      <c r="I99" s="88"/>
      <c r="J99" s="103">
        <v>45810</v>
      </c>
      <c r="K99" s="103">
        <v>45898</v>
      </c>
    </row>
    <row r="100" spans="1:15" ht="268.5" hidden="1" customHeight="1" thickBot="1">
      <c r="A100" s="31">
        <v>45821</v>
      </c>
      <c r="B100" s="3" t="s">
        <v>207</v>
      </c>
      <c r="C100" s="4" t="s">
        <v>10</v>
      </c>
      <c r="D100" s="5" t="s">
        <v>129</v>
      </c>
      <c r="E100" s="6" t="s">
        <v>119</v>
      </c>
      <c r="F100" s="134" t="s">
        <v>331</v>
      </c>
      <c r="G100" s="95">
        <v>0.1</v>
      </c>
      <c r="H100" s="135" t="s">
        <v>332</v>
      </c>
      <c r="I100" s="7" t="s">
        <v>298</v>
      </c>
      <c r="J100" s="13">
        <v>45658</v>
      </c>
      <c r="K100" s="14">
        <v>46387</v>
      </c>
    </row>
    <row r="101" spans="1:15" ht="189.75" hidden="1" customHeight="1" thickBot="1">
      <c r="A101" s="31">
        <v>45821</v>
      </c>
      <c r="B101" s="3" t="s">
        <v>209</v>
      </c>
      <c r="C101" s="4" t="s">
        <v>28</v>
      </c>
      <c r="D101" s="5" t="s">
        <v>29</v>
      </c>
      <c r="E101" s="6" t="s">
        <v>30</v>
      </c>
      <c r="F101" s="128" t="s">
        <v>299</v>
      </c>
      <c r="G101" s="95">
        <v>0.1</v>
      </c>
      <c r="H101" s="10"/>
      <c r="I101" s="9"/>
      <c r="J101" s="13">
        <v>45658</v>
      </c>
      <c r="K101" s="14">
        <v>46022</v>
      </c>
    </row>
    <row r="102" spans="1:15" ht="200.25" hidden="1" customHeight="1" thickBot="1">
      <c r="A102" s="31">
        <v>45821</v>
      </c>
      <c r="B102" s="3" t="s">
        <v>214</v>
      </c>
      <c r="C102" s="4" t="s">
        <v>31</v>
      </c>
      <c r="D102" s="6" t="s">
        <v>16</v>
      </c>
      <c r="E102" s="6" t="s">
        <v>30</v>
      </c>
      <c r="F102" s="129" t="s">
        <v>300</v>
      </c>
      <c r="G102" s="95">
        <v>0.1</v>
      </c>
      <c r="H102" s="10"/>
      <c r="I102" s="9" t="s">
        <v>301</v>
      </c>
      <c r="J102" s="13">
        <v>45383</v>
      </c>
      <c r="K102" s="14">
        <v>45930</v>
      </c>
    </row>
    <row r="103" spans="1:15" ht="133.9" hidden="1" customHeight="1" thickBot="1">
      <c r="A103" s="31">
        <v>45821</v>
      </c>
      <c r="B103" s="45" t="s">
        <v>210</v>
      </c>
      <c r="C103" s="46" t="s">
        <v>33</v>
      </c>
      <c r="D103" s="47" t="s">
        <v>34</v>
      </c>
      <c r="E103" s="47" t="s">
        <v>30</v>
      </c>
      <c r="F103" s="48" t="s">
        <v>333</v>
      </c>
      <c r="G103" s="49">
        <v>0.8</v>
      </c>
      <c r="H103" s="10"/>
      <c r="I103" s="48"/>
      <c r="J103" s="102">
        <v>45292</v>
      </c>
      <c r="K103" s="44">
        <v>45838</v>
      </c>
    </row>
    <row r="104" spans="1:15" ht="177.75" hidden="1" customHeight="1" thickBot="1">
      <c r="A104" s="31">
        <v>45821</v>
      </c>
      <c r="B104" s="3" t="s">
        <v>212</v>
      </c>
      <c r="C104" s="4" t="s">
        <v>183</v>
      </c>
      <c r="D104" s="5" t="s">
        <v>166</v>
      </c>
      <c r="E104" s="6" t="s">
        <v>283</v>
      </c>
      <c r="F104" s="134" t="s">
        <v>334</v>
      </c>
      <c r="G104" s="87">
        <v>0.5</v>
      </c>
      <c r="H104" s="136" t="s">
        <v>293</v>
      </c>
      <c r="I104" s="88"/>
      <c r="J104" s="103">
        <v>45719</v>
      </c>
      <c r="K104" s="103">
        <v>45838</v>
      </c>
      <c r="O104" s="29"/>
    </row>
    <row r="105" spans="1:15" ht="125.45" hidden="1" customHeight="1" thickBot="1">
      <c r="A105" s="31">
        <v>45821</v>
      </c>
      <c r="B105" s="3" t="s">
        <v>215</v>
      </c>
      <c r="C105" s="4" t="s">
        <v>184</v>
      </c>
      <c r="D105" s="5" t="s">
        <v>166</v>
      </c>
      <c r="E105" s="6" t="s">
        <v>283</v>
      </c>
      <c r="F105" s="130" t="s">
        <v>305</v>
      </c>
      <c r="G105" s="87">
        <v>0.5</v>
      </c>
      <c r="H105" s="136" t="s">
        <v>286</v>
      </c>
      <c r="I105" s="88"/>
      <c r="J105" s="103">
        <v>45719</v>
      </c>
      <c r="K105" s="103">
        <v>45838</v>
      </c>
    </row>
    <row r="106" spans="1:15" ht="155.25" hidden="1" customHeight="1" thickBot="1">
      <c r="A106" s="31">
        <v>45821</v>
      </c>
      <c r="B106" s="3" t="s">
        <v>221</v>
      </c>
      <c r="C106" s="4" t="s">
        <v>220</v>
      </c>
      <c r="D106" s="5" t="s">
        <v>223</v>
      </c>
      <c r="E106" s="6" t="s">
        <v>283</v>
      </c>
      <c r="F106" s="128" t="s">
        <v>302</v>
      </c>
      <c r="G106" s="87">
        <v>0.99</v>
      </c>
      <c r="H106" s="136" t="s">
        <v>259</v>
      </c>
      <c r="I106" s="88"/>
      <c r="J106" s="103">
        <v>45740</v>
      </c>
      <c r="K106" s="103">
        <v>45778</v>
      </c>
    </row>
    <row r="107" spans="1:15" ht="136.5" hidden="1" customHeight="1" thickBot="1">
      <c r="A107" s="31">
        <v>45821</v>
      </c>
      <c r="B107" s="3" t="s">
        <v>282</v>
      </c>
      <c r="C107" s="4" t="s">
        <v>281</v>
      </c>
      <c r="D107" s="5" t="s">
        <v>34</v>
      </c>
      <c r="E107" s="6" t="s">
        <v>283</v>
      </c>
      <c r="F107" s="134" t="s">
        <v>335</v>
      </c>
      <c r="G107" s="87">
        <v>0.15</v>
      </c>
      <c r="H107" s="87"/>
      <c r="I107" s="88"/>
      <c r="J107" s="103">
        <v>45810</v>
      </c>
      <c r="K107" s="103">
        <v>45838</v>
      </c>
    </row>
    <row r="108" spans="1:15" ht="96" hidden="1" customHeight="1" thickBot="1">
      <c r="A108" s="31">
        <v>45821</v>
      </c>
      <c r="B108" s="3" t="s">
        <v>294</v>
      </c>
      <c r="C108" s="4" t="s">
        <v>296</v>
      </c>
      <c r="D108" s="5" t="s">
        <v>295</v>
      </c>
      <c r="E108" s="6" t="s">
        <v>283</v>
      </c>
      <c r="F108" s="128" t="s">
        <v>303</v>
      </c>
      <c r="G108" s="87">
        <v>0</v>
      </c>
      <c r="H108" s="136" t="s">
        <v>136</v>
      </c>
      <c r="I108" s="88"/>
      <c r="J108" s="103">
        <v>45810</v>
      </c>
      <c r="K108" s="103">
        <v>45898</v>
      </c>
    </row>
    <row r="109" spans="1:15" ht="195.75" hidden="1" thickBot="1">
      <c r="A109" s="31">
        <v>45835</v>
      </c>
      <c r="B109" s="3" t="s">
        <v>207</v>
      </c>
      <c r="C109" s="4" t="s">
        <v>10</v>
      </c>
      <c r="D109" s="5" t="s">
        <v>129</v>
      </c>
      <c r="E109" s="6" t="s">
        <v>119</v>
      </c>
      <c r="F109" s="141" t="s">
        <v>341</v>
      </c>
      <c r="G109" s="95">
        <v>0.1</v>
      </c>
      <c r="H109" s="135" t="s">
        <v>332</v>
      </c>
      <c r="I109" s="7" t="s">
        <v>348</v>
      </c>
      <c r="J109" s="13">
        <v>45658</v>
      </c>
      <c r="K109" s="14">
        <v>46387</v>
      </c>
    </row>
    <row r="110" spans="1:15" ht="120.75" hidden="1" thickBot="1">
      <c r="A110" s="31">
        <v>45835</v>
      </c>
      <c r="B110" s="3" t="s">
        <v>209</v>
      </c>
      <c r="C110" s="4" t="s">
        <v>28</v>
      </c>
      <c r="D110" s="5" t="s">
        <v>29</v>
      </c>
      <c r="E110" s="6" t="s">
        <v>30</v>
      </c>
      <c r="F110" s="139" t="s">
        <v>342</v>
      </c>
      <c r="G110" s="95">
        <v>0.1</v>
      </c>
      <c r="H110" s="10"/>
      <c r="I110" s="9"/>
      <c r="J110" s="13">
        <v>45658</v>
      </c>
      <c r="K110" s="14">
        <v>46022</v>
      </c>
    </row>
    <row r="111" spans="1:15" ht="190.5" hidden="1" customHeight="1" thickBot="1">
      <c r="A111" s="31">
        <v>45835</v>
      </c>
      <c r="B111" s="3" t="s">
        <v>214</v>
      </c>
      <c r="C111" s="4" t="s">
        <v>31</v>
      </c>
      <c r="D111" s="6" t="s">
        <v>16</v>
      </c>
      <c r="E111" s="6" t="s">
        <v>30</v>
      </c>
      <c r="F111" s="142" t="s">
        <v>343</v>
      </c>
      <c r="G111" s="95">
        <v>0.05</v>
      </c>
      <c r="H111" s="10"/>
      <c r="I111" s="9"/>
      <c r="J111" s="13">
        <v>45834</v>
      </c>
      <c r="K111" s="14">
        <v>45930</v>
      </c>
    </row>
    <row r="112" spans="1:15" ht="133.9" hidden="1" customHeight="1" thickBot="1">
      <c r="A112" s="31">
        <v>45835</v>
      </c>
      <c r="B112" s="45" t="s">
        <v>210</v>
      </c>
      <c r="C112" s="46" t="s">
        <v>33</v>
      </c>
      <c r="D112" s="47" t="s">
        <v>34</v>
      </c>
      <c r="E112" s="47" t="s">
        <v>30</v>
      </c>
      <c r="F112" s="48" t="s">
        <v>336</v>
      </c>
      <c r="G112" s="49">
        <v>0.95</v>
      </c>
      <c r="H112" s="10"/>
      <c r="I112" s="48"/>
      <c r="J112" s="102">
        <v>45292</v>
      </c>
      <c r="K112" s="44">
        <v>45838</v>
      </c>
    </row>
    <row r="113" spans="1:15" ht="177.75" hidden="1" customHeight="1" thickBot="1">
      <c r="A113" s="31">
        <v>45835</v>
      </c>
      <c r="B113" s="3" t="s">
        <v>212</v>
      </c>
      <c r="C113" s="4" t="s">
        <v>183</v>
      </c>
      <c r="D113" s="5" t="s">
        <v>166</v>
      </c>
      <c r="E113" s="6" t="s">
        <v>283</v>
      </c>
      <c r="F113" s="140" t="s">
        <v>337</v>
      </c>
      <c r="G113" s="87">
        <v>0.8</v>
      </c>
      <c r="H113" s="143" t="s">
        <v>344</v>
      </c>
      <c r="I113" s="88"/>
      <c r="J113" s="103">
        <v>45719</v>
      </c>
      <c r="K113" s="103">
        <v>45869</v>
      </c>
      <c r="O113" s="29"/>
    </row>
    <row r="114" spans="1:15" ht="125.45" hidden="1" customHeight="1" thickBot="1">
      <c r="A114" s="31">
        <v>45835</v>
      </c>
      <c r="B114" s="3" t="s">
        <v>215</v>
      </c>
      <c r="C114" s="4" t="s">
        <v>184</v>
      </c>
      <c r="D114" s="5" t="s">
        <v>166</v>
      </c>
      <c r="E114" s="6" t="s">
        <v>283</v>
      </c>
      <c r="F114" s="138" t="s">
        <v>338</v>
      </c>
      <c r="G114" s="87">
        <v>0.8</v>
      </c>
      <c r="H114" s="143" t="s">
        <v>345</v>
      </c>
      <c r="I114" s="88"/>
      <c r="J114" s="103">
        <v>45719</v>
      </c>
      <c r="K114" s="103">
        <v>45869</v>
      </c>
    </row>
    <row r="115" spans="1:15" ht="155.25" hidden="1" customHeight="1" thickBot="1">
      <c r="A115" s="31">
        <v>45835</v>
      </c>
      <c r="B115" s="3" t="s">
        <v>221</v>
      </c>
      <c r="C115" s="4" t="s">
        <v>220</v>
      </c>
      <c r="D115" s="5" t="s">
        <v>223</v>
      </c>
      <c r="E115" s="6" t="s">
        <v>283</v>
      </c>
      <c r="F115" s="144" t="s">
        <v>349</v>
      </c>
      <c r="G115" s="87">
        <v>0.99</v>
      </c>
      <c r="H115" s="136" t="s">
        <v>259</v>
      </c>
      <c r="I115" s="88"/>
      <c r="J115" s="103">
        <v>45740</v>
      </c>
      <c r="K115" s="103">
        <v>45778</v>
      </c>
    </row>
    <row r="116" spans="1:15" ht="136.5" hidden="1" customHeight="1" thickBot="1">
      <c r="A116" s="31">
        <v>45835</v>
      </c>
      <c r="B116" s="3" t="s">
        <v>282</v>
      </c>
      <c r="C116" s="4" t="s">
        <v>281</v>
      </c>
      <c r="D116" s="5" t="s">
        <v>34</v>
      </c>
      <c r="E116" s="6" t="s">
        <v>283</v>
      </c>
      <c r="F116" s="141" t="s">
        <v>339</v>
      </c>
      <c r="G116" s="87">
        <v>0.8</v>
      </c>
      <c r="H116" s="87"/>
      <c r="I116" s="88"/>
      <c r="J116" s="103">
        <v>45810</v>
      </c>
      <c r="K116" s="103">
        <v>45838</v>
      </c>
    </row>
    <row r="117" spans="1:15" ht="106.5" hidden="1" customHeight="1" thickBot="1">
      <c r="A117" s="31">
        <v>45835</v>
      </c>
      <c r="B117" s="3" t="s">
        <v>294</v>
      </c>
      <c r="C117" s="4" t="s">
        <v>296</v>
      </c>
      <c r="D117" s="5" t="s">
        <v>295</v>
      </c>
      <c r="E117" s="6" t="s">
        <v>283</v>
      </c>
      <c r="F117" s="171" t="s">
        <v>347</v>
      </c>
      <c r="G117" s="87">
        <v>0</v>
      </c>
      <c r="H117" s="136" t="s">
        <v>136</v>
      </c>
      <c r="I117" s="88"/>
      <c r="J117" s="103">
        <v>45839</v>
      </c>
      <c r="K117" s="103">
        <v>45901</v>
      </c>
    </row>
    <row r="118" spans="1:15" ht="150.75" hidden="1" thickBot="1">
      <c r="A118" s="31">
        <v>45849</v>
      </c>
      <c r="B118" s="3" t="s">
        <v>207</v>
      </c>
      <c r="C118" s="4" t="s">
        <v>10</v>
      </c>
      <c r="D118" s="5" t="s">
        <v>129</v>
      </c>
      <c r="E118" s="6" t="s">
        <v>119</v>
      </c>
      <c r="F118" s="149" t="s">
        <v>358</v>
      </c>
      <c r="G118" s="95">
        <v>0.12</v>
      </c>
      <c r="H118" s="150" t="s">
        <v>359</v>
      </c>
      <c r="I118" s="7" t="s">
        <v>348</v>
      </c>
      <c r="J118" s="13">
        <v>45658</v>
      </c>
      <c r="K118" s="14">
        <v>46387</v>
      </c>
    </row>
    <row r="119" spans="1:15" ht="120.75" hidden="1" thickBot="1">
      <c r="A119" s="31">
        <v>45849</v>
      </c>
      <c r="B119" s="3" t="s">
        <v>209</v>
      </c>
      <c r="C119" s="4" t="s">
        <v>28</v>
      </c>
      <c r="D119" s="5" t="s">
        <v>29</v>
      </c>
      <c r="E119" s="6" t="s">
        <v>30</v>
      </c>
      <c r="F119" s="151" t="s">
        <v>360</v>
      </c>
      <c r="G119" s="95">
        <v>0.1</v>
      </c>
      <c r="H119" s="10"/>
      <c r="I119" s="9"/>
      <c r="J119" s="13">
        <v>45658</v>
      </c>
      <c r="K119" s="14">
        <v>46022</v>
      </c>
    </row>
    <row r="120" spans="1:15" ht="190.5" hidden="1" customHeight="1" thickBot="1">
      <c r="A120" s="31">
        <v>45849</v>
      </c>
      <c r="B120" s="3" t="s">
        <v>214</v>
      </c>
      <c r="C120" s="4" t="s">
        <v>31</v>
      </c>
      <c r="D120" s="6" t="s">
        <v>16</v>
      </c>
      <c r="E120" s="6" t="s">
        <v>30</v>
      </c>
      <c r="F120" s="151" t="s">
        <v>361</v>
      </c>
      <c r="G120" s="95">
        <v>7.0000000000000007E-2</v>
      </c>
      <c r="H120" s="10" t="s">
        <v>362</v>
      </c>
      <c r="I120" s="9" t="s">
        <v>363</v>
      </c>
      <c r="J120" s="13">
        <v>45834</v>
      </c>
      <c r="K120" s="14">
        <v>45930</v>
      </c>
    </row>
    <row r="121" spans="1:15" ht="133.9" hidden="1" customHeight="1" thickBot="1">
      <c r="A121" s="31">
        <v>45849</v>
      </c>
      <c r="B121" s="45" t="s">
        <v>210</v>
      </c>
      <c r="C121" s="46" t="s">
        <v>33</v>
      </c>
      <c r="D121" s="47" t="s">
        <v>34</v>
      </c>
      <c r="E121" s="47" t="s">
        <v>30</v>
      </c>
      <c r="F121" s="48" t="s">
        <v>356</v>
      </c>
      <c r="G121" s="49">
        <v>1</v>
      </c>
      <c r="H121" s="10"/>
      <c r="I121" s="48"/>
      <c r="J121" s="102">
        <v>45292</v>
      </c>
      <c r="K121" s="44">
        <v>45838</v>
      </c>
    </row>
    <row r="122" spans="1:15" ht="177.75" hidden="1" customHeight="1" thickBot="1">
      <c r="A122" s="31">
        <v>45849</v>
      </c>
      <c r="B122" s="3" t="s">
        <v>212</v>
      </c>
      <c r="C122" s="4" t="s">
        <v>183</v>
      </c>
      <c r="D122" s="5" t="s">
        <v>166</v>
      </c>
      <c r="E122" s="6" t="s">
        <v>283</v>
      </c>
      <c r="F122" s="149" t="s">
        <v>364</v>
      </c>
      <c r="G122" s="87">
        <v>0.85</v>
      </c>
      <c r="H122" s="143" t="s">
        <v>344</v>
      </c>
      <c r="I122" s="88"/>
      <c r="J122" s="103">
        <v>45719</v>
      </c>
      <c r="K122" s="103">
        <v>45869</v>
      </c>
      <c r="O122" s="29"/>
    </row>
    <row r="123" spans="1:15" ht="125.45" hidden="1" customHeight="1" thickBot="1">
      <c r="A123" s="31">
        <v>45849</v>
      </c>
      <c r="B123" s="3" t="s">
        <v>215</v>
      </c>
      <c r="C123" s="4" t="s">
        <v>184</v>
      </c>
      <c r="D123" s="5" t="s">
        <v>166</v>
      </c>
      <c r="E123" s="6" t="s">
        <v>283</v>
      </c>
      <c r="F123" s="148" t="s">
        <v>357</v>
      </c>
      <c r="G123" s="87">
        <v>0.8</v>
      </c>
      <c r="H123" s="143" t="s">
        <v>345</v>
      </c>
      <c r="I123" s="88"/>
      <c r="J123" s="103">
        <v>45719</v>
      </c>
      <c r="K123" s="103">
        <v>45869</v>
      </c>
    </row>
    <row r="124" spans="1:15" ht="155.25" hidden="1" customHeight="1" thickBot="1">
      <c r="A124" s="31">
        <v>45849</v>
      </c>
      <c r="B124" s="3" t="s">
        <v>221</v>
      </c>
      <c r="C124" s="4" t="s">
        <v>220</v>
      </c>
      <c r="D124" s="5" t="s">
        <v>223</v>
      </c>
      <c r="E124" s="6" t="s">
        <v>283</v>
      </c>
      <c r="F124" s="149" t="s">
        <v>365</v>
      </c>
      <c r="G124" s="87">
        <v>0.99</v>
      </c>
      <c r="H124" s="136" t="s">
        <v>259</v>
      </c>
      <c r="I124" s="88"/>
      <c r="J124" s="103">
        <v>45740</v>
      </c>
      <c r="K124" s="103">
        <v>45778</v>
      </c>
    </row>
    <row r="125" spans="1:15" ht="136.5" hidden="1" customHeight="1" thickBot="1">
      <c r="A125" s="31">
        <v>45849</v>
      </c>
      <c r="B125" s="3" t="s">
        <v>282</v>
      </c>
      <c r="C125" s="4" t="s">
        <v>281</v>
      </c>
      <c r="D125" s="5" t="s">
        <v>34</v>
      </c>
      <c r="E125" s="6" t="s">
        <v>283</v>
      </c>
      <c r="F125" s="48" t="s">
        <v>356</v>
      </c>
      <c r="G125" s="87">
        <v>1</v>
      </c>
      <c r="H125" s="87"/>
      <c r="I125" s="88"/>
      <c r="J125" s="103">
        <v>45810</v>
      </c>
      <c r="K125" s="103">
        <v>45838</v>
      </c>
    </row>
    <row r="126" spans="1:15" ht="136.5" hidden="1" customHeight="1" thickBot="1">
      <c r="A126" s="31">
        <v>45849</v>
      </c>
      <c r="B126" s="3" t="s">
        <v>352</v>
      </c>
      <c r="C126" s="4" t="s">
        <v>350</v>
      </c>
      <c r="D126" s="5" t="s">
        <v>34</v>
      </c>
      <c r="E126" s="6" t="s">
        <v>354</v>
      </c>
      <c r="F126" s="149" t="s">
        <v>367</v>
      </c>
      <c r="G126" s="87">
        <v>0.03</v>
      </c>
      <c r="H126" s="87"/>
      <c r="I126" s="88"/>
      <c r="J126" s="103">
        <v>45852</v>
      </c>
      <c r="K126" s="103">
        <v>45930</v>
      </c>
    </row>
    <row r="127" spans="1:15" ht="136.5" hidden="1" customHeight="1" thickBot="1">
      <c r="A127" s="31">
        <v>45849</v>
      </c>
      <c r="B127" s="3" t="s">
        <v>353</v>
      </c>
      <c r="C127" s="4" t="s">
        <v>351</v>
      </c>
      <c r="D127" s="5" t="s">
        <v>34</v>
      </c>
      <c r="E127" s="6" t="s">
        <v>354</v>
      </c>
      <c r="F127" s="149" t="s">
        <v>366</v>
      </c>
      <c r="G127" s="87">
        <v>0.03</v>
      </c>
      <c r="H127" s="87"/>
      <c r="I127" s="88"/>
      <c r="J127" s="103">
        <v>45842</v>
      </c>
      <c r="K127" s="103">
        <v>45930</v>
      </c>
    </row>
    <row r="128" spans="1:15" ht="150.75" hidden="1" thickBot="1">
      <c r="A128" s="31">
        <v>45863</v>
      </c>
      <c r="B128" s="3" t="s">
        <v>207</v>
      </c>
      <c r="C128" s="4" t="s">
        <v>10</v>
      </c>
      <c r="D128" s="5" t="s">
        <v>129</v>
      </c>
      <c r="E128" s="6" t="s">
        <v>119</v>
      </c>
      <c r="F128" s="152" t="s">
        <v>368</v>
      </c>
      <c r="G128" s="95">
        <v>0.12</v>
      </c>
      <c r="H128" s="150" t="s">
        <v>359</v>
      </c>
      <c r="I128" s="7" t="s">
        <v>348</v>
      </c>
      <c r="J128" s="13">
        <v>45658</v>
      </c>
      <c r="K128" s="14">
        <v>46387</v>
      </c>
    </row>
    <row r="129" spans="1:15" ht="150.75" hidden="1" thickBot="1">
      <c r="A129" s="31">
        <v>45863</v>
      </c>
      <c r="B129" s="3" t="s">
        <v>209</v>
      </c>
      <c r="C129" s="4" t="s">
        <v>28</v>
      </c>
      <c r="D129" s="5" t="s">
        <v>29</v>
      </c>
      <c r="E129" s="6" t="s">
        <v>30</v>
      </c>
      <c r="F129" s="155" t="s">
        <v>370</v>
      </c>
      <c r="G129" s="95">
        <v>0.1</v>
      </c>
      <c r="H129" s="10"/>
      <c r="I129" s="9"/>
      <c r="J129" s="13">
        <v>45658</v>
      </c>
      <c r="K129" s="14">
        <v>46022</v>
      </c>
    </row>
    <row r="130" spans="1:15" ht="157.9" hidden="1" customHeight="1" thickBot="1">
      <c r="A130" s="31">
        <v>45863</v>
      </c>
      <c r="B130" s="3" t="s">
        <v>214</v>
      </c>
      <c r="C130" s="4" t="s">
        <v>31</v>
      </c>
      <c r="D130" s="6" t="s">
        <v>16</v>
      </c>
      <c r="E130" s="6" t="s">
        <v>30</v>
      </c>
      <c r="F130" s="155" t="s">
        <v>371</v>
      </c>
      <c r="G130" s="87">
        <v>0.1</v>
      </c>
      <c r="H130" s="10" t="s">
        <v>362</v>
      </c>
      <c r="I130" s="9" t="s">
        <v>363</v>
      </c>
      <c r="J130" s="13">
        <v>45834</v>
      </c>
      <c r="K130" s="14">
        <v>45930</v>
      </c>
    </row>
    <row r="131" spans="1:15" ht="177.75" hidden="1" customHeight="1" thickBot="1">
      <c r="A131" s="31">
        <v>45863</v>
      </c>
      <c r="B131" s="3" t="s">
        <v>212</v>
      </c>
      <c r="C131" s="4" t="s">
        <v>183</v>
      </c>
      <c r="D131" s="5" t="s">
        <v>166</v>
      </c>
      <c r="E131" s="6" t="s">
        <v>283</v>
      </c>
      <c r="F131" s="155" t="s">
        <v>372</v>
      </c>
      <c r="G131" s="87">
        <v>0.9</v>
      </c>
      <c r="H131" s="156" t="s">
        <v>373</v>
      </c>
      <c r="I131" s="88"/>
      <c r="J131" s="103">
        <v>45719</v>
      </c>
      <c r="K131" s="103">
        <v>45898</v>
      </c>
      <c r="O131" s="29"/>
    </row>
    <row r="132" spans="1:15" ht="125.45" hidden="1" customHeight="1" thickBot="1">
      <c r="A132" s="31">
        <v>45863</v>
      </c>
      <c r="B132" s="3" t="s">
        <v>215</v>
      </c>
      <c r="C132" s="4" t="s">
        <v>184</v>
      </c>
      <c r="D132" s="5" t="s">
        <v>166</v>
      </c>
      <c r="E132" s="6" t="s">
        <v>283</v>
      </c>
      <c r="F132" s="154" t="s">
        <v>369</v>
      </c>
      <c r="G132" s="87">
        <v>0.85</v>
      </c>
      <c r="H132" s="156" t="s">
        <v>373</v>
      </c>
      <c r="I132" s="88"/>
      <c r="J132" s="103">
        <v>45719</v>
      </c>
      <c r="K132" s="103">
        <v>46022</v>
      </c>
    </row>
    <row r="133" spans="1:15" ht="155.25" hidden="1" customHeight="1" thickBot="1">
      <c r="A133" s="31">
        <v>45863</v>
      </c>
      <c r="B133" s="3" t="s">
        <v>221</v>
      </c>
      <c r="C133" s="4" t="s">
        <v>220</v>
      </c>
      <c r="D133" s="5" t="s">
        <v>223</v>
      </c>
      <c r="E133" s="6" t="s">
        <v>283</v>
      </c>
      <c r="F133" s="153" t="s">
        <v>374</v>
      </c>
      <c r="G133" s="87">
        <v>1</v>
      </c>
      <c r="H133" s="136"/>
      <c r="I133" s="88"/>
      <c r="J133" s="103">
        <v>45740</v>
      </c>
      <c r="K133" s="103">
        <v>45778</v>
      </c>
    </row>
    <row r="134" spans="1:15" ht="136.5" hidden="1" customHeight="1" thickBot="1">
      <c r="A134" s="31">
        <v>45863</v>
      </c>
      <c r="B134" s="3" t="s">
        <v>352</v>
      </c>
      <c r="C134" s="4" t="s">
        <v>350</v>
      </c>
      <c r="D134" s="5" t="s">
        <v>34</v>
      </c>
      <c r="E134" s="6" t="s">
        <v>354</v>
      </c>
      <c r="F134" s="155" t="s">
        <v>375</v>
      </c>
      <c r="G134" s="87">
        <v>0.05</v>
      </c>
      <c r="H134" s="87"/>
      <c r="I134" s="88"/>
      <c r="J134" s="103">
        <v>45852</v>
      </c>
      <c r="K134" s="103">
        <v>45930</v>
      </c>
    </row>
    <row r="135" spans="1:15" ht="136.5" hidden="1" customHeight="1" thickBot="1">
      <c r="A135" s="31">
        <v>45863</v>
      </c>
      <c r="B135" s="3" t="s">
        <v>353</v>
      </c>
      <c r="C135" s="4" t="s">
        <v>351</v>
      </c>
      <c r="D135" s="5" t="s">
        <v>34</v>
      </c>
      <c r="E135" s="6" t="s">
        <v>354</v>
      </c>
      <c r="F135" s="155" t="s">
        <v>376</v>
      </c>
      <c r="G135" s="87">
        <v>0.05</v>
      </c>
      <c r="H135" s="87"/>
      <c r="I135" s="88"/>
      <c r="J135" s="103">
        <v>45842</v>
      </c>
      <c r="K135" s="103">
        <v>45930</v>
      </c>
    </row>
    <row r="136" spans="1:15" ht="180.75" hidden="1" thickBot="1">
      <c r="A136" s="31">
        <v>45877</v>
      </c>
      <c r="B136" s="3" t="s">
        <v>207</v>
      </c>
      <c r="C136" s="4" t="s">
        <v>10</v>
      </c>
      <c r="D136" s="5" t="s">
        <v>129</v>
      </c>
      <c r="E136" s="6" t="s">
        <v>119</v>
      </c>
      <c r="F136" s="162" t="s">
        <v>383</v>
      </c>
      <c r="G136" s="95">
        <v>0.12</v>
      </c>
      <c r="H136" s="158" t="s">
        <v>359</v>
      </c>
      <c r="I136" s="7" t="s">
        <v>348</v>
      </c>
      <c r="J136" s="13">
        <v>45658</v>
      </c>
      <c r="K136" s="14">
        <v>46387</v>
      </c>
    </row>
    <row r="137" spans="1:15" ht="150.75" hidden="1" thickBot="1">
      <c r="A137" s="31">
        <v>45877</v>
      </c>
      <c r="B137" s="3" t="s">
        <v>391</v>
      </c>
      <c r="C137" s="4" t="s">
        <v>28</v>
      </c>
      <c r="D137" s="5" t="s">
        <v>29</v>
      </c>
      <c r="E137" s="6" t="s">
        <v>30</v>
      </c>
      <c r="F137" s="162" t="s">
        <v>382</v>
      </c>
      <c r="G137" s="95">
        <v>0.1</v>
      </c>
      <c r="H137" s="10"/>
      <c r="I137" s="9"/>
      <c r="J137" s="13">
        <v>45658</v>
      </c>
      <c r="K137" s="14">
        <v>46022</v>
      </c>
    </row>
    <row r="138" spans="1:15" ht="236.45" hidden="1" customHeight="1" thickBot="1">
      <c r="A138" s="31">
        <v>45877</v>
      </c>
      <c r="B138" s="3" t="s">
        <v>214</v>
      </c>
      <c r="C138" s="4" t="s">
        <v>31</v>
      </c>
      <c r="D138" s="6" t="s">
        <v>16</v>
      </c>
      <c r="E138" s="6" t="s">
        <v>30</v>
      </c>
      <c r="F138" s="163" t="s">
        <v>387</v>
      </c>
      <c r="G138" s="87">
        <v>0.1</v>
      </c>
      <c r="H138" s="10"/>
      <c r="I138" s="9" t="s">
        <v>363</v>
      </c>
      <c r="J138" s="13">
        <v>45834</v>
      </c>
      <c r="K138" s="14">
        <v>45930</v>
      </c>
    </row>
    <row r="139" spans="1:15" ht="236.25" hidden="1" customHeight="1" thickBot="1">
      <c r="A139" s="31">
        <v>45877</v>
      </c>
      <c r="B139" s="3" t="s">
        <v>212</v>
      </c>
      <c r="C139" s="4" t="s">
        <v>183</v>
      </c>
      <c r="D139" s="5" t="s">
        <v>166</v>
      </c>
      <c r="E139" s="6" t="s">
        <v>283</v>
      </c>
      <c r="F139" s="162" t="s">
        <v>384</v>
      </c>
      <c r="G139" s="87">
        <v>0.9</v>
      </c>
      <c r="H139" s="159" t="s">
        <v>373</v>
      </c>
      <c r="I139" s="88"/>
      <c r="J139" s="103">
        <v>45719</v>
      </c>
      <c r="K139" s="103">
        <v>45898</v>
      </c>
      <c r="O139" s="29"/>
    </row>
    <row r="140" spans="1:15" ht="125.45" hidden="1" customHeight="1" thickBot="1">
      <c r="A140" s="31">
        <v>45877</v>
      </c>
      <c r="B140" s="3" t="s">
        <v>215</v>
      </c>
      <c r="C140" s="4" t="s">
        <v>184</v>
      </c>
      <c r="D140" s="5" t="s">
        <v>166</v>
      </c>
      <c r="E140" s="6" t="s">
        <v>283</v>
      </c>
      <c r="F140" s="160" t="s">
        <v>381</v>
      </c>
      <c r="G140" s="87">
        <v>0.85</v>
      </c>
      <c r="H140" s="159" t="s">
        <v>373</v>
      </c>
      <c r="I140" s="88"/>
      <c r="J140" s="103">
        <v>45719</v>
      </c>
      <c r="K140" s="103">
        <v>45898</v>
      </c>
    </row>
    <row r="141" spans="1:15" ht="136.5" hidden="1" customHeight="1" thickBot="1">
      <c r="A141" s="31">
        <v>45877</v>
      </c>
      <c r="B141" s="3" t="s">
        <v>352</v>
      </c>
      <c r="C141" s="4" t="s">
        <v>350</v>
      </c>
      <c r="D141" s="5" t="s">
        <v>34</v>
      </c>
      <c r="E141" s="6" t="s">
        <v>354</v>
      </c>
      <c r="F141" s="164" t="s">
        <v>389</v>
      </c>
      <c r="G141" s="87">
        <v>0.05</v>
      </c>
      <c r="H141" s="87"/>
      <c r="I141" s="88"/>
      <c r="J141" s="103">
        <v>45852</v>
      </c>
      <c r="K141" s="103">
        <v>45930</v>
      </c>
    </row>
    <row r="142" spans="1:15" ht="136.5" hidden="1" customHeight="1" thickBot="1">
      <c r="A142" s="31">
        <v>45877</v>
      </c>
      <c r="B142" s="3" t="s">
        <v>353</v>
      </c>
      <c r="C142" s="4" t="s">
        <v>351</v>
      </c>
      <c r="D142" s="5" t="s">
        <v>34</v>
      </c>
      <c r="E142" s="6" t="s">
        <v>354</v>
      </c>
      <c r="F142" s="157" t="s">
        <v>378</v>
      </c>
      <c r="G142" s="87">
        <v>7.0000000000000007E-2</v>
      </c>
      <c r="H142" s="87"/>
      <c r="I142" s="88"/>
      <c r="J142" s="103">
        <v>45842</v>
      </c>
      <c r="K142" s="103">
        <v>45930</v>
      </c>
    </row>
    <row r="143" spans="1:15" ht="136.5" hidden="1" customHeight="1" thickBot="1">
      <c r="A143" s="31">
        <v>45877</v>
      </c>
      <c r="B143" s="3" t="s">
        <v>392</v>
      </c>
      <c r="C143" s="4" t="s">
        <v>379</v>
      </c>
      <c r="D143" s="5" t="s">
        <v>390</v>
      </c>
      <c r="E143" s="6" t="s">
        <v>283</v>
      </c>
      <c r="F143" s="157" t="s">
        <v>380</v>
      </c>
      <c r="G143" s="87"/>
      <c r="H143" s="87"/>
      <c r="I143" s="161"/>
      <c r="J143" s="103">
        <v>45870</v>
      </c>
      <c r="K143" s="103">
        <v>46447</v>
      </c>
    </row>
    <row r="144" spans="1:15" ht="177.75" hidden="1" customHeight="1" thickBot="1">
      <c r="A144" s="31">
        <v>45891</v>
      </c>
      <c r="B144" s="3" t="s">
        <v>207</v>
      </c>
      <c r="C144" s="4" t="s">
        <v>10</v>
      </c>
      <c r="D144" s="5" t="s">
        <v>129</v>
      </c>
      <c r="E144" s="6" t="s">
        <v>119</v>
      </c>
      <c r="F144" s="165" t="s">
        <v>393</v>
      </c>
      <c r="G144" s="95">
        <v>0.12</v>
      </c>
      <c r="H144" s="158" t="s">
        <v>359</v>
      </c>
      <c r="I144" s="7" t="s">
        <v>415</v>
      </c>
      <c r="J144" s="13">
        <v>45658</v>
      </c>
      <c r="K144" s="14">
        <v>46387</v>
      </c>
    </row>
    <row r="145" spans="1:15" ht="135.75" hidden="1" thickBot="1">
      <c r="A145" s="31">
        <v>45891</v>
      </c>
      <c r="B145" s="3" t="s">
        <v>391</v>
      </c>
      <c r="C145" s="4" t="s">
        <v>28</v>
      </c>
      <c r="D145" s="5" t="s">
        <v>29</v>
      </c>
      <c r="E145" s="6" t="s">
        <v>30</v>
      </c>
      <c r="F145" s="174" t="s">
        <v>416</v>
      </c>
      <c r="G145" s="95">
        <v>0.1</v>
      </c>
      <c r="H145" s="10"/>
      <c r="I145" s="9"/>
      <c r="J145" s="13">
        <v>45658</v>
      </c>
      <c r="K145" s="14">
        <v>46022</v>
      </c>
    </row>
    <row r="146" spans="1:15" ht="240.75" hidden="1" thickBot="1">
      <c r="A146" s="31">
        <v>45891</v>
      </c>
      <c r="B146" s="3" t="s">
        <v>214</v>
      </c>
      <c r="C146" s="4" t="s">
        <v>31</v>
      </c>
      <c r="D146" s="6" t="s">
        <v>16</v>
      </c>
      <c r="E146" s="6" t="s">
        <v>30</v>
      </c>
      <c r="F146" s="153" t="s">
        <v>414</v>
      </c>
      <c r="G146" s="87">
        <v>0.35</v>
      </c>
      <c r="H146" s="10"/>
      <c r="I146" s="9" t="s">
        <v>363</v>
      </c>
      <c r="J146" s="13">
        <v>45834</v>
      </c>
      <c r="K146" s="14">
        <v>45930</v>
      </c>
    </row>
    <row r="147" spans="1:15" ht="159" hidden="1" customHeight="1" thickBot="1">
      <c r="A147" s="31">
        <v>45891</v>
      </c>
      <c r="B147" s="3" t="s">
        <v>212</v>
      </c>
      <c r="C147" s="4" t="s">
        <v>183</v>
      </c>
      <c r="D147" s="5" t="s">
        <v>166</v>
      </c>
      <c r="E147" s="6" t="s">
        <v>283</v>
      </c>
      <c r="F147" s="166" t="s">
        <v>394</v>
      </c>
      <c r="G147" s="87">
        <v>0.9</v>
      </c>
      <c r="H147" s="168" t="s">
        <v>396</v>
      </c>
      <c r="I147" s="88"/>
      <c r="J147" s="103">
        <v>45719</v>
      </c>
      <c r="K147" s="103">
        <v>45930</v>
      </c>
      <c r="O147" s="29"/>
    </row>
    <row r="148" spans="1:15" ht="125.45" hidden="1" customHeight="1" thickBot="1">
      <c r="A148" s="31">
        <v>45891</v>
      </c>
      <c r="B148" s="3" t="s">
        <v>215</v>
      </c>
      <c r="C148" s="4" t="s">
        <v>184</v>
      </c>
      <c r="D148" s="5" t="s">
        <v>166</v>
      </c>
      <c r="E148" s="6" t="s">
        <v>283</v>
      </c>
      <c r="F148" s="167" t="s">
        <v>381</v>
      </c>
      <c r="G148" s="87">
        <v>0.85</v>
      </c>
      <c r="H148" s="168" t="s">
        <v>396</v>
      </c>
      <c r="I148" s="88"/>
      <c r="J148" s="103">
        <v>45719</v>
      </c>
      <c r="K148" s="103">
        <v>45930</v>
      </c>
    </row>
    <row r="149" spans="1:15" ht="136.5" hidden="1" customHeight="1" thickBot="1">
      <c r="A149" s="31">
        <v>45891</v>
      </c>
      <c r="B149" s="3" t="s">
        <v>352</v>
      </c>
      <c r="C149" s="4" t="s">
        <v>350</v>
      </c>
      <c r="D149" s="5" t="s">
        <v>34</v>
      </c>
      <c r="E149" s="6" t="s">
        <v>354</v>
      </c>
      <c r="F149" s="173" t="s">
        <v>412</v>
      </c>
      <c r="G149" s="87">
        <v>0.05</v>
      </c>
      <c r="H149" s="87"/>
      <c r="I149" s="88"/>
      <c r="J149" s="103">
        <v>45852</v>
      </c>
      <c r="K149" s="103">
        <v>45930</v>
      </c>
    </row>
    <row r="150" spans="1:15" ht="150.75" hidden="1" thickBot="1">
      <c r="A150" s="31">
        <v>45891</v>
      </c>
      <c r="B150" s="3" t="s">
        <v>353</v>
      </c>
      <c r="C150" s="4" t="s">
        <v>351</v>
      </c>
      <c r="D150" s="5" t="s">
        <v>34</v>
      </c>
      <c r="E150" s="6" t="s">
        <v>354</v>
      </c>
      <c r="F150" s="173" t="s">
        <v>411</v>
      </c>
      <c r="G150" s="87">
        <v>7.0000000000000007E-2</v>
      </c>
      <c r="H150" s="87"/>
      <c r="I150" s="88"/>
      <c r="J150" s="103">
        <v>45842</v>
      </c>
      <c r="K150" s="103">
        <v>45930</v>
      </c>
    </row>
    <row r="151" spans="1:15" ht="159.75" hidden="1" customHeight="1" thickBot="1">
      <c r="A151" s="31">
        <v>45891</v>
      </c>
      <c r="B151" s="3" t="s">
        <v>392</v>
      </c>
      <c r="C151" s="170" t="s">
        <v>379</v>
      </c>
      <c r="D151" s="5" t="s">
        <v>390</v>
      </c>
      <c r="E151" s="6" t="s">
        <v>283</v>
      </c>
      <c r="F151" s="166" t="s">
        <v>395</v>
      </c>
      <c r="G151" s="87"/>
      <c r="H151" s="87"/>
      <c r="I151" s="161"/>
      <c r="J151" s="103">
        <v>45870</v>
      </c>
      <c r="K151" s="103">
        <v>46447</v>
      </c>
    </row>
    <row r="152" spans="1:15" ht="147.75" hidden="1" customHeight="1" thickBot="1">
      <c r="A152" s="31">
        <v>45891</v>
      </c>
      <c r="B152" s="3" t="s">
        <v>294</v>
      </c>
      <c r="C152" s="170" t="s">
        <v>400</v>
      </c>
      <c r="D152" s="5" t="s">
        <v>402</v>
      </c>
      <c r="E152" s="6" t="s">
        <v>340</v>
      </c>
      <c r="F152" s="173" t="s">
        <v>410</v>
      </c>
      <c r="G152" s="87"/>
      <c r="H152" s="87" t="s">
        <v>136</v>
      </c>
      <c r="I152" s="161"/>
      <c r="J152" s="103">
        <v>45894</v>
      </c>
      <c r="K152" s="103">
        <v>45930</v>
      </c>
    </row>
    <row r="153" spans="1:15" ht="120.75" hidden="1" thickBot="1">
      <c r="A153" s="31">
        <v>45891</v>
      </c>
      <c r="B153" s="3" t="s">
        <v>404</v>
      </c>
      <c r="C153" s="170" t="s">
        <v>398</v>
      </c>
      <c r="D153" s="5" t="s">
        <v>401</v>
      </c>
      <c r="E153" s="6" t="s">
        <v>283</v>
      </c>
      <c r="F153" s="173" t="s">
        <v>407</v>
      </c>
      <c r="G153" s="87"/>
      <c r="H153" s="87" t="s">
        <v>136</v>
      </c>
      <c r="I153" s="161"/>
      <c r="J153" s="103">
        <v>45894</v>
      </c>
      <c r="K153" s="103">
        <v>45930</v>
      </c>
    </row>
    <row r="154" spans="1:15" ht="81.599999999999994" hidden="1" customHeight="1" thickBot="1">
      <c r="A154" s="31">
        <v>45891</v>
      </c>
      <c r="B154" s="3" t="s">
        <v>405</v>
      </c>
      <c r="C154" s="170" t="s">
        <v>399</v>
      </c>
      <c r="D154" s="5" t="s">
        <v>401</v>
      </c>
      <c r="E154" s="6" t="s">
        <v>283</v>
      </c>
      <c r="F154" s="171" t="s">
        <v>408</v>
      </c>
      <c r="G154" s="87"/>
      <c r="H154" s="87" t="s">
        <v>136</v>
      </c>
      <c r="I154" s="161"/>
      <c r="J154" s="103">
        <v>45894</v>
      </c>
      <c r="K154" s="103">
        <v>45930</v>
      </c>
    </row>
    <row r="155" spans="1:15" ht="105.75" hidden="1" thickBot="1">
      <c r="A155" s="31">
        <v>45891</v>
      </c>
      <c r="B155" s="3" t="s">
        <v>406</v>
      </c>
      <c r="C155" s="170" t="s">
        <v>397</v>
      </c>
      <c r="D155" s="5" t="s">
        <v>403</v>
      </c>
      <c r="E155" s="6" t="s">
        <v>110</v>
      </c>
      <c r="F155" s="172" t="s">
        <v>409</v>
      </c>
      <c r="G155" s="87"/>
      <c r="H155" s="87" t="s">
        <v>136</v>
      </c>
      <c r="I155" s="161"/>
      <c r="J155" s="103">
        <v>45894</v>
      </c>
      <c r="K155" s="103">
        <v>45912</v>
      </c>
    </row>
    <row r="156" spans="1:15" ht="165.75" hidden="1" thickBot="1">
      <c r="A156" s="31">
        <v>45905</v>
      </c>
      <c r="B156" s="3" t="s">
        <v>207</v>
      </c>
      <c r="C156" s="4" t="s">
        <v>10</v>
      </c>
      <c r="D156" s="5" t="s">
        <v>129</v>
      </c>
      <c r="E156" s="6" t="s">
        <v>119</v>
      </c>
      <c r="F156" s="188" t="s">
        <v>428</v>
      </c>
      <c r="G156" s="95">
        <v>0.12</v>
      </c>
      <c r="H156" s="158" t="s">
        <v>359</v>
      </c>
      <c r="I156" s="7" t="s">
        <v>415</v>
      </c>
      <c r="J156" s="13">
        <v>45658</v>
      </c>
      <c r="K156" s="14">
        <v>46387</v>
      </c>
    </row>
    <row r="157" spans="1:15" ht="165.75" hidden="1" thickBot="1">
      <c r="A157" s="31">
        <v>45905</v>
      </c>
      <c r="B157" s="3" t="s">
        <v>391</v>
      </c>
      <c r="C157" s="4" t="s">
        <v>28</v>
      </c>
      <c r="D157" s="5" t="s">
        <v>29</v>
      </c>
      <c r="E157" s="6" t="s">
        <v>30</v>
      </c>
      <c r="F157" s="189" t="s">
        <v>438</v>
      </c>
      <c r="G157" s="95">
        <v>0.1</v>
      </c>
      <c r="H157" s="10"/>
      <c r="I157" s="9"/>
      <c r="J157" s="13">
        <v>45658</v>
      </c>
      <c r="K157" s="14">
        <v>46022</v>
      </c>
    </row>
    <row r="158" spans="1:15" ht="210.75" hidden="1" thickBot="1">
      <c r="A158" s="31">
        <v>45905</v>
      </c>
      <c r="B158" s="3" t="s">
        <v>214</v>
      </c>
      <c r="C158" s="4" t="s">
        <v>31</v>
      </c>
      <c r="D158" s="6" t="s">
        <v>16</v>
      </c>
      <c r="E158" s="6" t="s">
        <v>30</v>
      </c>
      <c r="F158" s="189" t="s">
        <v>434</v>
      </c>
      <c r="G158" s="87">
        <v>0.45</v>
      </c>
      <c r="H158" s="10"/>
      <c r="I158" s="9" t="s">
        <v>363</v>
      </c>
      <c r="J158" s="13">
        <v>45834</v>
      </c>
      <c r="K158" s="14">
        <v>45930</v>
      </c>
    </row>
    <row r="159" spans="1:15" ht="121.15" hidden="1" customHeight="1" thickBot="1">
      <c r="A159" s="31">
        <v>45905</v>
      </c>
      <c r="B159" s="3" t="s">
        <v>212</v>
      </c>
      <c r="C159" s="4" t="s">
        <v>183</v>
      </c>
      <c r="D159" s="5" t="s">
        <v>166</v>
      </c>
      <c r="E159" s="6" t="s">
        <v>283</v>
      </c>
      <c r="F159" s="175" t="s">
        <v>419</v>
      </c>
      <c r="G159" s="87">
        <v>0.9</v>
      </c>
      <c r="H159" s="168" t="s">
        <v>396</v>
      </c>
      <c r="I159" s="88"/>
      <c r="J159" s="103">
        <v>45719</v>
      </c>
      <c r="K159" s="103">
        <v>45930</v>
      </c>
    </row>
    <row r="160" spans="1:15" ht="90.75" hidden="1" thickBot="1">
      <c r="A160" s="31">
        <v>45905</v>
      </c>
      <c r="B160" s="3" t="s">
        <v>215</v>
      </c>
      <c r="C160" s="4" t="s">
        <v>184</v>
      </c>
      <c r="D160" s="5" t="s">
        <v>166</v>
      </c>
      <c r="E160" s="6" t="s">
        <v>283</v>
      </c>
      <c r="F160" s="167" t="s">
        <v>381</v>
      </c>
      <c r="G160" s="87">
        <v>0.85</v>
      </c>
      <c r="H160" s="168" t="s">
        <v>396</v>
      </c>
      <c r="I160" s="88"/>
      <c r="J160" s="103">
        <v>45719</v>
      </c>
      <c r="K160" s="103">
        <v>45930</v>
      </c>
    </row>
    <row r="161" spans="1:11" ht="150.75" hidden="1" thickBot="1">
      <c r="A161" s="31">
        <v>45905</v>
      </c>
      <c r="B161" s="3" t="s">
        <v>352</v>
      </c>
      <c r="C161" s="4" t="s">
        <v>350</v>
      </c>
      <c r="D161" s="5" t="s">
        <v>34</v>
      </c>
      <c r="E161" s="6" t="s">
        <v>354</v>
      </c>
      <c r="F161" s="188" t="s">
        <v>429</v>
      </c>
      <c r="G161" s="87">
        <v>0.05</v>
      </c>
      <c r="H161" s="87"/>
      <c r="I161" s="88"/>
      <c r="J161" s="103">
        <v>45852</v>
      </c>
      <c r="K161" s="103">
        <v>45930</v>
      </c>
    </row>
    <row r="162" spans="1:11" ht="150.75" hidden="1" thickBot="1">
      <c r="A162" s="31">
        <v>45905</v>
      </c>
      <c r="B162" s="3" t="s">
        <v>353</v>
      </c>
      <c r="C162" s="4" t="s">
        <v>351</v>
      </c>
      <c r="D162" s="5" t="s">
        <v>34</v>
      </c>
      <c r="E162" s="6" t="s">
        <v>354</v>
      </c>
      <c r="F162" s="175" t="s">
        <v>425</v>
      </c>
      <c r="G162" s="87">
        <v>7.0000000000000007E-2</v>
      </c>
      <c r="H162" s="87"/>
      <c r="I162" s="88"/>
      <c r="J162" s="103">
        <v>45842</v>
      </c>
      <c r="K162" s="103">
        <v>45930</v>
      </c>
    </row>
    <row r="163" spans="1:11" ht="105.75" hidden="1" thickBot="1">
      <c r="A163" s="31">
        <v>45905</v>
      </c>
      <c r="B163" s="3" t="s">
        <v>392</v>
      </c>
      <c r="C163" s="4" t="s">
        <v>379</v>
      </c>
      <c r="D163" s="5" t="s">
        <v>390</v>
      </c>
      <c r="E163" s="6" t="s">
        <v>283</v>
      </c>
      <c r="F163" s="189" t="s">
        <v>436</v>
      </c>
      <c r="G163" s="87"/>
      <c r="H163" s="87"/>
      <c r="I163" s="161"/>
      <c r="J163" s="103">
        <v>45870</v>
      </c>
      <c r="K163" s="103">
        <v>46447</v>
      </c>
    </row>
    <row r="164" spans="1:11" ht="143.25" hidden="1" customHeight="1" thickBot="1">
      <c r="A164" s="31">
        <v>45905</v>
      </c>
      <c r="B164" s="3" t="s">
        <v>294</v>
      </c>
      <c r="C164" s="4" t="s">
        <v>400</v>
      </c>
      <c r="D164" s="5" t="s">
        <v>402</v>
      </c>
      <c r="E164" s="6" t="s">
        <v>340</v>
      </c>
      <c r="F164" s="189" t="s">
        <v>437</v>
      </c>
      <c r="G164" s="87"/>
      <c r="H164" s="87"/>
      <c r="I164" s="161"/>
      <c r="J164" s="103">
        <v>45894</v>
      </c>
      <c r="K164" s="103">
        <v>45930</v>
      </c>
    </row>
    <row r="165" spans="1:11" ht="105.75" hidden="1" thickBot="1">
      <c r="A165" s="31">
        <v>45905</v>
      </c>
      <c r="B165" s="3" t="s">
        <v>404</v>
      </c>
      <c r="C165" s="4" t="s">
        <v>398</v>
      </c>
      <c r="D165" s="5" t="s">
        <v>401</v>
      </c>
      <c r="E165" s="6" t="s">
        <v>283</v>
      </c>
      <c r="F165" s="188" t="s">
        <v>430</v>
      </c>
      <c r="G165" s="87"/>
      <c r="H165" s="87"/>
      <c r="I165" s="161"/>
      <c r="J165" s="103">
        <v>45894</v>
      </c>
      <c r="K165" s="103">
        <v>45930</v>
      </c>
    </row>
    <row r="166" spans="1:11" ht="120.75" hidden="1" thickBot="1">
      <c r="A166" s="31">
        <v>45905</v>
      </c>
      <c r="B166" s="3" t="s">
        <v>405</v>
      </c>
      <c r="C166" s="4" t="s">
        <v>399</v>
      </c>
      <c r="D166" s="5" t="s">
        <v>401</v>
      </c>
      <c r="E166" s="6" t="s">
        <v>283</v>
      </c>
      <c r="F166" s="188" t="s">
        <v>431</v>
      </c>
      <c r="G166" s="87"/>
      <c r="H166" s="87" t="s">
        <v>136</v>
      </c>
      <c r="I166" s="161"/>
      <c r="J166" s="103">
        <v>45894</v>
      </c>
      <c r="K166" s="103">
        <v>45930</v>
      </c>
    </row>
    <row r="167" spans="1:11" ht="90.75" hidden="1" thickBot="1">
      <c r="A167" s="31">
        <v>45905</v>
      </c>
      <c r="B167" s="3" t="s">
        <v>406</v>
      </c>
      <c r="C167" s="4" t="s">
        <v>417</v>
      </c>
      <c r="D167" s="5" t="s">
        <v>403</v>
      </c>
      <c r="E167" s="6" t="s">
        <v>110</v>
      </c>
      <c r="F167" s="188" t="s">
        <v>432</v>
      </c>
      <c r="G167" s="87"/>
      <c r="H167" s="87"/>
      <c r="I167" s="161"/>
      <c r="J167" s="103">
        <v>45894</v>
      </c>
      <c r="K167" s="103">
        <v>45912</v>
      </c>
    </row>
    <row r="168" spans="1:11" ht="105.75" hidden="1" thickBot="1">
      <c r="A168" s="31">
        <v>45905</v>
      </c>
      <c r="B168" s="3" t="s">
        <v>420</v>
      </c>
      <c r="C168" s="4" t="s">
        <v>421</v>
      </c>
      <c r="D168" s="5" t="s">
        <v>422</v>
      </c>
      <c r="E168" s="176" t="s">
        <v>340</v>
      </c>
      <c r="F168" s="175" t="s">
        <v>423</v>
      </c>
      <c r="G168" s="87"/>
      <c r="H168" s="87"/>
      <c r="I168" s="161"/>
      <c r="J168" s="103">
        <v>45910</v>
      </c>
      <c r="K168" s="103">
        <v>46022</v>
      </c>
    </row>
    <row r="169" spans="1:11" ht="132.75" hidden="1" customHeight="1" thickBot="1">
      <c r="A169" s="31">
        <v>45905</v>
      </c>
      <c r="B169" s="3" t="s">
        <v>418</v>
      </c>
      <c r="C169" s="4" t="s">
        <v>435</v>
      </c>
      <c r="D169" s="176" t="s">
        <v>402</v>
      </c>
      <c r="E169" s="176" t="s">
        <v>340</v>
      </c>
      <c r="F169" s="188" t="s">
        <v>433</v>
      </c>
      <c r="G169" s="87"/>
      <c r="H169" s="87" t="s">
        <v>136</v>
      </c>
      <c r="I169" s="161"/>
      <c r="J169" s="103">
        <v>45910</v>
      </c>
      <c r="K169" s="103">
        <v>45940</v>
      </c>
    </row>
    <row r="170" spans="1:11" ht="165.75" hidden="1" thickBot="1">
      <c r="A170" s="31">
        <v>45919</v>
      </c>
      <c r="B170" s="3" t="s">
        <v>207</v>
      </c>
      <c r="C170" s="4" t="s">
        <v>10</v>
      </c>
      <c r="D170" s="5" t="s">
        <v>129</v>
      </c>
      <c r="E170" s="6" t="s">
        <v>119</v>
      </c>
      <c r="F170" s="188" t="s">
        <v>428</v>
      </c>
      <c r="G170" s="95">
        <v>0.12</v>
      </c>
      <c r="H170" s="158" t="s">
        <v>359</v>
      </c>
      <c r="I170" s="7" t="s">
        <v>415</v>
      </c>
      <c r="J170" s="13">
        <v>45658</v>
      </c>
      <c r="K170" s="14">
        <v>46387</v>
      </c>
    </row>
    <row r="171" spans="1:11" ht="120.75" hidden="1" thickBot="1">
      <c r="A171" s="31">
        <v>45919</v>
      </c>
      <c r="B171" s="3" t="s">
        <v>391</v>
      </c>
      <c r="C171" s="4" t="s">
        <v>28</v>
      </c>
      <c r="D171" s="5" t="s">
        <v>29</v>
      </c>
      <c r="E171" s="6" t="s">
        <v>30</v>
      </c>
      <c r="F171" s="194" t="s">
        <v>445</v>
      </c>
      <c r="G171" s="95">
        <v>0.1</v>
      </c>
      <c r="H171" s="10"/>
      <c r="I171" s="9"/>
      <c r="J171" s="13">
        <v>45658</v>
      </c>
      <c r="K171" s="14">
        <v>46022</v>
      </c>
    </row>
    <row r="172" spans="1:11" ht="150.75" hidden="1" thickBot="1">
      <c r="A172" s="31">
        <v>45919</v>
      </c>
      <c r="B172" s="3" t="s">
        <v>214</v>
      </c>
      <c r="C172" s="4" t="s">
        <v>31</v>
      </c>
      <c r="D172" s="6" t="s">
        <v>16</v>
      </c>
      <c r="E172" s="6" t="s">
        <v>30</v>
      </c>
      <c r="F172" s="196" t="s">
        <v>453</v>
      </c>
      <c r="G172" s="87">
        <v>0.55000000000000004</v>
      </c>
      <c r="H172" s="10"/>
      <c r="I172" s="9" t="s">
        <v>363</v>
      </c>
      <c r="J172" s="13">
        <v>45834</v>
      </c>
      <c r="K172" s="14">
        <v>45930</v>
      </c>
    </row>
    <row r="173" spans="1:11" ht="150.75" hidden="1" customHeight="1" thickBot="1">
      <c r="A173" s="31">
        <v>45919</v>
      </c>
      <c r="B173" s="3" t="s">
        <v>212</v>
      </c>
      <c r="C173" s="4" t="s">
        <v>183</v>
      </c>
      <c r="D173" s="5" t="s">
        <v>166</v>
      </c>
      <c r="E173" s="6" t="s">
        <v>283</v>
      </c>
      <c r="F173" s="191" t="s">
        <v>440</v>
      </c>
      <c r="G173" s="87">
        <v>0.9</v>
      </c>
      <c r="H173" s="190" t="s">
        <v>439</v>
      </c>
      <c r="I173" s="88"/>
      <c r="J173" s="103">
        <v>45719</v>
      </c>
      <c r="K173" s="103">
        <v>46022</v>
      </c>
    </row>
    <row r="174" spans="1:11" ht="90.75" hidden="1" thickBot="1">
      <c r="A174" s="31">
        <v>45919</v>
      </c>
      <c r="B174" s="3" t="s">
        <v>215</v>
      </c>
      <c r="C174" s="4" t="s">
        <v>184</v>
      </c>
      <c r="D174" s="5" t="s">
        <v>166</v>
      </c>
      <c r="E174" s="6" t="s">
        <v>283</v>
      </c>
      <c r="F174" s="167" t="s">
        <v>381</v>
      </c>
      <c r="G174" s="87">
        <v>0.85</v>
      </c>
      <c r="H174" s="192" t="s">
        <v>439</v>
      </c>
      <c r="I174" s="88"/>
      <c r="J174" s="103">
        <v>45719</v>
      </c>
      <c r="K174" s="103">
        <v>46022</v>
      </c>
    </row>
    <row r="175" spans="1:11" ht="141" hidden="1" customHeight="1" thickBot="1">
      <c r="A175" s="31">
        <v>45919</v>
      </c>
      <c r="B175" s="3" t="s">
        <v>352</v>
      </c>
      <c r="C175" s="4" t="s">
        <v>350</v>
      </c>
      <c r="D175" s="5" t="s">
        <v>34</v>
      </c>
      <c r="E175" s="6" t="s">
        <v>354</v>
      </c>
      <c r="F175" s="194" t="s">
        <v>446</v>
      </c>
      <c r="G175" s="87">
        <v>0.05</v>
      </c>
      <c r="H175" s="87"/>
      <c r="I175" s="88"/>
      <c r="J175" s="103">
        <v>45852</v>
      </c>
      <c r="K175" s="103">
        <v>45930</v>
      </c>
    </row>
    <row r="176" spans="1:11" ht="75.75" hidden="1" thickBot="1">
      <c r="A176" s="31">
        <v>45919</v>
      </c>
      <c r="B176" s="3" t="s">
        <v>353</v>
      </c>
      <c r="C176" s="4" t="s">
        <v>351</v>
      </c>
      <c r="D176" s="5" t="s">
        <v>34</v>
      </c>
      <c r="E176" s="6" t="s">
        <v>354</v>
      </c>
      <c r="F176" s="194" t="s">
        <v>447</v>
      </c>
      <c r="G176" s="87">
        <v>7.0000000000000007E-2</v>
      </c>
      <c r="H176" s="87"/>
      <c r="I176" s="88"/>
      <c r="J176" s="103">
        <v>45842</v>
      </c>
      <c r="K176" s="103">
        <v>45930</v>
      </c>
    </row>
    <row r="177" spans="1:11" ht="105.75" hidden="1" thickBot="1">
      <c r="A177" s="31">
        <v>45919</v>
      </c>
      <c r="B177" s="3" t="s">
        <v>392</v>
      </c>
      <c r="C177" s="4" t="s">
        <v>379</v>
      </c>
      <c r="D177" s="5" t="s">
        <v>390</v>
      </c>
      <c r="E177" s="6" t="s">
        <v>283</v>
      </c>
      <c r="F177" s="194" t="s">
        <v>448</v>
      </c>
      <c r="G177" s="87"/>
      <c r="H177" s="87"/>
      <c r="I177" s="161"/>
      <c r="J177" s="103">
        <v>45870</v>
      </c>
      <c r="K177" s="103">
        <v>46447</v>
      </c>
    </row>
    <row r="178" spans="1:11" ht="105.75" hidden="1" thickBot="1">
      <c r="A178" s="31">
        <v>45919</v>
      </c>
      <c r="B178" s="3" t="s">
        <v>294</v>
      </c>
      <c r="C178" s="4" t="s">
        <v>400</v>
      </c>
      <c r="D178" s="5" t="s">
        <v>402</v>
      </c>
      <c r="E178" s="6" t="s">
        <v>340</v>
      </c>
      <c r="F178" s="195" t="s">
        <v>449</v>
      </c>
      <c r="G178" s="87">
        <v>0.1</v>
      </c>
      <c r="H178" s="87"/>
      <c r="I178" s="161"/>
      <c r="J178" s="103">
        <v>45894</v>
      </c>
      <c r="K178" s="103">
        <v>45930</v>
      </c>
    </row>
    <row r="179" spans="1:11" ht="90.75" hidden="1" thickBot="1">
      <c r="A179" s="31">
        <v>45919</v>
      </c>
      <c r="B179" s="3" t="s">
        <v>404</v>
      </c>
      <c r="C179" s="4" t="s">
        <v>398</v>
      </c>
      <c r="D179" s="5" t="s">
        <v>401</v>
      </c>
      <c r="E179" s="6" t="s">
        <v>283</v>
      </c>
      <c r="F179" s="193" t="s">
        <v>441</v>
      </c>
      <c r="G179" s="87">
        <v>0.03</v>
      </c>
      <c r="H179" s="87"/>
      <c r="I179" s="161"/>
      <c r="J179" s="103">
        <v>45894</v>
      </c>
      <c r="K179" s="103">
        <v>45930</v>
      </c>
    </row>
    <row r="180" spans="1:11" ht="120.75" hidden="1" thickBot="1">
      <c r="A180" s="31">
        <v>45919</v>
      </c>
      <c r="B180" s="3" t="s">
        <v>405</v>
      </c>
      <c r="C180" s="4" t="s">
        <v>399</v>
      </c>
      <c r="D180" s="5" t="s">
        <v>401</v>
      </c>
      <c r="E180" s="6" t="s">
        <v>283</v>
      </c>
      <c r="F180" s="194" t="s">
        <v>450</v>
      </c>
      <c r="G180" s="87"/>
      <c r="H180" s="87"/>
      <c r="I180" s="161"/>
      <c r="J180" s="103">
        <v>45922</v>
      </c>
      <c r="K180" s="103">
        <v>45961</v>
      </c>
    </row>
    <row r="181" spans="1:11" ht="90.75" hidden="1" thickBot="1">
      <c r="A181" s="31">
        <v>45919</v>
      </c>
      <c r="B181" s="3" t="s">
        <v>406</v>
      </c>
      <c r="C181" s="4" t="s">
        <v>417</v>
      </c>
      <c r="D181" s="5" t="s">
        <v>403</v>
      </c>
      <c r="E181" s="6" t="s">
        <v>110</v>
      </c>
      <c r="F181" s="193" t="s">
        <v>444</v>
      </c>
      <c r="G181" s="87">
        <v>0.9</v>
      </c>
      <c r="H181" s="197" t="s">
        <v>454</v>
      </c>
      <c r="I181" s="161"/>
      <c r="J181" s="103">
        <v>45894</v>
      </c>
      <c r="K181" s="103">
        <v>45930</v>
      </c>
    </row>
    <row r="182" spans="1:11" ht="105.75" hidden="1" thickBot="1">
      <c r="A182" s="31">
        <v>45919</v>
      </c>
      <c r="B182" s="3" t="s">
        <v>420</v>
      </c>
      <c r="C182" s="4" t="s">
        <v>421</v>
      </c>
      <c r="D182" s="5" t="s">
        <v>422</v>
      </c>
      <c r="E182" s="176" t="s">
        <v>340</v>
      </c>
      <c r="F182" s="194" t="s">
        <v>451</v>
      </c>
      <c r="G182" s="87">
        <v>0.01</v>
      </c>
      <c r="H182" s="87"/>
      <c r="I182" s="161"/>
      <c r="J182" s="103">
        <v>45910</v>
      </c>
      <c r="K182" s="103">
        <v>46022</v>
      </c>
    </row>
    <row r="183" spans="1:11" ht="105.75" hidden="1" thickBot="1">
      <c r="A183" s="31">
        <v>45919</v>
      </c>
      <c r="B183" s="3" t="s">
        <v>418</v>
      </c>
      <c r="C183" s="4" t="s">
        <v>443</v>
      </c>
      <c r="D183" s="176" t="s">
        <v>402</v>
      </c>
      <c r="E183" s="176" t="s">
        <v>340</v>
      </c>
      <c r="F183" s="195" t="s">
        <v>452</v>
      </c>
      <c r="G183" s="87">
        <v>0.01</v>
      </c>
      <c r="H183" s="87"/>
      <c r="I183" s="161"/>
      <c r="J183" s="103">
        <v>45915</v>
      </c>
      <c r="K183" s="103">
        <v>45961</v>
      </c>
    </row>
    <row r="184" spans="1:11" ht="156.75" hidden="1" customHeight="1" thickBot="1">
      <c r="A184" s="31">
        <v>45933</v>
      </c>
      <c r="B184" s="3" t="s">
        <v>207</v>
      </c>
      <c r="C184" s="4" t="s">
        <v>10</v>
      </c>
      <c r="D184" s="5" t="s">
        <v>129</v>
      </c>
      <c r="E184" s="6" t="s">
        <v>119</v>
      </c>
      <c r="F184" s="198" t="s">
        <v>456</v>
      </c>
      <c r="G184" s="95">
        <v>0.12</v>
      </c>
      <c r="H184" s="158" t="s">
        <v>359</v>
      </c>
      <c r="I184" s="7" t="s">
        <v>460</v>
      </c>
      <c r="J184" s="13">
        <v>45658</v>
      </c>
      <c r="K184" s="14">
        <v>46387</v>
      </c>
    </row>
    <row r="185" spans="1:11" ht="120.75" hidden="1" thickBot="1">
      <c r="A185" s="31">
        <v>45933</v>
      </c>
      <c r="B185" s="3" t="s">
        <v>391</v>
      </c>
      <c r="C185" s="4" t="s">
        <v>28</v>
      </c>
      <c r="D185" s="5" t="s">
        <v>29</v>
      </c>
      <c r="E185" s="6" t="s">
        <v>30</v>
      </c>
      <c r="F185" s="198" t="s">
        <v>457</v>
      </c>
      <c r="G185" s="95">
        <v>0.12</v>
      </c>
      <c r="H185" s="10"/>
      <c r="I185" s="9"/>
      <c r="J185" s="13">
        <v>45658</v>
      </c>
      <c r="K185" s="14">
        <v>46022</v>
      </c>
    </row>
    <row r="186" spans="1:11" ht="210.75" hidden="1" thickBot="1">
      <c r="A186" s="31">
        <v>45933</v>
      </c>
      <c r="B186" s="3" t="s">
        <v>214</v>
      </c>
      <c r="C186" s="4" t="s">
        <v>31</v>
      </c>
      <c r="D186" s="6" t="s">
        <v>16</v>
      </c>
      <c r="E186" s="6" t="s">
        <v>30</v>
      </c>
      <c r="F186" s="205" t="s">
        <v>469</v>
      </c>
      <c r="G186" s="87">
        <v>0.68</v>
      </c>
      <c r="H186" s="10"/>
      <c r="I186" s="9" t="s">
        <v>363</v>
      </c>
      <c r="J186" s="13">
        <v>45834</v>
      </c>
      <c r="K186" s="14">
        <v>45930</v>
      </c>
    </row>
    <row r="187" spans="1:11" ht="247.5" hidden="1" customHeight="1" thickBot="1">
      <c r="A187" s="31">
        <v>45933</v>
      </c>
      <c r="B187" s="3" t="s">
        <v>212</v>
      </c>
      <c r="C187" s="4" t="s">
        <v>183</v>
      </c>
      <c r="D187" s="5" t="s">
        <v>166</v>
      </c>
      <c r="E187" s="6" t="s">
        <v>283</v>
      </c>
      <c r="F187" s="205" t="s">
        <v>470</v>
      </c>
      <c r="G187" s="87">
        <v>0.9</v>
      </c>
      <c r="H187" s="190" t="s">
        <v>439</v>
      </c>
      <c r="I187" s="88"/>
      <c r="J187" s="103">
        <v>45719</v>
      </c>
      <c r="K187" s="103">
        <v>46022</v>
      </c>
    </row>
    <row r="188" spans="1:11" ht="90.75" hidden="1" thickBot="1">
      <c r="A188" s="31">
        <v>45933</v>
      </c>
      <c r="B188" s="3" t="s">
        <v>215</v>
      </c>
      <c r="C188" s="4" t="s">
        <v>184</v>
      </c>
      <c r="D188" s="5" t="s">
        <v>166</v>
      </c>
      <c r="E188" s="6" t="s">
        <v>283</v>
      </c>
      <c r="F188" s="167" t="s">
        <v>381</v>
      </c>
      <c r="G188" s="87">
        <v>0.85</v>
      </c>
      <c r="H188" s="204" t="s">
        <v>439</v>
      </c>
      <c r="I188" s="88"/>
      <c r="J188" s="103">
        <v>45719</v>
      </c>
      <c r="K188" s="103">
        <v>46022</v>
      </c>
    </row>
    <row r="189" spans="1:11" ht="141" hidden="1" customHeight="1" thickBot="1">
      <c r="A189" s="31">
        <v>45933</v>
      </c>
      <c r="B189" s="3" t="s">
        <v>352</v>
      </c>
      <c r="C189" s="4" t="s">
        <v>350</v>
      </c>
      <c r="D189" s="5" t="s">
        <v>34</v>
      </c>
      <c r="E189" s="6" t="s">
        <v>354</v>
      </c>
      <c r="F189" s="198" t="s">
        <v>459</v>
      </c>
      <c r="G189" s="87">
        <v>0.05</v>
      </c>
      <c r="H189" s="87"/>
      <c r="I189" s="88"/>
      <c r="J189" s="103">
        <v>45852</v>
      </c>
      <c r="K189" s="103">
        <v>45989</v>
      </c>
    </row>
    <row r="190" spans="1:11" ht="135.75" hidden="1" thickBot="1">
      <c r="A190" s="31">
        <v>45933</v>
      </c>
      <c r="B190" s="3" t="s">
        <v>353</v>
      </c>
      <c r="C190" s="4" t="s">
        <v>351</v>
      </c>
      <c r="D190" s="5" t="s">
        <v>34</v>
      </c>
      <c r="E190" s="6" t="s">
        <v>354</v>
      </c>
      <c r="F190" s="198" t="s">
        <v>458</v>
      </c>
      <c r="G190" s="87">
        <v>7.0000000000000007E-2</v>
      </c>
      <c r="H190" s="87"/>
      <c r="I190" s="88"/>
      <c r="J190" s="103">
        <v>45842</v>
      </c>
      <c r="K190" s="103">
        <v>45989</v>
      </c>
    </row>
    <row r="191" spans="1:11" ht="85.5" hidden="1" customHeight="1" thickBot="1">
      <c r="A191" s="31">
        <v>45933</v>
      </c>
      <c r="B191" s="3" t="s">
        <v>392</v>
      </c>
      <c r="C191" s="4" t="s">
        <v>379</v>
      </c>
      <c r="D191" s="5" t="s">
        <v>390</v>
      </c>
      <c r="E191" s="6" t="s">
        <v>283</v>
      </c>
      <c r="F191" s="199" t="s">
        <v>461</v>
      </c>
      <c r="G191" s="87"/>
      <c r="H191" s="87"/>
      <c r="I191" s="161"/>
      <c r="J191" s="103">
        <v>45870</v>
      </c>
      <c r="K191" s="103">
        <v>46447</v>
      </c>
    </row>
    <row r="192" spans="1:11" ht="120.75" hidden="1" thickBot="1">
      <c r="A192" s="31">
        <v>45933</v>
      </c>
      <c r="B192" s="3" t="s">
        <v>294</v>
      </c>
      <c r="C192" s="4" t="s">
        <v>400</v>
      </c>
      <c r="D192" s="5" t="s">
        <v>402</v>
      </c>
      <c r="E192" s="6" t="s">
        <v>340</v>
      </c>
      <c r="F192" s="200" t="s">
        <v>463</v>
      </c>
      <c r="G192" s="87">
        <v>0.1</v>
      </c>
      <c r="H192" s="87"/>
      <c r="I192" s="161"/>
      <c r="J192" s="103">
        <v>45894</v>
      </c>
      <c r="K192" s="103">
        <v>45961</v>
      </c>
    </row>
    <row r="193" spans="1:11" ht="120.75" hidden="1" thickBot="1">
      <c r="A193" s="31">
        <v>45933</v>
      </c>
      <c r="B193" s="3" t="s">
        <v>404</v>
      </c>
      <c r="C193" s="202" t="s">
        <v>398</v>
      </c>
      <c r="D193" s="5" t="s">
        <v>401</v>
      </c>
      <c r="E193" s="6" t="s">
        <v>283</v>
      </c>
      <c r="F193" s="203" t="s">
        <v>467</v>
      </c>
      <c r="G193" s="87">
        <v>0.03</v>
      </c>
      <c r="H193" s="204" t="s">
        <v>468</v>
      </c>
      <c r="I193" s="161"/>
      <c r="J193" s="103">
        <v>45894</v>
      </c>
      <c r="K193" s="103">
        <v>46022</v>
      </c>
    </row>
    <row r="194" spans="1:11" ht="165.75" hidden="1" thickBot="1">
      <c r="A194" s="31">
        <v>45933</v>
      </c>
      <c r="B194" s="3" t="s">
        <v>405</v>
      </c>
      <c r="C194" s="4" t="s">
        <v>399</v>
      </c>
      <c r="D194" s="5" t="s">
        <v>401</v>
      </c>
      <c r="E194" s="6" t="s">
        <v>283</v>
      </c>
      <c r="F194" s="201" t="s">
        <v>466</v>
      </c>
      <c r="G194" s="87">
        <v>0.15</v>
      </c>
      <c r="H194" s="87"/>
      <c r="I194" s="161"/>
      <c r="J194" s="103">
        <v>45922</v>
      </c>
      <c r="K194" s="103">
        <v>45961</v>
      </c>
    </row>
    <row r="195" spans="1:11" ht="162.75" hidden="1" customHeight="1" thickBot="1">
      <c r="A195" s="31">
        <v>45933</v>
      </c>
      <c r="B195" s="3" t="s">
        <v>406</v>
      </c>
      <c r="C195" s="4" t="s">
        <v>417</v>
      </c>
      <c r="D195" s="5" t="s">
        <v>403</v>
      </c>
      <c r="E195" s="6" t="s">
        <v>110</v>
      </c>
      <c r="F195" s="199" t="s">
        <v>462</v>
      </c>
      <c r="G195" s="87">
        <v>0.9</v>
      </c>
      <c r="H195" s="197" t="s">
        <v>454</v>
      </c>
      <c r="I195" s="161"/>
      <c r="J195" s="103">
        <v>45894</v>
      </c>
      <c r="K195" s="103">
        <v>45961</v>
      </c>
    </row>
    <row r="196" spans="1:11" ht="146.25" hidden="1" customHeight="1" thickBot="1">
      <c r="A196" s="31">
        <v>45933</v>
      </c>
      <c r="B196" s="3" t="s">
        <v>420</v>
      </c>
      <c r="C196" s="4" t="s">
        <v>421</v>
      </c>
      <c r="D196" s="5" t="s">
        <v>422</v>
      </c>
      <c r="E196" s="176" t="s">
        <v>340</v>
      </c>
      <c r="F196" s="200" t="s">
        <v>464</v>
      </c>
      <c r="G196" s="87">
        <v>0.05</v>
      </c>
      <c r="H196" s="87"/>
      <c r="I196" s="161"/>
      <c r="J196" s="103">
        <v>45910</v>
      </c>
      <c r="K196" s="103">
        <v>46022</v>
      </c>
    </row>
    <row r="197" spans="1:11" ht="149.25" hidden="1" customHeight="1" thickBot="1">
      <c r="A197" s="31">
        <v>45933</v>
      </c>
      <c r="B197" s="3" t="s">
        <v>418</v>
      </c>
      <c r="C197" s="4" t="s">
        <v>443</v>
      </c>
      <c r="D197" s="176" t="s">
        <v>402</v>
      </c>
      <c r="E197" s="176" t="s">
        <v>340</v>
      </c>
      <c r="F197" s="201" t="s">
        <v>465</v>
      </c>
      <c r="G197" s="87">
        <v>0.1</v>
      </c>
      <c r="H197" s="87"/>
      <c r="I197" s="161"/>
      <c r="J197" s="103">
        <v>45915</v>
      </c>
      <c r="K197" s="103">
        <v>45961</v>
      </c>
    </row>
    <row r="198" spans="1:11" ht="150.75" hidden="1" thickBot="1">
      <c r="A198" s="31">
        <v>45947</v>
      </c>
      <c r="B198" s="3" t="s">
        <v>207</v>
      </c>
      <c r="C198" s="4" t="s">
        <v>10</v>
      </c>
      <c r="D198" s="5" t="s">
        <v>129</v>
      </c>
      <c r="E198" s="6" t="s">
        <v>119</v>
      </c>
      <c r="F198" s="206" t="s">
        <v>456</v>
      </c>
      <c r="G198" s="95">
        <v>0.12</v>
      </c>
      <c r="H198" s="158" t="s">
        <v>359</v>
      </c>
      <c r="I198" s="7" t="s">
        <v>484</v>
      </c>
      <c r="J198" s="13">
        <v>45658</v>
      </c>
      <c r="K198" s="14">
        <v>46203</v>
      </c>
    </row>
    <row r="199" spans="1:11" ht="180.75" hidden="1" customHeight="1" thickBot="1">
      <c r="A199" s="31">
        <v>45947</v>
      </c>
      <c r="B199" s="3" t="s">
        <v>391</v>
      </c>
      <c r="C199" s="4" t="s">
        <v>28</v>
      </c>
      <c r="D199" s="5" t="s">
        <v>29</v>
      </c>
      <c r="E199" s="6" t="s">
        <v>30</v>
      </c>
      <c r="F199" s="210" t="s">
        <v>485</v>
      </c>
      <c r="G199" s="95">
        <v>0.13</v>
      </c>
      <c r="H199" s="10"/>
      <c r="I199" s="9"/>
      <c r="J199" s="13">
        <v>45658</v>
      </c>
      <c r="K199" s="14">
        <v>46022</v>
      </c>
    </row>
    <row r="200" spans="1:11" ht="105.75" hidden="1" thickBot="1">
      <c r="A200" s="31">
        <v>45947</v>
      </c>
      <c r="B200" s="3" t="s">
        <v>214</v>
      </c>
      <c r="C200" s="4" t="s">
        <v>31</v>
      </c>
      <c r="D200" s="6" t="s">
        <v>16</v>
      </c>
      <c r="E200" s="6" t="s">
        <v>30</v>
      </c>
      <c r="F200" s="208" t="s">
        <v>478</v>
      </c>
      <c r="G200" s="87">
        <v>0.75</v>
      </c>
      <c r="H200" s="10" t="s">
        <v>471</v>
      </c>
      <c r="I200" s="9"/>
      <c r="J200" s="13">
        <v>45834</v>
      </c>
      <c r="K200" s="14">
        <v>45930</v>
      </c>
    </row>
    <row r="201" spans="1:11" ht="170.45" hidden="1" customHeight="1" thickBot="1">
      <c r="A201" s="31">
        <v>45947</v>
      </c>
      <c r="B201" s="3" t="s">
        <v>212</v>
      </c>
      <c r="C201" s="4" t="s">
        <v>183</v>
      </c>
      <c r="D201" s="5" t="s">
        <v>166</v>
      </c>
      <c r="E201" s="6" t="s">
        <v>283</v>
      </c>
      <c r="F201" s="208" t="s">
        <v>473</v>
      </c>
      <c r="G201" s="87">
        <v>0.9</v>
      </c>
      <c r="H201" s="190" t="s">
        <v>439</v>
      </c>
      <c r="I201" s="88"/>
      <c r="J201" s="103">
        <v>45719</v>
      </c>
      <c r="K201" s="103">
        <v>46022</v>
      </c>
    </row>
    <row r="202" spans="1:11" ht="90.75" hidden="1" thickBot="1">
      <c r="A202" s="31">
        <v>45947</v>
      </c>
      <c r="B202" s="3" t="s">
        <v>215</v>
      </c>
      <c r="C202" s="4" t="s">
        <v>184</v>
      </c>
      <c r="D202" s="5" t="s">
        <v>166</v>
      </c>
      <c r="E202" s="6" t="s">
        <v>283</v>
      </c>
      <c r="F202" s="167" t="s">
        <v>381</v>
      </c>
      <c r="G202" s="87">
        <v>0.85</v>
      </c>
      <c r="H202" s="204" t="s">
        <v>439</v>
      </c>
      <c r="I202" s="88"/>
      <c r="J202" s="103">
        <v>45719</v>
      </c>
      <c r="K202" s="103">
        <v>46022</v>
      </c>
    </row>
    <row r="203" spans="1:11" ht="173.45" hidden="1" customHeight="1" thickBot="1">
      <c r="A203" s="31">
        <v>45947</v>
      </c>
      <c r="B203" s="3" t="s">
        <v>352</v>
      </c>
      <c r="C203" s="4" t="s">
        <v>350</v>
      </c>
      <c r="D203" s="5" t="s">
        <v>34</v>
      </c>
      <c r="E203" s="6" t="s">
        <v>354</v>
      </c>
      <c r="F203" s="207" t="s">
        <v>474</v>
      </c>
      <c r="G203" s="87">
        <v>0.1</v>
      </c>
      <c r="H203" s="87"/>
      <c r="I203" s="88"/>
      <c r="J203" s="103">
        <v>45852</v>
      </c>
      <c r="K203" s="103">
        <v>45989</v>
      </c>
    </row>
    <row r="204" spans="1:11" ht="150.75" hidden="1" thickBot="1">
      <c r="A204" s="31">
        <v>45947</v>
      </c>
      <c r="B204" s="3" t="s">
        <v>353</v>
      </c>
      <c r="C204" s="4" t="s">
        <v>351</v>
      </c>
      <c r="D204" s="5" t="s">
        <v>34</v>
      </c>
      <c r="E204" s="6" t="s">
        <v>354</v>
      </c>
      <c r="F204" s="208" t="s">
        <v>480</v>
      </c>
      <c r="G204" s="87">
        <v>0.2</v>
      </c>
      <c r="H204" s="87"/>
      <c r="I204" s="88"/>
      <c r="J204" s="103">
        <v>45842</v>
      </c>
      <c r="K204" s="103">
        <v>45989</v>
      </c>
    </row>
    <row r="205" spans="1:11" ht="105.75" hidden="1" thickBot="1">
      <c r="A205" s="31">
        <v>45947</v>
      </c>
      <c r="B205" s="3" t="s">
        <v>392</v>
      </c>
      <c r="C205" s="4" t="s">
        <v>379</v>
      </c>
      <c r="D205" s="5" t="s">
        <v>390</v>
      </c>
      <c r="E205" s="6" t="s">
        <v>283</v>
      </c>
      <c r="F205" s="207" t="s">
        <v>475</v>
      </c>
      <c r="G205" s="87"/>
      <c r="H205" s="87"/>
      <c r="I205" s="161"/>
      <c r="J205" s="103">
        <v>45870</v>
      </c>
      <c r="K205" s="103">
        <v>46447</v>
      </c>
    </row>
    <row r="206" spans="1:11" ht="120.75" hidden="1" thickBot="1">
      <c r="A206" s="31">
        <v>45947</v>
      </c>
      <c r="B206" s="3" t="s">
        <v>294</v>
      </c>
      <c r="C206" s="4" t="s">
        <v>400</v>
      </c>
      <c r="D206" s="5" t="s">
        <v>402</v>
      </c>
      <c r="E206" s="6" t="s">
        <v>340</v>
      </c>
      <c r="F206" s="209" t="s">
        <v>481</v>
      </c>
      <c r="G206" s="87">
        <v>0.1</v>
      </c>
      <c r="H206" s="87"/>
      <c r="I206" s="161"/>
      <c r="J206" s="103">
        <v>45894</v>
      </c>
      <c r="K206" s="103">
        <v>45961</v>
      </c>
    </row>
    <row r="207" spans="1:11" ht="90.75" hidden="1" thickBot="1">
      <c r="A207" s="31">
        <v>45947</v>
      </c>
      <c r="B207" s="3" t="s">
        <v>404</v>
      </c>
      <c r="C207" s="202" t="s">
        <v>398</v>
      </c>
      <c r="D207" s="5" t="s">
        <v>401</v>
      </c>
      <c r="E207" s="6" t="s">
        <v>283</v>
      </c>
      <c r="F207" s="208" t="s">
        <v>479</v>
      </c>
      <c r="G207" s="87">
        <v>0.03</v>
      </c>
      <c r="H207" s="204" t="s">
        <v>468</v>
      </c>
      <c r="I207" s="161"/>
      <c r="J207" s="103">
        <v>45894</v>
      </c>
      <c r="K207" s="103">
        <v>46022</v>
      </c>
    </row>
    <row r="208" spans="1:11" ht="135.75" hidden="1" thickBot="1">
      <c r="A208" s="31">
        <v>45947</v>
      </c>
      <c r="B208" s="3" t="s">
        <v>405</v>
      </c>
      <c r="C208" s="4" t="s">
        <v>399</v>
      </c>
      <c r="D208" s="5" t="s">
        <v>401</v>
      </c>
      <c r="E208" s="6" t="s">
        <v>283</v>
      </c>
      <c r="F208" s="206" t="s">
        <v>472</v>
      </c>
      <c r="G208" s="87">
        <v>0.45</v>
      </c>
      <c r="H208" s="87"/>
      <c r="I208" s="161"/>
      <c r="J208" s="103">
        <v>45922</v>
      </c>
      <c r="K208" s="103">
        <v>45961</v>
      </c>
    </row>
    <row r="209" spans="1:11" ht="162.75" hidden="1" customHeight="1" thickBot="1">
      <c r="A209" s="31">
        <v>45947</v>
      </c>
      <c r="B209" s="3" t="s">
        <v>406</v>
      </c>
      <c r="C209" s="4" t="s">
        <v>417</v>
      </c>
      <c r="D209" s="5" t="s">
        <v>403</v>
      </c>
      <c r="E209" s="6" t="s">
        <v>110</v>
      </c>
      <c r="F209" s="210" t="s">
        <v>486</v>
      </c>
      <c r="G209" s="87">
        <v>0.9</v>
      </c>
      <c r="H209" s="197" t="s">
        <v>454</v>
      </c>
      <c r="I209" s="161"/>
      <c r="J209" s="103">
        <v>45894</v>
      </c>
      <c r="K209" s="103">
        <v>45961</v>
      </c>
    </row>
    <row r="210" spans="1:11" ht="146.25" hidden="1" customHeight="1" thickBot="1">
      <c r="A210" s="31">
        <v>45947</v>
      </c>
      <c r="B210" s="3" t="s">
        <v>420</v>
      </c>
      <c r="C210" s="4" t="s">
        <v>421</v>
      </c>
      <c r="D210" s="5" t="s">
        <v>422</v>
      </c>
      <c r="E210" s="176" t="s">
        <v>340</v>
      </c>
      <c r="F210" s="209" t="s">
        <v>482</v>
      </c>
      <c r="G210" s="87">
        <v>0.05</v>
      </c>
      <c r="H210" s="87"/>
      <c r="I210" s="161"/>
      <c r="J210" s="103">
        <v>45910</v>
      </c>
      <c r="K210" s="103">
        <v>46022</v>
      </c>
    </row>
    <row r="211" spans="1:11" ht="146.25" hidden="1" customHeight="1" thickBot="1">
      <c r="A211" s="31">
        <v>45947</v>
      </c>
      <c r="B211" s="3" t="s">
        <v>418</v>
      </c>
      <c r="C211" s="4" t="s">
        <v>443</v>
      </c>
      <c r="D211" s="176" t="s">
        <v>402</v>
      </c>
      <c r="E211" s="176" t="s">
        <v>340</v>
      </c>
      <c r="F211" s="209" t="s">
        <v>483</v>
      </c>
      <c r="G211" s="87">
        <v>0.4</v>
      </c>
      <c r="H211" s="87"/>
      <c r="I211" s="161"/>
      <c r="J211" s="103">
        <v>45915</v>
      </c>
      <c r="K211" s="103">
        <v>45961</v>
      </c>
    </row>
    <row r="212" spans="1:11" ht="149.25" hidden="1" customHeight="1" thickBot="1">
      <c r="A212" s="31">
        <v>45947</v>
      </c>
      <c r="B212" s="3" t="s">
        <v>476</v>
      </c>
      <c r="C212" s="4" t="s">
        <v>31</v>
      </c>
      <c r="D212" s="176" t="s">
        <v>16</v>
      </c>
      <c r="E212" s="176" t="s">
        <v>30</v>
      </c>
      <c r="F212" s="207" t="s">
        <v>477</v>
      </c>
      <c r="G212" s="87">
        <v>0</v>
      </c>
      <c r="H212" s="87"/>
      <c r="I212" s="161"/>
      <c r="J212" s="103">
        <v>45950</v>
      </c>
      <c r="K212" s="103">
        <v>46171</v>
      </c>
    </row>
    <row r="213" spans="1:11" ht="150.75" hidden="1" thickBot="1">
      <c r="A213" s="31">
        <v>45961</v>
      </c>
      <c r="B213" s="3" t="s">
        <v>207</v>
      </c>
      <c r="C213" s="4" t="s">
        <v>10</v>
      </c>
      <c r="D213" s="5" t="s">
        <v>129</v>
      </c>
      <c r="E213" s="213" t="s">
        <v>119</v>
      </c>
      <c r="F213" s="216" t="s">
        <v>496</v>
      </c>
      <c r="G213" s="95">
        <v>0.12</v>
      </c>
      <c r="H213" s="158" t="s">
        <v>359</v>
      </c>
      <c r="I213" s="7" t="s">
        <v>484</v>
      </c>
      <c r="J213" s="13">
        <v>45658</v>
      </c>
      <c r="K213" s="14">
        <v>46203</v>
      </c>
    </row>
    <row r="214" spans="1:11" ht="150.75" hidden="1" thickBot="1">
      <c r="A214" s="31">
        <v>45961</v>
      </c>
      <c r="B214" s="3" t="s">
        <v>391</v>
      </c>
      <c r="C214" s="4" t="s">
        <v>28</v>
      </c>
      <c r="D214" s="5" t="s">
        <v>29</v>
      </c>
      <c r="E214" s="213" t="s">
        <v>30</v>
      </c>
      <c r="F214" s="216" t="s">
        <v>497</v>
      </c>
      <c r="G214" s="95">
        <v>0.15</v>
      </c>
      <c r="H214" s="10"/>
      <c r="I214" s="9"/>
      <c r="J214" s="13">
        <v>45658</v>
      </c>
      <c r="K214" s="14">
        <v>46022</v>
      </c>
    </row>
    <row r="215" spans="1:11" ht="39" hidden="1" customHeight="1" thickBot="1">
      <c r="A215" s="31">
        <v>45961</v>
      </c>
      <c r="B215" s="3" t="s">
        <v>214</v>
      </c>
      <c r="C215" s="202" t="s">
        <v>31</v>
      </c>
      <c r="D215" s="213" t="s">
        <v>16</v>
      </c>
      <c r="E215" s="213" t="s">
        <v>30</v>
      </c>
      <c r="F215" s="211" t="s">
        <v>490</v>
      </c>
      <c r="G215" s="87">
        <v>1</v>
      </c>
      <c r="H215" s="10" t="s">
        <v>471</v>
      </c>
      <c r="I215" s="9"/>
      <c r="J215" s="13">
        <v>45834</v>
      </c>
      <c r="K215" s="14">
        <v>45930</v>
      </c>
    </row>
    <row r="216" spans="1:11" ht="175.15" hidden="1" customHeight="1" thickBot="1">
      <c r="A216" s="31">
        <v>45961</v>
      </c>
      <c r="B216" s="3" t="s">
        <v>212</v>
      </c>
      <c r="C216" s="4" t="s">
        <v>183</v>
      </c>
      <c r="D216" s="5" t="s">
        <v>166</v>
      </c>
      <c r="E216" s="213" t="s">
        <v>283</v>
      </c>
      <c r="F216" s="216" t="s">
        <v>498</v>
      </c>
      <c r="G216" s="87">
        <v>0.9</v>
      </c>
      <c r="H216" s="190" t="s">
        <v>439</v>
      </c>
      <c r="I216" s="88"/>
      <c r="J216" s="103">
        <v>45719</v>
      </c>
      <c r="K216" s="103">
        <v>46022</v>
      </c>
    </row>
    <row r="217" spans="1:11" ht="105.75" hidden="1" thickBot="1">
      <c r="A217" s="31">
        <v>45961</v>
      </c>
      <c r="B217" s="3" t="s">
        <v>215</v>
      </c>
      <c r="C217" s="4" t="s">
        <v>184</v>
      </c>
      <c r="D217" s="5" t="s">
        <v>166</v>
      </c>
      <c r="E217" s="213" t="s">
        <v>283</v>
      </c>
      <c r="F217" s="215" t="s">
        <v>494</v>
      </c>
      <c r="G217" s="87">
        <v>0.85</v>
      </c>
      <c r="H217" s="204" t="s">
        <v>439</v>
      </c>
      <c r="I217" s="88"/>
      <c r="J217" s="103">
        <v>45719</v>
      </c>
      <c r="K217" s="103">
        <v>46022</v>
      </c>
    </row>
    <row r="218" spans="1:11" ht="120.75" hidden="1" thickBot="1">
      <c r="A218" s="31">
        <v>45961</v>
      </c>
      <c r="B218" s="3" t="s">
        <v>352</v>
      </c>
      <c r="C218" s="4" t="s">
        <v>350</v>
      </c>
      <c r="D218" s="5" t="s">
        <v>34</v>
      </c>
      <c r="E218" s="213" t="s">
        <v>354</v>
      </c>
      <c r="F218" s="211" t="s">
        <v>491</v>
      </c>
      <c r="G218" s="87">
        <v>0.1</v>
      </c>
      <c r="H218" s="87"/>
      <c r="I218" s="88"/>
      <c r="J218" s="103">
        <v>45852</v>
      </c>
      <c r="K218" s="103">
        <v>45989</v>
      </c>
    </row>
    <row r="219" spans="1:11" ht="150.75" hidden="1" thickBot="1">
      <c r="A219" s="31">
        <v>45961</v>
      </c>
      <c r="B219" s="3" t="s">
        <v>353</v>
      </c>
      <c r="C219" s="4" t="s">
        <v>351</v>
      </c>
      <c r="D219" s="5" t="s">
        <v>34</v>
      </c>
      <c r="E219" s="213" t="s">
        <v>354</v>
      </c>
      <c r="F219" s="216" t="s">
        <v>499</v>
      </c>
      <c r="G219" s="87">
        <v>0.2</v>
      </c>
      <c r="H219" s="87"/>
      <c r="I219" s="88"/>
      <c r="J219" s="103">
        <v>45842</v>
      </c>
      <c r="K219" s="103">
        <v>45989</v>
      </c>
    </row>
    <row r="220" spans="1:11" ht="210.75" hidden="1" thickBot="1">
      <c r="A220" s="31">
        <v>45961</v>
      </c>
      <c r="B220" s="3" t="s">
        <v>392</v>
      </c>
      <c r="C220" s="4" t="s">
        <v>379</v>
      </c>
      <c r="D220" s="5" t="s">
        <v>390</v>
      </c>
      <c r="E220" s="213" t="s">
        <v>283</v>
      </c>
      <c r="F220" s="216" t="s">
        <v>500</v>
      </c>
      <c r="G220" s="87"/>
      <c r="H220" s="87"/>
      <c r="I220" s="161"/>
      <c r="J220" s="103">
        <v>45870</v>
      </c>
      <c r="K220" s="103">
        <v>46447</v>
      </c>
    </row>
    <row r="221" spans="1:11" ht="165.75" hidden="1" thickBot="1">
      <c r="A221" s="31">
        <v>45961</v>
      </c>
      <c r="B221" s="3" t="s">
        <v>294</v>
      </c>
      <c r="C221" s="4" t="s">
        <v>400</v>
      </c>
      <c r="D221" s="5" t="s">
        <v>402</v>
      </c>
      <c r="E221" s="213" t="s">
        <v>340</v>
      </c>
      <c r="F221" s="211" t="s">
        <v>487</v>
      </c>
      <c r="G221" s="87">
        <v>0.12</v>
      </c>
      <c r="H221" s="87"/>
      <c r="I221" s="161"/>
      <c r="J221" s="103">
        <v>45894</v>
      </c>
      <c r="K221" s="103">
        <v>46022</v>
      </c>
    </row>
    <row r="222" spans="1:11" ht="135.75" hidden="1" thickBot="1">
      <c r="A222" s="31">
        <v>45961</v>
      </c>
      <c r="B222" s="3" t="s">
        <v>404</v>
      </c>
      <c r="C222" s="202" t="s">
        <v>398</v>
      </c>
      <c r="D222" s="5" t="s">
        <v>401</v>
      </c>
      <c r="E222" s="213" t="s">
        <v>283</v>
      </c>
      <c r="F222" s="211" t="s">
        <v>493</v>
      </c>
      <c r="G222" s="87">
        <v>0.03</v>
      </c>
      <c r="H222" s="204" t="s">
        <v>468</v>
      </c>
      <c r="I222" s="161"/>
      <c r="J222" s="103">
        <v>45894</v>
      </c>
      <c r="K222" s="103">
        <v>46022</v>
      </c>
    </row>
    <row r="223" spans="1:11" ht="120.75" hidden="1" thickBot="1">
      <c r="A223" s="31">
        <v>45961</v>
      </c>
      <c r="B223" s="3" t="s">
        <v>405</v>
      </c>
      <c r="C223" s="4" t="s">
        <v>399</v>
      </c>
      <c r="D223" s="5" t="s">
        <v>401</v>
      </c>
      <c r="E223" s="213" t="s">
        <v>283</v>
      </c>
      <c r="F223" s="211" t="s">
        <v>492</v>
      </c>
      <c r="G223" s="87">
        <v>0.45</v>
      </c>
      <c r="H223" s="87"/>
      <c r="I223" s="161"/>
      <c r="J223" s="103">
        <v>45922</v>
      </c>
      <c r="K223" s="103">
        <v>46022</v>
      </c>
    </row>
    <row r="224" spans="1:11" ht="135.75" hidden="1" thickBot="1">
      <c r="A224" s="31">
        <v>45961</v>
      </c>
      <c r="B224" s="3" t="s">
        <v>406</v>
      </c>
      <c r="C224" s="4" t="s">
        <v>417</v>
      </c>
      <c r="D224" s="5" t="s">
        <v>403</v>
      </c>
      <c r="E224" s="213" t="s">
        <v>110</v>
      </c>
      <c r="F224" s="216" t="s">
        <v>501</v>
      </c>
      <c r="G224" s="87">
        <v>0.9</v>
      </c>
      <c r="H224" s="197" t="s">
        <v>454</v>
      </c>
      <c r="I224" s="161"/>
      <c r="J224" s="103">
        <v>45894</v>
      </c>
      <c r="K224" s="103">
        <v>45961</v>
      </c>
    </row>
    <row r="225" spans="1:11" ht="120.75" hidden="1" thickBot="1">
      <c r="A225" s="31">
        <v>45961</v>
      </c>
      <c r="B225" s="3" t="s">
        <v>420</v>
      </c>
      <c r="C225" s="4" t="s">
        <v>421</v>
      </c>
      <c r="D225" s="5" t="s">
        <v>422</v>
      </c>
      <c r="E225" s="5" t="s">
        <v>340</v>
      </c>
      <c r="F225" s="211" t="s">
        <v>488</v>
      </c>
      <c r="G225" s="87">
        <v>0.08</v>
      </c>
      <c r="H225" s="87"/>
      <c r="I225" s="161"/>
      <c r="J225" s="103">
        <v>45910</v>
      </c>
      <c r="K225" s="103">
        <v>46022</v>
      </c>
    </row>
    <row r="226" spans="1:11" ht="150.75" hidden="1" thickBot="1">
      <c r="A226" s="31">
        <v>45961</v>
      </c>
      <c r="B226" s="3" t="s">
        <v>418</v>
      </c>
      <c r="C226" s="4" t="s">
        <v>443</v>
      </c>
      <c r="D226" s="5" t="s">
        <v>402</v>
      </c>
      <c r="E226" s="5" t="s">
        <v>340</v>
      </c>
      <c r="F226" s="211" t="s">
        <v>489</v>
      </c>
      <c r="G226" s="87">
        <v>0.85</v>
      </c>
      <c r="H226" s="87"/>
      <c r="I226" s="161"/>
      <c r="J226" s="103">
        <v>45915</v>
      </c>
      <c r="K226" s="103">
        <v>45961</v>
      </c>
    </row>
    <row r="227" spans="1:11" ht="75.75" hidden="1" thickBot="1">
      <c r="A227" s="31">
        <v>45961</v>
      </c>
      <c r="B227" s="3" t="s">
        <v>476</v>
      </c>
      <c r="C227" s="4" t="s">
        <v>31</v>
      </c>
      <c r="D227" s="5" t="s">
        <v>16</v>
      </c>
      <c r="E227" s="5" t="s">
        <v>30</v>
      </c>
      <c r="F227" s="211" t="s">
        <v>495</v>
      </c>
      <c r="G227" s="87">
        <v>0</v>
      </c>
      <c r="H227" s="87"/>
      <c r="I227" s="161"/>
      <c r="J227" s="103">
        <v>45950</v>
      </c>
      <c r="K227" s="103">
        <v>46171</v>
      </c>
    </row>
    <row r="228" spans="1:11" ht="130.5" hidden="1" customHeight="1" thickBot="1">
      <c r="A228" s="31">
        <v>45975</v>
      </c>
      <c r="B228" s="3" t="s">
        <v>207</v>
      </c>
      <c r="C228" s="4" t="s">
        <v>10</v>
      </c>
      <c r="D228" s="5" t="s">
        <v>129</v>
      </c>
      <c r="E228" s="213" t="s">
        <v>119</v>
      </c>
      <c r="F228" s="223" t="s">
        <v>517</v>
      </c>
      <c r="G228" s="95">
        <v>0.12</v>
      </c>
      <c r="H228" s="11" t="s">
        <v>527</v>
      </c>
      <c r="I228" s="7" t="s">
        <v>518</v>
      </c>
      <c r="J228" s="13">
        <v>45658</v>
      </c>
      <c r="K228" s="14">
        <v>46203</v>
      </c>
    </row>
    <row r="229" spans="1:11" ht="240.75" hidden="1" thickBot="1">
      <c r="A229" s="31">
        <v>45975</v>
      </c>
      <c r="B229" s="3" t="s">
        <v>391</v>
      </c>
      <c r="C229" s="4" t="s">
        <v>28</v>
      </c>
      <c r="D229" s="5" t="s">
        <v>29</v>
      </c>
      <c r="E229" s="213" t="s">
        <v>22</v>
      </c>
      <c r="F229" s="227" t="s">
        <v>528</v>
      </c>
      <c r="G229" s="95">
        <v>0.5</v>
      </c>
      <c r="H229" s="10"/>
      <c r="I229" s="9"/>
      <c r="J229" s="13">
        <v>45658</v>
      </c>
      <c r="K229" s="14">
        <v>46022</v>
      </c>
    </row>
    <row r="230" spans="1:11" ht="150.75" hidden="1" customHeight="1" thickBot="1">
      <c r="A230" s="31">
        <v>45975</v>
      </c>
      <c r="B230" s="3" t="s">
        <v>212</v>
      </c>
      <c r="C230" s="4" t="s">
        <v>183</v>
      </c>
      <c r="D230" s="5" t="s">
        <v>166</v>
      </c>
      <c r="E230" s="213" t="s">
        <v>283</v>
      </c>
      <c r="F230" s="222" t="s">
        <v>512</v>
      </c>
      <c r="G230" s="87">
        <v>0.9</v>
      </c>
      <c r="H230" s="190" t="s">
        <v>439</v>
      </c>
      <c r="I230" s="88"/>
      <c r="J230" s="103">
        <v>45719</v>
      </c>
      <c r="K230" s="103">
        <v>46022</v>
      </c>
    </row>
    <row r="231" spans="1:11" ht="120.75" hidden="1" thickBot="1">
      <c r="A231" s="31">
        <v>45975</v>
      </c>
      <c r="B231" s="3" t="s">
        <v>215</v>
      </c>
      <c r="C231" s="4" t="s">
        <v>184</v>
      </c>
      <c r="D231" s="5" t="s">
        <v>166</v>
      </c>
      <c r="E231" s="213" t="s">
        <v>283</v>
      </c>
      <c r="F231" s="228" t="s">
        <v>529</v>
      </c>
      <c r="G231" s="87">
        <v>0.85</v>
      </c>
      <c r="H231" s="204" t="s">
        <v>439</v>
      </c>
      <c r="I231" s="88"/>
      <c r="J231" s="103">
        <v>45719</v>
      </c>
      <c r="K231" s="103">
        <v>46022</v>
      </c>
    </row>
    <row r="232" spans="1:11" ht="151.5" hidden="1" customHeight="1" thickBot="1">
      <c r="A232" s="31">
        <v>45975</v>
      </c>
      <c r="B232" s="3" t="s">
        <v>352</v>
      </c>
      <c r="C232" s="4" t="s">
        <v>350</v>
      </c>
      <c r="D232" s="5" t="s">
        <v>34</v>
      </c>
      <c r="E232" s="213" t="s">
        <v>354</v>
      </c>
      <c r="F232" s="223" t="s">
        <v>519</v>
      </c>
      <c r="G232" s="87">
        <v>0.4</v>
      </c>
      <c r="H232" s="87"/>
      <c r="I232" s="88"/>
      <c r="J232" s="103">
        <v>45852</v>
      </c>
      <c r="K232" s="103">
        <v>45989</v>
      </c>
    </row>
    <row r="233" spans="1:11" ht="120.75" hidden="1" thickBot="1">
      <c r="A233" s="31">
        <v>45975</v>
      </c>
      <c r="B233" s="3" t="s">
        <v>353</v>
      </c>
      <c r="C233" s="4" t="s">
        <v>351</v>
      </c>
      <c r="D233" s="5" t="s">
        <v>34</v>
      </c>
      <c r="E233" s="213" t="s">
        <v>354</v>
      </c>
      <c r="F233" s="222" t="s">
        <v>515</v>
      </c>
      <c r="G233" s="87">
        <v>0.2</v>
      </c>
      <c r="H233" s="87"/>
      <c r="I233" s="88" t="s">
        <v>530</v>
      </c>
      <c r="J233" s="103">
        <v>45842</v>
      </c>
      <c r="K233" s="103">
        <v>45989</v>
      </c>
    </row>
    <row r="234" spans="1:11" ht="240.75" hidden="1" thickBot="1">
      <c r="A234" s="31">
        <v>45975</v>
      </c>
      <c r="B234" s="3" t="s">
        <v>392</v>
      </c>
      <c r="C234" s="4" t="s">
        <v>379</v>
      </c>
      <c r="D234" s="5" t="s">
        <v>390</v>
      </c>
      <c r="E234" s="213" t="s">
        <v>283</v>
      </c>
      <c r="F234" s="223" t="s">
        <v>520</v>
      </c>
      <c r="G234" s="87"/>
      <c r="H234" s="229" t="s">
        <v>531</v>
      </c>
      <c r="I234" s="161" t="s">
        <v>521</v>
      </c>
      <c r="J234" s="103">
        <v>45870</v>
      </c>
      <c r="K234" s="103">
        <v>46447</v>
      </c>
    </row>
    <row r="235" spans="1:11" ht="229.5" hidden="1" customHeight="1" thickBot="1">
      <c r="A235" s="31">
        <v>45975</v>
      </c>
      <c r="B235" s="3" t="s">
        <v>294</v>
      </c>
      <c r="C235" s="4" t="s">
        <v>400</v>
      </c>
      <c r="D235" s="5" t="s">
        <v>402</v>
      </c>
      <c r="E235" s="213" t="s">
        <v>340</v>
      </c>
      <c r="F235" s="222" t="s">
        <v>508</v>
      </c>
      <c r="G235" s="87">
        <v>0.25</v>
      </c>
      <c r="H235" s="87"/>
      <c r="I235" s="161"/>
      <c r="J235" s="103">
        <v>45894</v>
      </c>
      <c r="K235" s="103">
        <v>46022</v>
      </c>
    </row>
    <row r="236" spans="1:11" ht="105.75" hidden="1" thickBot="1">
      <c r="A236" s="31">
        <v>45975</v>
      </c>
      <c r="B236" s="3" t="s">
        <v>404</v>
      </c>
      <c r="C236" s="202" t="s">
        <v>398</v>
      </c>
      <c r="D236" s="5" t="s">
        <v>401</v>
      </c>
      <c r="E236" s="213" t="s">
        <v>283</v>
      </c>
      <c r="F236" s="222" t="s">
        <v>513</v>
      </c>
      <c r="G236" s="87">
        <v>0.25</v>
      </c>
      <c r="H236" s="224" t="s">
        <v>522</v>
      </c>
      <c r="I236" s="161" t="s">
        <v>532</v>
      </c>
      <c r="J236" s="103">
        <v>45894</v>
      </c>
      <c r="K236" s="103">
        <v>46022</v>
      </c>
    </row>
    <row r="237" spans="1:11" ht="240.75" hidden="1" thickBot="1">
      <c r="A237" s="31">
        <v>45975</v>
      </c>
      <c r="B237" s="3" t="s">
        <v>405</v>
      </c>
      <c r="C237" s="4" t="s">
        <v>399</v>
      </c>
      <c r="D237" s="5" t="s">
        <v>401</v>
      </c>
      <c r="E237" s="213" t="s">
        <v>30</v>
      </c>
      <c r="F237" s="225" t="s">
        <v>523</v>
      </c>
      <c r="G237" s="87">
        <v>0.45</v>
      </c>
      <c r="H237" s="87"/>
      <c r="I237" s="161"/>
      <c r="J237" s="103">
        <v>45922</v>
      </c>
      <c r="K237" s="103">
        <v>46022</v>
      </c>
    </row>
    <row r="238" spans="1:11" ht="90.75" hidden="1" thickBot="1">
      <c r="A238" s="31">
        <v>45975</v>
      </c>
      <c r="B238" s="3" t="s">
        <v>406</v>
      </c>
      <c r="C238" s="4" t="s">
        <v>417</v>
      </c>
      <c r="D238" s="5" t="s">
        <v>403</v>
      </c>
      <c r="E238" s="213" t="s">
        <v>110</v>
      </c>
      <c r="F238" s="226" t="s">
        <v>524</v>
      </c>
      <c r="G238" s="87">
        <v>0.95</v>
      </c>
      <c r="H238" s="197"/>
      <c r="I238" s="161"/>
      <c r="J238" s="103">
        <v>45894</v>
      </c>
      <c r="K238" s="103">
        <v>45961</v>
      </c>
    </row>
    <row r="239" spans="1:11" ht="90.75" hidden="1" thickBot="1">
      <c r="A239" s="31">
        <v>45975</v>
      </c>
      <c r="B239" s="3" t="s">
        <v>420</v>
      </c>
      <c r="C239" s="4" t="s">
        <v>421</v>
      </c>
      <c r="D239" s="5" t="s">
        <v>422</v>
      </c>
      <c r="E239" s="5" t="s">
        <v>340</v>
      </c>
      <c r="F239" s="222" t="s">
        <v>509</v>
      </c>
      <c r="G239" s="87">
        <v>0.3</v>
      </c>
      <c r="H239" s="87"/>
      <c r="I239" s="161"/>
      <c r="J239" s="103">
        <v>45910</v>
      </c>
      <c r="K239" s="103">
        <v>46022</v>
      </c>
    </row>
    <row r="240" spans="1:11" ht="135.75" hidden="1" thickBot="1">
      <c r="A240" s="31">
        <v>45975</v>
      </c>
      <c r="B240" s="3" t="s">
        <v>418</v>
      </c>
      <c r="C240" s="4" t="s">
        <v>443</v>
      </c>
      <c r="D240" s="5" t="s">
        <v>402</v>
      </c>
      <c r="E240" s="5" t="s">
        <v>340</v>
      </c>
      <c r="F240" s="227" t="s">
        <v>533</v>
      </c>
      <c r="G240" s="87">
        <v>1</v>
      </c>
      <c r="H240" s="87"/>
      <c r="I240" s="161"/>
      <c r="J240" s="103">
        <v>45915</v>
      </c>
      <c r="K240" s="103">
        <v>45961</v>
      </c>
    </row>
    <row r="241" spans="1:12" ht="75.75" hidden="1" thickBot="1">
      <c r="A241" s="31">
        <v>45975</v>
      </c>
      <c r="B241" s="3" t="s">
        <v>476</v>
      </c>
      <c r="C241" s="4" t="s">
        <v>31</v>
      </c>
      <c r="D241" s="5" t="s">
        <v>16</v>
      </c>
      <c r="E241" s="5" t="s">
        <v>30</v>
      </c>
      <c r="F241" s="222" t="s">
        <v>514</v>
      </c>
      <c r="G241" s="87">
        <v>0</v>
      </c>
      <c r="H241" s="87"/>
      <c r="I241" s="161"/>
      <c r="J241" s="103">
        <v>45950</v>
      </c>
      <c r="K241" s="103">
        <v>46171</v>
      </c>
    </row>
    <row r="242" spans="1:12" ht="150.75" hidden="1" thickBot="1">
      <c r="A242" s="31">
        <v>45975</v>
      </c>
      <c r="B242" s="3" t="s">
        <v>510</v>
      </c>
      <c r="C242" s="4" t="s">
        <v>511</v>
      </c>
      <c r="D242" s="5" t="s">
        <v>34</v>
      </c>
      <c r="E242" s="5" t="s">
        <v>354</v>
      </c>
      <c r="F242" s="227" t="s">
        <v>534</v>
      </c>
      <c r="G242" s="87">
        <v>0</v>
      </c>
      <c r="H242" s="87" t="s">
        <v>136</v>
      </c>
      <c r="I242" s="161"/>
      <c r="J242" s="103">
        <v>45972</v>
      </c>
      <c r="K242" s="103">
        <v>46008</v>
      </c>
    </row>
    <row r="243" spans="1:12" ht="183" hidden="1" customHeight="1" thickBot="1">
      <c r="A243" s="31">
        <v>45989</v>
      </c>
      <c r="B243" s="3" t="s">
        <v>207</v>
      </c>
      <c r="C243" s="4" t="s">
        <v>10</v>
      </c>
      <c r="D243" s="5" t="s">
        <v>129</v>
      </c>
      <c r="E243" s="213" t="s">
        <v>119</v>
      </c>
      <c r="F243" s="233" t="s">
        <v>545</v>
      </c>
      <c r="G243" s="95">
        <v>0.14000000000000001</v>
      </c>
      <c r="H243" s="11" t="s">
        <v>527</v>
      </c>
      <c r="I243" s="7" t="s">
        <v>518</v>
      </c>
      <c r="J243" s="13">
        <v>45658</v>
      </c>
      <c r="K243" s="14">
        <v>46203</v>
      </c>
      <c r="L243" s="14"/>
    </row>
    <row r="244" spans="1:12" ht="135.75" hidden="1" thickBot="1">
      <c r="A244" s="31">
        <v>45989</v>
      </c>
      <c r="B244" s="3" t="s">
        <v>391</v>
      </c>
      <c r="C244" s="4" t="s">
        <v>28</v>
      </c>
      <c r="D244" s="5" t="s">
        <v>29</v>
      </c>
      <c r="E244" s="213" t="s">
        <v>22</v>
      </c>
      <c r="F244" s="232" t="s">
        <v>537</v>
      </c>
      <c r="G244" s="95">
        <v>0.6</v>
      </c>
      <c r="H244" s="10"/>
      <c r="I244" s="9"/>
      <c r="J244" s="13">
        <v>45658</v>
      </c>
      <c r="K244" s="14">
        <v>46022</v>
      </c>
      <c r="L244" s="14"/>
    </row>
    <row r="245" spans="1:12" ht="168.6" hidden="1" customHeight="1" thickBot="1">
      <c r="A245" s="31">
        <v>45989</v>
      </c>
      <c r="B245" s="3" t="s">
        <v>212</v>
      </c>
      <c r="C245" s="4" t="s">
        <v>183</v>
      </c>
      <c r="D245" s="5" t="s">
        <v>166</v>
      </c>
      <c r="E245" s="213" t="s">
        <v>30</v>
      </c>
      <c r="F245" s="233" t="s">
        <v>546</v>
      </c>
      <c r="G245" s="87">
        <v>0.9</v>
      </c>
      <c r="H245" s="190" t="s">
        <v>439</v>
      </c>
      <c r="I245" s="88"/>
      <c r="J245" s="103">
        <v>45719</v>
      </c>
      <c r="K245" s="103">
        <v>46022</v>
      </c>
      <c r="L245" s="103"/>
    </row>
    <row r="246" spans="1:12" ht="113.45" hidden="1" customHeight="1" thickBot="1">
      <c r="A246" s="31">
        <v>45989</v>
      </c>
      <c r="B246" s="3" t="s">
        <v>215</v>
      </c>
      <c r="C246" s="4" t="s">
        <v>548</v>
      </c>
      <c r="D246" s="5" t="s">
        <v>166</v>
      </c>
      <c r="E246" s="213" t="s">
        <v>30</v>
      </c>
      <c r="F246" s="234" t="s">
        <v>547</v>
      </c>
      <c r="G246" s="87">
        <v>0.85</v>
      </c>
      <c r="H246" s="204" t="s">
        <v>439</v>
      </c>
      <c r="I246" s="88"/>
      <c r="J246" s="103">
        <v>45719</v>
      </c>
      <c r="K246" s="103">
        <v>46022</v>
      </c>
      <c r="L246" s="103"/>
    </row>
    <row r="247" spans="1:12" ht="90.75" hidden="1" thickBot="1">
      <c r="A247" s="31">
        <v>45989</v>
      </c>
      <c r="B247" s="3" t="s">
        <v>352</v>
      </c>
      <c r="C247" s="4" t="s">
        <v>350</v>
      </c>
      <c r="D247" s="5" t="s">
        <v>34</v>
      </c>
      <c r="E247" s="213" t="s">
        <v>354</v>
      </c>
      <c r="F247" s="233" t="s">
        <v>549</v>
      </c>
      <c r="G247" s="87">
        <v>0.4</v>
      </c>
      <c r="H247" s="87"/>
      <c r="I247" s="88"/>
      <c r="J247" s="103">
        <v>45852</v>
      </c>
      <c r="K247" s="103">
        <v>46017</v>
      </c>
      <c r="L247" s="103"/>
    </row>
    <row r="248" spans="1:12" ht="109.15" hidden="1" customHeight="1" thickBot="1">
      <c r="A248" s="31">
        <v>45989</v>
      </c>
      <c r="B248" s="3" t="s">
        <v>353</v>
      </c>
      <c r="C248" s="4" t="s">
        <v>351</v>
      </c>
      <c r="D248" s="5" t="s">
        <v>34</v>
      </c>
      <c r="E248" s="213" t="s">
        <v>354</v>
      </c>
      <c r="F248" s="233" t="s">
        <v>550</v>
      </c>
      <c r="G248" s="87">
        <v>0.4</v>
      </c>
      <c r="H248" s="87"/>
      <c r="I248" s="88" t="s">
        <v>530</v>
      </c>
      <c r="J248" s="103">
        <v>45842</v>
      </c>
      <c r="K248" s="103">
        <v>46017</v>
      </c>
      <c r="L248" s="103"/>
    </row>
    <row r="249" spans="1:12" ht="120.75" hidden="1" thickBot="1">
      <c r="A249" s="31">
        <v>45989</v>
      </c>
      <c r="B249" s="3" t="s">
        <v>392</v>
      </c>
      <c r="C249" s="4" t="s">
        <v>379</v>
      </c>
      <c r="D249" s="5" t="s">
        <v>390</v>
      </c>
      <c r="E249" s="213" t="s">
        <v>30</v>
      </c>
      <c r="F249" s="233" t="s">
        <v>551</v>
      </c>
      <c r="G249" s="87"/>
      <c r="H249" s="235" t="s">
        <v>552</v>
      </c>
      <c r="I249" s="161" t="s">
        <v>553</v>
      </c>
      <c r="J249" s="103">
        <v>45870</v>
      </c>
      <c r="K249" s="103">
        <v>46447</v>
      </c>
      <c r="L249" s="103"/>
    </row>
    <row r="250" spans="1:12" ht="195.75" hidden="1" thickBot="1">
      <c r="A250" s="31">
        <v>45989</v>
      </c>
      <c r="B250" s="3" t="s">
        <v>294</v>
      </c>
      <c r="C250" s="4" t="s">
        <v>400</v>
      </c>
      <c r="D250" s="5" t="s">
        <v>402</v>
      </c>
      <c r="E250" s="213" t="s">
        <v>340</v>
      </c>
      <c r="F250" s="233" t="s">
        <v>554</v>
      </c>
      <c r="G250" s="87">
        <v>0.35</v>
      </c>
      <c r="H250" s="87"/>
      <c r="I250" s="161"/>
      <c r="J250" s="103">
        <v>45894</v>
      </c>
      <c r="K250" s="103">
        <v>46022</v>
      </c>
      <c r="L250" s="103"/>
    </row>
    <row r="251" spans="1:12" ht="111.6" hidden="1" customHeight="1" thickBot="1">
      <c r="A251" s="31">
        <v>45989</v>
      </c>
      <c r="B251" s="3" t="s">
        <v>404</v>
      </c>
      <c r="C251" s="202" t="s">
        <v>398</v>
      </c>
      <c r="D251" s="5" t="s">
        <v>401</v>
      </c>
      <c r="E251" s="213" t="s">
        <v>30</v>
      </c>
      <c r="F251" s="222" t="s">
        <v>513</v>
      </c>
      <c r="G251" s="87">
        <v>0.25</v>
      </c>
      <c r="H251" s="224" t="s">
        <v>522</v>
      </c>
      <c r="I251" s="161" t="s">
        <v>532</v>
      </c>
      <c r="J251" s="103">
        <v>45894</v>
      </c>
      <c r="K251" s="103">
        <v>46022</v>
      </c>
      <c r="L251" s="103"/>
    </row>
    <row r="252" spans="1:12" ht="120.75" hidden="1" thickBot="1">
      <c r="A252" s="31">
        <v>45989</v>
      </c>
      <c r="B252" s="3" t="s">
        <v>405</v>
      </c>
      <c r="C252" s="4" t="s">
        <v>399</v>
      </c>
      <c r="D252" s="5" t="s">
        <v>401</v>
      </c>
      <c r="E252" s="213" t="s">
        <v>30</v>
      </c>
      <c r="F252" s="233" t="s">
        <v>555</v>
      </c>
      <c r="G252" s="87">
        <v>0.7</v>
      </c>
      <c r="H252" s="87"/>
      <c r="I252" s="161"/>
      <c r="J252" s="103">
        <v>45922</v>
      </c>
      <c r="K252" s="103">
        <v>46022</v>
      </c>
      <c r="L252" s="103"/>
    </row>
    <row r="253" spans="1:12" ht="147" hidden="1" customHeight="1" thickBot="1">
      <c r="A253" s="31">
        <v>45989</v>
      </c>
      <c r="B253" s="3" t="s">
        <v>406</v>
      </c>
      <c r="C253" s="4" t="s">
        <v>417</v>
      </c>
      <c r="D253" s="5" t="s">
        <v>403</v>
      </c>
      <c r="E253" s="213" t="s">
        <v>110</v>
      </c>
      <c r="F253" s="233" t="s">
        <v>556</v>
      </c>
      <c r="G253" s="87">
        <v>1</v>
      </c>
      <c r="H253" s="231" t="s">
        <v>259</v>
      </c>
      <c r="I253" s="161"/>
      <c r="J253" s="103">
        <v>45894</v>
      </c>
      <c r="K253" s="103">
        <v>45989</v>
      </c>
      <c r="L253" s="103"/>
    </row>
    <row r="254" spans="1:12" ht="90.75" hidden="1" thickBot="1">
      <c r="A254" s="31">
        <v>45989</v>
      </c>
      <c r="B254" s="3" t="s">
        <v>420</v>
      </c>
      <c r="C254" s="4" t="s">
        <v>421</v>
      </c>
      <c r="D254" s="5" t="s">
        <v>422</v>
      </c>
      <c r="E254" s="5" t="s">
        <v>340</v>
      </c>
      <c r="F254" s="233" t="s">
        <v>557</v>
      </c>
      <c r="G254" s="87">
        <v>0.3</v>
      </c>
      <c r="H254" s="87"/>
      <c r="I254" s="161"/>
      <c r="J254" s="103">
        <v>45910</v>
      </c>
      <c r="K254" s="103">
        <v>46022</v>
      </c>
      <c r="L254" s="103"/>
    </row>
    <row r="255" spans="1:12" ht="115.5" hidden="1" customHeight="1" thickBot="1">
      <c r="A255" s="31">
        <v>45989</v>
      </c>
      <c r="B255" s="3" t="s">
        <v>418</v>
      </c>
      <c r="C255" s="4" t="s">
        <v>443</v>
      </c>
      <c r="D255" s="5" t="s">
        <v>402</v>
      </c>
      <c r="E255" s="5" t="s">
        <v>340</v>
      </c>
      <c r="F255" s="233" t="s">
        <v>558</v>
      </c>
      <c r="G255" s="87">
        <v>1</v>
      </c>
      <c r="H255" s="87" t="s">
        <v>259</v>
      </c>
      <c r="I255" s="161"/>
      <c r="J255" s="103">
        <v>45915</v>
      </c>
      <c r="K255" s="103">
        <v>45961</v>
      </c>
      <c r="L255" s="103"/>
    </row>
    <row r="256" spans="1:12" ht="75.75" hidden="1" thickBot="1">
      <c r="A256" s="31">
        <v>45989</v>
      </c>
      <c r="B256" s="3" t="s">
        <v>476</v>
      </c>
      <c r="C256" s="4" t="s">
        <v>31</v>
      </c>
      <c r="D256" s="5" t="s">
        <v>16</v>
      </c>
      <c r="E256" s="5" t="s">
        <v>30</v>
      </c>
      <c r="F256" s="233" t="s">
        <v>559</v>
      </c>
      <c r="G256" s="87">
        <v>0</v>
      </c>
      <c r="H256" s="87"/>
      <c r="I256" s="161"/>
      <c r="J256" s="103">
        <v>45950</v>
      </c>
      <c r="K256" s="103">
        <v>46171</v>
      </c>
      <c r="L256" s="103"/>
    </row>
    <row r="257" spans="1:12" ht="150.75" hidden="1" thickBot="1">
      <c r="A257" s="31">
        <v>45989</v>
      </c>
      <c r="B257" s="3" t="s">
        <v>510</v>
      </c>
      <c r="C257" s="4" t="s">
        <v>511</v>
      </c>
      <c r="D257" s="5" t="s">
        <v>34</v>
      </c>
      <c r="E257" s="5" t="s">
        <v>354</v>
      </c>
      <c r="F257" s="230" t="s">
        <v>536</v>
      </c>
      <c r="G257" s="87">
        <v>0.2</v>
      </c>
      <c r="H257" s="87"/>
      <c r="I257" s="161"/>
      <c r="J257" s="103">
        <v>45972</v>
      </c>
      <c r="K257" s="103">
        <v>46008</v>
      </c>
      <c r="L257" s="103"/>
    </row>
    <row r="258" spans="1:12" ht="156" hidden="1" customHeight="1" thickBot="1">
      <c r="A258" s="31">
        <v>46003</v>
      </c>
      <c r="B258" s="3" t="s">
        <v>207</v>
      </c>
      <c r="C258" s="4" t="s">
        <v>10</v>
      </c>
      <c r="D258" s="245" t="s">
        <v>590</v>
      </c>
      <c r="E258" s="213" t="s">
        <v>119</v>
      </c>
      <c r="F258" s="240" t="s">
        <v>568</v>
      </c>
      <c r="G258" s="95">
        <v>0.14000000000000001</v>
      </c>
      <c r="H258" s="11" t="s">
        <v>527</v>
      </c>
      <c r="I258" s="241" t="s">
        <v>569</v>
      </c>
      <c r="J258" s="13">
        <v>45658</v>
      </c>
      <c r="K258" s="14">
        <v>46203</v>
      </c>
      <c r="L258" s="14"/>
    </row>
    <row r="259" spans="1:12" ht="219.75" hidden="1" customHeight="1" thickBot="1">
      <c r="A259" s="31">
        <v>46003</v>
      </c>
      <c r="B259" s="3" t="s">
        <v>391</v>
      </c>
      <c r="C259" s="4" t="s">
        <v>28</v>
      </c>
      <c r="D259" s="245" t="s">
        <v>589</v>
      </c>
      <c r="E259" s="213" t="s">
        <v>22</v>
      </c>
      <c r="F259" s="240" t="s">
        <v>570</v>
      </c>
      <c r="G259" s="95">
        <v>0.9</v>
      </c>
      <c r="H259" s="10"/>
      <c r="I259" s="9"/>
      <c r="J259" s="13">
        <v>45658</v>
      </c>
      <c r="K259" s="14">
        <v>46022</v>
      </c>
      <c r="L259" s="14"/>
    </row>
    <row r="260" spans="1:12" ht="150" hidden="1" customHeight="1" thickBot="1">
      <c r="A260" s="31">
        <v>46003</v>
      </c>
      <c r="B260" s="3" t="s">
        <v>212</v>
      </c>
      <c r="C260" s="4" t="s">
        <v>183</v>
      </c>
      <c r="D260" s="245" t="s">
        <v>588</v>
      </c>
      <c r="E260" s="213" t="s">
        <v>30</v>
      </c>
      <c r="F260" s="240" t="s">
        <v>571</v>
      </c>
      <c r="G260" s="87">
        <v>0.9</v>
      </c>
      <c r="H260" s="190" t="s">
        <v>439</v>
      </c>
      <c r="I260" s="88"/>
      <c r="J260" s="103">
        <v>45719</v>
      </c>
      <c r="K260" s="103">
        <v>46022</v>
      </c>
      <c r="L260" s="103"/>
    </row>
    <row r="261" spans="1:12" ht="137.44999999999999" hidden="1" customHeight="1" thickBot="1">
      <c r="A261" s="31">
        <v>46003</v>
      </c>
      <c r="B261" s="3" t="s">
        <v>215</v>
      </c>
      <c r="C261" s="4" t="s">
        <v>548</v>
      </c>
      <c r="D261" s="245" t="s">
        <v>588</v>
      </c>
      <c r="E261" s="213" t="s">
        <v>30</v>
      </c>
      <c r="F261" s="242" t="s">
        <v>572</v>
      </c>
      <c r="G261" s="87">
        <v>0.2</v>
      </c>
      <c r="H261" s="204" t="s">
        <v>439</v>
      </c>
      <c r="I261" s="88"/>
      <c r="J261" s="103">
        <v>45719</v>
      </c>
      <c r="K261" s="103">
        <v>46022</v>
      </c>
      <c r="L261" s="103"/>
    </row>
    <row r="262" spans="1:12" ht="127.15" hidden="1" customHeight="1" thickBot="1">
      <c r="A262" s="31">
        <v>46003</v>
      </c>
      <c r="B262" s="3" t="s">
        <v>352</v>
      </c>
      <c r="C262" s="4" t="s">
        <v>350</v>
      </c>
      <c r="D262" s="5" t="s">
        <v>34</v>
      </c>
      <c r="E262" s="213" t="s">
        <v>354</v>
      </c>
      <c r="F262" s="240" t="s">
        <v>573</v>
      </c>
      <c r="G262" s="87">
        <v>0.5</v>
      </c>
      <c r="H262" s="87"/>
      <c r="I262" s="88"/>
      <c r="J262" s="103">
        <v>45852</v>
      </c>
      <c r="K262" s="103">
        <v>46017</v>
      </c>
      <c r="L262" s="103"/>
    </row>
    <row r="263" spans="1:12" ht="147" hidden="1" customHeight="1" thickBot="1">
      <c r="A263" s="31">
        <v>46003</v>
      </c>
      <c r="B263" s="3" t="s">
        <v>353</v>
      </c>
      <c r="C263" s="4" t="s">
        <v>351</v>
      </c>
      <c r="D263" s="5" t="s">
        <v>34</v>
      </c>
      <c r="E263" s="213" t="s">
        <v>354</v>
      </c>
      <c r="F263" s="240" t="s">
        <v>574</v>
      </c>
      <c r="G263" s="87">
        <v>0.8</v>
      </c>
      <c r="H263" s="87"/>
      <c r="I263" s="88" t="s">
        <v>565</v>
      </c>
      <c r="J263" s="103">
        <v>45842</v>
      </c>
      <c r="K263" s="103">
        <v>46017</v>
      </c>
      <c r="L263" s="103"/>
    </row>
    <row r="264" spans="1:12" ht="120.75" hidden="1" thickBot="1">
      <c r="A264" s="31">
        <v>46003</v>
      </c>
      <c r="B264" s="3" t="s">
        <v>392</v>
      </c>
      <c r="C264" s="4" t="s">
        <v>379</v>
      </c>
      <c r="D264" s="5" t="s">
        <v>390</v>
      </c>
      <c r="E264" s="213" t="s">
        <v>30</v>
      </c>
      <c r="F264" s="236" t="s">
        <v>551</v>
      </c>
      <c r="G264" s="87"/>
      <c r="H264" s="235" t="s">
        <v>552</v>
      </c>
      <c r="I264" s="235" t="s">
        <v>575</v>
      </c>
      <c r="J264" s="103">
        <v>45870</v>
      </c>
      <c r="K264" s="103">
        <v>46447</v>
      </c>
      <c r="L264" s="103"/>
    </row>
    <row r="265" spans="1:12" ht="192.6" hidden="1" customHeight="1" thickBot="1">
      <c r="A265" s="31">
        <v>46003</v>
      </c>
      <c r="B265" s="3" t="s">
        <v>294</v>
      </c>
      <c r="C265" s="4" t="s">
        <v>400</v>
      </c>
      <c r="D265" s="5" t="s">
        <v>402</v>
      </c>
      <c r="E265" s="213" t="s">
        <v>340</v>
      </c>
      <c r="F265" s="240" t="s">
        <v>576</v>
      </c>
      <c r="G265" s="87">
        <v>0.35</v>
      </c>
      <c r="H265" s="87"/>
      <c r="I265" s="161"/>
      <c r="J265" s="103">
        <v>45894</v>
      </c>
      <c r="K265" s="103">
        <v>46022</v>
      </c>
      <c r="L265" s="103"/>
    </row>
    <row r="266" spans="1:12" ht="135.6" hidden="1" customHeight="1" thickBot="1">
      <c r="A266" s="31">
        <v>46003</v>
      </c>
      <c r="B266" s="3" t="s">
        <v>404</v>
      </c>
      <c r="C266" s="202" t="s">
        <v>398</v>
      </c>
      <c r="D266" s="5" t="s">
        <v>401</v>
      </c>
      <c r="E266" s="213" t="s">
        <v>30</v>
      </c>
      <c r="F266" s="240" t="s">
        <v>577</v>
      </c>
      <c r="G266" s="87">
        <v>0.5</v>
      </c>
      <c r="H266" s="224" t="s">
        <v>522</v>
      </c>
      <c r="I266" s="243" t="s">
        <v>579</v>
      </c>
      <c r="J266" s="103">
        <v>45894</v>
      </c>
      <c r="K266" s="103">
        <v>46022</v>
      </c>
      <c r="L266" s="103"/>
    </row>
    <row r="267" spans="1:12" ht="210" hidden="1" customHeight="1" thickBot="1">
      <c r="A267" s="31">
        <v>46003</v>
      </c>
      <c r="B267" s="3" t="s">
        <v>405</v>
      </c>
      <c r="C267" s="4" t="s">
        <v>399</v>
      </c>
      <c r="D267" s="5" t="s">
        <v>401</v>
      </c>
      <c r="E267" s="213" t="s">
        <v>30</v>
      </c>
      <c r="F267" s="244" t="s">
        <v>580</v>
      </c>
      <c r="G267" s="87">
        <v>0.9</v>
      </c>
      <c r="H267" s="87"/>
      <c r="I267" s="161"/>
      <c r="J267" s="103">
        <v>45922</v>
      </c>
      <c r="K267" s="103">
        <v>46022</v>
      </c>
      <c r="L267" s="103"/>
    </row>
    <row r="268" spans="1:12" ht="165.75" hidden="1" customHeight="1" thickBot="1">
      <c r="A268" s="31">
        <v>46003</v>
      </c>
      <c r="B268" s="3" t="s">
        <v>406</v>
      </c>
      <c r="C268" s="4" t="s">
        <v>417</v>
      </c>
      <c r="D268" s="5" t="s">
        <v>403</v>
      </c>
      <c r="E268" s="213" t="s">
        <v>110</v>
      </c>
      <c r="F268" s="244" t="s">
        <v>581</v>
      </c>
      <c r="G268" s="87">
        <v>1</v>
      </c>
      <c r="H268" s="231" t="s">
        <v>259</v>
      </c>
      <c r="I268" s="161"/>
      <c r="J268" s="103">
        <v>45894</v>
      </c>
      <c r="K268" s="103">
        <v>45989</v>
      </c>
      <c r="L268" s="103"/>
    </row>
    <row r="269" spans="1:12" ht="99.6" hidden="1" customHeight="1" thickBot="1">
      <c r="A269" s="31">
        <v>46003</v>
      </c>
      <c r="B269" s="3" t="s">
        <v>420</v>
      </c>
      <c r="C269" s="4" t="s">
        <v>421</v>
      </c>
      <c r="D269" s="245" t="s">
        <v>586</v>
      </c>
      <c r="E269" s="5" t="s">
        <v>340</v>
      </c>
      <c r="F269" s="236" t="s">
        <v>563</v>
      </c>
      <c r="G269" s="87">
        <v>0.3</v>
      </c>
      <c r="H269" s="87"/>
      <c r="I269" s="161"/>
      <c r="J269" s="103">
        <v>45910</v>
      </c>
      <c r="K269" s="103">
        <v>46022</v>
      </c>
      <c r="L269" s="103"/>
    </row>
    <row r="270" spans="1:12" ht="108.6" hidden="1" customHeight="1" thickBot="1">
      <c r="A270" s="31">
        <v>46003</v>
      </c>
      <c r="B270" s="3" t="s">
        <v>418</v>
      </c>
      <c r="C270" s="4" t="s">
        <v>443</v>
      </c>
      <c r="D270" s="5" t="s">
        <v>402</v>
      </c>
      <c r="E270" s="5" t="s">
        <v>340</v>
      </c>
      <c r="F270" s="238" t="s">
        <v>566</v>
      </c>
      <c r="G270" s="87">
        <v>1</v>
      </c>
      <c r="H270" s="87" t="s">
        <v>259</v>
      </c>
      <c r="I270" s="161"/>
      <c r="J270" s="103">
        <v>45915</v>
      </c>
      <c r="K270" s="103">
        <v>45961</v>
      </c>
      <c r="L270" s="103"/>
    </row>
    <row r="271" spans="1:12" ht="93" hidden="1" customHeight="1" thickBot="1">
      <c r="A271" s="31">
        <v>46003</v>
      </c>
      <c r="B271" s="3" t="s">
        <v>476</v>
      </c>
      <c r="C271" s="4" t="s">
        <v>31</v>
      </c>
      <c r="D271" s="5" t="s">
        <v>16</v>
      </c>
      <c r="E271" s="5" t="s">
        <v>30</v>
      </c>
      <c r="F271" s="237" t="s">
        <v>564</v>
      </c>
      <c r="G271" s="87">
        <v>0</v>
      </c>
      <c r="H271" s="87"/>
      <c r="I271" s="161"/>
      <c r="J271" s="103">
        <v>45950</v>
      </c>
      <c r="K271" s="103">
        <v>46171</v>
      </c>
      <c r="L271" s="103"/>
    </row>
    <row r="272" spans="1:12" ht="156" hidden="1" customHeight="1" thickBot="1">
      <c r="A272" s="31">
        <v>46003</v>
      </c>
      <c r="B272" s="3" t="s">
        <v>510</v>
      </c>
      <c r="C272" s="4" t="s">
        <v>511</v>
      </c>
      <c r="D272" s="5" t="s">
        <v>34</v>
      </c>
      <c r="E272" s="5" t="s">
        <v>354</v>
      </c>
      <c r="F272" s="244" t="s">
        <v>582</v>
      </c>
      <c r="G272" s="87">
        <v>0.2</v>
      </c>
      <c r="H272" s="87"/>
      <c r="I272" s="161"/>
      <c r="J272" s="103">
        <v>45972</v>
      </c>
      <c r="K272" s="103">
        <v>46008</v>
      </c>
      <c r="L272" s="103"/>
    </row>
    <row r="273" spans="1:12" ht="172.15" hidden="1" customHeight="1" thickBot="1">
      <c r="A273" s="31">
        <v>46003</v>
      </c>
      <c r="B273" s="3" t="s">
        <v>561</v>
      </c>
      <c r="C273" s="4" t="s">
        <v>562</v>
      </c>
      <c r="D273" s="5" t="s">
        <v>34</v>
      </c>
      <c r="E273" s="5" t="s">
        <v>560</v>
      </c>
      <c r="F273" s="239" t="s">
        <v>567</v>
      </c>
      <c r="G273" s="87">
        <v>0.1</v>
      </c>
      <c r="H273" s="87"/>
      <c r="I273" s="161"/>
      <c r="J273" s="103">
        <v>46001</v>
      </c>
      <c r="K273" s="103">
        <v>46034</v>
      </c>
      <c r="L273" s="103"/>
    </row>
    <row r="274" spans="1:12" ht="172.15" hidden="1" customHeight="1" thickBot="1">
      <c r="A274" s="31">
        <v>46003</v>
      </c>
      <c r="B274" s="3" t="s">
        <v>583</v>
      </c>
      <c r="C274" s="4" t="s">
        <v>584</v>
      </c>
      <c r="D274" s="245" t="s">
        <v>587</v>
      </c>
      <c r="E274" s="5" t="s">
        <v>119</v>
      </c>
      <c r="F274" s="244" t="s">
        <v>585</v>
      </c>
      <c r="G274" s="87">
        <v>0</v>
      </c>
      <c r="H274" s="87" t="s">
        <v>136</v>
      </c>
      <c r="I274" s="161"/>
      <c r="J274" s="103">
        <v>46002</v>
      </c>
      <c r="K274" s="103">
        <v>46038</v>
      </c>
      <c r="L274" s="103"/>
    </row>
    <row r="275" spans="1:12" ht="150.75" hidden="1" thickBot="1">
      <c r="A275" s="31">
        <v>46017</v>
      </c>
      <c r="B275" s="3" t="s">
        <v>207</v>
      </c>
      <c r="C275" s="4" t="s">
        <v>10</v>
      </c>
      <c r="D275" s="245" t="s">
        <v>590</v>
      </c>
      <c r="E275" s="213" t="s">
        <v>119</v>
      </c>
      <c r="F275" s="253" t="s">
        <v>599</v>
      </c>
      <c r="G275" s="95">
        <v>0.14000000000000001</v>
      </c>
      <c r="H275" s="11" t="s">
        <v>600</v>
      </c>
      <c r="I275" s="241" t="s">
        <v>601</v>
      </c>
      <c r="J275" s="13">
        <v>45658</v>
      </c>
      <c r="K275" s="14">
        <v>46203</v>
      </c>
    </row>
    <row r="276" spans="1:12" ht="230.25" hidden="1" customHeight="1" thickBot="1">
      <c r="A276" s="31">
        <v>46017</v>
      </c>
      <c r="B276" s="3" t="s">
        <v>391</v>
      </c>
      <c r="C276" s="4" t="s">
        <v>28</v>
      </c>
      <c r="D276" s="245" t="s">
        <v>589</v>
      </c>
      <c r="E276" s="213" t="s">
        <v>22</v>
      </c>
      <c r="F276" s="253" t="s">
        <v>602</v>
      </c>
      <c r="G276" s="95">
        <v>0.95</v>
      </c>
      <c r="H276" s="10"/>
      <c r="I276" s="9"/>
      <c r="J276" s="13">
        <v>45658</v>
      </c>
      <c r="K276" s="14">
        <v>46022</v>
      </c>
    </row>
    <row r="277" spans="1:12" ht="224.45" hidden="1" customHeight="1" thickBot="1">
      <c r="A277" s="31">
        <v>46017</v>
      </c>
      <c r="B277" s="3" t="s">
        <v>212</v>
      </c>
      <c r="C277" s="4" t="s">
        <v>183</v>
      </c>
      <c r="D277" s="245" t="s">
        <v>588</v>
      </c>
      <c r="E277" s="213" t="s">
        <v>30</v>
      </c>
      <c r="F277" s="246" t="s">
        <v>592</v>
      </c>
      <c r="G277" s="87">
        <v>0.9</v>
      </c>
      <c r="H277" s="95" t="s">
        <v>439</v>
      </c>
      <c r="I277" s="88"/>
      <c r="J277" s="103">
        <v>45719</v>
      </c>
      <c r="K277" s="103">
        <v>46022</v>
      </c>
    </row>
    <row r="278" spans="1:12" ht="141" hidden="1" customHeight="1" thickBot="1">
      <c r="A278" s="31">
        <v>46017</v>
      </c>
      <c r="B278" s="3" t="s">
        <v>215</v>
      </c>
      <c r="C278" s="4" t="s">
        <v>548</v>
      </c>
      <c r="D278" s="245" t="s">
        <v>588</v>
      </c>
      <c r="E278" s="213" t="s">
        <v>30</v>
      </c>
      <c r="F278" s="247" t="s">
        <v>572</v>
      </c>
      <c r="G278" s="87">
        <v>0.2</v>
      </c>
      <c r="H278" s="95" t="s">
        <v>591</v>
      </c>
      <c r="I278" s="88"/>
      <c r="J278" s="103">
        <v>45719</v>
      </c>
      <c r="K278" s="103">
        <v>46052</v>
      </c>
    </row>
    <row r="279" spans="1:12" ht="156.75" hidden="1" customHeight="1" thickBot="1">
      <c r="A279" s="31">
        <v>46017</v>
      </c>
      <c r="B279" s="3" t="s">
        <v>352</v>
      </c>
      <c r="C279" s="4" t="s">
        <v>350</v>
      </c>
      <c r="D279" s="5" t="s">
        <v>34</v>
      </c>
      <c r="E279" s="213" t="s">
        <v>354</v>
      </c>
      <c r="F279" s="255" t="s">
        <v>607</v>
      </c>
      <c r="G279" s="87">
        <v>0.5</v>
      </c>
      <c r="H279" s="95" t="s">
        <v>593</v>
      </c>
      <c r="I279" s="88"/>
      <c r="J279" s="103">
        <v>45852</v>
      </c>
      <c r="K279" s="103">
        <v>46052</v>
      </c>
    </row>
    <row r="280" spans="1:12" ht="105.75" hidden="1" thickBot="1">
      <c r="A280" s="31">
        <v>46017</v>
      </c>
      <c r="B280" s="3" t="s">
        <v>353</v>
      </c>
      <c r="C280" s="4" t="s">
        <v>351</v>
      </c>
      <c r="D280" s="5" t="s">
        <v>34</v>
      </c>
      <c r="E280" s="213" t="s">
        <v>354</v>
      </c>
      <c r="F280" s="253" t="s">
        <v>603</v>
      </c>
      <c r="G280" s="87">
        <v>0.8</v>
      </c>
      <c r="H280" s="95" t="s">
        <v>593</v>
      </c>
      <c r="I280" s="88" t="s">
        <v>565</v>
      </c>
      <c r="J280" s="103">
        <v>45842</v>
      </c>
      <c r="K280" s="103">
        <v>46052</v>
      </c>
    </row>
    <row r="281" spans="1:12" ht="146.44999999999999" hidden="1" customHeight="1" thickBot="1">
      <c r="A281" s="31">
        <v>46017</v>
      </c>
      <c r="B281" s="3" t="s">
        <v>392</v>
      </c>
      <c r="C281" s="4" t="s">
        <v>379</v>
      </c>
      <c r="D281" s="5" t="s">
        <v>390</v>
      </c>
      <c r="E281" s="213" t="s">
        <v>30</v>
      </c>
      <c r="F281" s="256" t="s">
        <v>608</v>
      </c>
      <c r="G281" s="87"/>
      <c r="H281" s="249" t="s">
        <v>595</v>
      </c>
      <c r="I281" s="235" t="s">
        <v>575</v>
      </c>
      <c r="J281" s="103">
        <v>45870</v>
      </c>
      <c r="K281" s="103">
        <v>46447</v>
      </c>
    </row>
    <row r="282" spans="1:12" ht="216.6" hidden="1" customHeight="1" thickBot="1">
      <c r="A282" s="31">
        <v>46017</v>
      </c>
      <c r="B282" s="3" t="s">
        <v>294</v>
      </c>
      <c r="C282" s="4" t="s">
        <v>400</v>
      </c>
      <c r="D282" s="5" t="s">
        <v>402</v>
      </c>
      <c r="E282" s="213" t="s">
        <v>340</v>
      </c>
      <c r="F282" s="251" t="s">
        <v>596</v>
      </c>
      <c r="G282" s="87">
        <v>0.35</v>
      </c>
      <c r="H282" s="87"/>
      <c r="I282" s="161"/>
      <c r="J282" s="103">
        <v>45894</v>
      </c>
      <c r="K282" s="103">
        <v>46022</v>
      </c>
    </row>
    <row r="283" spans="1:12" ht="133.9" hidden="1" customHeight="1" thickBot="1">
      <c r="A283" s="31">
        <v>46017</v>
      </c>
      <c r="B283" s="3" t="s">
        <v>404</v>
      </c>
      <c r="C283" s="202" t="s">
        <v>398</v>
      </c>
      <c r="D283" s="5" t="s">
        <v>401</v>
      </c>
      <c r="E283" s="213" t="s">
        <v>30</v>
      </c>
      <c r="F283" s="251" t="s">
        <v>577</v>
      </c>
      <c r="G283" s="87">
        <v>0.5</v>
      </c>
      <c r="H283" s="248" t="s">
        <v>522</v>
      </c>
      <c r="I283" s="243" t="s">
        <v>579</v>
      </c>
      <c r="J283" s="103">
        <v>45894</v>
      </c>
      <c r="K283" s="103">
        <v>46022</v>
      </c>
    </row>
    <row r="284" spans="1:12" ht="255" hidden="1" customHeight="1" thickBot="1">
      <c r="A284" s="31">
        <v>46017</v>
      </c>
      <c r="B284" s="3" t="s">
        <v>405</v>
      </c>
      <c r="C284" s="4" t="s">
        <v>399</v>
      </c>
      <c r="D284" s="5" t="s">
        <v>401</v>
      </c>
      <c r="E284" s="213" t="s">
        <v>30</v>
      </c>
      <c r="F284" s="253" t="s">
        <v>604</v>
      </c>
      <c r="G284" s="87">
        <v>1</v>
      </c>
      <c r="H284" s="231" t="s">
        <v>594</v>
      </c>
      <c r="I284" s="161"/>
      <c r="J284" s="103">
        <v>45922</v>
      </c>
      <c r="K284" s="103">
        <v>46022</v>
      </c>
    </row>
    <row r="285" spans="1:12" ht="184.5" hidden="1" customHeight="1" thickBot="1">
      <c r="A285" s="31">
        <v>46017</v>
      </c>
      <c r="B285" s="3" t="s">
        <v>406</v>
      </c>
      <c r="C285" s="4" t="s">
        <v>417</v>
      </c>
      <c r="D285" s="5" t="s">
        <v>403</v>
      </c>
      <c r="E285" s="213" t="s">
        <v>110</v>
      </c>
      <c r="F285" s="253" t="s">
        <v>605</v>
      </c>
      <c r="G285" s="87">
        <v>1</v>
      </c>
      <c r="H285" s="87" t="s">
        <v>259</v>
      </c>
      <c r="I285" s="161"/>
      <c r="J285" s="103">
        <v>45894</v>
      </c>
      <c r="K285" s="103">
        <v>45989</v>
      </c>
    </row>
    <row r="286" spans="1:12" ht="120.75" hidden="1" thickBot="1">
      <c r="A286" s="31">
        <v>46017</v>
      </c>
      <c r="B286" s="3" t="s">
        <v>420</v>
      </c>
      <c r="C286" s="4" t="s">
        <v>421</v>
      </c>
      <c r="D286" s="245" t="s">
        <v>586</v>
      </c>
      <c r="E286" s="5" t="s">
        <v>340</v>
      </c>
      <c r="F286" s="250" t="s">
        <v>597</v>
      </c>
      <c r="G286" s="87">
        <v>0.3</v>
      </c>
      <c r="H286" s="87"/>
      <c r="I286" s="161"/>
      <c r="J286" s="103">
        <v>45910</v>
      </c>
      <c r="K286" s="103">
        <v>46022</v>
      </c>
    </row>
    <row r="287" spans="1:12" ht="89.45" hidden="1" customHeight="1" thickBot="1">
      <c r="A287" s="31">
        <v>46017</v>
      </c>
      <c r="B287" s="3" t="s">
        <v>418</v>
      </c>
      <c r="C287" s="4" t="s">
        <v>443</v>
      </c>
      <c r="D287" s="5" t="s">
        <v>402</v>
      </c>
      <c r="E287" s="5" t="s">
        <v>340</v>
      </c>
      <c r="F287" s="238" t="s">
        <v>566</v>
      </c>
      <c r="G287" s="87">
        <v>1</v>
      </c>
      <c r="H287" s="87" t="s">
        <v>259</v>
      </c>
      <c r="I287" s="161"/>
      <c r="J287" s="103">
        <v>45915</v>
      </c>
      <c r="K287" s="103">
        <v>45961</v>
      </c>
    </row>
    <row r="288" spans="1:12" ht="102" hidden="1" customHeight="1" thickBot="1">
      <c r="A288" s="31">
        <v>46017</v>
      </c>
      <c r="B288" s="3" t="s">
        <v>476</v>
      </c>
      <c r="C288" s="4" t="s">
        <v>31</v>
      </c>
      <c r="D288" s="5" t="s">
        <v>16</v>
      </c>
      <c r="E288" s="5" t="s">
        <v>30</v>
      </c>
      <c r="F288" s="256" t="s">
        <v>609</v>
      </c>
      <c r="G288" s="87">
        <v>0.05</v>
      </c>
      <c r="H288" s="87"/>
      <c r="I288" s="161"/>
      <c r="J288" s="103">
        <v>45950</v>
      </c>
      <c r="K288" s="103">
        <v>46171</v>
      </c>
    </row>
    <row r="289" spans="1:11" ht="130.9" hidden="1" customHeight="1" thickBot="1">
      <c r="A289" s="31">
        <v>46017</v>
      </c>
      <c r="B289" s="3" t="s">
        <v>510</v>
      </c>
      <c r="C289" s="4" t="s">
        <v>511</v>
      </c>
      <c r="D289" s="5" t="s">
        <v>34</v>
      </c>
      <c r="E289" s="5" t="s">
        <v>354</v>
      </c>
      <c r="F289" s="256" t="s">
        <v>610</v>
      </c>
      <c r="G289" s="87">
        <v>0.2</v>
      </c>
      <c r="H289" s="87"/>
      <c r="I289" s="161"/>
      <c r="J289" s="103">
        <v>45972</v>
      </c>
      <c r="K289" s="257">
        <v>46041</v>
      </c>
    </row>
    <row r="290" spans="1:11" ht="159.6" hidden="1" customHeight="1" thickBot="1">
      <c r="A290" s="31">
        <v>46017</v>
      </c>
      <c r="B290" s="3" t="s">
        <v>561</v>
      </c>
      <c r="C290" s="4" t="s">
        <v>562</v>
      </c>
      <c r="D290" s="5" t="s">
        <v>34</v>
      </c>
      <c r="E290" s="5" t="s">
        <v>560</v>
      </c>
      <c r="F290" s="250" t="s">
        <v>598</v>
      </c>
      <c r="G290" s="87">
        <v>0.1</v>
      </c>
      <c r="H290" s="87"/>
      <c r="I290" s="161"/>
      <c r="J290" s="103">
        <v>46001</v>
      </c>
      <c r="K290" s="103">
        <v>46034</v>
      </c>
    </row>
    <row r="291" spans="1:11" ht="409.6" hidden="1" thickBot="1">
      <c r="A291" s="31">
        <v>46017</v>
      </c>
      <c r="B291" s="3" t="s">
        <v>583</v>
      </c>
      <c r="C291" s="4" t="s">
        <v>584</v>
      </c>
      <c r="D291" s="252" t="s">
        <v>587</v>
      </c>
      <c r="E291" s="5" t="s">
        <v>119</v>
      </c>
      <c r="F291" s="254" t="s">
        <v>606</v>
      </c>
      <c r="G291" s="87">
        <v>0.4</v>
      </c>
      <c r="H291" s="87"/>
      <c r="I291" s="161"/>
      <c r="J291" s="103">
        <v>46002</v>
      </c>
      <c r="K291" s="103">
        <v>46038</v>
      </c>
    </row>
    <row r="292" spans="1:11" ht="165.75" hidden="1" thickBot="1">
      <c r="A292" s="31">
        <v>46031</v>
      </c>
      <c r="B292" s="3" t="s">
        <v>207</v>
      </c>
      <c r="C292" s="4" t="s">
        <v>10</v>
      </c>
      <c r="D292" s="245" t="s">
        <v>590</v>
      </c>
      <c r="E292" s="213" t="s">
        <v>119</v>
      </c>
      <c r="F292" s="260" t="s">
        <v>613</v>
      </c>
      <c r="G292" s="95">
        <v>0.14000000000000001</v>
      </c>
      <c r="H292" s="11" t="s">
        <v>614</v>
      </c>
      <c r="I292" s="241" t="s">
        <v>615</v>
      </c>
      <c r="J292" s="13">
        <v>45658</v>
      </c>
      <c r="K292" s="14">
        <v>46203</v>
      </c>
    </row>
    <row r="293" spans="1:11" ht="165.75" hidden="1" customHeight="1" thickBot="1">
      <c r="A293" s="31">
        <v>46031</v>
      </c>
      <c r="B293" s="3" t="s">
        <v>391</v>
      </c>
      <c r="C293" s="4" t="s">
        <v>28</v>
      </c>
      <c r="D293" s="245" t="s">
        <v>589</v>
      </c>
      <c r="E293" s="213" t="s">
        <v>22</v>
      </c>
      <c r="F293" s="260" t="s">
        <v>616</v>
      </c>
      <c r="G293" s="95">
        <v>0.95</v>
      </c>
      <c r="H293" s="95" t="s">
        <v>617</v>
      </c>
      <c r="I293" s="9"/>
      <c r="J293" s="13">
        <v>45658</v>
      </c>
      <c r="K293" s="14">
        <v>46052</v>
      </c>
    </row>
    <row r="294" spans="1:11" ht="214.9" hidden="1" customHeight="1" thickBot="1">
      <c r="A294" s="31">
        <v>46031</v>
      </c>
      <c r="B294" s="3" t="s">
        <v>212</v>
      </c>
      <c r="C294" s="4" t="s">
        <v>183</v>
      </c>
      <c r="D294" s="245" t="s">
        <v>588</v>
      </c>
      <c r="E294" s="213" t="s">
        <v>30</v>
      </c>
      <c r="F294" s="261" t="s">
        <v>618</v>
      </c>
      <c r="G294" s="87">
        <v>0.9</v>
      </c>
      <c r="H294" s="95" t="s">
        <v>439</v>
      </c>
      <c r="I294" s="88"/>
      <c r="J294" s="103">
        <v>45719</v>
      </c>
      <c r="K294" s="103">
        <v>46052</v>
      </c>
    </row>
    <row r="295" spans="1:11" ht="178.15" hidden="1" customHeight="1" thickBot="1">
      <c r="A295" s="31">
        <v>46031</v>
      </c>
      <c r="B295" s="3" t="s">
        <v>215</v>
      </c>
      <c r="C295" s="4" t="s">
        <v>548</v>
      </c>
      <c r="D295" s="245" t="s">
        <v>588</v>
      </c>
      <c r="E295" s="213" t="s">
        <v>30</v>
      </c>
      <c r="F295" s="262" t="s">
        <v>619</v>
      </c>
      <c r="G295" s="87">
        <v>0.2</v>
      </c>
      <c r="H295" s="95" t="s">
        <v>591</v>
      </c>
      <c r="I295" s="88"/>
      <c r="J295" s="103">
        <v>45719</v>
      </c>
      <c r="K295" s="103">
        <v>46052</v>
      </c>
    </row>
    <row r="296" spans="1:11" ht="159" hidden="1" customHeight="1" thickBot="1">
      <c r="A296" s="31">
        <v>46031</v>
      </c>
      <c r="B296" s="3" t="s">
        <v>352</v>
      </c>
      <c r="C296" s="4" t="s">
        <v>350</v>
      </c>
      <c r="D296" s="5" t="s">
        <v>34</v>
      </c>
      <c r="E296" s="213" t="s">
        <v>354</v>
      </c>
      <c r="F296" s="261" t="s">
        <v>620</v>
      </c>
      <c r="G296" s="87">
        <v>0.5</v>
      </c>
      <c r="H296" s="95" t="s">
        <v>593</v>
      </c>
      <c r="I296" s="88"/>
      <c r="J296" s="103">
        <v>45852</v>
      </c>
      <c r="K296" s="103">
        <v>46052</v>
      </c>
    </row>
    <row r="297" spans="1:11" ht="105.75" hidden="1" thickBot="1">
      <c r="A297" s="31">
        <v>46031</v>
      </c>
      <c r="B297" s="3" t="s">
        <v>353</v>
      </c>
      <c r="C297" s="4" t="s">
        <v>351</v>
      </c>
      <c r="D297" s="5" t="s">
        <v>34</v>
      </c>
      <c r="E297" s="213" t="s">
        <v>354</v>
      </c>
      <c r="F297" s="253" t="s">
        <v>603</v>
      </c>
      <c r="G297" s="87">
        <v>0.8</v>
      </c>
      <c r="H297" s="95" t="s">
        <v>593</v>
      </c>
      <c r="I297" s="88" t="s">
        <v>621</v>
      </c>
      <c r="J297" s="103">
        <v>45842</v>
      </c>
      <c r="K297" s="103">
        <v>46052</v>
      </c>
    </row>
    <row r="298" spans="1:11" ht="180.75" hidden="1" thickBot="1">
      <c r="A298" s="31">
        <v>46031</v>
      </c>
      <c r="B298" s="3" t="s">
        <v>392</v>
      </c>
      <c r="C298" s="4" t="s">
        <v>630</v>
      </c>
      <c r="D298" s="5" t="s">
        <v>390</v>
      </c>
      <c r="E298" s="213" t="s">
        <v>30</v>
      </c>
      <c r="F298" s="264" t="s">
        <v>631</v>
      </c>
      <c r="G298" s="87"/>
      <c r="H298" s="265" t="s">
        <v>632</v>
      </c>
      <c r="I298" s="265" t="s">
        <v>633</v>
      </c>
      <c r="J298" s="103">
        <v>45870</v>
      </c>
      <c r="K298" s="103">
        <v>46447</v>
      </c>
    </row>
    <row r="299" spans="1:11" ht="132.6" hidden="1" customHeight="1" thickBot="1">
      <c r="A299" s="31">
        <v>46031</v>
      </c>
      <c r="B299" s="3" t="s">
        <v>294</v>
      </c>
      <c r="C299" s="4" t="s">
        <v>400</v>
      </c>
      <c r="D299" s="5" t="s">
        <v>402</v>
      </c>
      <c r="E299" s="213" t="s">
        <v>340</v>
      </c>
      <c r="F299" s="262" t="s">
        <v>622</v>
      </c>
      <c r="G299" s="87">
        <v>0.5</v>
      </c>
      <c r="H299" s="87"/>
      <c r="I299" s="161"/>
      <c r="J299" s="103">
        <v>45894</v>
      </c>
      <c r="K299" s="103">
        <v>46052</v>
      </c>
    </row>
    <row r="300" spans="1:11" ht="160.9" hidden="1" customHeight="1" thickBot="1">
      <c r="A300" s="31">
        <v>46031</v>
      </c>
      <c r="B300" s="3" t="s">
        <v>404</v>
      </c>
      <c r="C300" s="202" t="s">
        <v>398</v>
      </c>
      <c r="D300" s="5" t="s">
        <v>401</v>
      </c>
      <c r="E300" s="213" t="s">
        <v>30</v>
      </c>
      <c r="F300" s="262" t="s">
        <v>623</v>
      </c>
      <c r="G300" s="87">
        <v>0.5</v>
      </c>
      <c r="H300" s="263" t="s">
        <v>624</v>
      </c>
      <c r="I300" s="243" t="s">
        <v>579</v>
      </c>
      <c r="J300" s="103">
        <v>45894</v>
      </c>
      <c r="K300" s="103">
        <v>46022</v>
      </c>
    </row>
    <row r="301" spans="1:11" ht="120.75" hidden="1" thickBot="1">
      <c r="A301" s="31">
        <v>46031</v>
      </c>
      <c r="B301" s="3" t="s">
        <v>405</v>
      </c>
      <c r="C301" s="4" t="s">
        <v>399</v>
      </c>
      <c r="D301" s="5" t="s">
        <v>401</v>
      </c>
      <c r="E301" s="213" t="s">
        <v>30</v>
      </c>
      <c r="F301" s="259" t="s">
        <v>612</v>
      </c>
      <c r="G301" s="87">
        <v>1</v>
      </c>
      <c r="H301" s="231" t="s">
        <v>594</v>
      </c>
      <c r="I301" s="161"/>
      <c r="J301" s="103">
        <v>45922</v>
      </c>
      <c r="K301" s="103">
        <v>46022</v>
      </c>
    </row>
    <row r="302" spans="1:11" ht="120.75" hidden="1" thickBot="1">
      <c r="A302" s="31">
        <v>46031</v>
      </c>
      <c r="B302" s="3" t="s">
        <v>406</v>
      </c>
      <c r="C302" s="4" t="s">
        <v>417</v>
      </c>
      <c r="D302" s="5" t="s">
        <v>403</v>
      </c>
      <c r="E302" s="213" t="s">
        <v>110</v>
      </c>
      <c r="F302" s="259" t="s">
        <v>605</v>
      </c>
      <c r="G302" s="87">
        <v>1</v>
      </c>
      <c r="H302" s="87" t="s">
        <v>259</v>
      </c>
      <c r="I302" s="161"/>
      <c r="J302" s="103">
        <v>45894</v>
      </c>
      <c r="K302" s="103">
        <v>45989</v>
      </c>
    </row>
    <row r="303" spans="1:11" ht="172.15" hidden="1" customHeight="1" thickBot="1">
      <c r="A303" s="31">
        <v>46031</v>
      </c>
      <c r="B303" s="3" t="s">
        <v>420</v>
      </c>
      <c r="C303" s="4" t="s">
        <v>421</v>
      </c>
      <c r="D303" s="245" t="s">
        <v>586</v>
      </c>
      <c r="E303" s="5" t="s">
        <v>340</v>
      </c>
      <c r="F303" s="261" t="s">
        <v>625</v>
      </c>
      <c r="G303" s="87">
        <v>0.4</v>
      </c>
      <c r="H303" s="87"/>
      <c r="I303" s="161"/>
      <c r="J303" s="103">
        <v>45910</v>
      </c>
      <c r="K303" s="103">
        <v>46112</v>
      </c>
    </row>
    <row r="304" spans="1:11" ht="75.75" hidden="1" thickBot="1">
      <c r="A304" s="31">
        <v>46031</v>
      </c>
      <c r="B304" s="3" t="s">
        <v>418</v>
      </c>
      <c r="C304" s="4" t="s">
        <v>443</v>
      </c>
      <c r="D304" s="5" t="s">
        <v>402</v>
      </c>
      <c r="E304" s="5" t="s">
        <v>340</v>
      </c>
      <c r="F304" s="238" t="s">
        <v>566</v>
      </c>
      <c r="G304" s="87">
        <v>1</v>
      </c>
      <c r="H304" s="87" t="s">
        <v>259</v>
      </c>
      <c r="I304" s="161"/>
      <c r="J304" s="103">
        <v>45915</v>
      </c>
      <c r="K304" s="103">
        <v>45961</v>
      </c>
    </row>
    <row r="305" spans="1:11" ht="113.45" hidden="1" customHeight="1" thickBot="1">
      <c r="A305" s="31">
        <v>46031</v>
      </c>
      <c r="B305" s="3" t="s">
        <v>476</v>
      </c>
      <c r="C305" s="4" t="s">
        <v>31</v>
      </c>
      <c r="D305" s="5" t="s">
        <v>16</v>
      </c>
      <c r="E305" s="5" t="s">
        <v>30</v>
      </c>
      <c r="F305" s="258" t="s">
        <v>611</v>
      </c>
      <c r="G305" s="87">
        <v>0.05</v>
      </c>
      <c r="H305" s="87"/>
      <c r="I305" s="161"/>
      <c r="J305" s="103">
        <v>45950</v>
      </c>
      <c r="K305" s="103">
        <v>46171</v>
      </c>
    </row>
    <row r="306" spans="1:11" ht="151.15" hidden="1" customHeight="1" thickBot="1">
      <c r="A306" s="31">
        <v>46031</v>
      </c>
      <c r="B306" s="3" t="s">
        <v>510</v>
      </c>
      <c r="C306" s="4" t="s">
        <v>511</v>
      </c>
      <c r="D306" s="5" t="s">
        <v>34</v>
      </c>
      <c r="E306" s="5" t="s">
        <v>354</v>
      </c>
      <c r="F306" s="261" t="s">
        <v>626</v>
      </c>
      <c r="G306" s="87">
        <v>0.95</v>
      </c>
      <c r="H306" s="87"/>
      <c r="I306" s="161"/>
      <c r="J306" s="103">
        <v>45972</v>
      </c>
      <c r="K306" s="103">
        <v>46041</v>
      </c>
    </row>
    <row r="307" spans="1:11" ht="205.9" hidden="1" customHeight="1" thickBot="1">
      <c r="A307" s="31">
        <v>46031</v>
      </c>
      <c r="B307" s="3" t="s">
        <v>561</v>
      </c>
      <c r="C307" s="4" t="s">
        <v>562</v>
      </c>
      <c r="D307" s="5" t="s">
        <v>34</v>
      </c>
      <c r="E307" s="5" t="s">
        <v>560</v>
      </c>
      <c r="F307" s="261" t="s">
        <v>627</v>
      </c>
      <c r="G307" s="87">
        <v>0.9</v>
      </c>
      <c r="H307" s="87"/>
      <c r="I307" s="161"/>
      <c r="J307" s="103">
        <v>46001</v>
      </c>
      <c r="K307" s="103">
        <v>46034</v>
      </c>
    </row>
    <row r="308" spans="1:11" ht="391.9" hidden="1" customHeight="1" thickBot="1">
      <c r="A308" s="31">
        <v>46031</v>
      </c>
      <c r="B308" s="3" t="s">
        <v>583</v>
      </c>
      <c r="C308" s="4" t="s">
        <v>584</v>
      </c>
      <c r="D308" s="252" t="s">
        <v>587</v>
      </c>
      <c r="E308" s="5" t="s">
        <v>119</v>
      </c>
      <c r="F308" s="261" t="s">
        <v>628</v>
      </c>
      <c r="G308" s="87">
        <v>0.95</v>
      </c>
      <c r="H308" s="87"/>
      <c r="I308" s="161"/>
      <c r="J308" s="103">
        <v>46002</v>
      </c>
      <c r="K308" s="103">
        <v>46038</v>
      </c>
    </row>
    <row r="309" spans="1:11" ht="171" hidden="1" customHeight="1" thickBot="1">
      <c r="A309" s="31">
        <v>46045</v>
      </c>
      <c r="B309" s="3" t="s">
        <v>207</v>
      </c>
      <c r="C309" s="4" t="s">
        <v>10</v>
      </c>
      <c r="D309" s="245" t="s">
        <v>590</v>
      </c>
      <c r="E309" s="213" t="s">
        <v>119</v>
      </c>
      <c r="F309" s="272" t="s">
        <v>648</v>
      </c>
      <c r="G309" s="95">
        <v>0.14000000000000001</v>
      </c>
      <c r="H309" s="11" t="s">
        <v>649</v>
      </c>
      <c r="I309" s="241" t="s">
        <v>615</v>
      </c>
      <c r="J309" s="13">
        <v>45658</v>
      </c>
      <c r="K309" s="14">
        <v>46203</v>
      </c>
    </row>
    <row r="310" spans="1:11" ht="150.6" hidden="1" customHeight="1" thickBot="1">
      <c r="A310" s="31">
        <v>46045</v>
      </c>
      <c r="B310" s="3" t="s">
        <v>391</v>
      </c>
      <c r="C310" s="4" t="s">
        <v>28</v>
      </c>
      <c r="D310" s="245" t="s">
        <v>589</v>
      </c>
      <c r="E310" s="213" t="s">
        <v>22</v>
      </c>
      <c r="F310" s="272" t="s">
        <v>650</v>
      </c>
      <c r="G310" s="95">
        <v>1</v>
      </c>
      <c r="H310" s="95" t="s">
        <v>617</v>
      </c>
      <c r="I310" s="9"/>
      <c r="J310" s="13">
        <v>45658</v>
      </c>
      <c r="K310" s="14">
        <v>46052</v>
      </c>
    </row>
    <row r="311" spans="1:11" ht="173.25" hidden="1" customHeight="1" thickBot="1">
      <c r="A311" s="31">
        <v>46045</v>
      </c>
      <c r="B311" s="3" t="s">
        <v>212</v>
      </c>
      <c r="C311" s="4" t="s">
        <v>183</v>
      </c>
      <c r="D311" s="245" t="s">
        <v>588</v>
      </c>
      <c r="E311" s="213" t="s">
        <v>30</v>
      </c>
      <c r="F311" s="272" t="s">
        <v>651</v>
      </c>
      <c r="G311" s="87">
        <v>0.95</v>
      </c>
      <c r="H311" s="95" t="s">
        <v>439</v>
      </c>
      <c r="I311" s="88"/>
      <c r="J311" s="103">
        <v>45719</v>
      </c>
      <c r="K311" s="103">
        <v>46052</v>
      </c>
    </row>
    <row r="312" spans="1:11" ht="150.6" hidden="1" customHeight="1" thickBot="1">
      <c r="A312" s="31">
        <v>46045</v>
      </c>
      <c r="B312" s="3" t="s">
        <v>215</v>
      </c>
      <c r="C312" s="4" t="s">
        <v>548</v>
      </c>
      <c r="D312" s="245" t="s">
        <v>588</v>
      </c>
      <c r="E312" s="213" t="s">
        <v>30</v>
      </c>
      <c r="F312" s="269" t="s">
        <v>641</v>
      </c>
      <c r="G312" s="87">
        <v>0.2</v>
      </c>
      <c r="H312" s="95" t="s">
        <v>591</v>
      </c>
      <c r="I312" s="88"/>
      <c r="J312" s="103">
        <v>45719</v>
      </c>
      <c r="K312" s="103">
        <v>46052</v>
      </c>
    </row>
    <row r="313" spans="1:11" ht="198.6" hidden="1" customHeight="1" thickBot="1">
      <c r="A313" s="31">
        <v>46045</v>
      </c>
      <c r="B313" s="3" t="s">
        <v>352</v>
      </c>
      <c r="C313" s="4" t="s">
        <v>350</v>
      </c>
      <c r="D313" s="5" t="s">
        <v>34</v>
      </c>
      <c r="E313" s="213" t="s">
        <v>354</v>
      </c>
      <c r="F313" s="270" t="s">
        <v>642</v>
      </c>
      <c r="G313" s="87">
        <v>0.5</v>
      </c>
      <c r="H313" s="95" t="s">
        <v>593</v>
      </c>
      <c r="I313" s="88"/>
      <c r="J313" s="103">
        <v>45852</v>
      </c>
      <c r="K313" s="103">
        <v>46052</v>
      </c>
    </row>
    <row r="314" spans="1:11" ht="190.9" hidden="1" customHeight="1" thickBot="1">
      <c r="A314" s="31">
        <v>46045</v>
      </c>
      <c r="B314" s="3" t="s">
        <v>353</v>
      </c>
      <c r="C314" s="4" t="s">
        <v>351</v>
      </c>
      <c r="D314" s="5" t="s">
        <v>34</v>
      </c>
      <c r="E314" s="213" t="s">
        <v>354</v>
      </c>
      <c r="F314" s="277" t="s">
        <v>664</v>
      </c>
      <c r="G314" s="87">
        <v>0.8</v>
      </c>
      <c r="H314" s="95" t="s">
        <v>663</v>
      </c>
      <c r="I314" s="88" t="s">
        <v>621</v>
      </c>
      <c r="J314" s="103">
        <v>45842</v>
      </c>
      <c r="K314" s="103">
        <v>46142</v>
      </c>
    </row>
    <row r="315" spans="1:11" ht="225.75" hidden="1" thickBot="1">
      <c r="A315" s="31">
        <v>46045</v>
      </c>
      <c r="B315" s="3" t="s">
        <v>392</v>
      </c>
      <c r="C315" s="4" t="s">
        <v>630</v>
      </c>
      <c r="D315" s="5" t="s">
        <v>390</v>
      </c>
      <c r="E315" s="213" t="s">
        <v>30</v>
      </c>
      <c r="F315" s="273" t="s">
        <v>652</v>
      </c>
      <c r="G315" s="87"/>
      <c r="H315" s="274" t="s">
        <v>654</v>
      </c>
      <c r="I315" s="274" t="s">
        <v>655</v>
      </c>
      <c r="J315" s="103">
        <v>45870</v>
      </c>
      <c r="K315" s="103">
        <v>46447</v>
      </c>
    </row>
    <row r="316" spans="1:11" ht="140.44999999999999" hidden="1" customHeight="1" thickBot="1">
      <c r="A316" s="31">
        <v>46045</v>
      </c>
      <c r="B316" s="3" t="s">
        <v>294</v>
      </c>
      <c r="C316" s="4" t="s">
        <v>400</v>
      </c>
      <c r="D316" s="5" t="s">
        <v>402</v>
      </c>
      <c r="E316" s="213" t="s">
        <v>340</v>
      </c>
      <c r="F316" s="273" t="s">
        <v>653</v>
      </c>
      <c r="G316" s="87">
        <v>0.6</v>
      </c>
      <c r="H316" s="87"/>
      <c r="I316" s="243" t="s">
        <v>643</v>
      </c>
      <c r="J316" s="103">
        <v>45894</v>
      </c>
      <c r="K316" s="103">
        <v>46052</v>
      </c>
    </row>
    <row r="317" spans="1:11" ht="150.75" hidden="1" thickBot="1">
      <c r="A317" s="31">
        <v>46045</v>
      </c>
      <c r="B317" s="3" t="s">
        <v>404</v>
      </c>
      <c r="C317" s="202" t="s">
        <v>398</v>
      </c>
      <c r="D317" s="5" t="s">
        <v>401</v>
      </c>
      <c r="E317" s="213" t="s">
        <v>30</v>
      </c>
      <c r="F317" s="268" t="s">
        <v>639</v>
      </c>
      <c r="G317" s="87">
        <v>0.5</v>
      </c>
      <c r="H317" s="275" t="s">
        <v>656</v>
      </c>
      <c r="I317" s="243" t="s">
        <v>657</v>
      </c>
      <c r="J317" s="103">
        <v>45894</v>
      </c>
      <c r="K317" s="103">
        <v>46022</v>
      </c>
    </row>
    <row r="318" spans="1:11" ht="180.75" hidden="1" thickBot="1">
      <c r="A318" s="31">
        <v>46045</v>
      </c>
      <c r="B318" s="3" t="s">
        <v>405</v>
      </c>
      <c r="C318" s="4" t="s">
        <v>399</v>
      </c>
      <c r="D318" s="5" t="s">
        <v>401</v>
      </c>
      <c r="E318" s="213" t="s">
        <v>30</v>
      </c>
      <c r="F318" s="267" t="s">
        <v>640</v>
      </c>
      <c r="G318" s="87">
        <v>1</v>
      </c>
      <c r="H318" s="276" t="s">
        <v>658</v>
      </c>
      <c r="I318" s="161"/>
      <c r="J318" s="103">
        <v>45922</v>
      </c>
      <c r="K318" s="103">
        <v>46022</v>
      </c>
    </row>
    <row r="319" spans="1:11" ht="75.75" hidden="1" thickBot="1">
      <c r="A319" s="31">
        <v>46045</v>
      </c>
      <c r="B319" s="3" t="s">
        <v>406</v>
      </c>
      <c r="C319" s="4" t="s">
        <v>417</v>
      </c>
      <c r="D319" s="5" t="s">
        <v>403</v>
      </c>
      <c r="E319" s="213" t="s">
        <v>110</v>
      </c>
      <c r="F319" s="270" t="s">
        <v>644</v>
      </c>
      <c r="G319" s="87">
        <v>1</v>
      </c>
      <c r="H319" s="87" t="s">
        <v>259</v>
      </c>
      <c r="I319" s="161"/>
      <c r="J319" s="103">
        <v>45894</v>
      </c>
      <c r="K319" s="103">
        <v>45989</v>
      </c>
    </row>
    <row r="320" spans="1:11" ht="163.9" hidden="1" customHeight="1" thickBot="1">
      <c r="A320" s="31">
        <v>46045</v>
      </c>
      <c r="B320" s="3" t="s">
        <v>420</v>
      </c>
      <c r="C320" s="4" t="s">
        <v>421</v>
      </c>
      <c r="D320" s="245" t="s">
        <v>586</v>
      </c>
      <c r="E320" s="5" t="s">
        <v>340</v>
      </c>
      <c r="F320" s="272" t="s">
        <v>659</v>
      </c>
      <c r="G320" s="87">
        <v>0.4</v>
      </c>
      <c r="H320" s="87"/>
      <c r="I320" s="161"/>
      <c r="J320" s="103">
        <v>45910</v>
      </c>
      <c r="K320" s="103">
        <v>46112</v>
      </c>
    </row>
    <row r="321" spans="1:11" ht="111" hidden="1" customHeight="1" thickBot="1">
      <c r="A321" s="31">
        <v>46045</v>
      </c>
      <c r="B321" s="3" t="s">
        <v>418</v>
      </c>
      <c r="C321" s="4" t="s">
        <v>443</v>
      </c>
      <c r="D321" s="5" t="s">
        <v>402</v>
      </c>
      <c r="E321" s="5" t="s">
        <v>340</v>
      </c>
      <c r="F321" s="238" t="s">
        <v>566</v>
      </c>
      <c r="G321" s="87">
        <v>1</v>
      </c>
      <c r="H321" s="87" t="s">
        <v>259</v>
      </c>
      <c r="I321" s="161"/>
      <c r="J321" s="103">
        <v>45915</v>
      </c>
      <c r="K321" s="103">
        <v>45961</v>
      </c>
    </row>
    <row r="322" spans="1:11" ht="109.9" hidden="1" customHeight="1" thickBot="1">
      <c r="A322" s="31">
        <v>46045</v>
      </c>
      <c r="B322" s="3" t="s">
        <v>476</v>
      </c>
      <c r="C322" s="4" t="s">
        <v>31</v>
      </c>
      <c r="D322" s="5" t="s">
        <v>16</v>
      </c>
      <c r="E322" s="5" t="s">
        <v>30</v>
      </c>
      <c r="F322" s="270" t="s">
        <v>645</v>
      </c>
      <c r="G322" s="87">
        <v>0.05</v>
      </c>
      <c r="H322" s="87"/>
      <c r="I322" s="161"/>
      <c r="J322" s="103">
        <v>45950</v>
      </c>
      <c r="K322" s="103">
        <v>46171</v>
      </c>
    </row>
    <row r="323" spans="1:11" ht="114.6" hidden="1" customHeight="1" thickBot="1">
      <c r="A323" s="31">
        <v>46045</v>
      </c>
      <c r="B323" s="3" t="s">
        <v>510</v>
      </c>
      <c r="C323" s="4" t="s">
        <v>511</v>
      </c>
      <c r="D323" s="5" t="s">
        <v>34</v>
      </c>
      <c r="E323" s="5" t="s">
        <v>354</v>
      </c>
      <c r="F323" s="272" t="s">
        <v>660</v>
      </c>
      <c r="G323" s="87">
        <v>1</v>
      </c>
      <c r="H323" s="87" t="s">
        <v>259</v>
      </c>
      <c r="I323" s="161"/>
      <c r="J323" s="103">
        <v>45972</v>
      </c>
      <c r="K323" s="103">
        <v>46041</v>
      </c>
    </row>
    <row r="324" spans="1:11" ht="147.75" hidden="1" customHeight="1" thickBot="1">
      <c r="A324" s="31">
        <v>46045</v>
      </c>
      <c r="B324" s="3" t="s">
        <v>561</v>
      </c>
      <c r="C324" s="4" t="s">
        <v>562</v>
      </c>
      <c r="D324" s="5" t="s">
        <v>34</v>
      </c>
      <c r="E324" s="5" t="s">
        <v>560</v>
      </c>
      <c r="F324" s="270" t="s">
        <v>646</v>
      </c>
      <c r="G324" s="87">
        <v>0.99</v>
      </c>
      <c r="H324" s="87"/>
      <c r="I324" s="161"/>
      <c r="J324" s="103">
        <v>46001</v>
      </c>
      <c r="K324" s="103">
        <v>46034</v>
      </c>
    </row>
    <row r="325" spans="1:11" ht="385.15" hidden="1" customHeight="1" thickBot="1">
      <c r="A325" s="31">
        <v>46045</v>
      </c>
      <c r="B325" s="3" t="s">
        <v>583</v>
      </c>
      <c r="C325" s="4" t="s">
        <v>584</v>
      </c>
      <c r="D325" s="252" t="s">
        <v>587</v>
      </c>
      <c r="E325" s="5" t="s">
        <v>119</v>
      </c>
      <c r="F325" s="272" t="s">
        <v>661</v>
      </c>
      <c r="G325" s="87">
        <v>0.99</v>
      </c>
      <c r="H325" s="87" t="s">
        <v>647</v>
      </c>
      <c r="I325" s="161"/>
      <c r="J325" s="103">
        <v>46002</v>
      </c>
      <c r="K325" s="103">
        <v>46052</v>
      </c>
    </row>
    <row r="326" spans="1:11" ht="112.15" hidden="1" customHeight="1" thickBot="1">
      <c r="A326" s="31">
        <v>46045</v>
      </c>
      <c r="B326" s="3" t="s">
        <v>634</v>
      </c>
      <c r="C326" s="4" t="s">
        <v>635</v>
      </c>
      <c r="D326" s="252" t="s">
        <v>403</v>
      </c>
      <c r="E326" s="5" t="s">
        <v>30</v>
      </c>
      <c r="F326" s="153" t="s">
        <v>662</v>
      </c>
      <c r="G326" s="87">
        <v>0.05</v>
      </c>
      <c r="H326" s="87"/>
      <c r="I326" s="161"/>
      <c r="J326" s="103">
        <v>46002</v>
      </c>
      <c r="K326" s="103">
        <v>46038</v>
      </c>
    </row>
    <row r="327" spans="1:11" ht="106.9" hidden="1" customHeight="1" thickBot="1">
      <c r="A327" s="31">
        <v>46045</v>
      </c>
      <c r="B327" s="3" t="s">
        <v>637</v>
      </c>
      <c r="C327" s="4" t="s">
        <v>636</v>
      </c>
      <c r="D327" s="266" t="s">
        <v>34</v>
      </c>
      <c r="E327" s="5" t="s">
        <v>354</v>
      </c>
      <c r="F327" s="153" t="s">
        <v>638</v>
      </c>
      <c r="G327" s="87">
        <v>0</v>
      </c>
      <c r="H327" s="87"/>
      <c r="I327" s="161"/>
      <c r="J327" s="103">
        <v>46048</v>
      </c>
      <c r="K327" s="103">
        <v>46136</v>
      </c>
    </row>
    <row r="328" spans="1:11" ht="293.25" hidden="1" customHeight="1" thickBot="1">
      <c r="A328" s="31">
        <v>46059</v>
      </c>
      <c r="B328" s="3" t="s">
        <v>207</v>
      </c>
      <c r="C328" s="4" t="s">
        <v>10</v>
      </c>
      <c r="D328" s="245" t="s">
        <v>590</v>
      </c>
      <c r="E328" s="213" t="s">
        <v>119</v>
      </c>
      <c r="F328" s="285" t="s">
        <v>678</v>
      </c>
      <c r="G328" s="95">
        <v>0.14000000000000001</v>
      </c>
      <c r="H328" s="11" t="s">
        <v>679</v>
      </c>
      <c r="I328" s="241" t="s">
        <v>675</v>
      </c>
      <c r="J328" s="13">
        <v>45658</v>
      </c>
      <c r="K328" s="14">
        <v>46203</v>
      </c>
    </row>
    <row r="329" spans="1:11" ht="169.5" hidden="1" customHeight="1" thickBot="1">
      <c r="A329" s="31">
        <v>46059</v>
      </c>
      <c r="B329" s="3" t="s">
        <v>391</v>
      </c>
      <c r="C329" s="4" t="s">
        <v>28</v>
      </c>
      <c r="D329" s="278" t="s">
        <v>589</v>
      </c>
      <c r="E329" s="213" t="s">
        <v>22</v>
      </c>
      <c r="F329" s="280" t="s">
        <v>669</v>
      </c>
      <c r="G329" s="95">
        <v>1</v>
      </c>
      <c r="H329" s="95" t="s">
        <v>259</v>
      </c>
      <c r="I329" s="9"/>
      <c r="J329" s="13">
        <v>45658</v>
      </c>
      <c r="K329" s="14">
        <v>46052</v>
      </c>
    </row>
    <row r="330" spans="1:11" ht="103.15" hidden="1" customHeight="1" thickBot="1">
      <c r="A330" s="31">
        <v>46059</v>
      </c>
      <c r="B330" s="3" t="s">
        <v>212</v>
      </c>
      <c r="C330" s="4" t="s">
        <v>183</v>
      </c>
      <c r="D330" s="245" t="s">
        <v>588</v>
      </c>
      <c r="E330" s="213" t="s">
        <v>30</v>
      </c>
      <c r="F330" s="280" t="s">
        <v>670</v>
      </c>
      <c r="G330" s="87">
        <v>0.95</v>
      </c>
      <c r="H330" s="281" t="s">
        <v>591</v>
      </c>
      <c r="I330" s="88"/>
      <c r="J330" s="103">
        <v>45719</v>
      </c>
      <c r="K330" s="103">
        <v>46080</v>
      </c>
    </row>
    <row r="331" spans="1:11" ht="150.6" hidden="1" customHeight="1" thickBot="1">
      <c r="A331" s="31">
        <v>46059</v>
      </c>
      <c r="B331" s="3" t="s">
        <v>215</v>
      </c>
      <c r="C331" s="4" t="s">
        <v>548</v>
      </c>
      <c r="D331" s="245" t="s">
        <v>588</v>
      </c>
      <c r="E331" s="213" t="s">
        <v>30</v>
      </c>
      <c r="F331" s="286" t="s">
        <v>680</v>
      </c>
      <c r="G331" s="87">
        <v>0.2</v>
      </c>
      <c r="H331" s="281" t="s">
        <v>687</v>
      </c>
      <c r="I331" s="88"/>
      <c r="J331" s="103">
        <v>45719</v>
      </c>
      <c r="K331" s="103">
        <v>46112</v>
      </c>
    </row>
    <row r="332" spans="1:11" ht="218.25" hidden="1" customHeight="1" thickBot="1">
      <c r="A332" s="31">
        <v>46059</v>
      </c>
      <c r="B332" s="3" t="s">
        <v>352</v>
      </c>
      <c r="C332" s="4" t="s">
        <v>350</v>
      </c>
      <c r="D332" s="5" t="s">
        <v>34</v>
      </c>
      <c r="E332" s="213" t="s">
        <v>354</v>
      </c>
      <c r="F332" s="283" t="s">
        <v>681</v>
      </c>
      <c r="G332" s="87">
        <v>0.5</v>
      </c>
      <c r="H332" s="281" t="s">
        <v>666</v>
      </c>
      <c r="I332" s="88"/>
      <c r="J332" s="103">
        <v>45852</v>
      </c>
      <c r="K332" s="103">
        <v>46112</v>
      </c>
    </row>
    <row r="333" spans="1:11" ht="226.5" hidden="1" customHeight="1" thickBot="1">
      <c r="A333" s="31">
        <v>46059</v>
      </c>
      <c r="B333" s="3" t="s">
        <v>353</v>
      </c>
      <c r="C333" s="4" t="s">
        <v>351</v>
      </c>
      <c r="D333" s="5" t="s">
        <v>34</v>
      </c>
      <c r="E333" s="213" t="s">
        <v>354</v>
      </c>
      <c r="F333" s="280" t="s">
        <v>673</v>
      </c>
      <c r="G333" s="87">
        <v>0.8</v>
      </c>
      <c r="H333" s="95" t="s">
        <v>663</v>
      </c>
      <c r="I333" s="88" t="s">
        <v>682</v>
      </c>
      <c r="J333" s="103">
        <v>45842</v>
      </c>
      <c r="K333" s="103">
        <v>46142</v>
      </c>
    </row>
    <row r="334" spans="1:11" ht="231.75" hidden="1" customHeight="1" thickBot="1">
      <c r="A334" s="31">
        <v>46059</v>
      </c>
      <c r="B334" s="3" t="s">
        <v>392</v>
      </c>
      <c r="C334" s="4" t="s">
        <v>630</v>
      </c>
      <c r="D334" s="5" t="s">
        <v>390</v>
      </c>
      <c r="E334" s="213" t="s">
        <v>30</v>
      </c>
      <c r="F334" s="286" t="s">
        <v>683</v>
      </c>
      <c r="G334" s="87"/>
      <c r="H334" s="287" t="s">
        <v>684</v>
      </c>
      <c r="I334" s="274" t="s">
        <v>655</v>
      </c>
      <c r="J334" s="103">
        <v>45870</v>
      </c>
      <c r="K334" s="103">
        <v>46418</v>
      </c>
    </row>
    <row r="335" spans="1:11" ht="171" hidden="1" customHeight="1" thickBot="1">
      <c r="A335" s="31">
        <v>46059</v>
      </c>
      <c r="B335" s="3" t="s">
        <v>294</v>
      </c>
      <c r="C335" s="4" t="s">
        <v>400</v>
      </c>
      <c r="D335" s="5" t="s">
        <v>402</v>
      </c>
      <c r="E335" s="213" t="s">
        <v>340</v>
      </c>
      <c r="F335" s="280" t="s">
        <v>668</v>
      </c>
      <c r="G335" s="87">
        <v>0.6</v>
      </c>
      <c r="H335" s="87" t="s">
        <v>676</v>
      </c>
      <c r="I335" s="282"/>
      <c r="J335" s="103">
        <v>45894</v>
      </c>
      <c r="K335" s="103">
        <v>46112</v>
      </c>
    </row>
    <row r="336" spans="1:11" ht="154.5" hidden="1" customHeight="1" thickBot="1">
      <c r="A336" s="31">
        <v>46059</v>
      </c>
      <c r="B336" s="3" t="s">
        <v>404</v>
      </c>
      <c r="C336" s="202" t="s">
        <v>398</v>
      </c>
      <c r="D336" s="5" t="s">
        <v>401</v>
      </c>
      <c r="E336" s="213" t="s">
        <v>30</v>
      </c>
      <c r="F336" s="279" t="s">
        <v>639</v>
      </c>
      <c r="G336" s="87">
        <v>0.5</v>
      </c>
      <c r="H336" s="275" t="s">
        <v>656</v>
      </c>
      <c r="I336" s="243" t="s">
        <v>657</v>
      </c>
      <c r="J336" s="103">
        <v>45894</v>
      </c>
      <c r="K336" s="103">
        <v>46080</v>
      </c>
    </row>
    <row r="337" spans="1:11" ht="254.25" hidden="1" customHeight="1" thickBot="1">
      <c r="A337" s="31">
        <v>46059</v>
      </c>
      <c r="B337" s="3" t="s">
        <v>405</v>
      </c>
      <c r="C337" s="4" t="s">
        <v>399</v>
      </c>
      <c r="D337" s="5" t="s">
        <v>401</v>
      </c>
      <c r="E337" s="213" t="s">
        <v>30</v>
      </c>
      <c r="F337" s="280" t="s">
        <v>674</v>
      </c>
      <c r="G337" s="87">
        <v>1</v>
      </c>
      <c r="H337" s="276" t="s">
        <v>658</v>
      </c>
      <c r="I337" s="161"/>
      <c r="J337" s="103">
        <v>45922</v>
      </c>
      <c r="K337" s="103">
        <v>46022</v>
      </c>
    </row>
    <row r="338" spans="1:11" ht="90.6" hidden="1" customHeight="1" thickBot="1">
      <c r="A338" s="31">
        <v>46059</v>
      </c>
      <c r="B338" s="3" t="s">
        <v>406</v>
      </c>
      <c r="C338" s="4" t="s">
        <v>417</v>
      </c>
      <c r="D338" s="5" t="s">
        <v>403</v>
      </c>
      <c r="E338" s="213" t="s">
        <v>110</v>
      </c>
      <c r="F338" s="270" t="s">
        <v>644</v>
      </c>
      <c r="G338" s="87">
        <v>1</v>
      </c>
      <c r="H338" s="87" t="s">
        <v>259</v>
      </c>
      <c r="I338" s="161"/>
      <c r="J338" s="103">
        <v>45894</v>
      </c>
      <c r="K338" s="103">
        <v>45989</v>
      </c>
    </row>
    <row r="339" spans="1:11" ht="214.5" hidden="1" customHeight="1" thickBot="1">
      <c r="A339" s="31">
        <v>46059</v>
      </c>
      <c r="B339" s="3" t="s">
        <v>420</v>
      </c>
      <c r="C339" s="4" t="s">
        <v>421</v>
      </c>
      <c r="D339" s="245" t="s">
        <v>586</v>
      </c>
      <c r="E339" s="5" t="s">
        <v>340</v>
      </c>
      <c r="F339" s="280" t="s">
        <v>665</v>
      </c>
      <c r="G339" s="87">
        <v>0.5</v>
      </c>
      <c r="H339" s="87"/>
      <c r="I339" s="161"/>
      <c r="J339" s="103">
        <v>45910</v>
      </c>
      <c r="K339" s="103">
        <v>46112</v>
      </c>
    </row>
    <row r="340" spans="1:11" ht="111" hidden="1" customHeight="1" thickBot="1">
      <c r="A340" s="31">
        <v>46059</v>
      </c>
      <c r="B340" s="3" t="s">
        <v>418</v>
      </c>
      <c r="C340" s="4" t="s">
        <v>443</v>
      </c>
      <c r="D340" s="5" t="s">
        <v>402</v>
      </c>
      <c r="E340" s="5" t="s">
        <v>340</v>
      </c>
      <c r="F340" s="280" t="s">
        <v>566</v>
      </c>
      <c r="G340" s="87">
        <v>1</v>
      </c>
      <c r="H340" s="87" t="s">
        <v>259</v>
      </c>
      <c r="I340" s="161"/>
      <c r="J340" s="103">
        <v>45915</v>
      </c>
      <c r="K340" s="103">
        <v>45961</v>
      </c>
    </row>
    <row r="341" spans="1:11" ht="109.9" hidden="1" customHeight="1" thickBot="1">
      <c r="A341" s="31">
        <v>46059</v>
      </c>
      <c r="B341" s="3" t="s">
        <v>476</v>
      </c>
      <c r="C341" s="4" t="s">
        <v>31</v>
      </c>
      <c r="D341" s="5" t="s">
        <v>16</v>
      </c>
      <c r="E341" s="5" t="s">
        <v>30</v>
      </c>
      <c r="F341" s="280" t="s">
        <v>671</v>
      </c>
      <c r="G341" s="87">
        <v>0.05</v>
      </c>
      <c r="H341" s="87"/>
      <c r="I341" s="161"/>
      <c r="J341" s="103">
        <v>45950</v>
      </c>
      <c r="K341" s="103">
        <v>46171</v>
      </c>
    </row>
    <row r="342" spans="1:11" ht="133.5" hidden="1" customHeight="1" thickBot="1">
      <c r="A342" s="31">
        <v>46059</v>
      </c>
      <c r="B342" s="3" t="s">
        <v>510</v>
      </c>
      <c r="C342" s="4" t="s">
        <v>511</v>
      </c>
      <c r="D342" s="5" t="s">
        <v>34</v>
      </c>
      <c r="E342" s="5" t="s">
        <v>354</v>
      </c>
      <c r="F342" s="272" t="s">
        <v>660</v>
      </c>
      <c r="G342" s="87">
        <v>1</v>
      </c>
      <c r="H342" s="87" t="s">
        <v>259</v>
      </c>
      <c r="I342" s="161"/>
      <c r="J342" s="103">
        <v>45972</v>
      </c>
      <c r="K342" s="103">
        <v>46041</v>
      </c>
    </row>
    <row r="343" spans="1:11" ht="228.75" hidden="1" customHeight="1" thickBot="1">
      <c r="A343" s="31">
        <v>46059</v>
      </c>
      <c r="B343" s="3" t="s">
        <v>561</v>
      </c>
      <c r="C343" s="4" t="s">
        <v>562</v>
      </c>
      <c r="D343" s="5" t="s">
        <v>34</v>
      </c>
      <c r="E343" s="5" t="s">
        <v>119</v>
      </c>
      <c r="F343" s="285" t="s">
        <v>685</v>
      </c>
      <c r="G343" s="87">
        <v>0.99</v>
      </c>
      <c r="H343" s="87"/>
      <c r="I343" s="161"/>
      <c r="J343" s="103">
        <v>46001</v>
      </c>
      <c r="K343" s="103">
        <v>46034</v>
      </c>
    </row>
    <row r="344" spans="1:11" ht="128.44999999999999" hidden="1" customHeight="1" thickBot="1">
      <c r="A344" s="31">
        <v>46059</v>
      </c>
      <c r="B344" s="3" t="s">
        <v>583</v>
      </c>
      <c r="C344" s="4" t="s">
        <v>584</v>
      </c>
      <c r="D344" s="252" t="s">
        <v>587</v>
      </c>
      <c r="E344" s="5" t="s">
        <v>119</v>
      </c>
      <c r="F344" s="284" t="s">
        <v>677</v>
      </c>
      <c r="G344" s="87">
        <v>0.99</v>
      </c>
      <c r="H344" s="87" t="s">
        <v>647</v>
      </c>
      <c r="I344" s="161"/>
      <c r="J344" s="103">
        <v>46002</v>
      </c>
      <c r="K344" s="103">
        <v>46080</v>
      </c>
    </row>
    <row r="345" spans="1:11" ht="138.6" hidden="1" customHeight="1" thickBot="1">
      <c r="A345" s="31">
        <v>46059</v>
      </c>
      <c r="B345" s="3" t="s">
        <v>634</v>
      </c>
      <c r="C345" s="4" t="s">
        <v>635</v>
      </c>
      <c r="D345" s="252" t="s">
        <v>403</v>
      </c>
      <c r="E345" s="5" t="s">
        <v>30</v>
      </c>
      <c r="F345" s="153" t="s">
        <v>672</v>
      </c>
      <c r="G345" s="87">
        <v>0.25</v>
      </c>
      <c r="H345" s="87"/>
      <c r="I345" s="161"/>
      <c r="J345" s="103">
        <v>46037</v>
      </c>
      <c r="K345" s="103">
        <v>46108</v>
      </c>
    </row>
    <row r="346" spans="1:11" ht="130.9" hidden="1" customHeight="1" thickBot="1">
      <c r="A346" s="31">
        <v>46059</v>
      </c>
      <c r="B346" s="3" t="s">
        <v>637</v>
      </c>
      <c r="C346" s="4" t="s">
        <v>636</v>
      </c>
      <c r="D346" s="266" t="s">
        <v>34</v>
      </c>
      <c r="E346" s="5" t="s">
        <v>354</v>
      </c>
      <c r="F346" s="153" t="s">
        <v>667</v>
      </c>
      <c r="G346" s="87">
        <v>0.05</v>
      </c>
      <c r="H346" s="87"/>
      <c r="I346" s="161"/>
      <c r="J346" s="103">
        <v>46048</v>
      </c>
      <c r="K346" s="103">
        <v>46136</v>
      </c>
    </row>
    <row r="347" spans="1:11" ht="195.75" hidden="1" thickBot="1">
      <c r="A347" s="31">
        <v>46073</v>
      </c>
      <c r="B347" s="3" t="s">
        <v>207</v>
      </c>
      <c r="C347" s="4" t="s">
        <v>10</v>
      </c>
      <c r="D347" s="245" t="s">
        <v>590</v>
      </c>
      <c r="E347" s="213" t="s">
        <v>119</v>
      </c>
      <c r="F347" s="298" t="s">
        <v>703</v>
      </c>
      <c r="G347" s="95">
        <v>0.14000000000000001</v>
      </c>
      <c r="H347" s="11" t="s">
        <v>696</v>
      </c>
      <c r="I347" s="241" t="s">
        <v>697</v>
      </c>
      <c r="J347" s="13">
        <v>45658</v>
      </c>
      <c r="K347" s="14">
        <v>46203</v>
      </c>
    </row>
    <row r="348" spans="1:11" ht="169.5" hidden="1" customHeight="1" thickBot="1">
      <c r="A348" s="31">
        <v>46073</v>
      </c>
      <c r="B348" s="3" t="s">
        <v>391</v>
      </c>
      <c r="C348" s="4" t="s">
        <v>28</v>
      </c>
      <c r="D348" s="278" t="s">
        <v>589</v>
      </c>
      <c r="E348" s="213" t="s">
        <v>22</v>
      </c>
      <c r="F348" s="293" t="s">
        <v>691</v>
      </c>
      <c r="G348" s="95">
        <v>1</v>
      </c>
      <c r="H348" s="95" t="s">
        <v>259</v>
      </c>
      <c r="I348" s="9"/>
      <c r="J348" s="13">
        <v>45658</v>
      </c>
      <c r="K348" s="14">
        <v>46052</v>
      </c>
    </row>
    <row r="349" spans="1:11" ht="103.15" hidden="1" customHeight="1" thickBot="1">
      <c r="A349" s="31">
        <v>46073</v>
      </c>
      <c r="B349" s="3" t="s">
        <v>212</v>
      </c>
      <c r="C349" s="4" t="s">
        <v>183</v>
      </c>
      <c r="D349" s="245" t="s">
        <v>588</v>
      </c>
      <c r="E349" s="213" t="s">
        <v>30</v>
      </c>
      <c r="F349" s="294" t="s">
        <v>694</v>
      </c>
      <c r="G349" s="87">
        <v>0.95</v>
      </c>
      <c r="H349" s="281" t="s">
        <v>591</v>
      </c>
      <c r="I349" s="88"/>
      <c r="J349" s="103">
        <v>45719</v>
      </c>
      <c r="K349" s="103">
        <v>46080</v>
      </c>
    </row>
    <row r="350" spans="1:11" ht="195.75" hidden="1" customHeight="1" thickBot="1">
      <c r="A350" s="31">
        <v>46073</v>
      </c>
      <c r="B350" s="3" t="s">
        <v>215</v>
      </c>
      <c r="C350" s="4" t="s">
        <v>548</v>
      </c>
      <c r="D350" s="245" t="s">
        <v>588</v>
      </c>
      <c r="E350" s="213" t="s">
        <v>30</v>
      </c>
      <c r="F350" s="296" t="s">
        <v>698</v>
      </c>
      <c r="G350" s="87">
        <v>0.2</v>
      </c>
      <c r="H350" s="281" t="s">
        <v>687</v>
      </c>
      <c r="I350" s="88"/>
      <c r="J350" s="103">
        <v>45719</v>
      </c>
      <c r="K350" s="103">
        <v>46112</v>
      </c>
    </row>
    <row r="351" spans="1:11" ht="150.75" hidden="1" thickBot="1">
      <c r="A351" s="31">
        <v>46073</v>
      </c>
      <c r="B351" s="3" t="s">
        <v>352</v>
      </c>
      <c r="C351" s="4" t="s">
        <v>350</v>
      </c>
      <c r="D351" s="5" t="s">
        <v>34</v>
      </c>
      <c r="E351" s="213" t="s">
        <v>354</v>
      </c>
      <c r="F351" s="283" t="s">
        <v>704</v>
      </c>
      <c r="G351" s="87">
        <v>0.5</v>
      </c>
      <c r="H351" s="281" t="s">
        <v>666</v>
      </c>
      <c r="I351" s="88"/>
      <c r="J351" s="103">
        <v>45852</v>
      </c>
      <c r="K351" s="103">
        <v>46112</v>
      </c>
    </row>
    <row r="352" spans="1:11" ht="226.5" hidden="1" customHeight="1" thickBot="1">
      <c r="A352" s="31">
        <v>46073</v>
      </c>
      <c r="B352" s="3" t="s">
        <v>353</v>
      </c>
      <c r="C352" s="4" t="s">
        <v>351</v>
      </c>
      <c r="D352" s="5" t="s">
        <v>34</v>
      </c>
      <c r="E352" s="213" t="s">
        <v>354</v>
      </c>
      <c r="F352" s="295" t="s">
        <v>699</v>
      </c>
      <c r="G352" s="87">
        <v>0.8</v>
      </c>
      <c r="H352" s="95" t="s">
        <v>663</v>
      </c>
      <c r="I352" s="88" t="s">
        <v>682</v>
      </c>
      <c r="J352" s="103">
        <v>45842</v>
      </c>
      <c r="K352" s="103">
        <v>46142</v>
      </c>
    </row>
    <row r="353" spans="1:11" ht="231.75" hidden="1" customHeight="1" thickBot="1">
      <c r="A353" s="31">
        <v>46073</v>
      </c>
      <c r="B353" s="3" t="s">
        <v>392</v>
      </c>
      <c r="C353" s="4" t="s">
        <v>630</v>
      </c>
      <c r="D353" s="5" t="s">
        <v>390</v>
      </c>
      <c r="E353" s="213" t="s">
        <v>30</v>
      </c>
      <c r="F353" s="299" t="s">
        <v>705</v>
      </c>
      <c r="G353" s="87"/>
      <c r="H353" s="300" t="s">
        <v>706</v>
      </c>
      <c r="I353" s="297" t="s">
        <v>700</v>
      </c>
      <c r="J353" s="103">
        <v>45870</v>
      </c>
      <c r="K353" s="103">
        <v>46418</v>
      </c>
    </row>
    <row r="354" spans="1:11" ht="134.44999999999999" hidden="1" customHeight="1" thickBot="1">
      <c r="A354" s="31">
        <v>46073</v>
      </c>
      <c r="B354" s="3" t="s">
        <v>294</v>
      </c>
      <c r="C354" s="4" t="s">
        <v>400</v>
      </c>
      <c r="D354" s="5" t="s">
        <v>402</v>
      </c>
      <c r="E354" s="213" t="s">
        <v>340</v>
      </c>
      <c r="F354" s="293" t="s">
        <v>692</v>
      </c>
      <c r="G354" s="87">
        <v>0.6</v>
      </c>
      <c r="H354" s="87" t="s">
        <v>676</v>
      </c>
      <c r="I354" s="282"/>
      <c r="J354" s="103">
        <v>45894</v>
      </c>
      <c r="K354" s="103">
        <v>46112</v>
      </c>
    </row>
    <row r="355" spans="1:11" ht="154.5" hidden="1" customHeight="1" thickBot="1">
      <c r="A355" s="31">
        <v>46073</v>
      </c>
      <c r="B355" s="3" t="s">
        <v>404</v>
      </c>
      <c r="C355" s="202" t="s">
        <v>398</v>
      </c>
      <c r="D355" s="5" t="s">
        <v>401</v>
      </c>
      <c r="E355" s="213" t="s">
        <v>30</v>
      </c>
      <c r="F355" s="279" t="s">
        <v>639</v>
      </c>
      <c r="G355" s="87">
        <v>0.5</v>
      </c>
      <c r="H355" s="275" t="s">
        <v>656</v>
      </c>
      <c r="I355" s="243" t="s">
        <v>657</v>
      </c>
      <c r="J355" s="103">
        <v>45894</v>
      </c>
      <c r="K355" s="103">
        <v>46080</v>
      </c>
    </row>
    <row r="356" spans="1:11" ht="254.25" hidden="1" customHeight="1" thickBot="1">
      <c r="A356" s="31">
        <v>46073</v>
      </c>
      <c r="B356" s="3" t="s">
        <v>405</v>
      </c>
      <c r="C356" s="4" t="s">
        <v>399</v>
      </c>
      <c r="D356" s="5" t="s">
        <v>401</v>
      </c>
      <c r="E356" s="213" t="s">
        <v>30</v>
      </c>
      <c r="F356" s="298" t="s">
        <v>707</v>
      </c>
      <c r="G356" s="87">
        <v>1</v>
      </c>
      <c r="H356" s="276" t="s">
        <v>658</v>
      </c>
      <c r="I356" s="161"/>
      <c r="J356" s="103">
        <v>45922</v>
      </c>
      <c r="K356" s="103">
        <v>46022</v>
      </c>
    </row>
    <row r="357" spans="1:11" ht="90.6" hidden="1" customHeight="1" thickBot="1">
      <c r="A357" s="31">
        <v>46073</v>
      </c>
      <c r="B357" s="3" t="s">
        <v>406</v>
      </c>
      <c r="C357" s="4" t="s">
        <v>417</v>
      </c>
      <c r="D357" s="5" t="s">
        <v>403</v>
      </c>
      <c r="E357" s="213" t="s">
        <v>110</v>
      </c>
      <c r="F357" s="270" t="s">
        <v>644</v>
      </c>
      <c r="G357" s="87">
        <v>1</v>
      </c>
      <c r="H357" s="87" t="s">
        <v>259</v>
      </c>
      <c r="I357" s="161"/>
      <c r="J357" s="103">
        <v>45894</v>
      </c>
      <c r="K357" s="103">
        <v>45989</v>
      </c>
    </row>
    <row r="358" spans="1:11" ht="145.15" hidden="1" customHeight="1" thickBot="1">
      <c r="A358" s="31">
        <v>46073</v>
      </c>
      <c r="B358" s="3" t="s">
        <v>420</v>
      </c>
      <c r="C358" s="4" t="s">
        <v>421</v>
      </c>
      <c r="D358" s="245" t="s">
        <v>586</v>
      </c>
      <c r="E358" s="5" t="s">
        <v>340</v>
      </c>
      <c r="F358" s="293" t="s">
        <v>693</v>
      </c>
      <c r="G358" s="87">
        <v>0.5</v>
      </c>
      <c r="H358" s="87"/>
      <c r="I358" s="161"/>
      <c r="J358" s="103">
        <v>45910</v>
      </c>
      <c r="K358" s="103">
        <v>46112</v>
      </c>
    </row>
    <row r="359" spans="1:11" ht="111" hidden="1" customHeight="1" thickBot="1">
      <c r="A359" s="31">
        <v>46073</v>
      </c>
      <c r="B359" s="3" t="s">
        <v>418</v>
      </c>
      <c r="C359" s="4" t="s">
        <v>443</v>
      </c>
      <c r="D359" s="5" t="s">
        <v>402</v>
      </c>
      <c r="E359" s="5" t="s">
        <v>340</v>
      </c>
      <c r="F359" s="280" t="s">
        <v>566</v>
      </c>
      <c r="G359" s="87">
        <v>1</v>
      </c>
      <c r="H359" s="87" t="s">
        <v>259</v>
      </c>
      <c r="I359" s="161"/>
      <c r="J359" s="103">
        <v>45915</v>
      </c>
      <c r="K359" s="103">
        <v>45961</v>
      </c>
    </row>
    <row r="360" spans="1:11" ht="109.9" hidden="1" customHeight="1" thickBot="1">
      <c r="A360" s="31">
        <v>46073</v>
      </c>
      <c r="B360" s="3" t="s">
        <v>476</v>
      </c>
      <c r="C360" s="4" t="s">
        <v>31</v>
      </c>
      <c r="D360" s="5" t="s">
        <v>16</v>
      </c>
      <c r="E360" s="5" t="s">
        <v>30</v>
      </c>
      <c r="F360" s="298" t="s">
        <v>708</v>
      </c>
      <c r="G360" s="87">
        <v>0.05</v>
      </c>
      <c r="H360" s="87"/>
      <c r="I360" s="161"/>
      <c r="J360" s="103">
        <v>45950</v>
      </c>
      <c r="K360" s="103">
        <v>46171</v>
      </c>
    </row>
    <row r="361" spans="1:11" ht="133.5" hidden="1" customHeight="1" thickBot="1">
      <c r="A361" s="31">
        <v>46073</v>
      </c>
      <c r="B361" s="3" t="s">
        <v>510</v>
      </c>
      <c r="C361" s="4" t="s">
        <v>511</v>
      </c>
      <c r="D361" s="5" t="s">
        <v>34</v>
      </c>
      <c r="E361" s="5" t="s">
        <v>354</v>
      </c>
      <c r="F361" s="295" t="s">
        <v>701</v>
      </c>
      <c r="G361" s="87">
        <v>1</v>
      </c>
      <c r="H361" s="87" t="s">
        <v>259</v>
      </c>
      <c r="I361" s="161"/>
      <c r="J361" s="103">
        <v>45972</v>
      </c>
      <c r="K361" s="103">
        <v>46041</v>
      </c>
    </row>
    <row r="362" spans="1:11" ht="162.75" hidden="1" customHeight="1" thickBot="1">
      <c r="A362" s="31">
        <v>46073</v>
      </c>
      <c r="B362" s="3" t="s">
        <v>561</v>
      </c>
      <c r="C362" s="4" t="s">
        <v>562</v>
      </c>
      <c r="D362" s="5" t="s">
        <v>34</v>
      </c>
      <c r="E362" s="5" t="s">
        <v>119</v>
      </c>
      <c r="F362" s="298" t="s">
        <v>709</v>
      </c>
      <c r="G362" s="87">
        <v>1</v>
      </c>
      <c r="H362" s="87" t="s">
        <v>471</v>
      </c>
      <c r="I362" s="161"/>
      <c r="J362" s="103">
        <v>46001</v>
      </c>
      <c r="K362" s="103">
        <v>46034</v>
      </c>
    </row>
    <row r="363" spans="1:11" ht="128.44999999999999" hidden="1" customHeight="1" thickBot="1">
      <c r="A363" s="31">
        <v>46073</v>
      </c>
      <c r="B363" s="3" t="s">
        <v>583</v>
      </c>
      <c r="C363" s="4" t="s">
        <v>584</v>
      </c>
      <c r="D363" s="252" t="s">
        <v>587</v>
      </c>
      <c r="E363" s="5" t="s">
        <v>119</v>
      </c>
      <c r="F363" s="284" t="s">
        <v>677</v>
      </c>
      <c r="G363" s="87">
        <v>0.99</v>
      </c>
      <c r="H363" s="87" t="s">
        <v>647</v>
      </c>
      <c r="I363" s="161"/>
      <c r="J363" s="103">
        <v>46002</v>
      </c>
      <c r="K363" s="103">
        <v>46080</v>
      </c>
    </row>
    <row r="364" spans="1:11" ht="138.6" hidden="1" customHeight="1" thickBot="1">
      <c r="A364" s="31">
        <v>46073</v>
      </c>
      <c r="B364" s="3" t="s">
        <v>634</v>
      </c>
      <c r="C364" s="4" t="s">
        <v>635</v>
      </c>
      <c r="D364" s="252" t="s">
        <v>403</v>
      </c>
      <c r="E364" s="5" t="s">
        <v>30</v>
      </c>
      <c r="F364" s="153" t="s">
        <v>695</v>
      </c>
      <c r="G364" s="87">
        <v>0.25</v>
      </c>
      <c r="H364" s="87"/>
      <c r="I364" s="161"/>
      <c r="J364" s="103">
        <v>46037</v>
      </c>
      <c r="K364" s="103">
        <v>46108</v>
      </c>
    </row>
    <row r="365" spans="1:11" ht="130.9" hidden="1" customHeight="1" thickBot="1">
      <c r="A365" s="31">
        <v>46073</v>
      </c>
      <c r="B365" s="3" t="s">
        <v>637</v>
      </c>
      <c r="C365" s="4" t="s">
        <v>636</v>
      </c>
      <c r="D365" s="266" t="s">
        <v>34</v>
      </c>
      <c r="E365" s="5" t="s">
        <v>354</v>
      </c>
      <c r="F365" s="153" t="s">
        <v>702</v>
      </c>
      <c r="G365" s="87">
        <v>0.05</v>
      </c>
      <c r="H365" s="87"/>
      <c r="I365" s="161"/>
      <c r="J365" s="103">
        <v>46048</v>
      </c>
      <c r="K365" s="103">
        <v>46136</v>
      </c>
    </row>
    <row r="366" spans="1:11" ht="162.6" hidden="1" customHeight="1" thickBot="1">
      <c r="A366" s="31">
        <v>46073</v>
      </c>
      <c r="B366" s="3" t="s">
        <v>690</v>
      </c>
      <c r="C366" s="4" t="s">
        <v>689</v>
      </c>
      <c r="D366" s="266" t="s">
        <v>688</v>
      </c>
      <c r="E366" s="266" t="s">
        <v>688</v>
      </c>
      <c r="F366" s="153" t="s">
        <v>710</v>
      </c>
      <c r="G366" s="87">
        <v>0</v>
      </c>
      <c r="H366" s="87"/>
      <c r="I366" s="161"/>
      <c r="J366" s="292">
        <v>46054</v>
      </c>
      <c r="K366" s="292" t="s">
        <v>688</v>
      </c>
    </row>
    <row r="367" spans="1:11" ht="381.75" hidden="1" customHeight="1" thickBot="1">
      <c r="A367" s="31">
        <v>46087</v>
      </c>
      <c r="B367" s="3" t="s">
        <v>207</v>
      </c>
      <c r="C367" s="4" t="s">
        <v>10</v>
      </c>
      <c r="D367" s="245" t="s">
        <v>590</v>
      </c>
      <c r="E367" s="213" t="s">
        <v>119</v>
      </c>
      <c r="F367" s="309" t="s">
        <v>721</v>
      </c>
      <c r="G367" s="95">
        <v>0.14000000000000001</v>
      </c>
      <c r="H367" s="11" t="s">
        <v>722</v>
      </c>
      <c r="I367" s="241" t="s">
        <v>697</v>
      </c>
      <c r="J367" s="13">
        <v>45658</v>
      </c>
      <c r="K367" s="14">
        <v>46203</v>
      </c>
    </row>
    <row r="368" spans="1:11" ht="169.5" hidden="1" customHeight="1" thickBot="1">
      <c r="A368" s="31">
        <v>46087</v>
      </c>
      <c r="B368" s="3" t="s">
        <v>391</v>
      </c>
      <c r="C368" s="4" t="s">
        <v>28</v>
      </c>
      <c r="D368" s="278" t="s">
        <v>589</v>
      </c>
      <c r="E368" s="213" t="s">
        <v>22</v>
      </c>
      <c r="F368" s="301" t="s">
        <v>712</v>
      </c>
      <c r="G368" s="95">
        <v>1</v>
      </c>
      <c r="H368" s="95" t="s">
        <v>259</v>
      </c>
      <c r="I368" s="9"/>
      <c r="J368" s="13">
        <v>45658</v>
      </c>
      <c r="K368" s="14">
        <v>46052</v>
      </c>
    </row>
    <row r="369" spans="1:11" ht="103.15" hidden="1" customHeight="1" thickBot="1">
      <c r="A369" s="31">
        <v>46087</v>
      </c>
      <c r="B369" s="3" t="s">
        <v>212</v>
      </c>
      <c r="C369" s="4" t="s">
        <v>183</v>
      </c>
      <c r="D369" s="245" t="s">
        <v>588</v>
      </c>
      <c r="E369" s="213" t="s">
        <v>30</v>
      </c>
      <c r="F369" s="301" t="s">
        <v>694</v>
      </c>
      <c r="G369" s="87">
        <v>0.95</v>
      </c>
      <c r="H369" s="281" t="s">
        <v>591</v>
      </c>
      <c r="I369" s="88"/>
      <c r="J369" s="103">
        <v>45719</v>
      </c>
      <c r="K369" s="292">
        <v>46080</v>
      </c>
    </row>
    <row r="370" spans="1:11" ht="195.75" hidden="1" customHeight="1" thickBot="1">
      <c r="A370" s="31">
        <v>46087</v>
      </c>
      <c r="B370" s="3" t="s">
        <v>215</v>
      </c>
      <c r="C370" s="4" t="s">
        <v>548</v>
      </c>
      <c r="D370" s="310" t="s">
        <v>588</v>
      </c>
      <c r="E370" s="213" t="s">
        <v>30</v>
      </c>
      <c r="F370" s="296" t="s">
        <v>698</v>
      </c>
      <c r="G370" s="87">
        <v>0.5</v>
      </c>
      <c r="H370" s="281" t="s">
        <v>687</v>
      </c>
      <c r="I370" s="88"/>
      <c r="J370" s="103">
        <v>45719</v>
      </c>
      <c r="K370" s="103">
        <v>46112</v>
      </c>
    </row>
    <row r="371" spans="1:11" ht="150.75" hidden="1" thickBot="1">
      <c r="A371" s="31">
        <v>46087</v>
      </c>
      <c r="B371" s="3" t="s">
        <v>352</v>
      </c>
      <c r="C371" s="4" t="s">
        <v>350</v>
      </c>
      <c r="D371" s="5" t="s">
        <v>34</v>
      </c>
      <c r="E371" s="213" t="s">
        <v>354</v>
      </c>
      <c r="F371" s="283" t="s">
        <v>723</v>
      </c>
      <c r="G371" s="87">
        <v>0.5</v>
      </c>
      <c r="H371" s="281" t="s">
        <v>666</v>
      </c>
      <c r="I371" s="88"/>
      <c r="J371" s="103">
        <v>45852</v>
      </c>
      <c r="K371" s="103">
        <v>46112</v>
      </c>
    </row>
    <row r="372" spans="1:11" ht="191.45" hidden="1" customHeight="1" thickBot="1">
      <c r="A372" s="31">
        <v>46087</v>
      </c>
      <c r="B372" s="3" t="s">
        <v>353</v>
      </c>
      <c r="C372" s="4" t="s">
        <v>351</v>
      </c>
      <c r="D372" s="5" t="s">
        <v>34</v>
      </c>
      <c r="E372" s="213" t="s">
        <v>354</v>
      </c>
      <c r="F372" s="301" t="s">
        <v>699</v>
      </c>
      <c r="G372" s="87">
        <v>0.8</v>
      </c>
      <c r="H372" s="95" t="s">
        <v>663</v>
      </c>
      <c r="I372" s="88" t="s">
        <v>682</v>
      </c>
      <c r="J372" s="103">
        <v>45842</v>
      </c>
      <c r="K372" s="103">
        <v>46142</v>
      </c>
    </row>
    <row r="373" spans="1:11" ht="180" hidden="1" customHeight="1" thickBot="1">
      <c r="A373" s="31">
        <v>46087</v>
      </c>
      <c r="B373" s="3" t="s">
        <v>392</v>
      </c>
      <c r="C373" s="4" t="s">
        <v>630</v>
      </c>
      <c r="D373" s="310" t="s">
        <v>731</v>
      </c>
      <c r="E373" s="213" t="s">
        <v>30</v>
      </c>
      <c r="F373" s="311" t="s">
        <v>724</v>
      </c>
      <c r="G373" s="87"/>
      <c r="H373" s="312" t="s">
        <v>725</v>
      </c>
      <c r="I373" s="312" t="s">
        <v>726</v>
      </c>
      <c r="J373" s="103">
        <v>45870</v>
      </c>
      <c r="K373" s="103">
        <v>46418</v>
      </c>
    </row>
    <row r="374" spans="1:11" ht="134.44999999999999" hidden="1" customHeight="1" thickBot="1">
      <c r="A374" s="31">
        <v>46087</v>
      </c>
      <c r="B374" s="3" t="s">
        <v>294</v>
      </c>
      <c r="C374" s="4" t="s">
        <v>400</v>
      </c>
      <c r="D374" s="5" t="s">
        <v>402</v>
      </c>
      <c r="E374" s="213" t="s">
        <v>340</v>
      </c>
      <c r="F374" s="301" t="s">
        <v>692</v>
      </c>
      <c r="G374" s="87">
        <v>0.6</v>
      </c>
      <c r="H374" s="87" t="s">
        <v>676</v>
      </c>
      <c r="I374" s="282"/>
      <c r="J374" s="103">
        <v>45894</v>
      </c>
      <c r="K374" s="103">
        <v>46112</v>
      </c>
    </row>
    <row r="375" spans="1:11" ht="154.5" hidden="1" customHeight="1" thickBot="1">
      <c r="A375" s="31">
        <v>46087</v>
      </c>
      <c r="B375" s="3" t="s">
        <v>404</v>
      </c>
      <c r="C375" s="202" t="s">
        <v>398</v>
      </c>
      <c r="D375" s="5" t="s">
        <v>401</v>
      </c>
      <c r="E375" s="213" t="s">
        <v>30</v>
      </c>
      <c r="F375" s="311" t="s">
        <v>727</v>
      </c>
      <c r="G375" s="87">
        <v>0.5</v>
      </c>
      <c r="H375" s="275" t="s">
        <v>656</v>
      </c>
      <c r="I375" s="243" t="s">
        <v>657</v>
      </c>
      <c r="J375" s="103">
        <v>45894</v>
      </c>
      <c r="K375" s="103">
        <v>46142</v>
      </c>
    </row>
    <row r="376" spans="1:11" ht="110.45" hidden="1" customHeight="1" thickBot="1">
      <c r="A376" s="31">
        <v>46087</v>
      </c>
      <c r="B376" s="3" t="s">
        <v>405</v>
      </c>
      <c r="C376" s="4" t="s">
        <v>399</v>
      </c>
      <c r="D376" s="5" t="s">
        <v>401</v>
      </c>
      <c r="E376" s="213" t="s">
        <v>30</v>
      </c>
      <c r="F376" s="298" t="s">
        <v>707</v>
      </c>
      <c r="G376" s="87">
        <v>1</v>
      </c>
      <c r="H376" s="276" t="s">
        <v>658</v>
      </c>
      <c r="I376" s="161"/>
      <c r="J376" s="103">
        <v>45922</v>
      </c>
      <c r="K376" s="103">
        <v>46053</v>
      </c>
    </row>
    <row r="377" spans="1:11" ht="90.6" hidden="1" customHeight="1" thickBot="1">
      <c r="A377" s="31">
        <v>46087</v>
      </c>
      <c r="B377" s="3" t="s">
        <v>406</v>
      </c>
      <c r="C377" s="4" t="s">
        <v>417</v>
      </c>
      <c r="D377" s="5" t="s">
        <v>403</v>
      </c>
      <c r="E377" s="213" t="s">
        <v>110</v>
      </c>
      <c r="F377" s="301" t="s">
        <v>715</v>
      </c>
      <c r="G377" s="87">
        <v>1</v>
      </c>
      <c r="H377" s="87" t="s">
        <v>471</v>
      </c>
      <c r="I377" s="161"/>
      <c r="J377" s="103">
        <v>45894</v>
      </c>
      <c r="K377" s="103">
        <v>45989</v>
      </c>
    </row>
    <row r="378" spans="1:11" ht="145.15" hidden="1" customHeight="1" thickBot="1">
      <c r="A378" s="31">
        <v>46087</v>
      </c>
      <c r="B378" s="3" t="s">
        <v>420</v>
      </c>
      <c r="C378" s="4" t="s">
        <v>421</v>
      </c>
      <c r="D378" s="245" t="s">
        <v>586</v>
      </c>
      <c r="E378" s="5" t="s">
        <v>340</v>
      </c>
      <c r="F378" s="309" t="s">
        <v>728</v>
      </c>
      <c r="G378" s="87">
        <v>0.5</v>
      </c>
      <c r="H378" s="87"/>
      <c r="I378" s="161"/>
      <c r="J378" s="103">
        <v>45910</v>
      </c>
      <c r="K378" s="103">
        <v>46112</v>
      </c>
    </row>
    <row r="379" spans="1:11" ht="111" hidden="1" customHeight="1" thickBot="1">
      <c r="A379" s="31">
        <v>46087</v>
      </c>
      <c r="B379" s="3" t="s">
        <v>418</v>
      </c>
      <c r="C379" s="4" t="s">
        <v>443</v>
      </c>
      <c r="D379" s="5" t="s">
        <v>402</v>
      </c>
      <c r="E379" s="5" t="s">
        <v>340</v>
      </c>
      <c r="F379" s="280" t="s">
        <v>566</v>
      </c>
      <c r="G379" s="87">
        <v>1</v>
      </c>
      <c r="H379" s="87" t="s">
        <v>259</v>
      </c>
      <c r="I379" s="161"/>
      <c r="J379" s="103">
        <v>45915</v>
      </c>
      <c r="K379" s="103">
        <v>45961</v>
      </c>
    </row>
    <row r="380" spans="1:11" ht="175.5" hidden="1" customHeight="1" thickBot="1">
      <c r="A380" s="31">
        <v>46087</v>
      </c>
      <c r="B380" s="3" t="s">
        <v>476</v>
      </c>
      <c r="C380" s="4" t="s">
        <v>31</v>
      </c>
      <c r="D380" s="5" t="s">
        <v>16</v>
      </c>
      <c r="E380" s="5" t="s">
        <v>30</v>
      </c>
      <c r="F380" s="301" t="s">
        <v>711</v>
      </c>
      <c r="G380" s="87">
        <v>0.1</v>
      </c>
      <c r="H380" s="87"/>
      <c r="I380" s="161"/>
      <c r="J380" s="103">
        <v>45950</v>
      </c>
      <c r="K380" s="103">
        <v>46171</v>
      </c>
    </row>
    <row r="381" spans="1:11" ht="82.9" hidden="1" customHeight="1" thickBot="1">
      <c r="A381" s="31">
        <v>46087</v>
      </c>
      <c r="B381" s="3" t="s">
        <v>510</v>
      </c>
      <c r="C381" s="4" t="s">
        <v>511</v>
      </c>
      <c r="D381" s="5" t="s">
        <v>34</v>
      </c>
      <c r="E381" s="5" t="s">
        <v>354</v>
      </c>
      <c r="F381" s="302" t="s">
        <v>714</v>
      </c>
      <c r="G381" s="87">
        <v>1</v>
      </c>
      <c r="H381" s="87" t="s">
        <v>471</v>
      </c>
      <c r="I381" s="161"/>
      <c r="J381" s="103">
        <v>45972</v>
      </c>
      <c r="K381" s="103">
        <v>46041</v>
      </c>
    </row>
    <row r="382" spans="1:11" ht="97.15" hidden="1" customHeight="1" thickBot="1">
      <c r="A382" s="31">
        <v>46087</v>
      </c>
      <c r="B382" s="3" t="s">
        <v>561</v>
      </c>
      <c r="C382" s="4" t="s">
        <v>562</v>
      </c>
      <c r="D382" s="5" t="s">
        <v>34</v>
      </c>
      <c r="E382" s="5" t="s">
        <v>119</v>
      </c>
      <c r="F382" s="301" t="s">
        <v>713</v>
      </c>
      <c r="G382" s="87">
        <v>1</v>
      </c>
      <c r="H382" s="87" t="s">
        <v>471</v>
      </c>
      <c r="I382" s="161"/>
      <c r="J382" s="103">
        <v>46001</v>
      </c>
      <c r="K382" s="103">
        <v>46034</v>
      </c>
    </row>
    <row r="383" spans="1:11" ht="128.44999999999999" hidden="1" customHeight="1" thickBot="1">
      <c r="A383" s="31">
        <v>46087</v>
      </c>
      <c r="B383" s="3" t="s">
        <v>583</v>
      </c>
      <c r="C383" s="4" t="s">
        <v>584</v>
      </c>
      <c r="D383" s="252" t="s">
        <v>587</v>
      </c>
      <c r="E383" s="5" t="s">
        <v>119</v>
      </c>
      <c r="F383" s="301" t="s">
        <v>716</v>
      </c>
      <c r="G383" s="87">
        <v>0.99</v>
      </c>
      <c r="H383" s="87" t="s">
        <v>717</v>
      </c>
      <c r="I383" s="161"/>
      <c r="J383" s="103">
        <v>46002</v>
      </c>
      <c r="K383" s="103">
        <v>46097</v>
      </c>
    </row>
    <row r="384" spans="1:11" ht="171" hidden="1" customHeight="1" thickBot="1">
      <c r="A384" s="31">
        <v>46087</v>
      </c>
      <c r="B384" s="3" t="s">
        <v>634</v>
      </c>
      <c r="C384" s="4" t="s">
        <v>635</v>
      </c>
      <c r="D384" s="252" t="s">
        <v>403</v>
      </c>
      <c r="E384" s="5" t="s">
        <v>30</v>
      </c>
      <c r="F384" s="153" t="s">
        <v>695</v>
      </c>
      <c r="G384" s="87">
        <v>0.25</v>
      </c>
      <c r="H384" s="87"/>
      <c r="I384" s="161"/>
      <c r="J384" s="103">
        <v>46037</v>
      </c>
      <c r="K384" s="103">
        <v>46108</v>
      </c>
    </row>
    <row r="385" spans="1:11" ht="130.9" hidden="1" customHeight="1" thickBot="1">
      <c r="A385" s="31">
        <v>46087</v>
      </c>
      <c r="B385" s="3" t="s">
        <v>637</v>
      </c>
      <c r="C385" s="4" t="s">
        <v>636</v>
      </c>
      <c r="D385" s="266" t="s">
        <v>34</v>
      </c>
      <c r="E385" s="5" t="s">
        <v>354</v>
      </c>
      <c r="F385" s="153" t="s">
        <v>718</v>
      </c>
      <c r="G385" s="87">
        <v>0.1</v>
      </c>
      <c r="H385" s="87"/>
      <c r="I385" s="161"/>
      <c r="J385" s="103">
        <v>46048</v>
      </c>
      <c r="K385" s="103">
        <v>46136</v>
      </c>
    </row>
    <row r="386" spans="1:11" ht="162.6" hidden="1" customHeight="1" thickBot="1">
      <c r="A386" s="31">
        <v>46087</v>
      </c>
      <c r="B386" s="3" t="s">
        <v>690</v>
      </c>
      <c r="C386" s="4" t="s">
        <v>689</v>
      </c>
      <c r="D386" s="310" t="s">
        <v>34</v>
      </c>
      <c r="E386" s="303" t="s">
        <v>119</v>
      </c>
      <c r="F386" s="153" t="s">
        <v>719</v>
      </c>
      <c r="G386" s="87">
        <v>0</v>
      </c>
      <c r="H386" s="87"/>
      <c r="I386" s="161"/>
      <c r="J386" s="292">
        <v>46054</v>
      </c>
      <c r="K386" s="292" t="s">
        <v>688</v>
      </c>
    </row>
    <row r="387" spans="1:11" ht="409.6" customHeight="1" thickBot="1">
      <c r="A387" s="31">
        <v>46100</v>
      </c>
      <c r="B387" s="3" t="s">
        <v>207</v>
      </c>
      <c r="C387" s="4" t="s">
        <v>10</v>
      </c>
      <c r="D387" s="245" t="s">
        <v>590</v>
      </c>
      <c r="E387" s="213" t="s">
        <v>119</v>
      </c>
      <c r="F387" s="368" t="s">
        <v>758</v>
      </c>
      <c r="G387" s="95">
        <v>0.2</v>
      </c>
      <c r="H387" s="10" t="s">
        <v>759</v>
      </c>
      <c r="I387" s="241" t="s">
        <v>736</v>
      </c>
      <c r="J387" s="13">
        <v>45658</v>
      </c>
      <c r="K387" s="14">
        <v>46265</v>
      </c>
    </row>
    <row r="388" spans="1:11" ht="105" customHeight="1" thickBot="1">
      <c r="A388" s="31">
        <v>46100</v>
      </c>
      <c r="B388" s="3" t="s">
        <v>391</v>
      </c>
      <c r="C388" s="4" t="s">
        <v>28</v>
      </c>
      <c r="D388" s="278" t="s">
        <v>589</v>
      </c>
      <c r="E388" s="213" t="s">
        <v>22</v>
      </c>
      <c r="F388" s="368" t="s">
        <v>760</v>
      </c>
      <c r="G388" s="95">
        <v>1</v>
      </c>
      <c r="H388" s="87" t="s">
        <v>471</v>
      </c>
      <c r="I388" s="9"/>
      <c r="J388" s="13">
        <v>45658</v>
      </c>
      <c r="K388" s="14">
        <v>46052</v>
      </c>
    </row>
    <row r="389" spans="1:11" ht="318" customHeight="1" thickBot="1">
      <c r="A389" s="31">
        <v>46100</v>
      </c>
      <c r="B389" s="3" t="s">
        <v>212</v>
      </c>
      <c r="C389" s="4" t="s">
        <v>183</v>
      </c>
      <c r="D389" s="245" t="s">
        <v>588</v>
      </c>
      <c r="E389" s="213" t="s">
        <v>30</v>
      </c>
      <c r="F389" s="369" t="s">
        <v>761</v>
      </c>
      <c r="G389" s="87">
        <v>0.98</v>
      </c>
      <c r="H389" s="87" t="s">
        <v>732</v>
      </c>
      <c r="I389" s="88"/>
      <c r="J389" s="103">
        <v>45719</v>
      </c>
      <c r="K389" s="103">
        <v>46112</v>
      </c>
    </row>
    <row r="390" spans="1:11" ht="165.75" thickBot="1">
      <c r="A390" s="31">
        <v>46100</v>
      </c>
      <c r="B390" s="3" t="s">
        <v>215</v>
      </c>
      <c r="C390" s="4" t="s">
        <v>548</v>
      </c>
      <c r="D390" s="310" t="s">
        <v>588</v>
      </c>
      <c r="E390" s="213" t="s">
        <v>30</v>
      </c>
      <c r="F390" s="325" t="s">
        <v>737</v>
      </c>
      <c r="G390" s="87">
        <v>0.5</v>
      </c>
      <c r="H390" s="371" t="s">
        <v>738</v>
      </c>
      <c r="I390" s="88"/>
      <c r="J390" s="103">
        <v>45719</v>
      </c>
      <c r="K390" s="103">
        <v>46142</v>
      </c>
    </row>
    <row r="391" spans="1:11" ht="150.75" thickBot="1">
      <c r="A391" s="31">
        <v>46100</v>
      </c>
      <c r="B391" s="3" t="s">
        <v>352</v>
      </c>
      <c r="C391" s="4" t="s">
        <v>350</v>
      </c>
      <c r="D391" s="5" t="s">
        <v>34</v>
      </c>
      <c r="E391" s="213" t="s">
        <v>354</v>
      </c>
      <c r="F391" s="326" t="s">
        <v>739</v>
      </c>
      <c r="G391" s="87">
        <v>0.5</v>
      </c>
      <c r="H391" s="327" t="s">
        <v>740</v>
      </c>
      <c r="I391" s="88"/>
      <c r="J391" s="103">
        <v>45852</v>
      </c>
      <c r="K391" s="103">
        <v>46233</v>
      </c>
    </row>
    <row r="392" spans="1:11" ht="147.6" customHeight="1" thickBot="1">
      <c r="A392" s="31">
        <v>46100</v>
      </c>
      <c r="B392" s="3" t="s">
        <v>353</v>
      </c>
      <c r="C392" s="4" t="s">
        <v>351</v>
      </c>
      <c r="D392" s="5" t="s">
        <v>34</v>
      </c>
      <c r="E392" s="213" t="s">
        <v>354</v>
      </c>
      <c r="F392" s="368" t="s">
        <v>762</v>
      </c>
      <c r="G392" s="87">
        <v>0.8</v>
      </c>
      <c r="H392" s="95" t="s">
        <v>663</v>
      </c>
      <c r="I392" s="88" t="s">
        <v>682</v>
      </c>
      <c r="J392" s="103">
        <v>45842</v>
      </c>
      <c r="K392" s="103">
        <v>46142</v>
      </c>
    </row>
    <row r="393" spans="1:11" ht="262.5" customHeight="1" thickBot="1">
      <c r="A393" s="31">
        <v>46100</v>
      </c>
      <c r="B393" s="3" t="s">
        <v>392</v>
      </c>
      <c r="C393" s="4" t="s">
        <v>630</v>
      </c>
      <c r="D393" s="310" t="s">
        <v>731</v>
      </c>
      <c r="E393" s="213" t="s">
        <v>30</v>
      </c>
      <c r="F393" s="370" t="s">
        <v>763</v>
      </c>
      <c r="G393" s="87"/>
      <c r="H393" s="328" t="s">
        <v>742</v>
      </c>
      <c r="I393" s="328" t="s">
        <v>741</v>
      </c>
      <c r="J393" s="103">
        <v>45870</v>
      </c>
      <c r="K393" s="103">
        <v>46418</v>
      </c>
    </row>
    <row r="394" spans="1:11" ht="161.25" customHeight="1" thickBot="1">
      <c r="A394" s="31">
        <v>46100</v>
      </c>
      <c r="B394" s="3" t="s">
        <v>294</v>
      </c>
      <c r="C394" s="4" t="s">
        <v>400</v>
      </c>
      <c r="D394" s="5" t="s">
        <v>402</v>
      </c>
      <c r="E394" s="213" t="s">
        <v>340</v>
      </c>
      <c r="F394" s="324" t="s">
        <v>743</v>
      </c>
      <c r="G394" s="87">
        <v>0.6</v>
      </c>
      <c r="H394" s="371" t="s">
        <v>746</v>
      </c>
      <c r="I394" s="330" t="s">
        <v>747</v>
      </c>
      <c r="J394" s="103">
        <v>45894</v>
      </c>
      <c r="K394" s="103">
        <v>46112</v>
      </c>
    </row>
    <row r="395" spans="1:11" ht="123" customHeight="1" thickBot="1">
      <c r="A395" s="31">
        <v>46100</v>
      </c>
      <c r="B395" s="3" t="s">
        <v>404</v>
      </c>
      <c r="C395" s="202" t="s">
        <v>398</v>
      </c>
      <c r="D395" s="5" t="s">
        <v>401</v>
      </c>
      <c r="E395" s="213" t="s">
        <v>30</v>
      </c>
      <c r="F395" s="322" t="s">
        <v>734</v>
      </c>
      <c r="G395" s="87">
        <v>0.5</v>
      </c>
      <c r="H395" s="329" t="s">
        <v>745</v>
      </c>
      <c r="I395" s="243" t="s">
        <v>744</v>
      </c>
      <c r="J395" s="103">
        <v>45894</v>
      </c>
      <c r="K395" s="103">
        <v>46142</v>
      </c>
    </row>
    <row r="396" spans="1:11" ht="87.6" customHeight="1" thickBot="1">
      <c r="A396" s="31">
        <v>46100</v>
      </c>
      <c r="B396" s="3" t="s">
        <v>405</v>
      </c>
      <c r="C396" s="4" t="s">
        <v>399</v>
      </c>
      <c r="D396" s="5" t="s">
        <v>401</v>
      </c>
      <c r="E396" s="213" t="s">
        <v>30</v>
      </c>
      <c r="F396" s="323" t="s">
        <v>735</v>
      </c>
      <c r="G396" s="87">
        <v>1</v>
      </c>
      <c r="H396" s="87" t="s">
        <v>471</v>
      </c>
      <c r="I396" s="161"/>
      <c r="J396" s="103">
        <v>45922</v>
      </c>
      <c r="K396" s="103">
        <v>46053</v>
      </c>
    </row>
    <row r="397" spans="1:11" ht="105.75" thickBot="1">
      <c r="A397" s="31">
        <v>46100</v>
      </c>
      <c r="B397" s="3" t="s">
        <v>420</v>
      </c>
      <c r="C397" s="4" t="s">
        <v>421</v>
      </c>
      <c r="D397" s="245" t="s">
        <v>586</v>
      </c>
      <c r="E397" s="5" t="s">
        <v>340</v>
      </c>
      <c r="F397" s="321" t="s">
        <v>733</v>
      </c>
      <c r="G397" s="87">
        <v>0.5</v>
      </c>
      <c r="H397" s="371" t="s">
        <v>748</v>
      </c>
      <c r="I397" s="371" t="s">
        <v>764</v>
      </c>
      <c r="J397" s="103">
        <v>45910</v>
      </c>
      <c r="K397" s="103">
        <v>46112</v>
      </c>
    </row>
    <row r="398" spans="1:11" ht="171" customHeight="1" thickBot="1">
      <c r="A398" s="31">
        <v>46100</v>
      </c>
      <c r="B398" s="3" t="s">
        <v>476</v>
      </c>
      <c r="C398" s="4" t="s">
        <v>31</v>
      </c>
      <c r="D398" s="5" t="s">
        <v>16</v>
      </c>
      <c r="E398" s="5" t="s">
        <v>30</v>
      </c>
      <c r="F398" s="324" t="s">
        <v>749</v>
      </c>
      <c r="G398" s="87">
        <v>0.1</v>
      </c>
      <c r="H398" s="371" t="s">
        <v>750</v>
      </c>
      <c r="I398" s="371" t="s">
        <v>751</v>
      </c>
      <c r="J398" s="103">
        <v>45950</v>
      </c>
      <c r="K398" s="103">
        <v>46171</v>
      </c>
    </row>
    <row r="399" spans="1:11" ht="136.9" customHeight="1" thickBot="1">
      <c r="A399" s="31">
        <v>46100</v>
      </c>
      <c r="B399" s="3" t="s">
        <v>583</v>
      </c>
      <c r="C399" s="4" t="s">
        <v>584</v>
      </c>
      <c r="D399" s="252" t="s">
        <v>587</v>
      </c>
      <c r="E399" s="5" t="s">
        <v>119</v>
      </c>
      <c r="F399" s="301" t="s">
        <v>716</v>
      </c>
      <c r="G399" s="87">
        <v>0.99</v>
      </c>
      <c r="H399" s="372" t="s">
        <v>717</v>
      </c>
      <c r="I399" s="161"/>
      <c r="J399" s="103">
        <v>46002</v>
      </c>
      <c r="K399" s="103">
        <v>46097</v>
      </c>
    </row>
    <row r="400" spans="1:11" ht="165.75" thickBot="1">
      <c r="A400" s="31">
        <v>46100</v>
      </c>
      <c r="B400" s="3" t="s">
        <v>634</v>
      </c>
      <c r="C400" s="4" t="s">
        <v>635</v>
      </c>
      <c r="D400" s="252" t="s">
        <v>403</v>
      </c>
      <c r="E400" s="5" t="s">
        <v>30</v>
      </c>
      <c r="F400" s="153" t="s">
        <v>695</v>
      </c>
      <c r="G400" s="87">
        <v>0.6</v>
      </c>
      <c r="H400" s="87"/>
      <c r="I400" s="161"/>
      <c r="J400" s="103">
        <v>46037</v>
      </c>
      <c r="K400" s="103">
        <v>46108</v>
      </c>
    </row>
    <row r="401" spans="1:11" ht="123" customHeight="1" thickBot="1">
      <c r="A401" s="31">
        <v>46100</v>
      </c>
      <c r="B401" s="3" t="s">
        <v>637</v>
      </c>
      <c r="C401" s="4" t="s">
        <v>636</v>
      </c>
      <c r="D401" s="266" t="s">
        <v>34</v>
      </c>
      <c r="E401" s="5" t="s">
        <v>354</v>
      </c>
      <c r="F401" s="153" t="s">
        <v>752</v>
      </c>
      <c r="G401" s="87">
        <v>0.1</v>
      </c>
      <c r="H401" s="87"/>
      <c r="I401" s="161"/>
      <c r="J401" s="103">
        <v>46048</v>
      </c>
      <c r="K401" s="103">
        <v>46136</v>
      </c>
    </row>
    <row r="402" spans="1:11" ht="150.75" thickBot="1">
      <c r="A402" s="31">
        <v>46100</v>
      </c>
      <c r="B402" s="3" t="s">
        <v>690</v>
      </c>
      <c r="C402" s="4" t="s">
        <v>689</v>
      </c>
      <c r="D402" s="310" t="s">
        <v>34</v>
      </c>
      <c r="E402" s="303" t="s">
        <v>119</v>
      </c>
      <c r="F402" s="153" t="s">
        <v>753</v>
      </c>
      <c r="G402" s="87">
        <v>0</v>
      </c>
      <c r="H402" s="87"/>
      <c r="I402" s="161"/>
      <c r="J402" s="292">
        <v>46054</v>
      </c>
      <c r="K402" s="292" t="s">
        <v>688</v>
      </c>
    </row>
  </sheetData>
  <autoFilter ref="A2:K402" xr:uid="{00000000-0001-0000-0000-000000000000}">
    <filterColumn colId="0">
      <filters>
        <dateGroupItem year="2026" month="3" day="19" dateTimeGrouping="day"/>
      </filters>
    </filterColumn>
  </autoFilter>
  <mergeCells count="1">
    <mergeCell ref="B1:K1"/>
  </mergeCells>
  <conditionalFormatting sqref="G72:G79 G90:G96 G125:H127 G128:G133 G134:H135 H155 H152 G228:G231 G283:G291 H285:H291 I286:I291 G300:G308 H302:H308 I303:I308 G326:I327 G395:G399 H396:H399 I397:I399">
    <cfRule type="dataBar" priority="214">
      <dataBar>
        <cfvo type="num" val="0"/>
        <cfvo type="num" val="1"/>
        <color rgb="FF63C384"/>
      </dataBar>
      <extLst>
        <ext xmlns:x14="http://schemas.microsoft.com/office/spreadsheetml/2009/9/main" uri="{B025F937-C7B1-47D3-B67F-A62EFF666E3E}">
          <x14:id>{AB727DDE-CB69-460A-89A4-43EDB44359C1}</x14:id>
        </ext>
      </extLst>
    </cfRule>
  </conditionalFormatting>
  <conditionalFormatting sqref="G81:G88">
    <cfRule type="dataBar" priority="212">
      <dataBar>
        <cfvo type="num" val="0"/>
        <cfvo type="num" val="1"/>
        <color rgb="FF63C384"/>
      </dataBar>
      <extLst>
        <ext xmlns:x14="http://schemas.microsoft.com/office/spreadsheetml/2009/9/main" uri="{B025F937-C7B1-47D3-B67F-A62EFF666E3E}">
          <x14:id>{59C8AFB1-72D2-4866-A2E3-3DAFDAFD984E}</x14:id>
        </ext>
      </extLst>
    </cfRule>
  </conditionalFormatting>
  <conditionalFormatting sqref="G98:G99">
    <cfRule type="dataBar" priority="206">
      <dataBar>
        <cfvo type="num" val="0"/>
        <cfvo type="num" val="1"/>
        <color rgb="FF63C384"/>
      </dataBar>
      <extLst>
        <ext xmlns:x14="http://schemas.microsoft.com/office/spreadsheetml/2009/9/main" uri="{B025F937-C7B1-47D3-B67F-A62EFF666E3E}">
          <x14:id>{74F9EA02-8116-4996-B88E-6F856F982089}</x14:id>
        </ext>
      </extLst>
    </cfRule>
  </conditionalFormatting>
  <conditionalFormatting sqref="G100:G106">
    <cfRule type="dataBar" priority="205">
      <dataBar>
        <cfvo type="num" val="0"/>
        <cfvo type="num" val="1"/>
        <color rgb="FF63C384"/>
      </dataBar>
      <extLst>
        <ext xmlns:x14="http://schemas.microsoft.com/office/spreadsheetml/2009/9/main" uri="{B025F937-C7B1-47D3-B67F-A62EFF666E3E}">
          <x14:id>{1242DCCC-9046-4E49-82D6-803CBAE689FF}</x14:id>
        </ext>
      </extLst>
    </cfRule>
  </conditionalFormatting>
  <conditionalFormatting sqref="G107:G108">
    <cfRule type="dataBar" priority="202">
      <dataBar>
        <cfvo type="num" val="0"/>
        <cfvo type="num" val="1"/>
        <color rgb="FF63C384"/>
      </dataBar>
      <extLst>
        <ext xmlns:x14="http://schemas.microsoft.com/office/spreadsheetml/2009/9/main" uri="{B025F937-C7B1-47D3-B67F-A62EFF666E3E}">
          <x14:id>{820FFFEC-4F1B-4997-9EC4-622FE418BB77}</x14:id>
        </ext>
      </extLst>
    </cfRule>
  </conditionalFormatting>
  <conditionalFormatting sqref="G109:G115">
    <cfRule type="dataBar" priority="201">
      <dataBar>
        <cfvo type="num" val="0"/>
        <cfvo type="num" val="1"/>
        <color rgb="FF63C384"/>
      </dataBar>
      <extLst>
        <ext xmlns:x14="http://schemas.microsoft.com/office/spreadsheetml/2009/9/main" uri="{B025F937-C7B1-47D3-B67F-A62EFF666E3E}">
          <x14:id>{4ECAFE2D-DFE2-4929-99D5-87DAAC567714}</x14:id>
        </ext>
      </extLst>
    </cfRule>
  </conditionalFormatting>
  <conditionalFormatting sqref="G116:G117">
    <cfRule type="dataBar" priority="198">
      <dataBar>
        <cfvo type="num" val="0"/>
        <cfvo type="num" val="1"/>
        <color rgb="FF63C384"/>
      </dataBar>
      <extLst>
        <ext xmlns:x14="http://schemas.microsoft.com/office/spreadsheetml/2009/9/main" uri="{B025F937-C7B1-47D3-B67F-A62EFF666E3E}">
          <x14:id>{FA985371-0321-4698-A8D0-96D57C6D9366}</x14:id>
        </ext>
      </extLst>
    </cfRule>
  </conditionalFormatting>
  <conditionalFormatting sqref="G118:G124">
    <cfRule type="dataBar" priority="197">
      <dataBar>
        <cfvo type="num" val="0"/>
        <cfvo type="num" val="1"/>
        <color rgb="FF63C384"/>
      </dataBar>
      <extLst>
        <ext xmlns:x14="http://schemas.microsoft.com/office/spreadsheetml/2009/9/main" uri="{B025F937-C7B1-47D3-B67F-A62EFF666E3E}">
          <x14:id>{85C5E097-A47E-4127-B77D-101E367AF002}</x14:id>
        </ext>
      </extLst>
    </cfRule>
  </conditionalFormatting>
  <conditionalFormatting sqref="G136:G140 G141:H142">
    <cfRule type="dataBar" priority="190">
      <dataBar>
        <cfvo type="num" val="0"/>
        <cfvo type="num" val="1"/>
        <color rgb="FF63C384"/>
      </dataBar>
      <extLst>
        <ext xmlns:x14="http://schemas.microsoft.com/office/spreadsheetml/2009/9/main" uri="{B025F937-C7B1-47D3-B67F-A62EFF666E3E}">
          <x14:id>{6B6DC23F-3555-4E58-AFDC-9CD17CB388E8}</x14:id>
        </ext>
      </extLst>
    </cfRule>
  </conditionalFormatting>
  <conditionalFormatting sqref="G144:G148 G149:H150">
    <cfRule type="dataBar" priority="187">
      <dataBar>
        <cfvo type="num" val="0"/>
        <cfvo type="num" val="1"/>
        <color rgb="FF63C384"/>
      </dataBar>
      <extLst>
        <ext xmlns:x14="http://schemas.microsoft.com/office/spreadsheetml/2009/9/main" uri="{B025F937-C7B1-47D3-B67F-A62EFF666E3E}">
          <x14:id>{E3EB8C2C-B7A3-42F7-916C-CF2C9204341B}</x14:id>
        </ext>
      </extLst>
    </cfRule>
  </conditionalFormatting>
  <conditionalFormatting sqref="G153:G155">
    <cfRule type="dataBar" priority="184">
      <dataBar>
        <cfvo type="num" val="0"/>
        <cfvo type="num" val="1"/>
        <color rgb="FF63C384"/>
      </dataBar>
      <extLst>
        <ext xmlns:x14="http://schemas.microsoft.com/office/spreadsheetml/2009/9/main" uri="{B025F937-C7B1-47D3-B67F-A62EFF666E3E}">
          <x14:id>{FE613FF9-235F-4017-A398-EB3C2C1FFCE8}</x14:id>
        </ext>
      </extLst>
    </cfRule>
  </conditionalFormatting>
  <conditionalFormatting sqref="G156:G160 G161:H162">
    <cfRule type="dataBar" priority="180">
      <dataBar>
        <cfvo type="num" val="0"/>
        <cfvo type="num" val="1"/>
        <color rgb="FF63C384"/>
      </dataBar>
      <extLst>
        <ext xmlns:x14="http://schemas.microsoft.com/office/spreadsheetml/2009/9/main" uri="{B025F937-C7B1-47D3-B67F-A62EFF666E3E}">
          <x14:id>{9DC6234E-8D99-4BEA-B570-3157B953A113}</x14:id>
        </ext>
      </extLst>
    </cfRule>
  </conditionalFormatting>
  <conditionalFormatting sqref="G165:G169">
    <cfRule type="dataBar" priority="177">
      <dataBar>
        <cfvo type="num" val="0"/>
        <cfvo type="num" val="1"/>
        <color rgb="FF63C384"/>
      </dataBar>
      <extLst>
        <ext xmlns:x14="http://schemas.microsoft.com/office/spreadsheetml/2009/9/main" uri="{B025F937-C7B1-47D3-B67F-A62EFF666E3E}">
          <x14:id>{457367AC-5BC2-49F1-B2E8-14AF28A05F79}</x14:id>
        </ext>
      </extLst>
    </cfRule>
  </conditionalFormatting>
  <conditionalFormatting sqref="G170:G174 G175:H176">
    <cfRule type="dataBar" priority="174">
      <dataBar>
        <cfvo type="num" val="0"/>
        <cfvo type="num" val="1"/>
        <color rgb="FF63C384"/>
      </dataBar>
      <extLst>
        <ext xmlns:x14="http://schemas.microsoft.com/office/spreadsheetml/2009/9/main" uri="{B025F937-C7B1-47D3-B67F-A62EFF666E3E}">
          <x14:id>{B9D73F34-F586-42F5-8461-1264AD0580E3}</x14:id>
        </ext>
      </extLst>
    </cfRule>
  </conditionalFormatting>
  <conditionalFormatting sqref="G179:G183">
    <cfRule type="dataBar" priority="171">
      <dataBar>
        <cfvo type="num" val="0"/>
        <cfvo type="num" val="1"/>
        <color rgb="FF63C384"/>
      </dataBar>
      <extLst>
        <ext xmlns:x14="http://schemas.microsoft.com/office/spreadsheetml/2009/9/main" uri="{B025F937-C7B1-47D3-B67F-A62EFF666E3E}">
          <x14:id>{2C9BBE39-8416-44D4-AF44-BE7C8633DA55}</x14:id>
        </ext>
      </extLst>
    </cfRule>
  </conditionalFormatting>
  <conditionalFormatting sqref="G184:G188 G189:H190">
    <cfRule type="dataBar" priority="167">
      <dataBar>
        <cfvo type="num" val="0"/>
        <cfvo type="num" val="1"/>
        <color rgb="FF63C384"/>
      </dataBar>
      <extLst>
        <ext xmlns:x14="http://schemas.microsoft.com/office/spreadsheetml/2009/9/main" uri="{B025F937-C7B1-47D3-B67F-A62EFF666E3E}">
          <x14:id>{F9750139-9E61-4484-952A-EF7A941BF755}</x14:id>
        </ext>
      </extLst>
    </cfRule>
  </conditionalFormatting>
  <conditionalFormatting sqref="G193:G197">
    <cfRule type="dataBar" priority="164">
      <dataBar>
        <cfvo type="num" val="0"/>
        <cfvo type="num" val="1"/>
        <color rgb="FF63C384"/>
      </dataBar>
      <extLst>
        <ext xmlns:x14="http://schemas.microsoft.com/office/spreadsheetml/2009/9/main" uri="{B025F937-C7B1-47D3-B67F-A62EFF666E3E}">
          <x14:id>{9D284118-CF82-4A01-BCD8-64DDCB9CA3CA}</x14:id>
        </ext>
      </extLst>
    </cfRule>
  </conditionalFormatting>
  <conditionalFormatting sqref="G198:G202 G203:H204">
    <cfRule type="dataBar" priority="160">
      <dataBar>
        <cfvo type="num" val="0"/>
        <cfvo type="num" val="1"/>
        <color rgb="FF63C384"/>
      </dataBar>
      <extLst>
        <ext xmlns:x14="http://schemas.microsoft.com/office/spreadsheetml/2009/9/main" uri="{B025F937-C7B1-47D3-B67F-A62EFF666E3E}">
          <x14:id>{20F22547-99D6-4EE7-B7F7-C5EA602E2E3E}</x14:id>
        </ext>
      </extLst>
    </cfRule>
  </conditionalFormatting>
  <conditionalFormatting sqref="G207:G212">
    <cfRule type="dataBar" priority="157">
      <dataBar>
        <cfvo type="num" val="0"/>
        <cfvo type="num" val="1"/>
        <color rgb="FF63C384"/>
      </dataBar>
      <extLst>
        <ext xmlns:x14="http://schemas.microsoft.com/office/spreadsheetml/2009/9/main" uri="{B025F937-C7B1-47D3-B67F-A62EFF666E3E}">
          <x14:id>{25EAF5E0-DFB2-444C-93B3-D2445BDE8C27}</x14:id>
        </ext>
      </extLst>
    </cfRule>
  </conditionalFormatting>
  <conditionalFormatting sqref="G213:G217 G218:H219">
    <cfRule type="dataBar" priority="153">
      <dataBar>
        <cfvo type="num" val="0"/>
        <cfvo type="num" val="1"/>
        <color rgb="FF63C384"/>
      </dataBar>
      <extLst>
        <ext xmlns:x14="http://schemas.microsoft.com/office/spreadsheetml/2009/9/main" uri="{B025F937-C7B1-47D3-B67F-A62EFF666E3E}">
          <x14:id>{237712C2-9C14-4318-A129-283C2832446A}</x14:id>
        </ext>
      </extLst>
    </cfRule>
  </conditionalFormatting>
  <conditionalFormatting sqref="G222:G227">
    <cfRule type="dataBar" priority="150">
      <dataBar>
        <cfvo type="num" val="0"/>
        <cfvo type="num" val="1"/>
        <color rgb="FF63C384"/>
      </dataBar>
      <extLst>
        <ext xmlns:x14="http://schemas.microsoft.com/office/spreadsheetml/2009/9/main" uri="{B025F937-C7B1-47D3-B67F-A62EFF666E3E}">
          <x14:id>{0653ACA9-DBAD-4723-9439-300DB689DF1E}</x14:id>
        </ext>
      </extLst>
    </cfRule>
  </conditionalFormatting>
  <conditionalFormatting sqref="G236:G242">
    <cfRule type="dataBar" priority="143">
      <dataBar>
        <cfvo type="num" val="0"/>
        <cfvo type="num" val="1"/>
        <color rgb="FF63C384"/>
      </dataBar>
      <extLst>
        <ext xmlns:x14="http://schemas.microsoft.com/office/spreadsheetml/2009/9/main" uri="{B025F937-C7B1-47D3-B67F-A62EFF666E3E}">
          <x14:id>{F6EFC0DF-9325-451C-BFAC-00AEE1F8FA60}</x14:id>
        </ext>
      </extLst>
    </cfRule>
  </conditionalFormatting>
  <conditionalFormatting sqref="G243:G246">
    <cfRule type="dataBar" priority="140">
      <dataBar>
        <cfvo type="num" val="0"/>
        <cfvo type="num" val="1"/>
        <color rgb="FF63C384"/>
      </dataBar>
      <extLst>
        <ext xmlns:x14="http://schemas.microsoft.com/office/spreadsheetml/2009/9/main" uri="{B025F937-C7B1-47D3-B67F-A62EFF666E3E}">
          <x14:id>{D57DCA8E-C505-40FF-AD34-6BC0C1BEDF92}</x14:id>
        </ext>
      </extLst>
    </cfRule>
  </conditionalFormatting>
  <conditionalFormatting sqref="G251:G257">
    <cfRule type="dataBar" priority="135">
      <dataBar>
        <cfvo type="num" val="0"/>
        <cfvo type="num" val="1"/>
        <color rgb="FF63C384"/>
      </dataBar>
      <extLst>
        <ext xmlns:x14="http://schemas.microsoft.com/office/spreadsheetml/2009/9/main" uri="{B025F937-C7B1-47D3-B67F-A62EFF666E3E}">
          <x14:id>{4C97B817-4498-4D2E-A5D8-AEB90E4FD299}</x14:id>
        </ext>
      </extLst>
    </cfRule>
  </conditionalFormatting>
  <conditionalFormatting sqref="G258:G261">
    <cfRule type="dataBar" priority="126">
      <dataBar>
        <cfvo type="num" val="0"/>
        <cfvo type="num" val="1"/>
        <color rgb="FF63C384"/>
      </dataBar>
      <extLst>
        <ext xmlns:x14="http://schemas.microsoft.com/office/spreadsheetml/2009/9/main" uri="{B025F937-C7B1-47D3-B67F-A62EFF666E3E}">
          <x14:id>{F0E7E815-0D24-4CDD-92C7-2444B8B8E095}</x14:id>
        </ext>
      </extLst>
    </cfRule>
  </conditionalFormatting>
  <conditionalFormatting sqref="G266:G274">
    <cfRule type="dataBar" priority="121">
      <dataBar>
        <cfvo type="num" val="0"/>
        <cfvo type="num" val="1"/>
        <color rgb="FF63C384"/>
      </dataBar>
      <extLst>
        <ext xmlns:x14="http://schemas.microsoft.com/office/spreadsheetml/2009/9/main" uri="{B025F937-C7B1-47D3-B67F-A62EFF666E3E}">
          <x14:id>{19725021-565F-44F9-A72D-B4FF0643FB0E}</x14:id>
        </ext>
      </extLst>
    </cfRule>
  </conditionalFormatting>
  <conditionalFormatting sqref="G275:G278">
    <cfRule type="dataBar" priority="112">
      <dataBar>
        <cfvo type="num" val="0"/>
        <cfvo type="num" val="1"/>
        <color rgb="FF63C384"/>
      </dataBar>
      <extLst>
        <ext xmlns:x14="http://schemas.microsoft.com/office/spreadsheetml/2009/9/main" uri="{B025F937-C7B1-47D3-B67F-A62EFF666E3E}">
          <x14:id>{3D6B1E06-81CE-47A3-8E3A-993E649C80CC}</x14:id>
        </ext>
      </extLst>
    </cfRule>
  </conditionalFormatting>
  <conditionalFormatting sqref="G292:G295">
    <cfRule type="dataBar" priority="96">
      <dataBar>
        <cfvo type="num" val="0"/>
        <cfvo type="num" val="1"/>
        <color rgb="FF63C384"/>
      </dataBar>
      <extLst>
        <ext xmlns:x14="http://schemas.microsoft.com/office/spreadsheetml/2009/9/main" uri="{B025F937-C7B1-47D3-B67F-A62EFF666E3E}">
          <x14:id>{71248D61-B12F-4105-ADDE-CB5BD67A5D48}</x14:id>
        </ext>
      </extLst>
    </cfRule>
  </conditionalFormatting>
  <conditionalFormatting sqref="G309:G312">
    <cfRule type="dataBar" priority="80">
      <dataBar>
        <cfvo type="num" val="0"/>
        <cfvo type="num" val="1"/>
        <color rgb="FF63C384"/>
      </dataBar>
      <extLst>
        <ext xmlns:x14="http://schemas.microsoft.com/office/spreadsheetml/2009/9/main" uri="{B025F937-C7B1-47D3-B67F-A62EFF666E3E}">
          <x14:id>{B67CF799-9274-4EFC-832A-7823AD426118}</x14:id>
        </ext>
      </extLst>
    </cfRule>
  </conditionalFormatting>
  <conditionalFormatting sqref="G317:G325 I320:I325 H319:H325">
    <cfRule type="dataBar" priority="81">
      <dataBar>
        <cfvo type="num" val="0"/>
        <cfvo type="num" val="1"/>
        <color rgb="FF63C384"/>
      </dataBar>
      <extLst>
        <ext xmlns:x14="http://schemas.microsoft.com/office/spreadsheetml/2009/9/main" uri="{B025F937-C7B1-47D3-B67F-A62EFF666E3E}">
          <x14:id>{D98DDF6A-04A9-4F3A-BF73-27A1F20CEC65}</x14:id>
        </ext>
      </extLst>
    </cfRule>
  </conditionalFormatting>
  <conditionalFormatting sqref="G328:G331">
    <cfRule type="dataBar" priority="64">
      <dataBar>
        <cfvo type="num" val="0"/>
        <cfvo type="num" val="1"/>
        <color rgb="FF63C384"/>
      </dataBar>
      <extLst>
        <ext xmlns:x14="http://schemas.microsoft.com/office/spreadsheetml/2009/9/main" uri="{B025F937-C7B1-47D3-B67F-A62EFF666E3E}">
          <x14:id>{A9295157-6313-4475-AA80-F9FE0EDE5A34}</x14:id>
        </ext>
      </extLst>
    </cfRule>
  </conditionalFormatting>
  <conditionalFormatting sqref="G336:G344 I339:I344 H338:H344">
    <cfRule type="dataBar" priority="65">
      <dataBar>
        <cfvo type="num" val="0"/>
        <cfvo type="num" val="1"/>
        <color rgb="FF63C384"/>
      </dataBar>
      <extLst>
        <ext xmlns:x14="http://schemas.microsoft.com/office/spreadsheetml/2009/9/main" uri="{B025F937-C7B1-47D3-B67F-A62EFF666E3E}">
          <x14:id>{4219E618-7D70-4113-835B-5F4D43777F9F}</x14:id>
        </ext>
      </extLst>
    </cfRule>
  </conditionalFormatting>
  <conditionalFormatting sqref="G347:G350">
    <cfRule type="dataBar" priority="50">
      <dataBar>
        <cfvo type="num" val="0"/>
        <cfvo type="num" val="1"/>
        <color rgb="FF63C384"/>
      </dataBar>
      <extLst>
        <ext xmlns:x14="http://schemas.microsoft.com/office/spreadsheetml/2009/9/main" uri="{B025F937-C7B1-47D3-B67F-A62EFF666E3E}">
          <x14:id>{AAF68AA5-0D9E-45A0-905B-9762B08A9E9F}</x14:id>
        </ext>
      </extLst>
    </cfRule>
  </conditionalFormatting>
  <conditionalFormatting sqref="G355:G363 I358:I363 H357:H363">
    <cfRule type="dataBar" priority="51">
      <dataBar>
        <cfvo type="num" val="0"/>
        <cfvo type="num" val="1"/>
        <color rgb="FF63C384"/>
      </dataBar>
      <extLst>
        <ext xmlns:x14="http://schemas.microsoft.com/office/spreadsheetml/2009/9/main" uri="{B025F937-C7B1-47D3-B67F-A62EFF666E3E}">
          <x14:id>{5955D89C-CF2E-4166-AD9C-0E53C460AE1A}</x14:id>
        </ext>
      </extLst>
    </cfRule>
  </conditionalFormatting>
  <conditionalFormatting sqref="G366">
    <cfRule type="dataBar" priority="38">
      <dataBar>
        <cfvo type="num" val="0"/>
        <cfvo type="num" val="1"/>
        <color rgb="FF63C384"/>
      </dataBar>
      <extLst>
        <ext xmlns:x14="http://schemas.microsoft.com/office/spreadsheetml/2009/9/main" uri="{B025F937-C7B1-47D3-B67F-A62EFF666E3E}">
          <x14:id>{8E95E9C4-ADC3-452F-940E-9F3DB27252B5}</x14:id>
        </ext>
      </extLst>
    </cfRule>
  </conditionalFormatting>
  <conditionalFormatting sqref="G367:G370">
    <cfRule type="dataBar" priority="33">
      <dataBar>
        <cfvo type="num" val="0"/>
        <cfvo type="num" val="1"/>
        <color rgb="FF63C384"/>
      </dataBar>
      <extLst>
        <ext xmlns:x14="http://schemas.microsoft.com/office/spreadsheetml/2009/9/main" uri="{B025F937-C7B1-47D3-B67F-A62EFF666E3E}">
          <x14:id>{13339C35-9F91-46FB-B970-4A6B50AB4477}</x14:id>
        </ext>
      </extLst>
    </cfRule>
  </conditionalFormatting>
  <conditionalFormatting sqref="G375:G383 I378:I383 H377:H383">
    <cfRule type="dataBar" priority="34">
      <dataBar>
        <cfvo type="num" val="0"/>
        <cfvo type="num" val="1"/>
        <color rgb="FF63C384"/>
      </dataBar>
      <extLst>
        <ext xmlns:x14="http://schemas.microsoft.com/office/spreadsheetml/2009/9/main" uri="{B025F937-C7B1-47D3-B67F-A62EFF666E3E}">
          <x14:id>{0AF0C01A-F783-4370-B5BA-CE5157975AA5}</x14:id>
        </ext>
      </extLst>
    </cfRule>
  </conditionalFormatting>
  <conditionalFormatting sqref="G386">
    <cfRule type="dataBar" priority="21">
      <dataBar>
        <cfvo type="num" val="0"/>
        <cfvo type="num" val="1"/>
        <color rgb="FF63C384"/>
      </dataBar>
      <extLst>
        <ext xmlns:x14="http://schemas.microsoft.com/office/spreadsheetml/2009/9/main" uri="{B025F937-C7B1-47D3-B67F-A62EFF666E3E}">
          <x14:id>{95ABF3DD-DC56-414B-928F-E663E2F12317}</x14:id>
        </ext>
      </extLst>
    </cfRule>
  </conditionalFormatting>
  <conditionalFormatting sqref="G387:G390">
    <cfRule type="dataBar" priority="16">
      <dataBar>
        <cfvo type="num" val="0"/>
        <cfvo type="num" val="1"/>
        <color rgb="FF63C384"/>
      </dataBar>
      <extLst>
        <ext xmlns:x14="http://schemas.microsoft.com/office/spreadsheetml/2009/9/main" uri="{B025F937-C7B1-47D3-B67F-A62EFF666E3E}">
          <x14:id>{FE1632C8-F487-4B10-839D-310DA196EAA1}</x14:id>
        </ext>
      </extLst>
    </cfRule>
  </conditionalFormatting>
  <conditionalFormatting sqref="G402">
    <cfRule type="dataBar" priority="4">
      <dataBar>
        <cfvo type="num" val="0"/>
        <cfvo type="num" val="1"/>
        <color rgb="FF63C384"/>
      </dataBar>
      <extLst>
        <ext xmlns:x14="http://schemas.microsoft.com/office/spreadsheetml/2009/9/main" uri="{B025F937-C7B1-47D3-B67F-A62EFF666E3E}">
          <x14:id>{6CA53515-0D09-40E3-B571-FAE7011637FE}</x14:id>
        </ext>
      </extLst>
    </cfRule>
  </conditionalFormatting>
  <conditionalFormatting sqref="G80:H80 H76:H79">
    <cfRule type="dataBar" priority="213">
      <dataBar>
        <cfvo type="num" val="0"/>
        <cfvo type="num" val="1"/>
        <color rgb="FF63C384"/>
      </dataBar>
      <extLst>
        <ext xmlns:x14="http://schemas.microsoft.com/office/spreadsheetml/2009/9/main" uri="{B025F937-C7B1-47D3-B67F-A62EFF666E3E}">
          <x14:id>{E31995A2-11A6-4467-B8A6-C768B2B310B1}</x14:id>
        </ext>
      </extLst>
    </cfRule>
  </conditionalFormatting>
  <conditionalFormatting sqref="G89:H89 H85:H86 H88">
    <cfRule type="dataBar" priority="211">
      <dataBar>
        <cfvo type="num" val="0"/>
        <cfvo type="num" val="1"/>
        <color rgb="FF63C384"/>
      </dataBar>
      <extLst>
        <ext xmlns:x14="http://schemas.microsoft.com/office/spreadsheetml/2009/9/main" uri="{B025F937-C7B1-47D3-B67F-A62EFF666E3E}">
          <x14:id>{B33EDE67-7672-489D-AA38-7C8D72C448D1}</x14:id>
        </ext>
      </extLst>
    </cfRule>
  </conditionalFormatting>
  <conditionalFormatting sqref="G97:H97 H94:H96">
    <cfRule type="dataBar" priority="209">
      <dataBar>
        <cfvo type="num" val="0"/>
        <cfvo type="num" val="1"/>
        <color rgb="FF63C384"/>
      </dataBar>
      <extLst>
        <ext xmlns:x14="http://schemas.microsoft.com/office/spreadsheetml/2009/9/main" uri="{B025F937-C7B1-47D3-B67F-A62EFF666E3E}">
          <x14:id>{F8BCCE3A-4668-463D-94F3-93B6668C977B}</x14:id>
        </ext>
      </extLst>
    </cfRule>
  </conditionalFormatting>
  <conditionalFormatting sqref="G143:H143">
    <cfRule type="dataBar" priority="188">
      <dataBar>
        <cfvo type="num" val="0"/>
        <cfvo type="num" val="1"/>
        <color rgb="FF63C384"/>
      </dataBar>
      <extLst>
        <ext xmlns:x14="http://schemas.microsoft.com/office/spreadsheetml/2009/9/main" uri="{B025F937-C7B1-47D3-B67F-A62EFF666E3E}">
          <x14:id>{53381200-FB3A-4234-BDBE-7126C3FD354E}</x14:id>
        </ext>
      </extLst>
    </cfRule>
  </conditionalFormatting>
  <conditionalFormatting sqref="G151:H152">
    <cfRule type="dataBar" priority="185">
      <dataBar>
        <cfvo type="num" val="0"/>
        <cfvo type="num" val="1"/>
        <color rgb="FF63C384"/>
      </dataBar>
      <extLst>
        <ext xmlns:x14="http://schemas.microsoft.com/office/spreadsheetml/2009/9/main" uri="{B025F937-C7B1-47D3-B67F-A62EFF666E3E}">
          <x14:id>{269E5644-3FD5-497C-96C3-04DB26B08BAA}</x14:id>
        </ext>
      </extLst>
    </cfRule>
  </conditionalFormatting>
  <conditionalFormatting sqref="G163:H164">
    <cfRule type="dataBar" priority="178">
      <dataBar>
        <cfvo type="num" val="0"/>
        <cfvo type="num" val="1"/>
        <color rgb="FF63C384"/>
      </dataBar>
      <extLst>
        <ext xmlns:x14="http://schemas.microsoft.com/office/spreadsheetml/2009/9/main" uri="{B025F937-C7B1-47D3-B67F-A62EFF666E3E}">
          <x14:id>{8BB33C94-B70B-4406-AA5E-7944A18E1F28}</x14:id>
        </ext>
      </extLst>
    </cfRule>
  </conditionalFormatting>
  <conditionalFormatting sqref="G177:H178">
    <cfRule type="dataBar" priority="172">
      <dataBar>
        <cfvo type="num" val="0"/>
        <cfvo type="num" val="1"/>
        <color rgb="FF63C384"/>
      </dataBar>
      <extLst>
        <ext xmlns:x14="http://schemas.microsoft.com/office/spreadsheetml/2009/9/main" uri="{B025F937-C7B1-47D3-B67F-A62EFF666E3E}">
          <x14:id>{90556DF3-8279-4535-AC61-868DCF07D611}</x14:id>
        </ext>
      </extLst>
    </cfRule>
  </conditionalFormatting>
  <conditionalFormatting sqref="G191:H192">
    <cfRule type="dataBar" priority="165">
      <dataBar>
        <cfvo type="num" val="0"/>
        <cfvo type="num" val="1"/>
        <color rgb="FF63C384"/>
      </dataBar>
      <extLst>
        <ext xmlns:x14="http://schemas.microsoft.com/office/spreadsheetml/2009/9/main" uri="{B025F937-C7B1-47D3-B67F-A62EFF666E3E}">
          <x14:id>{4D3DE2E6-1E97-4A18-AD63-FE7F472C6B6E}</x14:id>
        </ext>
      </extLst>
    </cfRule>
  </conditionalFormatting>
  <conditionalFormatting sqref="G205:H206">
    <cfRule type="dataBar" priority="158">
      <dataBar>
        <cfvo type="num" val="0"/>
        <cfvo type="num" val="1"/>
        <color rgb="FF63C384"/>
      </dataBar>
      <extLst>
        <ext xmlns:x14="http://schemas.microsoft.com/office/spreadsheetml/2009/9/main" uri="{B025F937-C7B1-47D3-B67F-A62EFF666E3E}">
          <x14:id>{C192C7F8-65D8-42A4-A1F9-63E2E0D81811}</x14:id>
        </ext>
      </extLst>
    </cfRule>
  </conditionalFormatting>
  <conditionalFormatting sqref="G220:H221">
    <cfRule type="dataBar" priority="151">
      <dataBar>
        <cfvo type="num" val="0"/>
        <cfvo type="num" val="1"/>
        <color rgb="FF63C384"/>
      </dataBar>
      <extLst>
        <ext xmlns:x14="http://schemas.microsoft.com/office/spreadsheetml/2009/9/main" uri="{B025F937-C7B1-47D3-B67F-A62EFF666E3E}">
          <x14:id>{E41E9482-FA73-42E1-8C1F-0C351B1A6284}</x14:id>
        </ext>
      </extLst>
    </cfRule>
  </conditionalFormatting>
  <conditionalFormatting sqref="G232:H233">
    <cfRule type="dataBar" priority="146">
      <dataBar>
        <cfvo type="num" val="0"/>
        <cfvo type="num" val="1"/>
        <color rgb="FF63C384"/>
      </dataBar>
      <extLst>
        <ext xmlns:x14="http://schemas.microsoft.com/office/spreadsheetml/2009/9/main" uri="{B025F937-C7B1-47D3-B67F-A62EFF666E3E}">
          <x14:id>{89F25F23-DA14-46E2-ADF2-DE164A98440B}</x14:id>
        </ext>
      </extLst>
    </cfRule>
  </conditionalFormatting>
  <conditionalFormatting sqref="G235:H235 G234">
    <cfRule type="dataBar" priority="144">
      <dataBar>
        <cfvo type="num" val="0"/>
        <cfvo type="num" val="1"/>
        <color rgb="FF63C384"/>
      </dataBar>
      <extLst>
        <ext xmlns:x14="http://schemas.microsoft.com/office/spreadsheetml/2009/9/main" uri="{B025F937-C7B1-47D3-B67F-A62EFF666E3E}">
          <x14:id>{5757B274-6BAB-4FFE-9B7D-1B8A7255BA5A}</x14:id>
        </ext>
      </extLst>
    </cfRule>
  </conditionalFormatting>
  <conditionalFormatting sqref="G247:H248">
    <cfRule type="dataBar" priority="138">
      <dataBar>
        <cfvo type="num" val="0"/>
        <cfvo type="num" val="1"/>
        <color rgb="FF63C384"/>
      </dataBar>
      <extLst>
        <ext xmlns:x14="http://schemas.microsoft.com/office/spreadsheetml/2009/9/main" uri="{B025F937-C7B1-47D3-B67F-A62EFF666E3E}">
          <x14:id>{C4E2FABF-B50D-48C1-B419-98ABF9DB17C1}</x14:id>
        </ext>
      </extLst>
    </cfRule>
  </conditionalFormatting>
  <conditionalFormatting sqref="G250:H250 G249">
    <cfRule type="dataBar" priority="136">
      <dataBar>
        <cfvo type="num" val="0"/>
        <cfvo type="num" val="1"/>
        <color rgb="FF63C384"/>
      </dataBar>
      <extLst>
        <ext xmlns:x14="http://schemas.microsoft.com/office/spreadsheetml/2009/9/main" uri="{B025F937-C7B1-47D3-B67F-A62EFF666E3E}">
          <x14:id>{3EE61231-2AB9-429D-A5A4-119FAA813169}</x14:id>
        </ext>
      </extLst>
    </cfRule>
  </conditionalFormatting>
  <conditionalFormatting sqref="G262:H263">
    <cfRule type="dataBar" priority="124">
      <dataBar>
        <cfvo type="num" val="0"/>
        <cfvo type="num" val="1"/>
        <color rgb="FF63C384"/>
      </dataBar>
      <extLst>
        <ext xmlns:x14="http://schemas.microsoft.com/office/spreadsheetml/2009/9/main" uri="{B025F937-C7B1-47D3-B67F-A62EFF666E3E}">
          <x14:id>{EBEC1F9A-7DD5-4612-86B9-47A2526F9B5D}</x14:id>
        </ext>
      </extLst>
    </cfRule>
  </conditionalFormatting>
  <conditionalFormatting sqref="G265:H265 G264">
    <cfRule type="dataBar" priority="122">
      <dataBar>
        <cfvo type="num" val="0"/>
        <cfvo type="num" val="1"/>
        <color rgb="FF63C384"/>
      </dataBar>
      <extLst>
        <ext xmlns:x14="http://schemas.microsoft.com/office/spreadsheetml/2009/9/main" uri="{B025F937-C7B1-47D3-B67F-A62EFF666E3E}">
          <x14:id>{E65AEB16-FD5B-4052-8CF7-42D4B1E4F74B}</x14:id>
        </ext>
      </extLst>
    </cfRule>
  </conditionalFormatting>
  <conditionalFormatting sqref="G279:H280">
    <cfRule type="dataBar" priority="110">
      <dataBar>
        <cfvo type="num" val="0"/>
        <cfvo type="num" val="1"/>
        <color rgb="FF63C384"/>
      </dataBar>
      <extLst>
        <ext xmlns:x14="http://schemas.microsoft.com/office/spreadsheetml/2009/9/main" uri="{B025F937-C7B1-47D3-B67F-A62EFF666E3E}">
          <x14:id>{7D2C9590-DE54-42D9-AA6F-0D0007C6FAEA}</x14:id>
        </ext>
      </extLst>
    </cfRule>
  </conditionalFormatting>
  <conditionalFormatting sqref="G282:H282 G281">
    <cfRule type="dataBar" priority="108">
      <dataBar>
        <cfvo type="num" val="0"/>
        <cfvo type="num" val="1"/>
        <color rgb="FF63C384"/>
      </dataBar>
      <extLst>
        <ext xmlns:x14="http://schemas.microsoft.com/office/spreadsheetml/2009/9/main" uri="{B025F937-C7B1-47D3-B67F-A62EFF666E3E}">
          <x14:id>{20254F77-C842-432B-9648-0599B0BAAE09}</x14:id>
        </ext>
      </extLst>
    </cfRule>
  </conditionalFormatting>
  <conditionalFormatting sqref="G296:H297">
    <cfRule type="dataBar" priority="94">
      <dataBar>
        <cfvo type="num" val="0"/>
        <cfvo type="num" val="1"/>
        <color rgb="FF63C384"/>
      </dataBar>
      <extLst>
        <ext xmlns:x14="http://schemas.microsoft.com/office/spreadsheetml/2009/9/main" uri="{B025F937-C7B1-47D3-B67F-A62EFF666E3E}">
          <x14:id>{35125B91-980A-49F5-8442-A716CAE94E38}</x14:id>
        </ext>
      </extLst>
    </cfRule>
  </conditionalFormatting>
  <conditionalFormatting sqref="G299:H299 G298">
    <cfRule type="dataBar" priority="93">
      <dataBar>
        <cfvo type="num" val="0"/>
        <cfvo type="num" val="1"/>
        <color rgb="FF63C384"/>
      </dataBar>
      <extLst>
        <ext xmlns:x14="http://schemas.microsoft.com/office/spreadsheetml/2009/9/main" uri="{B025F937-C7B1-47D3-B67F-A62EFF666E3E}">
          <x14:id>{C67A2C57-5A22-4429-99E8-193CD7E82AA3}</x14:id>
        </ext>
      </extLst>
    </cfRule>
  </conditionalFormatting>
  <conditionalFormatting sqref="G313:H314">
    <cfRule type="dataBar" priority="78">
      <dataBar>
        <cfvo type="num" val="0"/>
        <cfvo type="num" val="1"/>
        <color rgb="FF63C384"/>
      </dataBar>
      <extLst>
        <ext xmlns:x14="http://schemas.microsoft.com/office/spreadsheetml/2009/9/main" uri="{B025F937-C7B1-47D3-B67F-A62EFF666E3E}">
          <x14:id>{FEB315CB-C9DB-4C17-BC4D-A5CC4D49A3F6}</x14:id>
        </ext>
      </extLst>
    </cfRule>
  </conditionalFormatting>
  <conditionalFormatting sqref="G316:H316 G315">
    <cfRule type="dataBar" priority="77">
      <dataBar>
        <cfvo type="num" val="0"/>
        <cfvo type="num" val="1"/>
        <color rgb="FF63C384"/>
      </dataBar>
      <extLst>
        <ext xmlns:x14="http://schemas.microsoft.com/office/spreadsheetml/2009/9/main" uri="{B025F937-C7B1-47D3-B67F-A62EFF666E3E}">
          <x14:id>{08D93D8F-7D8F-4CD8-8A7F-5A98916DDF8D}</x14:id>
        </ext>
      </extLst>
    </cfRule>
  </conditionalFormatting>
  <conditionalFormatting sqref="G332:H333">
    <cfRule type="dataBar" priority="62">
      <dataBar>
        <cfvo type="num" val="0"/>
        <cfvo type="num" val="1"/>
        <color rgb="FF63C384"/>
      </dataBar>
      <extLst>
        <ext xmlns:x14="http://schemas.microsoft.com/office/spreadsheetml/2009/9/main" uri="{B025F937-C7B1-47D3-B67F-A62EFF666E3E}">
          <x14:id>{E240E814-4D11-41C0-9ECE-F8084EB0AEAA}</x14:id>
        </ext>
      </extLst>
    </cfRule>
  </conditionalFormatting>
  <conditionalFormatting sqref="G335:H335 G334">
    <cfRule type="dataBar" priority="61">
      <dataBar>
        <cfvo type="num" val="0"/>
        <cfvo type="num" val="1"/>
        <color rgb="FF63C384"/>
      </dataBar>
      <extLst>
        <ext xmlns:x14="http://schemas.microsoft.com/office/spreadsheetml/2009/9/main" uri="{B025F937-C7B1-47D3-B67F-A62EFF666E3E}">
          <x14:id>{C14146A3-80A2-4307-8DC3-E04E7A36BEE7}</x14:id>
        </ext>
      </extLst>
    </cfRule>
  </conditionalFormatting>
  <conditionalFormatting sqref="G351:H352">
    <cfRule type="dataBar" priority="48">
      <dataBar>
        <cfvo type="num" val="0"/>
        <cfvo type="num" val="1"/>
        <color rgb="FF63C384"/>
      </dataBar>
      <extLst>
        <ext xmlns:x14="http://schemas.microsoft.com/office/spreadsheetml/2009/9/main" uri="{B025F937-C7B1-47D3-B67F-A62EFF666E3E}">
          <x14:id>{42ED7E49-4B72-46A8-AF7D-F1F745F6552B}</x14:id>
        </ext>
      </extLst>
    </cfRule>
  </conditionalFormatting>
  <conditionalFormatting sqref="G354:H354 G353">
    <cfRule type="dataBar" priority="47">
      <dataBar>
        <cfvo type="num" val="0"/>
        <cfvo type="num" val="1"/>
        <color rgb="FF63C384"/>
      </dataBar>
      <extLst>
        <ext xmlns:x14="http://schemas.microsoft.com/office/spreadsheetml/2009/9/main" uri="{B025F937-C7B1-47D3-B67F-A62EFF666E3E}">
          <x14:id>{4F76C9FF-5953-4A89-97F1-E9E379644B80}</x14:id>
        </ext>
      </extLst>
    </cfRule>
  </conditionalFormatting>
  <conditionalFormatting sqref="G371:H372">
    <cfRule type="dataBar" priority="31">
      <dataBar>
        <cfvo type="num" val="0"/>
        <cfvo type="num" val="1"/>
        <color rgb="FF63C384"/>
      </dataBar>
      <extLst>
        <ext xmlns:x14="http://schemas.microsoft.com/office/spreadsheetml/2009/9/main" uri="{B025F937-C7B1-47D3-B67F-A62EFF666E3E}">
          <x14:id>{F42CAB33-B1DF-4391-9F94-2AF5DC7790EA}</x14:id>
        </ext>
      </extLst>
    </cfRule>
  </conditionalFormatting>
  <conditionalFormatting sqref="G374:H374 G373">
    <cfRule type="dataBar" priority="30">
      <dataBar>
        <cfvo type="num" val="0"/>
        <cfvo type="num" val="1"/>
        <color rgb="FF63C384"/>
      </dataBar>
      <extLst>
        <ext xmlns:x14="http://schemas.microsoft.com/office/spreadsheetml/2009/9/main" uri="{B025F937-C7B1-47D3-B67F-A62EFF666E3E}">
          <x14:id>{08DFE613-606E-4EB6-BDD4-5774278FF388}</x14:id>
        </ext>
      </extLst>
    </cfRule>
  </conditionalFormatting>
  <conditionalFormatting sqref="G391:H392">
    <cfRule type="dataBar" priority="14">
      <dataBar>
        <cfvo type="num" val="0"/>
        <cfvo type="num" val="1"/>
        <color rgb="FF63C384"/>
      </dataBar>
      <extLst>
        <ext xmlns:x14="http://schemas.microsoft.com/office/spreadsheetml/2009/9/main" uri="{B025F937-C7B1-47D3-B67F-A62EFF666E3E}">
          <x14:id>{110A5A37-F3DF-416E-A41C-C19E89D06AA8}</x14:id>
        </ext>
      </extLst>
    </cfRule>
  </conditionalFormatting>
  <conditionalFormatting sqref="G394:H394 G393">
    <cfRule type="dataBar" priority="13">
      <dataBar>
        <cfvo type="num" val="0"/>
        <cfvo type="num" val="1"/>
        <color rgb="FF63C384"/>
      </dataBar>
      <extLst>
        <ext xmlns:x14="http://schemas.microsoft.com/office/spreadsheetml/2009/9/main" uri="{B025F937-C7B1-47D3-B67F-A62EFF666E3E}">
          <x14:id>{5B9DAD54-0B2B-4085-B036-B231CA5F2F1E}</x14:id>
        </ext>
      </extLst>
    </cfRule>
  </conditionalFormatting>
  <conditionalFormatting sqref="G345:I346">
    <cfRule type="dataBar" priority="66">
      <dataBar>
        <cfvo type="num" val="0"/>
        <cfvo type="num" val="1"/>
        <color rgb="FF63C384"/>
      </dataBar>
      <extLst>
        <ext xmlns:x14="http://schemas.microsoft.com/office/spreadsheetml/2009/9/main" uri="{B025F937-C7B1-47D3-B67F-A62EFF666E3E}">
          <x14:id>{DD2FB232-056F-49E2-9F69-8D4F7740F1A9}</x14:id>
        </ext>
      </extLst>
    </cfRule>
  </conditionalFormatting>
  <conditionalFormatting sqref="G364:I365">
    <cfRule type="dataBar" priority="52">
      <dataBar>
        <cfvo type="num" val="0"/>
        <cfvo type="num" val="1"/>
        <color rgb="FF63C384"/>
      </dataBar>
      <extLst>
        <ext xmlns:x14="http://schemas.microsoft.com/office/spreadsheetml/2009/9/main" uri="{B025F937-C7B1-47D3-B67F-A62EFF666E3E}">
          <x14:id>{C63C5E81-03F0-4DF9-BA0A-53288633323C}</x14:id>
        </ext>
      </extLst>
    </cfRule>
  </conditionalFormatting>
  <conditionalFormatting sqref="G384:I385">
    <cfRule type="dataBar" priority="35">
      <dataBar>
        <cfvo type="num" val="0"/>
        <cfvo type="num" val="1"/>
        <color rgb="FF63C384"/>
      </dataBar>
      <extLst>
        <ext xmlns:x14="http://schemas.microsoft.com/office/spreadsheetml/2009/9/main" uri="{B025F937-C7B1-47D3-B67F-A62EFF666E3E}">
          <x14:id>{C812F6D3-8B83-4E89-B45D-B9BF9C541B38}</x14:id>
        </ext>
      </extLst>
    </cfRule>
  </conditionalFormatting>
  <conditionalFormatting sqref="G400:I401">
    <cfRule type="dataBar" priority="18">
      <dataBar>
        <cfvo type="num" val="0"/>
        <cfvo type="num" val="1"/>
        <color rgb="FF63C384"/>
      </dataBar>
      <extLst>
        <ext xmlns:x14="http://schemas.microsoft.com/office/spreadsheetml/2009/9/main" uri="{B025F937-C7B1-47D3-B67F-A62EFF666E3E}">
          <x14:id>{2B8E52FA-461D-4B30-B97E-8D616CB29BAB}</x14:id>
        </ext>
      </extLst>
    </cfRule>
  </conditionalFormatting>
  <conditionalFormatting sqref="H27:H29 G63:G70">
    <cfRule type="dataBar" priority="223">
      <dataBar>
        <cfvo type="num" val="0"/>
        <cfvo type="num" val="1"/>
        <color rgb="FF63C384"/>
      </dataBar>
      <extLst>
        <ext xmlns:x14="http://schemas.microsoft.com/office/spreadsheetml/2009/9/main" uri="{B025F937-C7B1-47D3-B67F-A62EFF666E3E}">
          <x14:id>{DF4BDFF3-47C1-4865-897C-F2EE0D7FBA27}</x14:id>
        </ext>
      </extLst>
    </cfRule>
  </conditionalFormatting>
  <conditionalFormatting sqref="H38:H40">
    <cfRule type="dataBar" priority="221">
      <dataBar>
        <cfvo type="num" val="0"/>
        <cfvo type="num" val="1"/>
        <color rgb="FF63C384"/>
      </dataBar>
      <extLst>
        <ext xmlns:x14="http://schemas.microsoft.com/office/spreadsheetml/2009/9/main" uri="{B025F937-C7B1-47D3-B67F-A62EFF666E3E}">
          <x14:id>{D457EEC4-39EB-40A7-8C86-106189E67DFB}</x14:id>
        </ext>
      </extLst>
    </cfRule>
  </conditionalFormatting>
  <conditionalFormatting sqref="H41">
    <cfRule type="dataBar" priority="220">
      <dataBar>
        <cfvo type="num" val="0"/>
        <cfvo type="num" val="1"/>
        <color rgb="FF63C384"/>
      </dataBar>
      <extLst>
        <ext xmlns:x14="http://schemas.microsoft.com/office/spreadsheetml/2009/9/main" uri="{B025F937-C7B1-47D3-B67F-A62EFF666E3E}">
          <x14:id>{8D1D8DF7-045A-48B0-A00A-4D93209F8F30}</x14:id>
        </ext>
      </extLst>
    </cfRule>
  </conditionalFormatting>
  <conditionalFormatting sqref="H48:H51">
    <cfRule type="dataBar" priority="218">
      <dataBar>
        <cfvo type="num" val="0"/>
        <cfvo type="num" val="1"/>
        <color rgb="FF63C384"/>
      </dataBar>
      <extLst>
        <ext xmlns:x14="http://schemas.microsoft.com/office/spreadsheetml/2009/9/main" uri="{B025F937-C7B1-47D3-B67F-A62EFF666E3E}">
          <x14:id>{6BCDC415-6B5B-4DC4-8AF8-285B8D1380C4}</x14:id>
        </ext>
      </extLst>
    </cfRule>
  </conditionalFormatting>
  <conditionalFormatting sqref="H58:H61 G3:G61 G62:H62">
    <cfRule type="dataBar" priority="224">
      <dataBar>
        <cfvo type="num" val="0"/>
        <cfvo type="num" val="1"/>
        <color rgb="FF63C384"/>
      </dataBar>
      <extLst>
        <ext xmlns:x14="http://schemas.microsoft.com/office/spreadsheetml/2009/9/main" uri="{B025F937-C7B1-47D3-B67F-A62EFF666E3E}">
          <x14:id>{03E510B4-96D5-4637-8B49-65565A59AB93}</x14:id>
        </ext>
      </extLst>
    </cfRule>
  </conditionalFormatting>
  <conditionalFormatting sqref="H67:H70 G71:H71">
    <cfRule type="dataBar" priority="215">
      <dataBar>
        <cfvo type="num" val="0"/>
        <cfvo type="num" val="1"/>
        <color rgb="FF63C384"/>
      </dataBar>
      <extLst>
        <ext xmlns:x14="http://schemas.microsoft.com/office/spreadsheetml/2009/9/main" uri="{B025F937-C7B1-47D3-B67F-A62EFF666E3E}">
          <x14:id>{42495CAE-7C64-43AF-BFEE-B250B4C9B1D3}</x14:id>
        </ext>
      </extLst>
    </cfRule>
  </conditionalFormatting>
  <conditionalFormatting sqref="H98:H99">
    <cfRule type="dataBar" priority="207">
      <dataBar>
        <cfvo type="num" val="0"/>
        <cfvo type="num" val="1"/>
        <color rgb="FF63C384"/>
      </dataBar>
      <extLst>
        <ext xmlns:x14="http://schemas.microsoft.com/office/spreadsheetml/2009/9/main" uri="{B025F937-C7B1-47D3-B67F-A62EFF666E3E}">
          <x14:id>{C67D2878-A2B3-4AEF-AFEB-1B29AD738E6A}</x14:id>
        </ext>
      </extLst>
    </cfRule>
  </conditionalFormatting>
  <conditionalFormatting sqref="H104:H106">
    <cfRule type="dataBar" priority="204">
      <dataBar>
        <cfvo type="num" val="0"/>
        <cfvo type="num" val="1"/>
        <color rgb="FF63C384"/>
      </dataBar>
      <extLst>
        <ext xmlns:x14="http://schemas.microsoft.com/office/spreadsheetml/2009/9/main" uri="{B025F937-C7B1-47D3-B67F-A62EFF666E3E}">
          <x14:id>{C36F05AC-EA41-4688-8DCF-25D1A0359299}</x14:id>
        </ext>
      </extLst>
    </cfRule>
  </conditionalFormatting>
  <conditionalFormatting sqref="H107:H108">
    <cfRule type="dataBar" priority="203">
      <dataBar>
        <cfvo type="num" val="0"/>
        <cfvo type="num" val="1"/>
        <color rgb="FF63C384"/>
      </dataBar>
      <extLst>
        <ext xmlns:x14="http://schemas.microsoft.com/office/spreadsheetml/2009/9/main" uri="{B025F937-C7B1-47D3-B67F-A62EFF666E3E}">
          <x14:id>{227CB08C-FADF-4A40-8CD3-67C7A0E91222}</x14:id>
        </ext>
      </extLst>
    </cfRule>
  </conditionalFormatting>
  <conditionalFormatting sqref="H113:H115">
    <cfRule type="dataBar" priority="200">
      <dataBar>
        <cfvo type="num" val="0"/>
        <cfvo type="num" val="1"/>
        <color rgb="FF63C384"/>
      </dataBar>
      <extLst>
        <ext xmlns:x14="http://schemas.microsoft.com/office/spreadsheetml/2009/9/main" uri="{B025F937-C7B1-47D3-B67F-A62EFF666E3E}">
          <x14:id>{7E7CE1AF-3A95-4D77-BF30-59F0FA3E4B5F}</x14:id>
        </ext>
      </extLst>
    </cfRule>
  </conditionalFormatting>
  <conditionalFormatting sqref="H116:H117">
    <cfRule type="dataBar" priority="199">
      <dataBar>
        <cfvo type="num" val="0"/>
        <cfvo type="num" val="1"/>
        <color rgb="FF63C384"/>
      </dataBar>
      <extLst>
        <ext xmlns:x14="http://schemas.microsoft.com/office/spreadsheetml/2009/9/main" uri="{B025F937-C7B1-47D3-B67F-A62EFF666E3E}">
          <x14:id>{0D7B1BE9-E374-4963-88DE-04211A5FE330}</x14:id>
        </ext>
      </extLst>
    </cfRule>
  </conditionalFormatting>
  <conditionalFormatting sqref="H122:H124">
    <cfRule type="dataBar" priority="196">
      <dataBar>
        <cfvo type="num" val="0"/>
        <cfvo type="num" val="1"/>
        <color rgb="FF63C384"/>
      </dataBar>
      <extLst>
        <ext xmlns:x14="http://schemas.microsoft.com/office/spreadsheetml/2009/9/main" uri="{B025F937-C7B1-47D3-B67F-A62EFF666E3E}">
          <x14:id>{1732A2B1-D64D-4B97-9608-DACBC3CBEDBF}</x14:id>
        </ext>
      </extLst>
    </cfRule>
  </conditionalFormatting>
  <conditionalFormatting sqref="H131:H133">
    <cfRule type="dataBar" priority="191">
      <dataBar>
        <cfvo type="num" val="0"/>
        <cfvo type="num" val="1"/>
        <color rgb="FF63C384"/>
      </dataBar>
      <extLst>
        <ext xmlns:x14="http://schemas.microsoft.com/office/spreadsheetml/2009/9/main" uri="{B025F937-C7B1-47D3-B67F-A62EFF666E3E}">
          <x14:id>{227B1509-BA50-4B17-98A5-C8E9DC601694}</x14:id>
        </ext>
      </extLst>
    </cfRule>
  </conditionalFormatting>
  <conditionalFormatting sqref="H139:H140">
    <cfRule type="dataBar" priority="189">
      <dataBar>
        <cfvo type="num" val="0"/>
        <cfvo type="num" val="1"/>
        <color rgb="FF63C384"/>
      </dataBar>
      <extLst>
        <ext xmlns:x14="http://schemas.microsoft.com/office/spreadsheetml/2009/9/main" uri="{B025F937-C7B1-47D3-B67F-A62EFF666E3E}">
          <x14:id>{5C4E1140-6929-4454-9E17-96BAE715B0FB}</x14:id>
        </ext>
      </extLst>
    </cfRule>
  </conditionalFormatting>
  <conditionalFormatting sqref="H147:H148">
    <cfRule type="dataBar" priority="186">
      <dataBar>
        <cfvo type="num" val="0"/>
        <cfvo type="num" val="1"/>
        <color rgb="FF63C384"/>
      </dataBar>
      <extLst>
        <ext xmlns:x14="http://schemas.microsoft.com/office/spreadsheetml/2009/9/main" uri="{B025F937-C7B1-47D3-B67F-A62EFF666E3E}">
          <x14:id>{F4EB1BE9-8E1A-403C-9B4E-D96E227BC008}</x14:id>
        </ext>
      </extLst>
    </cfRule>
  </conditionalFormatting>
  <conditionalFormatting sqref="H153:H154">
    <cfRule type="dataBar" priority="183">
      <dataBar>
        <cfvo type="num" val="0"/>
        <cfvo type="num" val="1"/>
        <color rgb="FF63C384"/>
      </dataBar>
      <extLst>
        <ext xmlns:x14="http://schemas.microsoft.com/office/spreadsheetml/2009/9/main" uri="{B025F937-C7B1-47D3-B67F-A62EFF666E3E}">
          <x14:id>{30BF3CA5-3638-4C90-9BD5-E9B13F52205A}</x14:id>
        </ext>
      </extLst>
    </cfRule>
  </conditionalFormatting>
  <conditionalFormatting sqref="H159:H160">
    <cfRule type="dataBar" priority="179">
      <dataBar>
        <cfvo type="num" val="0"/>
        <cfvo type="num" val="1"/>
        <color rgb="FF63C384"/>
      </dataBar>
      <extLst>
        <ext xmlns:x14="http://schemas.microsoft.com/office/spreadsheetml/2009/9/main" uri="{B025F937-C7B1-47D3-B67F-A62EFF666E3E}">
          <x14:id>{F7B11103-5422-407A-A8DF-9FB825119541}</x14:id>
        </ext>
      </extLst>
    </cfRule>
  </conditionalFormatting>
  <conditionalFormatting sqref="H165:H166">
    <cfRule type="dataBar" priority="176">
      <dataBar>
        <cfvo type="num" val="0"/>
        <cfvo type="num" val="1"/>
        <color rgb="FF63C384"/>
      </dataBar>
      <extLst>
        <ext xmlns:x14="http://schemas.microsoft.com/office/spreadsheetml/2009/9/main" uri="{B025F937-C7B1-47D3-B67F-A62EFF666E3E}">
          <x14:id>{6F6AE4B1-D546-41C4-82E1-E1B73AAC2413}</x14:id>
        </ext>
      </extLst>
    </cfRule>
  </conditionalFormatting>
  <conditionalFormatting sqref="H167:H169 H164">
    <cfRule type="dataBar" priority="181">
      <dataBar>
        <cfvo type="num" val="0"/>
        <cfvo type="num" val="1"/>
        <color rgb="FF63C384"/>
      </dataBar>
      <extLst>
        <ext xmlns:x14="http://schemas.microsoft.com/office/spreadsheetml/2009/9/main" uri="{B025F937-C7B1-47D3-B67F-A62EFF666E3E}">
          <x14:id>{2ADDEE6A-DA89-409F-A607-72468DCD97C4}</x14:id>
        </ext>
      </extLst>
    </cfRule>
  </conditionalFormatting>
  <conditionalFormatting sqref="H173:H174">
    <cfRule type="dataBar" priority="173">
      <dataBar>
        <cfvo type="num" val="0"/>
        <cfvo type="num" val="1"/>
        <color rgb="FF63C384"/>
      </dataBar>
      <extLst>
        <ext xmlns:x14="http://schemas.microsoft.com/office/spreadsheetml/2009/9/main" uri="{B025F937-C7B1-47D3-B67F-A62EFF666E3E}">
          <x14:id>{91757F93-76B8-4BE0-8FD8-36ABDD98708A}</x14:id>
        </ext>
      </extLst>
    </cfRule>
  </conditionalFormatting>
  <conditionalFormatting sqref="H179:H180">
    <cfRule type="dataBar" priority="170">
      <dataBar>
        <cfvo type="num" val="0"/>
        <cfvo type="num" val="1"/>
        <color rgb="FF63C384"/>
      </dataBar>
      <extLst>
        <ext xmlns:x14="http://schemas.microsoft.com/office/spreadsheetml/2009/9/main" uri="{B025F937-C7B1-47D3-B67F-A62EFF666E3E}">
          <x14:id>{C503AA1D-6AA1-4FDB-8C9F-6FE111068AD8}</x14:id>
        </ext>
      </extLst>
    </cfRule>
  </conditionalFormatting>
  <conditionalFormatting sqref="H181">
    <cfRule type="dataBar" priority="169">
      <dataBar>
        <cfvo type="num" val="0"/>
        <cfvo type="num" val="1"/>
        <color rgb="FF63C384"/>
      </dataBar>
      <extLst>
        <ext xmlns:x14="http://schemas.microsoft.com/office/spreadsheetml/2009/9/main" uri="{B025F937-C7B1-47D3-B67F-A62EFF666E3E}">
          <x14:id>{F4DFA62E-8189-46D3-8B3E-5D670688A9A4}</x14:id>
        </ext>
      </extLst>
    </cfRule>
  </conditionalFormatting>
  <conditionalFormatting sqref="H182:H183 H178">
    <cfRule type="dataBar" priority="175">
      <dataBar>
        <cfvo type="num" val="0"/>
        <cfvo type="num" val="1"/>
        <color rgb="FF63C384"/>
      </dataBar>
      <extLst>
        <ext xmlns:x14="http://schemas.microsoft.com/office/spreadsheetml/2009/9/main" uri="{B025F937-C7B1-47D3-B67F-A62EFF666E3E}">
          <x14:id>{3BB8FF38-2CF4-48AB-93DE-8F422636E3BA}</x14:id>
        </ext>
      </extLst>
    </cfRule>
  </conditionalFormatting>
  <conditionalFormatting sqref="H187:H188">
    <cfRule type="dataBar" priority="166">
      <dataBar>
        <cfvo type="num" val="0"/>
        <cfvo type="num" val="1"/>
        <color rgb="FF63C384"/>
      </dataBar>
      <extLst>
        <ext xmlns:x14="http://schemas.microsoft.com/office/spreadsheetml/2009/9/main" uri="{B025F937-C7B1-47D3-B67F-A62EFF666E3E}">
          <x14:id>{8A76C04E-B968-4760-B094-3C6E37183962}</x14:id>
        </ext>
      </extLst>
    </cfRule>
  </conditionalFormatting>
  <conditionalFormatting sqref="H193:H194">
    <cfRule type="dataBar" priority="163">
      <dataBar>
        <cfvo type="num" val="0"/>
        <cfvo type="num" val="1"/>
        <color rgb="FF63C384"/>
      </dataBar>
      <extLst>
        <ext xmlns:x14="http://schemas.microsoft.com/office/spreadsheetml/2009/9/main" uri="{B025F937-C7B1-47D3-B67F-A62EFF666E3E}">
          <x14:id>{905541CB-0EC9-44E3-A26A-D97B172B4BFF}</x14:id>
        </ext>
      </extLst>
    </cfRule>
  </conditionalFormatting>
  <conditionalFormatting sqref="H195">
    <cfRule type="dataBar" priority="162">
      <dataBar>
        <cfvo type="num" val="0"/>
        <cfvo type="num" val="1"/>
        <color rgb="FF63C384"/>
      </dataBar>
      <extLst>
        <ext xmlns:x14="http://schemas.microsoft.com/office/spreadsheetml/2009/9/main" uri="{B025F937-C7B1-47D3-B67F-A62EFF666E3E}">
          <x14:id>{FF357C45-CCE9-41C3-9952-093645E0E7D5}</x14:id>
        </ext>
      </extLst>
    </cfRule>
  </conditionalFormatting>
  <conditionalFormatting sqref="H196:H197 H192">
    <cfRule type="dataBar" priority="168">
      <dataBar>
        <cfvo type="num" val="0"/>
        <cfvo type="num" val="1"/>
        <color rgb="FF63C384"/>
      </dataBar>
      <extLst>
        <ext xmlns:x14="http://schemas.microsoft.com/office/spreadsheetml/2009/9/main" uri="{B025F937-C7B1-47D3-B67F-A62EFF666E3E}">
          <x14:id>{FE98FBCA-91EA-4FB4-852D-A853954BB396}</x14:id>
        </ext>
      </extLst>
    </cfRule>
  </conditionalFormatting>
  <conditionalFormatting sqref="H201:H202">
    <cfRule type="dataBar" priority="159">
      <dataBar>
        <cfvo type="num" val="0"/>
        <cfvo type="num" val="1"/>
        <color rgb="FF63C384"/>
      </dataBar>
      <extLst>
        <ext xmlns:x14="http://schemas.microsoft.com/office/spreadsheetml/2009/9/main" uri="{B025F937-C7B1-47D3-B67F-A62EFF666E3E}">
          <x14:id>{AE829EBD-CE34-4055-B89D-CC474990198B}</x14:id>
        </ext>
      </extLst>
    </cfRule>
  </conditionalFormatting>
  <conditionalFormatting sqref="H207:H208">
    <cfRule type="dataBar" priority="156">
      <dataBar>
        <cfvo type="num" val="0"/>
        <cfvo type="num" val="1"/>
        <color rgb="FF63C384"/>
      </dataBar>
      <extLst>
        <ext xmlns:x14="http://schemas.microsoft.com/office/spreadsheetml/2009/9/main" uri="{B025F937-C7B1-47D3-B67F-A62EFF666E3E}">
          <x14:id>{3A179607-4DA5-449B-940C-A109D5B53452}</x14:id>
        </ext>
      </extLst>
    </cfRule>
  </conditionalFormatting>
  <conditionalFormatting sqref="H209">
    <cfRule type="dataBar" priority="155">
      <dataBar>
        <cfvo type="num" val="0"/>
        <cfvo type="num" val="1"/>
        <color rgb="FF63C384"/>
      </dataBar>
      <extLst>
        <ext xmlns:x14="http://schemas.microsoft.com/office/spreadsheetml/2009/9/main" uri="{B025F937-C7B1-47D3-B67F-A62EFF666E3E}">
          <x14:id>{5326CB04-076D-496A-84F9-9734917FA660}</x14:id>
        </ext>
      </extLst>
    </cfRule>
  </conditionalFormatting>
  <conditionalFormatting sqref="H210:H212 H206">
    <cfRule type="dataBar" priority="161">
      <dataBar>
        <cfvo type="num" val="0"/>
        <cfvo type="num" val="1"/>
        <color rgb="FF63C384"/>
      </dataBar>
      <extLst>
        <ext xmlns:x14="http://schemas.microsoft.com/office/spreadsheetml/2009/9/main" uri="{B025F937-C7B1-47D3-B67F-A62EFF666E3E}">
          <x14:id>{C7C61F80-EAE2-4D05-B884-D1F1DD0CD8E1}</x14:id>
        </ext>
      </extLst>
    </cfRule>
  </conditionalFormatting>
  <conditionalFormatting sqref="H216:H217">
    <cfRule type="dataBar" priority="152">
      <dataBar>
        <cfvo type="num" val="0"/>
        <cfvo type="num" val="1"/>
        <color rgb="FF63C384"/>
      </dataBar>
      <extLst>
        <ext xmlns:x14="http://schemas.microsoft.com/office/spreadsheetml/2009/9/main" uri="{B025F937-C7B1-47D3-B67F-A62EFF666E3E}">
          <x14:id>{26A92CF9-7353-4713-AF22-DA596BA43836}</x14:id>
        </ext>
      </extLst>
    </cfRule>
  </conditionalFormatting>
  <conditionalFormatting sqref="H222:H223">
    <cfRule type="dataBar" priority="149">
      <dataBar>
        <cfvo type="num" val="0"/>
        <cfvo type="num" val="1"/>
        <color rgb="FF63C384"/>
      </dataBar>
      <extLst>
        <ext xmlns:x14="http://schemas.microsoft.com/office/spreadsheetml/2009/9/main" uri="{B025F937-C7B1-47D3-B67F-A62EFF666E3E}">
          <x14:id>{F17DC581-C803-4AA4-AFA8-F6C6980D00DD}</x14:id>
        </ext>
      </extLst>
    </cfRule>
  </conditionalFormatting>
  <conditionalFormatting sqref="H224">
    <cfRule type="dataBar" priority="148">
      <dataBar>
        <cfvo type="num" val="0"/>
        <cfvo type="num" val="1"/>
        <color rgb="FF63C384"/>
      </dataBar>
      <extLst>
        <ext xmlns:x14="http://schemas.microsoft.com/office/spreadsheetml/2009/9/main" uri="{B025F937-C7B1-47D3-B67F-A62EFF666E3E}">
          <x14:id>{22E7AE18-A212-4277-B248-475CFD1D1D97}</x14:id>
        </ext>
      </extLst>
    </cfRule>
  </conditionalFormatting>
  <conditionalFormatting sqref="H225:H227 H221">
    <cfRule type="dataBar" priority="154">
      <dataBar>
        <cfvo type="num" val="0"/>
        <cfvo type="num" val="1"/>
        <color rgb="FF63C384"/>
      </dataBar>
      <extLst>
        <ext xmlns:x14="http://schemas.microsoft.com/office/spreadsheetml/2009/9/main" uri="{B025F937-C7B1-47D3-B67F-A62EFF666E3E}">
          <x14:id>{6B8127B4-9A5A-4194-A46F-BE929C1C2E41}</x14:id>
        </ext>
      </extLst>
    </cfRule>
  </conditionalFormatting>
  <conditionalFormatting sqref="H230:H231">
    <cfRule type="dataBar" priority="145">
      <dataBar>
        <cfvo type="num" val="0"/>
        <cfvo type="num" val="1"/>
        <color rgb="FF63C384"/>
      </dataBar>
      <extLst>
        <ext xmlns:x14="http://schemas.microsoft.com/office/spreadsheetml/2009/9/main" uri="{B025F937-C7B1-47D3-B67F-A62EFF666E3E}">
          <x14:id>{218CA3F9-5CDC-44CD-9349-DCFAA1507A89}</x14:id>
        </ext>
      </extLst>
    </cfRule>
  </conditionalFormatting>
  <conditionalFormatting sqref="H236:H237">
    <cfRule type="dataBar" priority="142">
      <dataBar>
        <cfvo type="num" val="0"/>
        <cfvo type="num" val="1"/>
        <color rgb="FF63C384"/>
      </dataBar>
      <extLst>
        <ext xmlns:x14="http://schemas.microsoft.com/office/spreadsheetml/2009/9/main" uri="{B025F937-C7B1-47D3-B67F-A62EFF666E3E}">
          <x14:id>{20420191-EB1E-43B2-9896-E3D75BE18C99}</x14:id>
        </ext>
      </extLst>
    </cfRule>
  </conditionalFormatting>
  <conditionalFormatting sqref="H238">
    <cfRule type="dataBar" priority="141">
      <dataBar>
        <cfvo type="num" val="0"/>
        <cfvo type="num" val="1"/>
        <color rgb="FF63C384"/>
      </dataBar>
      <extLst>
        <ext xmlns:x14="http://schemas.microsoft.com/office/spreadsheetml/2009/9/main" uri="{B025F937-C7B1-47D3-B67F-A62EFF666E3E}">
          <x14:id>{EB8D2E76-4B46-4F91-A335-F78D3944DE5D}</x14:id>
        </ext>
      </extLst>
    </cfRule>
  </conditionalFormatting>
  <conditionalFormatting sqref="H239:H242 H235">
    <cfRule type="dataBar" priority="147">
      <dataBar>
        <cfvo type="num" val="0"/>
        <cfvo type="num" val="1"/>
        <color rgb="FF63C384"/>
      </dataBar>
      <extLst>
        <ext xmlns:x14="http://schemas.microsoft.com/office/spreadsheetml/2009/9/main" uri="{B025F937-C7B1-47D3-B67F-A62EFF666E3E}">
          <x14:id>{419EEE8A-645A-4499-82F8-E83ACC7D37CC}</x14:id>
        </ext>
      </extLst>
    </cfRule>
  </conditionalFormatting>
  <conditionalFormatting sqref="H245:H246">
    <cfRule type="dataBar" priority="137">
      <dataBar>
        <cfvo type="num" val="0"/>
        <cfvo type="num" val="1"/>
        <color rgb="FF63C384"/>
      </dataBar>
      <extLst>
        <ext xmlns:x14="http://schemas.microsoft.com/office/spreadsheetml/2009/9/main" uri="{B025F937-C7B1-47D3-B67F-A62EFF666E3E}">
          <x14:id>{942F3C38-E138-4926-B15D-B1970A69328A}</x14:id>
        </ext>
      </extLst>
    </cfRule>
  </conditionalFormatting>
  <conditionalFormatting sqref="H251:H252">
    <cfRule type="dataBar" priority="134">
      <dataBar>
        <cfvo type="num" val="0"/>
        <cfvo type="num" val="1"/>
        <color rgb="FF63C384"/>
      </dataBar>
      <extLst>
        <ext xmlns:x14="http://schemas.microsoft.com/office/spreadsheetml/2009/9/main" uri="{B025F937-C7B1-47D3-B67F-A62EFF666E3E}">
          <x14:id>{DE25C2D2-AC51-4053-8BE8-1899F368A43E}</x14:id>
        </ext>
      </extLst>
    </cfRule>
  </conditionalFormatting>
  <conditionalFormatting sqref="H253">
    <cfRule type="dataBar" priority="133">
      <dataBar>
        <cfvo type="num" val="0"/>
        <cfvo type="num" val="1"/>
        <color rgb="FF63C384"/>
      </dataBar>
      <extLst>
        <ext xmlns:x14="http://schemas.microsoft.com/office/spreadsheetml/2009/9/main" uri="{B025F937-C7B1-47D3-B67F-A62EFF666E3E}">
          <x14:id>{E601F46A-F57D-45D4-9979-B59B89B48FD4}</x14:id>
        </ext>
      </extLst>
    </cfRule>
  </conditionalFormatting>
  <conditionalFormatting sqref="H254:H257 H250">
    <cfRule type="dataBar" priority="139">
      <dataBar>
        <cfvo type="num" val="0"/>
        <cfvo type="num" val="1"/>
        <color rgb="FF63C384"/>
      </dataBar>
      <extLst>
        <ext xmlns:x14="http://schemas.microsoft.com/office/spreadsheetml/2009/9/main" uri="{B025F937-C7B1-47D3-B67F-A62EFF666E3E}">
          <x14:id>{F1BE9DDD-CAD0-4DA2-B620-3F217E8EC4BF}</x14:id>
        </ext>
      </extLst>
    </cfRule>
  </conditionalFormatting>
  <conditionalFormatting sqref="H260:H261">
    <cfRule type="dataBar" priority="123">
      <dataBar>
        <cfvo type="num" val="0"/>
        <cfvo type="num" val="1"/>
        <color rgb="FF63C384"/>
      </dataBar>
      <extLst>
        <ext xmlns:x14="http://schemas.microsoft.com/office/spreadsheetml/2009/9/main" uri="{B025F937-C7B1-47D3-B67F-A62EFF666E3E}">
          <x14:id>{11EF204D-757D-4E45-9A68-EC5575D9DEDB}</x14:id>
        </ext>
      </extLst>
    </cfRule>
  </conditionalFormatting>
  <conditionalFormatting sqref="H266:H267">
    <cfRule type="dataBar" priority="120">
      <dataBar>
        <cfvo type="num" val="0"/>
        <cfvo type="num" val="1"/>
        <color rgb="FF63C384"/>
      </dataBar>
      <extLst>
        <ext xmlns:x14="http://schemas.microsoft.com/office/spreadsheetml/2009/9/main" uri="{B025F937-C7B1-47D3-B67F-A62EFF666E3E}">
          <x14:id>{668BE7B4-76B4-4FDB-89BE-406287AB0A47}</x14:id>
        </ext>
      </extLst>
    </cfRule>
  </conditionalFormatting>
  <conditionalFormatting sqref="H268">
    <cfRule type="dataBar" priority="119">
      <dataBar>
        <cfvo type="num" val="0"/>
        <cfvo type="num" val="1"/>
        <color rgb="FF63C384"/>
      </dataBar>
      <extLst>
        <ext xmlns:x14="http://schemas.microsoft.com/office/spreadsheetml/2009/9/main" uri="{B025F937-C7B1-47D3-B67F-A62EFF666E3E}">
          <x14:id>{1AC9E52A-2BA4-48BA-A08F-16FDEC4B7F66}</x14:id>
        </ext>
      </extLst>
    </cfRule>
  </conditionalFormatting>
  <conditionalFormatting sqref="H269:H274 H265">
    <cfRule type="dataBar" priority="125">
      <dataBar>
        <cfvo type="num" val="0"/>
        <cfvo type="num" val="1"/>
        <color rgb="FF63C384"/>
      </dataBar>
      <extLst>
        <ext xmlns:x14="http://schemas.microsoft.com/office/spreadsheetml/2009/9/main" uri="{B025F937-C7B1-47D3-B67F-A62EFF666E3E}">
          <x14:id>{598392E1-9930-4DB1-883E-100F5B8E20A2}</x14:id>
        </ext>
      </extLst>
    </cfRule>
  </conditionalFormatting>
  <conditionalFormatting sqref="H277">
    <cfRule type="dataBar" priority="97">
      <dataBar>
        <cfvo type="num" val="0"/>
        <cfvo type="num" val="1"/>
        <color rgb="FF63C384"/>
      </dataBar>
      <extLst>
        <ext xmlns:x14="http://schemas.microsoft.com/office/spreadsheetml/2009/9/main" uri="{B025F937-C7B1-47D3-B67F-A62EFF666E3E}">
          <x14:id>{AA86CE50-E075-4C5D-8A85-3A48D860EAC4}</x14:id>
        </ext>
      </extLst>
    </cfRule>
  </conditionalFormatting>
  <conditionalFormatting sqref="H278">
    <cfRule type="dataBar" priority="98">
      <dataBar>
        <cfvo type="num" val="0"/>
        <cfvo type="num" val="1"/>
        <color rgb="FF63C384"/>
      </dataBar>
      <extLst>
        <ext xmlns:x14="http://schemas.microsoft.com/office/spreadsheetml/2009/9/main" uri="{B025F937-C7B1-47D3-B67F-A62EFF666E3E}">
          <x14:id>{6C991757-23BC-4F79-B65F-B8D0EC1E7447}</x14:id>
        </ext>
      </extLst>
    </cfRule>
  </conditionalFormatting>
  <conditionalFormatting sqref="H282">
    <cfRule type="dataBar" priority="111">
      <dataBar>
        <cfvo type="num" val="0"/>
        <cfvo type="num" val="1"/>
        <color rgb="FF63C384"/>
      </dataBar>
      <extLst>
        <ext xmlns:x14="http://schemas.microsoft.com/office/spreadsheetml/2009/9/main" uri="{B025F937-C7B1-47D3-B67F-A62EFF666E3E}">
          <x14:id>{4112FA39-061E-4874-9D93-030CCEB66940}</x14:id>
        </ext>
      </extLst>
    </cfRule>
  </conditionalFormatting>
  <conditionalFormatting sqref="H283">
    <cfRule type="dataBar" priority="106">
      <dataBar>
        <cfvo type="num" val="0"/>
        <cfvo type="num" val="1"/>
        <color rgb="FF63C384"/>
      </dataBar>
      <extLst>
        <ext xmlns:x14="http://schemas.microsoft.com/office/spreadsheetml/2009/9/main" uri="{B025F937-C7B1-47D3-B67F-A62EFF666E3E}">
          <x14:id>{47819D78-4495-4D65-AE19-D3BA7905AFD0}</x14:id>
        </ext>
      </extLst>
    </cfRule>
  </conditionalFormatting>
  <conditionalFormatting sqref="H284">
    <cfRule type="dataBar" priority="105">
      <dataBar>
        <cfvo type="num" val="0"/>
        <cfvo type="num" val="1"/>
        <color rgb="FF63C384"/>
      </dataBar>
      <extLst>
        <ext xmlns:x14="http://schemas.microsoft.com/office/spreadsheetml/2009/9/main" uri="{B025F937-C7B1-47D3-B67F-A62EFF666E3E}">
          <x14:id>{B9A68409-8F89-430D-823E-D63314463110}</x14:id>
        </ext>
      </extLst>
    </cfRule>
  </conditionalFormatting>
  <conditionalFormatting sqref="H293:H294">
    <cfRule type="dataBar" priority="82">
      <dataBar>
        <cfvo type="num" val="0"/>
        <cfvo type="num" val="1"/>
        <color rgb="FF63C384"/>
      </dataBar>
      <extLst>
        <ext xmlns:x14="http://schemas.microsoft.com/office/spreadsheetml/2009/9/main" uri="{B025F937-C7B1-47D3-B67F-A62EFF666E3E}">
          <x14:id>{D36FECAC-127A-4CCE-A60C-D929C3405A50}</x14:id>
        </ext>
      </extLst>
    </cfRule>
  </conditionalFormatting>
  <conditionalFormatting sqref="H295">
    <cfRule type="dataBar" priority="83">
      <dataBar>
        <cfvo type="num" val="0"/>
        <cfvo type="num" val="1"/>
        <color rgb="FF63C384"/>
      </dataBar>
      <extLst>
        <ext xmlns:x14="http://schemas.microsoft.com/office/spreadsheetml/2009/9/main" uri="{B025F937-C7B1-47D3-B67F-A62EFF666E3E}">
          <x14:id>{55CFE371-AF63-48C0-8FCD-1CC9FF063DE1}</x14:id>
        </ext>
      </extLst>
    </cfRule>
  </conditionalFormatting>
  <conditionalFormatting sqref="H299">
    <cfRule type="dataBar" priority="95">
      <dataBar>
        <cfvo type="num" val="0"/>
        <cfvo type="num" val="1"/>
        <color rgb="FF63C384"/>
      </dataBar>
      <extLst>
        <ext xmlns:x14="http://schemas.microsoft.com/office/spreadsheetml/2009/9/main" uri="{B025F937-C7B1-47D3-B67F-A62EFF666E3E}">
          <x14:id>{CCBD2DA5-CD53-4FBF-AFD8-9BA1FC409FA7}</x14:id>
        </ext>
      </extLst>
    </cfRule>
  </conditionalFormatting>
  <conditionalFormatting sqref="H300">
    <cfRule type="dataBar" priority="91">
      <dataBar>
        <cfvo type="num" val="0"/>
        <cfvo type="num" val="1"/>
        <color rgb="FF63C384"/>
      </dataBar>
      <extLst>
        <ext xmlns:x14="http://schemas.microsoft.com/office/spreadsheetml/2009/9/main" uri="{B025F937-C7B1-47D3-B67F-A62EFF666E3E}">
          <x14:id>{858EA9D3-A85E-4E60-8AE3-36CE1BE4AC1F}</x14:id>
        </ext>
      </extLst>
    </cfRule>
  </conditionalFormatting>
  <conditionalFormatting sqref="H301">
    <cfRule type="dataBar" priority="90">
      <dataBar>
        <cfvo type="num" val="0"/>
        <cfvo type="num" val="1"/>
        <color rgb="FF63C384"/>
      </dataBar>
      <extLst>
        <ext xmlns:x14="http://schemas.microsoft.com/office/spreadsheetml/2009/9/main" uri="{B025F937-C7B1-47D3-B67F-A62EFF666E3E}">
          <x14:id>{DBF6B8E6-4AD5-4460-BF00-EA0E4D4EBB3B}</x14:id>
        </ext>
      </extLst>
    </cfRule>
  </conditionalFormatting>
  <conditionalFormatting sqref="H310:H311">
    <cfRule type="dataBar" priority="67">
      <dataBar>
        <cfvo type="num" val="0"/>
        <cfvo type="num" val="1"/>
        <color rgb="FF63C384"/>
      </dataBar>
      <extLst>
        <ext xmlns:x14="http://schemas.microsoft.com/office/spreadsheetml/2009/9/main" uri="{B025F937-C7B1-47D3-B67F-A62EFF666E3E}">
          <x14:id>{5357575F-E98E-4434-B3AD-A1D182270027}</x14:id>
        </ext>
      </extLst>
    </cfRule>
  </conditionalFormatting>
  <conditionalFormatting sqref="H312">
    <cfRule type="dataBar" priority="68">
      <dataBar>
        <cfvo type="num" val="0"/>
        <cfvo type="num" val="1"/>
        <color rgb="FF63C384"/>
      </dataBar>
      <extLst>
        <ext xmlns:x14="http://schemas.microsoft.com/office/spreadsheetml/2009/9/main" uri="{B025F937-C7B1-47D3-B67F-A62EFF666E3E}">
          <x14:id>{B2825B07-5BAB-43FD-8E77-8A4D08F9CEAE}</x14:id>
        </ext>
      </extLst>
    </cfRule>
  </conditionalFormatting>
  <conditionalFormatting sqref="H316">
    <cfRule type="dataBar" priority="79">
      <dataBar>
        <cfvo type="num" val="0"/>
        <cfvo type="num" val="1"/>
        <color rgb="FF63C384"/>
      </dataBar>
      <extLst>
        <ext xmlns:x14="http://schemas.microsoft.com/office/spreadsheetml/2009/9/main" uri="{B025F937-C7B1-47D3-B67F-A62EFF666E3E}">
          <x14:id>{A420DDF4-38DA-4AE4-ACA1-22B855B8B22B}</x14:id>
        </ext>
      </extLst>
    </cfRule>
  </conditionalFormatting>
  <conditionalFormatting sqref="H317">
    <cfRule type="dataBar" priority="76">
      <dataBar>
        <cfvo type="num" val="0"/>
        <cfvo type="num" val="1"/>
        <color rgb="FF63C384"/>
      </dataBar>
      <extLst>
        <ext xmlns:x14="http://schemas.microsoft.com/office/spreadsheetml/2009/9/main" uri="{B025F937-C7B1-47D3-B67F-A62EFF666E3E}">
          <x14:id>{7A1911FF-3D42-4780-8BC8-2338AC27B7D6}</x14:id>
        </ext>
      </extLst>
    </cfRule>
  </conditionalFormatting>
  <conditionalFormatting sqref="H318">
    <cfRule type="dataBar" priority="75">
      <dataBar>
        <cfvo type="num" val="0"/>
        <cfvo type="num" val="1"/>
        <color rgb="FF63C384"/>
      </dataBar>
      <extLst>
        <ext xmlns:x14="http://schemas.microsoft.com/office/spreadsheetml/2009/9/main" uri="{B025F937-C7B1-47D3-B67F-A62EFF666E3E}">
          <x14:id>{4FE5962B-49AA-4F7C-9C8C-49C357AA8D37}</x14:id>
        </ext>
      </extLst>
    </cfRule>
  </conditionalFormatting>
  <conditionalFormatting sqref="H329:H330">
    <cfRule type="dataBar" priority="53">
      <dataBar>
        <cfvo type="num" val="0"/>
        <cfvo type="num" val="1"/>
        <color rgb="FF63C384"/>
      </dataBar>
      <extLst>
        <ext xmlns:x14="http://schemas.microsoft.com/office/spreadsheetml/2009/9/main" uri="{B025F937-C7B1-47D3-B67F-A62EFF666E3E}">
          <x14:id>{1BA80225-595F-45C9-8984-248436C78F8A}</x14:id>
        </ext>
      </extLst>
    </cfRule>
  </conditionalFormatting>
  <conditionalFormatting sqref="H331">
    <cfRule type="dataBar" priority="54">
      <dataBar>
        <cfvo type="num" val="0"/>
        <cfvo type="num" val="1"/>
        <color rgb="FF63C384"/>
      </dataBar>
      <extLst>
        <ext xmlns:x14="http://schemas.microsoft.com/office/spreadsheetml/2009/9/main" uri="{B025F937-C7B1-47D3-B67F-A62EFF666E3E}">
          <x14:id>{B6A56794-E4D5-4337-9CCC-1A2FB98AB632}</x14:id>
        </ext>
      </extLst>
    </cfRule>
  </conditionalFormatting>
  <conditionalFormatting sqref="H335">
    <cfRule type="dataBar" priority="63">
      <dataBar>
        <cfvo type="num" val="0"/>
        <cfvo type="num" val="1"/>
        <color rgb="FF63C384"/>
      </dataBar>
      <extLst>
        <ext xmlns:x14="http://schemas.microsoft.com/office/spreadsheetml/2009/9/main" uri="{B025F937-C7B1-47D3-B67F-A62EFF666E3E}">
          <x14:id>{29A41D32-2F92-47A5-AD3B-414E4C9A5703}</x14:id>
        </ext>
      </extLst>
    </cfRule>
  </conditionalFormatting>
  <conditionalFormatting sqref="H336">
    <cfRule type="dataBar" priority="60">
      <dataBar>
        <cfvo type="num" val="0"/>
        <cfvo type="num" val="1"/>
        <color rgb="FF63C384"/>
      </dataBar>
      <extLst>
        <ext xmlns:x14="http://schemas.microsoft.com/office/spreadsheetml/2009/9/main" uri="{B025F937-C7B1-47D3-B67F-A62EFF666E3E}">
          <x14:id>{8954A102-2CF1-4763-B207-3E99F1A0AA97}</x14:id>
        </ext>
      </extLst>
    </cfRule>
  </conditionalFormatting>
  <conditionalFormatting sqref="H337">
    <cfRule type="dataBar" priority="59">
      <dataBar>
        <cfvo type="num" val="0"/>
        <cfvo type="num" val="1"/>
        <color rgb="FF63C384"/>
      </dataBar>
      <extLst>
        <ext xmlns:x14="http://schemas.microsoft.com/office/spreadsheetml/2009/9/main" uri="{B025F937-C7B1-47D3-B67F-A62EFF666E3E}">
          <x14:id>{05911BA8-8EF0-42C9-B2C7-A2FFFAABC94A}</x14:id>
        </ext>
      </extLst>
    </cfRule>
  </conditionalFormatting>
  <conditionalFormatting sqref="H348:H349">
    <cfRule type="dataBar" priority="39">
      <dataBar>
        <cfvo type="num" val="0"/>
        <cfvo type="num" val="1"/>
        <color rgb="FF63C384"/>
      </dataBar>
      <extLst>
        <ext xmlns:x14="http://schemas.microsoft.com/office/spreadsheetml/2009/9/main" uri="{B025F937-C7B1-47D3-B67F-A62EFF666E3E}">
          <x14:id>{BE5C8494-D18E-4025-8B76-04C0EF9A6ABD}</x14:id>
        </ext>
      </extLst>
    </cfRule>
  </conditionalFormatting>
  <conditionalFormatting sqref="H350">
    <cfRule type="dataBar" priority="40">
      <dataBar>
        <cfvo type="num" val="0"/>
        <cfvo type="num" val="1"/>
        <color rgb="FF63C384"/>
      </dataBar>
      <extLst>
        <ext xmlns:x14="http://schemas.microsoft.com/office/spreadsheetml/2009/9/main" uri="{B025F937-C7B1-47D3-B67F-A62EFF666E3E}">
          <x14:id>{FC3FC421-DA41-4310-9903-A07799C9C34B}</x14:id>
        </ext>
      </extLst>
    </cfRule>
  </conditionalFormatting>
  <conditionalFormatting sqref="H354">
    <cfRule type="dataBar" priority="49">
      <dataBar>
        <cfvo type="num" val="0"/>
        <cfvo type="num" val="1"/>
        <color rgb="FF63C384"/>
      </dataBar>
      <extLst>
        <ext xmlns:x14="http://schemas.microsoft.com/office/spreadsheetml/2009/9/main" uri="{B025F937-C7B1-47D3-B67F-A62EFF666E3E}">
          <x14:id>{5717E07B-98F7-4F9A-9C2B-30DD3394013B}</x14:id>
        </ext>
      </extLst>
    </cfRule>
  </conditionalFormatting>
  <conditionalFormatting sqref="H355">
    <cfRule type="dataBar" priority="46">
      <dataBar>
        <cfvo type="num" val="0"/>
        <cfvo type="num" val="1"/>
        <color rgb="FF63C384"/>
      </dataBar>
      <extLst>
        <ext xmlns:x14="http://schemas.microsoft.com/office/spreadsheetml/2009/9/main" uri="{B025F937-C7B1-47D3-B67F-A62EFF666E3E}">
          <x14:id>{8093D7DE-BF1F-4E75-9A5F-85D757B6D1CE}</x14:id>
        </ext>
      </extLst>
    </cfRule>
  </conditionalFormatting>
  <conditionalFormatting sqref="H356">
    <cfRule type="dataBar" priority="45">
      <dataBar>
        <cfvo type="num" val="0"/>
        <cfvo type="num" val="1"/>
        <color rgb="FF63C384"/>
      </dataBar>
      <extLst>
        <ext xmlns:x14="http://schemas.microsoft.com/office/spreadsheetml/2009/9/main" uri="{B025F937-C7B1-47D3-B67F-A62EFF666E3E}">
          <x14:id>{5BF32BC1-F177-4BC0-9358-92E98D12EC8C}</x14:id>
        </ext>
      </extLst>
    </cfRule>
  </conditionalFormatting>
  <conditionalFormatting sqref="H366">
    <cfRule type="dataBar" priority="37">
      <dataBar>
        <cfvo type="num" val="0"/>
        <cfvo type="num" val="1"/>
        <color rgb="FF63C384"/>
      </dataBar>
      <extLst>
        <ext xmlns:x14="http://schemas.microsoft.com/office/spreadsheetml/2009/9/main" uri="{B025F937-C7B1-47D3-B67F-A62EFF666E3E}">
          <x14:id>{82247DC4-4158-4B82-874F-69B2955BC389}</x14:id>
        </ext>
      </extLst>
    </cfRule>
  </conditionalFormatting>
  <conditionalFormatting sqref="H368:H369">
    <cfRule type="dataBar" priority="22">
      <dataBar>
        <cfvo type="num" val="0"/>
        <cfvo type="num" val="1"/>
        <color rgb="FF63C384"/>
      </dataBar>
      <extLst>
        <ext xmlns:x14="http://schemas.microsoft.com/office/spreadsheetml/2009/9/main" uri="{B025F937-C7B1-47D3-B67F-A62EFF666E3E}">
          <x14:id>{C3C019D5-DE88-44A0-83E2-BE26B4F0E754}</x14:id>
        </ext>
      </extLst>
    </cfRule>
  </conditionalFormatting>
  <conditionalFormatting sqref="H370">
    <cfRule type="dataBar" priority="23">
      <dataBar>
        <cfvo type="num" val="0"/>
        <cfvo type="num" val="1"/>
        <color rgb="FF63C384"/>
      </dataBar>
      <extLst>
        <ext xmlns:x14="http://schemas.microsoft.com/office/spreadsheetml/2009/9/main" uri="{B025F937-C7B1-47D3-B67F-A62EFF666E3E}">
          <x14:id>{2A8061C6-AC9D-42E9-AF64-798F9A8D9D44}</x14:id>
        </ext>
      </extLst>
    </cfRule>
  </conditionalFormatting>
  <conditionalFormatting sqref="H374">
    <cfRule type="dataBar" priority="32">
      <dataBar>
        <cfvo type="num" val="0"/>
        <cfvo type="num" val="1"/>
        <color rgb="FF63C384"/>
      </dataBar>
      <extLst>
        <ext xmlns:x14="http://schemas.microsoft.com/office/spreadsheetml/2009/9/main" uri="{B025F937-C7B1-47D3-B67F-A62EFF666E3E}">
          <x14:id>{C618DD10-850A-4258-B783-BC0E7BC66B0E}</x14:id>
        </ext>
      </extLst>
    </cfRule>
  </conditionalFormatting>
  <conditionalFormatting sqref="H375">
    <cfRule type="dataBar" priority="29">
      <dataBar>
        <cfvo type="num" val="0"/>
        <cfvo type="num" val="1"/>
        <color rgb="FF63C384"/>
      </dataBar>
      <extLst>
        <ext xmlns:x14="http://schemas.microsoft.com/office/spreadsheetml/2009/9/main" uri="{B025F937-C7B1-47D3-B67F-A62EFF666E3E}">
          <x14:id>{A50C2C57-394D-4C44-A0EB-E58836C205F6}</x14:id>
        </ext>
      </extLst>
    </cfRule>
  </conditionalFormatting>
  <conditionalFormatting sqref="H376">
    <cfRule type="dataBar" priority="28">
      <dataBar>
        <cfvo type="num" val="0"/>
        <cfvo type="num" val="1"/>
        <color rgb="FF63C384"/>
      </dataBar>
      <extLst>
        <ext xmlns:x14="http://schemas.microsoft.com/office/spreadsheetml/2009/9/main" uri="{B025F937-C7B1-47D3-B67F-A62EFF666E3E}">
          <x14:id>{B2DBC0CF-976B-46DA-A467-F3BA6FFCFFAA}</x14:id>
        </ext>
      </extLst>
    </cfRule>
  </conditionalFormatting>
  <conditionalFormatting sqref="H386">
    <cfRule type="dataBar" priority="20">
      <dataBar>
        <cfvo type="num" val="0"/>
        <cfvo type="num" val="1"/>
        <color rgb="FF63C384"/>
      </dataBar>
      <extLst>
        <ext xmlns:x14="http://schemas.microsoft.com/office/spreadsheetml/2009/9/main" uri="{B025F937-C7B1-47D3-B67F-A62EFF666E3E}">
          <x14:id>{F0819705-CE27-4CA8-89B4-2E3B4829E1F4}</x14:id>
        </ext>
      </extLst>
    </cfRule>
  </conditionalFormatting>
  <conditionalFormatting sqref="H388">
    <cfRule type="dataBar" priority="1">
      <dataBar>
        <cfvo type="num" val="0"/>
        <cfvo type="num" val="1"/>
        <color rgb="FF63C384"/>
      </dataBar>
      <extLst>
        <ext xmlns:x14="http://schemas.microsoft.com/office/spreadsheetml/2009/9/main" uri="{B025F937-C7B1-47D3-B67F-A62EFF666E3E}">
          <x14:id>{B4A5A17A-786D-4F24-A72B-532F86C536E8}</x14:id>
        </ext>
      </extLst>
    </cfRule>
  </conditionalFormatting>
  <conditionalFormatting sqref="H389">
    <cfRule type="dataBar" priority="5">
      <dataBar>
        <cfvo type="num" val="0"/>
        <cfvo type="num" val="1"/>
        <color rgb="FF63C384"/>
      </dataBar>
      <extLst>
        <ext xmlns:x14="http://schemas.microsoft.com/office/spreadsheetml/2009/9/main" uri="{B025F937-C7B1-47D3-B67F-A62EFF666E3E}">
          <x14:id>{81CFA8B0-ADA2-4FC7-B1D0-D8E843E15CF9}</x14:id>
        </ext>
      </extLst>
    </cfRule>
  </conditionalFormatting>
  <conditionalFormatting sqref="H390">
    <cfRule type="dataBar" priority="6">
      <dataBar>
        <cfvo type="num" val="0"/>
        <cfvo type="num" val="1"/>
        <color rgb="FF63C384"/>
      </dataBar>
      <extLst>
        <ext xmlns:x14="http://schemas.microsoft.com/office/spreadsheetml/2009/9/main" uri="{B025F937-C7B1-47D3-B67F-A62EFF666E3E}">
          <x14:id>{A8BF51C1-F05A-48C8-A99E-8A39C3EBC1D3}</x14:id>
        </ext>
      </extLst>
    </cfRule>
  </conditionalFormatting>
  <conditionalFormatting sqref="H394">
    <cfRule type="dataBar" priority="15">
      <dataBar>
        <cfvo type="num" val="0"/>
        <cfvo type="num" val="1"/>
        <color rgb="FF63C384"/>
      </dataBar>
      <extLst>
        <ext xmlns:x14="http://schemas.microsoft.com/office/spreadsheetml/2009/9/main" uri="{B025F937-C7B1-47D3-B67F-A62EFF666E3E}">
          <x14:id>{16F14030-E611-4098-AD49-1E4F36EF238E}</x14:id>
        </ext>
      </extLst>
    </cfRule>
  </conditionalFormatting>
  <conditionalFormatting sqref="H395">
    <cfRule type="dataBar" priority="12">
      <dataBar>
        <cfvo type="num" val="0"/>
        <cfvo type="num" val="1"/>
        <color rgb="FF63C384"/>
      </dataBar>
      <extLst>
        <ext xmlns:x14="http://schemas.microsoft.com/office/spreadsheetml/2009/9/main" uri="{B025F937-C7B1-47D3-B67F-A62EFF666E3E}">
          <x14:id>{7A255FAE-F000-4D9C-876E-74F66956D4A5}</x14:id>
        </ext>
      </extLst>
    </cfRule>
  </conditionalFormatting>
  <conditionalFormatting sqref="H402">
    <cfRule type="dataBar" priority="3">
      <dataBar>
        <cfvo type="num" val="0"/>
        <cfvo type="num" val="1"/>
        <color rgb="FF63C384"/>
      </dataBar>
      <extLst>
        <ext xmlns:x14="http://schemas.microsoft.com/office/spreadsheetml/2009/9/main" uri="{B025F937-C7B1-47D3-B67F-A62EFF666E3E}">
          <x14:id>{8D575AAA-9CF7-4808-ACC9-601A4923F367}</x14:id>
        </ext>
      </extLst>
    </cfRule>
  </conditionalFormatting>
  <conditionalFormatting sqref="I245:I246">
    <cfRule type="dataBar" priority="130">
      <dataBar>
        <cfvo type="num" val="0"/>
        <cfvo type="num" val="1"/>
        <color rgb="FF63C384"/>
      </dataBar>
      <extLst>
        <ext xmlns:x14="http://schemas.microsoft.com/office/spreadsheetml/2009/9/main" uri="{B025F937-C7B1-47D3-B67F-A62EFF666E3E}">
          <x14:id>{9E67390D-D446-40E9-8952-D44A489EC37D}</x14:id>
        </ext>
      </extLst>
    </cfRule>
  </conditionalFormatting>
  <conditionalFormatting sqref="I247:I248">
    <cfRule type="dataBar" priority="131">
      <dataBar>
        <cfvo type="num" val="0"/>
        <cfvo type="num" val="1"/>
        <color rgb="FF63C384"/>
      </dataBar>
      <extLst>
        <ext xmlns:x14="http://schemas.microsoft.com/office/spreadsheetml/2009/9/main" uri="{B025F937-C7B1-47D3-B67F-A62EFF666E3E}">
          <x14:id>{140091DF-93AA-4CD3-BC0E-1200C14E596D}</x14:id>
        </ext>
      </extLst>
    </cfRule>
  </conditionalFormatting>
  <conditionalFormatting sqref="I250">
    <cfRule type="dataBar" priority="129">
      <dataBar>
        <cfvo type="num" val="0"/>
        <cfvo type="num" val="1"/>
        <color rgb="FF63C384"/>
      </dataBar>
      <extLst>
        <ext xmlns:x14="http://schemas.microsoft.com/office/spreadsheetml/2009/9/main" uri="{B025F937-C7B1-47D3-B67F-A62EFF666E3E}">
          <x14:id>{9D140831-F724-4B5E-8B67-A5EE0927F550}</x14:id>
        </ext>
      </extLst>
    </cfRule>
  </conditionalFormatting>
  <conditionalFormatting sqref="I251:I252">
    <cfRule type="dataBar" priority="128">
      <dataBar>
        <cfvo type="num" val="0"/>
        <cfvo type="num" val="1"/>
        <color rgb="FF63C384"/>
      </dataBar>
      <extLst>
        <ext xmlns:x14="http://schemas.microsoft.com/office/spreadsheetml/2009/9/main" uri="{B025F937-C7B1-47D3-B67F-A62EFF666E3E}">
          <x14:id>{A147BAC0-3E9A-4FAA-B452-CDAE9007BC88}</x14:id>
        </ext>
      </extLst>
    </cfRule>
  </conditionalFormatting>
  <conditionalFormatting sqref="I253">
    <cfRule type="dataBar" priority="127">
      <dataBar>
        <cfvo type="num" val="0"/>
        <cfvo type="num" val="1"/>
        <color rgb="FF63C384"/>
      </dataBar>
      <extLst>
        <ext xmlns:x14="http://schemas.microsoft.com/office/spreadsheetml/2009/9/main" uri="{B025F937-C7B1-47D3-B67F-A62EFF666E3E}">
          <x14:id>{E39B5721-006A-48A1-BB89-FCB119F9C9DC}</x14:id>
        </ext>
      </extLst>
    </cfRule>
  </conditionalFormatting>
  <conditionalFormatting sqref="I254:I257 I250">
    <cfRule type="dataBar" priority="132">
      <dataBar>
        <cfvo type="num" val="0"/>
        <cfvo type="num" val="1"/>
        <color rgb="FF63C384"/>
      </dataBar>
      <extLst>
        <ext xmlns:x14="http://schemas.microsoft.com/office/spreadsheetml/2009/9/main" uri="{B025F937-C7B1-47D3-B67F-A62EFF666E3E}">
          <x14:id>{63CDE447-BA44-451A-B93D-417AD6FB263C}</x14:id>
        </ext>
      </extLst>
    </cfRule>
  </conditionalFormatting>
  <conditionalFormatting sqref="I260:I261">
    <cfRule type="dataBar" priority="116">
      <dataBar>
        <cfvo type="num" val="0"/>
        <cfvo type="num" val="1"/>
        <color rgb="FF63C384"/>
      </dataBar>
      <extLst>
        <ext xmlns:x14="http://schemas.microsoft.com/office/spreadsheetml/2009/9/main" uri="{B025F937-C7B1-47D3-B67F-A62EFF666E3E}">
          <x14:id>{C39DD927-737E-4164-9A71-A310A8F210BA}</x14:id>
        </ext>
      </extLst>
    </cfRule>
  </conditionalFormatting>
  <conditionalFormatting sqref="I262:I263">
    <cfRule type="dataBar" priority="117">
      <dataBar>
        <cfvo type="num" val="0"/>
        <cfvo type="num" val="1"/>
        <color rgb="FF63C384"/>
      </dataBar>
      <extLst>
        <ext xmlns:x14="http://schemas.microsoft.com/office/spreadsheetml/2009/9/main" uri="{B025F937-C7B1-47D3-B67F-A62EFF666E3E}">
          <x14:id>{78042A4F-EEE8-4C7D-9DB2-D7167A2DDD49}</x14:id>
        </ext>
      </extLst>
    </cfRule>
  </conditionalFormatting>
  <conditionalFormatting sqref="I265">
    <cfRule type="dataBar" priority="115">
      <dataBar>
        <cfvo type="num" val="0"/>
        <cfvo type="num" val="1"/>
        <color rgb="FF63C384"/>
      </dataBar>
      <extLst>
        <ext xmlns:x14="http://schemas.microsoft.com/office/spreadsheetml/2009/9/main" uri="{B025F937-C7B1-47D3-B67F-A62EFF666E3E}">
          <x14:id>{C8115E7C-C059-4EB7-9F44-4C794A64BD67}</x14:id>
        </ext>
      </extLst>
    </cfRule>
  </conditionalFormatting>
  <conditionalFormatting sqref="I266:I267">
    <cfRule type="dataBar" priority="114">
      <dataBar>
        <cfvo type="num" val="0"/>
        <cfvo type="num" val="1"/>
        <color rgb="FF63C384"/>
      </dataBar>
      <extLst>
        <ext xmlns:x14="http://schemas.microsoft.com/office/spreadsheetml/2009/9/main" uri="{B025F937-C7B1-47D3-B67F-A62EFF666E3E}">
          <x14:id>{C11BF31D-7BE2-4D8E-AE8A-D4717034E017}</x14:id>
        </ext>
      </extLst>
    </cfRule>
  </conditionalFormatting>
  <conditionalFormatting sqref="I268">
    <cfRule type="dataBar" priority="113">
      <dataBar>
        <cfvo type="num" val="0"/>
        <cfvo type="num" val="1"/>
        <color rgb="FF63C384"/>
      </dataBar>
      <extLst>
        <ext xmlns:x14="http://schemas.microsoft.com/office/spreadsheetml/2009/9/main" uri="{B025F937-C7B1-47D3-B67F-A62EFF666E3E}">
          <x14:id>{4904A230-7AF7-4CCC-B7A7-21EF46DACC28}</x14:id>
        </ext>
      </extLst>
    </cfRule>
  </conditionalFormatting>
  <conditionalFormatting sqref="I269:I274 I265">
    <cfRule type="dataBar" priority="118">
      <dataBar>
        <cfvo type="num" val="0"/>
        <cfvo type="num" val="1"/>
        <color rgb="FF63C384"/>
      </dataBar>
      <extLst>
        <ext xmlns:x14="http://schemas.microsoft.com/office/spreadsheetml/2009/9/main" uri="{B025F937-C7B1-47D3-B67F-A62EFF666E3E}">
          <x14:id>{3CACDE2F-3B33-417C-9898-C030038845A2}</x14:id>
        </ext>
      </extLst>
    </cfRule>
  </conditionalFormatting>
  <conditionalFormatting sqref="I277:I278">
    <cfRule type="dataBar" priority="102">
      <dataBar>
        <cfvo type="num" val="0"/>
        <cfvo type="num" val="1"/>
        <color rgb="FF63C384"/>
      </dataBar>
      <extLst>
        <ext xmlns:x14="http://schemas.microsoft.com/office/spreadsheetml/2009/9/main" uri="{B025F937-C7B1-47D3-B67F-A62EFF666E3E}">
          <x14:id>{114B09EC-0BE7-4992-8A7F-A3959E4C64D1}</x14:id>
        </ext>
      </extLst>
    </cfRule>
  </conditionalFormatting>
  <conditionalFormatting sqref="I279:I280">
    <cfRule type="dataBar" priority="103">
      <dataBar>
        <cfvo type="num" val="0"/>
        <cfvo type="num" val="1"/>
        <color rgb="FF63C384"/>
      </dataBar>
      <extLst>
        <ext xmlns:x14="http://schemas.microsoft.com/office/spreadsheetml/2009/9/main" uri="{B025F937-C7B1-47D3-B67F-A62EFF666E3E}">
          <x14:id>{0FBF0D92-A044-4AE3-97BD-2A364361F92F}</x14:id>
        </ext>
      </extLst>
    </cfRule>
  </conditionalFormatting>
  <conditionalFormatting sqref="I282">
    <cfRule type="dataBar" priority="101">
      <dataBar>
        <cfvo type="num" val="0"/>
        <cfvo type="num" val="1"/>
        <color rgb="FF63C384"/>
      </dataBar>
      <extLst>
        <ext xmlns:x14="http://schemas.microsoft.com/office/spreadsheetml/2009/9/main" uri="{B025F937-C7B1-47D3-B67F-A62EFF666E3E}">
          <x14:id>{B7699C27-2DF6-465B-8BA9-985E074CFD38}</x14:id>
        </ext>
      </extLst>
    </cfRule>
    <cfRule type="dataBar" priority="104">
      <dataBar>
        <cfvo type="num" val="0"/>
        <cfvo type="num" val="1"/>
        <color rgb="FF63C384"/>
      </dataBar>
      <extLst>
        <ext xmlns:x14="http://schemas.microsoft.com/office/spreadsheetml/2009/9/main" uri="{B025F937-C7B1-47D3-B67F-A62EFF666E3E}">
          <x14:id>{D92DAF15-5BD6-48AD-BB13-C00100A68148}</x14:id>
        </ext>
      </extLst>
    </cfRule>
  </conditionalFormatting>
  <conditionalFormatting sqref="I283:I284">
    <cfRule type="dataBar" priority="100">
      <dataBar>
        <cfvo type="num" val="0"/>
        <cfvo type="num" val="1"/>
        <color rgb="FF63C384"/>
      </dataBar>
      <extLst>
        <ext xmlns:x14="http://schemas.microsoft.com/office/spreadsheetml/2009/9/main" uri="{B025F937-C7B1-47D3-B67F-A62EFF666E3E}">
          <x14:id>{18313663-754F-484B-AD74-3826F52A0E81}</x14:id>
        </ext>
      </extLst>
    </cfRule>
  </conditionalFormatting>
  <conditionalFormatting sqref="I285">
    <cfRule type="dataBar" priority="99">
      <dataBar>
        <cfvo type="num" val="0"/>
        <cfvo type="num" val="1"/>
        <color rgb="FF63C384"/>
      </dataBar>
      <extLst>
        <ext xmlns:x14="http://schemas.microsoft.com/office/spreadsheetml/2009/9/main" uri="{B025F937-C7B1-47D3-B67F-A62EFF666E3E}">
          <x14:id>{0CF4109B-A5B4-44AC-94E0-AE6881820DBD}</x14:id>
        </ext>
      </extLst>
    </cfRule>
  </conditionalFormatting>
  <conditionalFormatting sqref="I294:I295">
    <cfRule type="dataBar" priority="87">
      <dataBar>
        <cfvo type="num" val="0"/>
        <cfvo type="num" val="1"/>
        <color rgb="FF63C384"/>
      </dataBar>
      <extLst>
        <ext xmlns:x14="http://schemas.microsoft.com/office/spreadsheetml/2009/9/main" uri="{B025F937-C7B1-47D3-B67F-A62EFF666E3E}">
          <x14:id>{BD9B2F5E-2484-46A2-8CCF-44672BFF4E56}</x14:id>
        </ext>
      </extLst>
    </cfRule>
  </conditionalFormatting>
  <conditionalFormatting sqref="I296:I297">
    <cfRule type="dataBar" priority="88">
      <dataBar>
        <cfvo type="num" val="0"/>
        <cfvo type="num" val="1"/>
        <color rgb="FF63C384"/>
      </dataBar>
      <extLst>
        <ext xmlns:x14="http://schemas.microsoft.com/office/spreadsheetml/2009/9/main" uri="{B025F937-C7B1-47D3-B67F-A62EFF666E3E}">
          <x14:id>{D93D5A9A-2369-40A5-871E-78EFCBBCECC8}</x14:id>
        </ext>
      </extLst>
    </cfRule>
  </conditionalFormatting>
  <conditionalFormatting sqref="I299">
    <cfRule type="dataBar" priority="86">
      <dataBar>
        <cfvo type="num" val="0"/>
        <cfvo type="num" val="1"/>
        <color rgb="FF63C384"/>
      </dataBar>
      <extLst>
        <ext xmlns:x14="http://schemas.microsoft.com/office/spreadsheetml/2009/9/main" uri="{B025F937-C7B1-47D3-B67F-A62EFF666E3E}">
          <x14:id>{D1EF5D42-517D-42D3-A0BA-F7578C8F3603}</x14:id>
        </ext>
      </extLst>
    </cfRule>
    <cfRule type="dataBar" priority="89">
      <dataBar>
        <cfvo type="num" val="0"/>
        <cfvo type="num" val="1"/>
        <color rgb="FF63C384"/>
      </dataBar>
      <extLst>
        <ext xmlns:x14="http://schemas.microsoft.com/office/spreadsheetml/2009/9/main" uri="{B025F937-C7B1-47D3-B67F-A62EFF666E3E}">
          <x14:id>{D125193D-3533-4393-93D8-70C6CB6BA2A9}</x14:id>
        </ext>
      </extLst>
    </cfRule>
  </conditionalFormatting>
  <conditionalFormatting sqref="I300:I301">
    <cfRule type="dataBar" priority="85">
      <dataBar>
        <cfvo type="num" val="0"/>
        <cfvo type="num" val="1"/>
        <color rgb="FF63C384"/>
      </dataBar>
      <extLst>
        <ext xmlns:x14="http://schemas.microsoft.com/office/spreadsheetml/2009/9/main" uri="{B025F937-C7B1-47D3-B67F-A62EFF666E3E}">
          <x14:id>{D1EAC461-D1B2-4659-A1B0-959AD35F3F16}</x14:id>
        </ext>
      </extLst>
    </cfRule>
  </conditionalFormatting>
  <conditionalFormatting sqref="I302">
    <cfRule type="dataBar" priority="84">
      <dataBar>
        <cfvo type="num" val="0"/>
        <cfvo type="num" val="1"/>
        <color rgb="FF63C384"/>
      </dataBar>
      <extLst>
        <ext xmlns:x14="http://schemas.microsoft.com/office/spreadsheetml/2009/9/main" uri="{B025F937-C7B1-47D3-B67F-A62EFF666E3E}">
          <x14:id>{76672DE3-6B6F-42E3-B7A9-F868239A9D4C}</x14:id>
        </ext>
      </extLst>
    </cfRule>
  </conditionalFormatting>
  <conditionalFormatting sqref="I311:I312">
    <cfRule type="dataBar" priority="72">
      <dataBar>
        <cfvo type="num" val="0"/>
        <cfvo type="num" val="1"/>
        <color rgb="FF63C384"/>
      </dataBar>
      <extLst>
        <ext xmlns:x14="http://schemas.microsoft.com/office/spreadsheetml/2009/9/main" uri="{B025F937-C7B1-47D3-B67F-A62EFF666E3E}">
          <x14:id>{D4A02E42-8CDE-436E-AF26-9A8309EBE744}</x14:id>
        </ext>
      </extLst>
    </cfRule>
  </conditionalFormatting>
  <conditionalFormatting sqref="I313:I314">
    <cfRule type="dataBar" priority="73">
      <dataBar>
        <cfvo type="num" val="0"/>
        <cfvo type="num" val="1"/>
        <color rgb="FF63C384"/>
      </dataBar>
      <extLst>
        <ext xmlns:x14="http://schemas.microsoft.com/office/spreadsheetml/2009/9/main" uri="{B025F937-C7B1-47D3-B67F-A62EFF666E3E}">
          <x14:id>{4E8A2C8D-171F-4135-B232-6EF60C63D7E3}</x14:id>
        </ext>
      </extLst>
    </cfRule>
  </conditionalFormatting>
  <conditionalFormatting sqref="I316:I318">
    <cfRule type="dataBar" priority="70">
      <dataBar>
        <cfvo type="num" val="0"/>
        <cfvo type="num" val="1"/>
        <color rgb="FF63C384"/>
      </dataBar>
      <extLst>
        <ext xmlns:x14="http://schemas.microsoft.com/office/spreadsheetml/2009/9/main" uri="{B025F937-C7B1-47D3-B67F-A62EFF666E3E}">
          <x14:id>{9D2C5564-7593-405A-A800-E783106C4E52}</x14:id>
        </ext>
      </extLst>
    </cfRule>
  </conditionalFormatting>
  <conditionalFormatting sqref="I319">
    <cfRule type="dataBar" priority="69">
      <dataBar>
        <cfvo type="num" val="0"/>
        <cfvo type="num" val="1"/>
        <color rgb="FF63C384"/>
      </dataBar>
      <extLst>
        <ext xmlns:x14="http://schemas.microsoft.com/office/spreadsheetml/2009/9/main" uri="{B025F937-C7B1-47D3-B67F-A62EFF666E3E}">
          <x14:id>{8C27DF9E-2A51-4418-A9D7-1CEBEDD08C66}</x14:id>
        </ext>
      </extLst>
    </cfRule>
  </conditionalFormatting>
  <conditionalFormatting sqref="I330:I331">
    <cfRule type="dataBar" priority="57">
      <dataBar>
        <cfvo type="num" val="0"/>
        <cfvo type="num" val="1"/>
        <color rgb="FF63C384"/>
      </dataBar>
      <extLst>
        <ext xmlns:x14="http://schemas.microsoft.com/office/spreadsheetml/2009/9/main" uri="{B025F937-C7B1-47D3-B67F-A62EFF666E3E}">
          <x14:id>{EC3A640B-FEFF-45CA-B8CE-0A4003933261}</x14:id>
        </ext>
      </extLst>
    </cfRule>
  </conditionalFormatting>
  <conditionalFormatting sqref="I332:I333">
    <cfRule type="dataBar" priority="58">
      <dataBar>
        <cfvo type="num" val="0"/>
        <cfvo type="num" val="1"/>
        <color rgb="FF63C384"/>
      </dataBar>
      <extLst>
        <ext xmlns:x14="http://schemas.microsoft.com/office/spreadsheetml/2009/9/main" uri="{B025F937-C7B1-47D3-B67F-A62EFF666E3E}">
          <x14:id>{FF0D4D49-2DD9-40B3-92A5-206D04476B8E}</x14:id>
        </ext>
      </extLst>
    </cfRule>
  </conditionalFormatting>
  <conditionalFormatting sqref="I335:I337">
    <cfRule type="dataBar" priority="56">
      <dataBar>
        <cfvo type="num" val="0"/>
        <cfvo type="num" val="1"/>
        <color rgb="FF63C384"/>
      </dataBar>
      <extLst>
        <ext xmlns:x14="http://schemas.microsoft.com/office/spreadsheetml/2009/9/main" uri="{B025F937-C7B1-47D3-B67F-A62EFF666E3E}">
          <x14:id>{DD53186D-907A-496B-83D4-16F9809C737A}</x14:id>
        </ext>
      </extLst>
    </cfRule>
  </conditionalFormatting>
  <conditionalFormatting sqref="I338">
    <cfRule type="dataBar" priority="55">
      <dataBar>
        <cfvo type="num" val="0"/>
        <cfvo type="num" val="1"/>
        <color rgb="FF63C384"/>
      </dataBar>
      <extLst>
        <ext xmlns:x14="http://schemas.microsoft.com/office/spreadsheetml/2009/9/main" uri="{B025F937-C7B1-47D3-B67F-A62EFF666E3E}">
          <x14:id>{A5FAC557-0076-4010-8174-566D529E5F86}</x14:id>
        </ext>
      </extLst>
    </cfRule>
  </conditionalFormatting>
  <conditionalFormatting sqref="I349:I350">
    <cfRule type="dataBar" priority="43">
      <dataBar>
        <cfvo type="num" val="0"/>
        <cfvo type="num" val="1"/>
        <color rgb="FF63C384"/>
      </dataBar>
      <extLst>
        <ext xmlns:x14="http://schemas.microsoft.com/office/spreadsheetml/2009/9/main" uri="{B025F937-C7B1-47D3-B67F-A62EFF666E3E}">
          <x14:id>{EBF4186B-B1CE-4E93-9681-7BF239FCCCAA}</x14:id>
        </ext>
      </extLst>
    </cfRule>
  </conditionalFormatting>
  <conditionalFormatting sqref="I351:I352">
    <cfRule type="dataBar" priority="44">
      <dataBar>
        <cfvo type="num" val="0"/>
        <cfvo type="num" val="1"/>
        <color rgb="FF63C384"/>
      </dataBar>
      <extLst>
        <ext xmlns:x14="http://schemas.microsoft.com/office/spreadsheetml/2009/9/main" uri="{B025F937-C7B1-47D3-B67F-A62EFF666E3E}">
          <x14:id>{D5C26A83-6EAD-4022-894C-81624737FA7E}</x14:id>
        </ext>
      </extLst>
    </cfRule>
  </conditionalFormatting>
  <conditionalFormatting sqref="I354:I356">
    <cfRule type="dataBar" priority="42">
      <dataBar>
        <cfvo type="num" val="0"/>
        <cfvo type="num" val="1"/>
        <color rgb="FF63C384"/>
      </dataBar>
      <extLst>
        <ext xmlns:x14="http://schemas.microsoft.com/office/spreadsheetml/2009/9/main" uri="{B025F937-C7B1-47D3-B67F-A62EFF666E3E}">
          <x14:id>{385CA447-6496-4ED8-9D86-F6C154EC44CA}</x14:id>
        </ext>
      </extLst>
    </cfRule>
  </conditionalFormatting>
  <conditionalFormatting sqref="I357">
    <cfRule type="dataBar" priority="41">
      <dataBar>
        <cfvo type="num" val="0"/>
        <cfvo type="num" val="1"/>
        <color rgb="FF63C384"/>
      </dataBar>
      <extLst>
        <ext xmlns:x14="http://schemas.microsoft.com/office/spreadsheetml/2009/9/main" uri="{B025F937-C7B1-47D3-B67F-A62EFF666E3E}">
          <x14:id>{8282E528-9712-41D1-B640-6B6C1582A902}</x14:id>
        </ext>
      </extLst>
    </cfRule>
  </conditionalFormatting>
  <conditionalFormatting sqref="I366">
    <cfRule type="dataBar" priority="36">
      <dataBar>
        <cfvo type="num" val="0"/>
        <cfvo type="num" val="1"/>
        <color rgb="FF63C384"/>
      </dataBar>
      <extLst>
        <ext xmlns:x14="http://schemas.microsoft.com/office/spreadsheetml/2009/9/main" uri="{B025F937-C7B1-47D3-B67F-A62EFF666E3E}">
          <x14:id>{55B99033-6AFA-4837-995F-93D60A96B671}</x14:id>
        </ext>
      </extLst>
    </cfRule>
  </conditionalFormatting>
  <conditionalFormatting sqref="I369:I370">
    <cfRule type="dataBar" priority="26">
      <dataBar>
        <cfvo type="num" val="0"/>
        <cfvo type="num" val="1"/>
        <color rgb="FF63C384"/>
      </dataBar>
      <extLst>
        <ext xmlns:x14="http://schemas.microsoft.com/office/spreadsheetml/2009/9/main" uri="{B025F937-C7B1-47D3-B67F-A62EFF666E3E}">
          <x14:id>{9616C88A-C8D0-4FF0-9A90-95DE3896570A}</x14:id>
        </ext>
      </extLst>
    </cfRule>
  </conditionalFormatting>
  <conditionalFormatting sqref="I371:I372">
    <cfRule type="dataBar" priority="27">
      <dataBar>
        <cfvo type="num" val="0"/>
        <cfvo type="num" val="1"/>
        <color rgb="FF63C384"/>
      </dataBar>
      <extLst>
        <ext xmlns:x14="http://schemas.microsoft.com/office/spreadsheetml/2009/9/main" uri="{B025F937-C7B1-47D3-B67F-A62EFF666E3E}">
          <x14:id>{DCAAF2A4-031A-4199-9801-C999D562144E}</x14:id>
        </ext>
      </extLst>
    </cfRule>
  </conditionalFormatting>
  <conditionalFormatting sqref="I374:I376">
    <cfRule type="dataBar" priority="25">
      <dataBar>
        <cfvo type="num" val="0"/>
        <cfvo type="num" val="1"/>
        <color rgb="FF63C384"/>
      </dataBar>
      <extLst>
        <ext xmlns:x14="http://schemas.microsoft.com/office/spreadsheetml/2009/9/main" uri="{B025F937-C7B1-47D3-B67F-A62EFF666E3E}">
          <x14:id>{88D9D1CF-E930-422C-A88C-0C2B2A9B176C}</x14:id>
        </ext>
      </extLst>
    </cfRule>
  </conditionalFormatting>
  <conditionalFormatting sqref="I377">
    <cfRule type="dataBar" priority="24">
      <dataBar>
        <cfvo type="num" val="0"/>
        <cfvo type="num" val="1"/>
        <color rgb="FF63C384"/>
      </dataBar>
      <extLst>
        <ext xmlns:x14="http://schemas.microsoft.com/office/spreadsheetml/2009/9/main" uri="{B025F937-C7B1-47D3-B67F-A62EFF666E3E}">
          <x14:id>{B2538813-20E8-4E67-87AD-FC719E97C888}</x14:id>
        </ext>
      </extLst>
    </cfRule>
  </conditionalFormatting>
  <conditionalFormatting sqref="I386">
    <cfRule type="dataBar" priority="19">
      <dataBar>
        <cfvo type="num" val="0"/>
        <cfvo type="num" val="1"/>
        <color rgb="FF63C384"/>
      </dataBar>
      <extLst>
        <ext xmlns:x14="http://schemas.microsoft.com/office/spreadsheetml/2009/9/main" uri="{B025F937-C7B1-47D3-B67F-A62EFF666E3E}">
          <x14:id>{173D2478-50FA-4DE8-A72F-805346C37CA4}</x14:id>
        </ext>
      </extLst>
    </cfRule>
  </conditionalFormatting>
  <conditionalFormatting sqref="I389:I390">
    <cfRule type="dataBar" priority="9">
      <dataBar>
        <cfvo type="num" val="0"/>
        <cfvo type="num" val="1"/>
        <color rgb="FF63C384"/>
      </dataBar>
      <extLst>
        <ext xmlns:x14="http://schemas.microsoft.com/office/spreadsheetml/2009/9/main" uri="{B025F937-C7B1-47D3-B67F-A62EFF666E3E}">
          <x14:id>{9A6B0F53-D5AC-4DEE-A9E7-857F775F47B1}</x14:id>
        </ext>
      </extLst>
    </cfRule>
  </conditionalFormatting>
  <conditionalFormatting sqref="I391:I392">
    <cfRule type="dataBar" priority="10">
      <dataBar>
        <cfvo type="num" val="0"/>
        <cfvo type="num" val="1"/>
        <color rgb="FF63C384"/>
      </dataBar>
      <extLst>
        <ext xmlns:x14="http://schemas.microsoft.com/office/spreadsheetml/2009/9/main" uri="{B025F937-C7B1-47D3-B67F-A62EFF666E3E}">
          <x14:id>{7E6F482B-99BF-47A6-8DA9-D73DCBC59CC8}</x14:id>
        </ext>
      </extLst>
    </cfRule>
  </conditionalFormatting>
  <conditionalFormatting sqref="I394:I396">
    <cfRule type="dataBar" priority="8">
      <dataBar>
        <cfvo type="num" val="0"/>
        <cfvo type="num" val="1"/>
        <color rgb="FF63C384"/>
      </dataBar>
      <extLst>
        <ext xmlns:x14="http://schemas.microsoft.com/office/spreadsheetml/2009/9/main" uri="{B025F937-C7B1-47D3-B67F-A62EFF666E3E}">
          <x14:id>{E161632E-BF5F-4CF8-B36F-E9306299FAC0}</x14:id>
        </ext>
      </extLst>
    </cfRule>
  </conditionalFormatting>
  <conditionalFormatting sqref="I402">
    <cfRule type="dataBar" priority="2">
      <dataBar>
        <cfvo type="num" val="0"/>
        <cfvo type="num" val="1"/>
        <color rgb="FF63C384"/>
      </dataBar>
      <extLst>
        <ext xmlns:x14="http://schemas.microsoft.com/office/spreadsheetml/2009/9/main" uri="{B025F937-C7B1-47D3-B67F-A62EFF666E3E}">
          <x14:id>{3ED52B4E-BEBE-4A25-8A6B-44C00F9BBA99}</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B727DDE-CB69-460A-89A4-43EDB44359C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G72:G79 G90:G96 G125:H127 G128:G133 G134:H135 H155 H152 G228:G231 G283:G291 H285:H291 I286:I291 G300:G308 H302:H308 I303:I308 G326:I327 G395:G399 H396:H399 I397:I399</xm:sqref>
        </x14:conditionalFormatting>
        <x14:conditionalFormatting xmlns:xm="http://schemas.microsoft.com/office/excel/2006/main">
          <x14:cfRule type="dataBar" id="{59C8AFB1-72D2-4866-A2E3-3DAFDAFD984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G81:G88</xm:sqref>
        </x14:conditionalFormatting>
        <x14:conditionalFormatting xmlns:xm="http://schemas.microsoft.com/office/excel/2006/main">
          <x14:cfRule type="dataBar" id="{74F9EA02-8116-4996-B88E-6F856F98208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G98:G99</xm:sqref>
        </x14:conditionalFormatting>
        <x14:conditionalFormatting xmlns:xm="http://schemas.microsoft.com/office/excel/2006/main">
          <x14:cfRule type="dataBar" id="{1242DCCC-9046-4E49-82D6-803CBAE689F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G100:G106</xm:sqref>
        </x14:conditionalFormatting>
        <x14:conditionalFormatting xmlns:xm="http://schemas.microsoft.com/office/excel/2006/main">
          <x14:cfRule type="dataBar" id="{820FFFEC-4F1B-4997-9EC4-622FE418BB7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G107:G108</xm:sqref>
        </x14:conditionalFormatting>
        <x14:conditionalFormatting xmlns:xm="http://schemas.microsoft.com/office/excel/2006/main">
          <x14:cfRule type="dataBar" id="{4ECAFE2D-DFE2-4929-99D5-87DAAC56771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G109:G115</xm:sqref>
        </x14:conditionalFormatting>
        <x14:conditionalFormatting xmlns:xm="http://schemas.microsoft.com/office/excel/2006/main">
          <x14:cfRule type="dataBar" id="{FA985371-0321-4698-A8D0-96D57C6D936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G116:G117</xm:sqref>
        </x14:conditionalFormatting>
        <x14:conditionalFormatting xmlns:xm="http://schemas.microsoft.com/office/excel/2006/main">
          <x14:cfRule type="dataBar" id="{85C5E097-A47E-4127-B77D-101E367AF00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G118:G124</xm:sqref>
        </x14:conditionalFormatting>
        <x14:conditionalFormatting xmlns:xm="http://schemas.microsoft.com/office/excel/2006/main">
          <x14:cfRule type="dataBar" id="{6B6DC23F-3555-4E58-AFDC-9CD17CB388E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G136:G140 G141:H142</xm:sqref>
        </x14:conditionalFormatting>
        <x14:conditionalFormatting xmlns:xm="http://schemas.microsoft.com/office/excel/2006/main">
          <x14:cfRule type="dataBar" id="{E3EB8C2C-B7A3-42F7-916C-CF2C9204341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G144:G148 G149:H150</xm:sqref>
        </x14:conditionalFormatting>
        <x14:conditionalFormatting xmlns:xm="http://schemas.microsoft.com/office/excel/2006/main">
          <x14:cfRule type="dataBar" id="{FE613FF9-235F-4017-A398-EB3C2C1FFCE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G153:G155</xm:sqref>
        </x14:conditionalFormatting>
        <x14:conditionalFormatting xmlns:xm="http://schemas.microsoft.com/office/excel/2006/main">
          <x14:cfRule type="dataBar" id="{9DC6234E-8D99-4BEA-B570-3157B953A11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G156:G160 G161:H162</xm:sqref>
        </x14:conditionalFormatting>
        <x14:conditionalFormatting xmlns:xm="http://schemas.microsoft.com/office/excel/2006/main">
          <x14:cfRule type="dataBar" id="{457367AC-5BC2-49F1-B2E8-14AF28A05F7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G165:G169</xm:sqref>
        </x14:conditionalFormatting>
        <x14:conditionalFormatting xmlns:xm="http://schemas.microsoft.com/office/excel/2006/main">
          <x14:cfRule type="dataBar" id="{B9D73F34-F586-42F5-8461-1264AD0580E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G170:G174 G175:H176</xm:sqref>
        </x14:conditionalFormatting>
        <x14:conditionalFormatting xmlns:xm="http://schemas.microsoft.com/office/excel/2006/main">
          <x14:cfRule type="dataBar" id="{2C9BBE39-8416-44D4-AF44-BE7C8633DA5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G179:G183</xm:sqref>
        </x14:conditionalFormatting>
        <x14:conditionalFormatting xmlns:xm="http://schemas.microsoft.com/office/excel/2006/main">
          <x14:cfRule type="dataBar" id="{F9750139-9E61-4484-952A-EF7A941BF75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G184:G188 G189:H190</xm:sqref>
        </x14:conditionalFormatting>
        <x14:conditionalFormatting xmlns:xm="http://schemas.microsoft.com/office/excel/2006/main">
          <x14:cfRule type="dataBar" id="{9D284118-CF82-4A01-BCD8-64DDCB9CA3C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G193:G197</xm:sqref>
        </x14:conditionalFormatting>
        <x14:conditionalFormatting xmlns:xm="http://schemas.microsoft.com/office/excel/2006/main">
          <x14:cfRule type="dataBar" id="{20F22547-99D6-4EE7-B7F7-C5EA602E2E3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G198:G202 G203:H204</xm:sqref>
        </x14:conditionalFormatting>
        <x14:conditionalFormatting xmlns:xm="http://schemas.microsoft.com/office/excel/2006/main">
          <x14:cfRule type="dataBar" id="{25EAF5E0-DFB2-444C-93B3-D2445BDE8C2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G207:G212</xm:sqref>
        </x14:conditionalFormatting>
        <x14:conditionalFormatting xmlns:xm="http://schemas.microsoft.com/office/excel/2006/main">
          <x14:cfRule type="dataBar" id="{237712C2-9C14-4318-A129-283C2832446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G213:G217 G218:H219</xm:sqref>
        </x14:conditionalFormatting>
        <x14:conditionalFormatting xmlns:xm="http://schemas.microsoft.com/office/excel/2006/main">
          <x14:cfRule type="dataBar" id="{0653ACA9-DBAD-4723-9439-300DB689DF1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G222:G227</xm:sqref>
        </x14:conditionalFormatting>
        <x14:conditionalFormatting xmlns:xm="http://schemas.microsoft.com/office/excel/2006/main">
          <x14:cfRule type="dataBar" id="{F6EFC0DF-9325-451C-BFAC-00AEE1F8FA6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G236:G242</xm:sqref>
        </x14:conditionalFormatting>
        <x14:conditionalFormatting xmlns:xm="http://schemas.microsoft.com/office/excel/2006/main">
          <x14:cfRule type="dataBar" id="{D57DCA8E-C505-40FF-AD34-6BC0C1BEDF9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G243:G246</xm:sqref>
        </x14:conditionalFormatting>
        <x14:conditionalFormatting xmlns:xm="http://schemas.microsoft.com/office/excel/2006/main">
          <x14:cfRule type="dataBar" id="{4C97B817-4498-4D2E-A5D8-AEB90E4FD2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G251:G257</xm:sqref>
        </x14:conditionalFormatting>
        <x14:conditionalFormatting xmlns:xm="http://schemas.microsoft.com/office/excel/2006/main">
          <x14:cfRule type="dataBar" id="{F0E7E815-0D24-4CDD-92C7-2444B8B8E09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G258:G261</xm:sqref>
        </x14:conditionalFormatting>
        <x14:conditionalFormatting xmlns:xm="http://schemas.microsoft.com/office/excel/2006/main">
          <x14:cfRule type="dataBar" id="{19725021-565F-44F9-A72D-B4FF0643FB0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G266:G274</xm:sqref>
        </x14:conditionalFormatting>
        <x14:conditionalFormatting xmlns:xm="http://schemas.microsoft.com/office/excel/2006/main">
          <x14:cfRule type="dataBar" id="{3D6B1E06-81CE-47A3-8E3A-993E649C80C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G275:G278</xm:sqref>
        </x14:conditionalFormatting>
        <x14:conditionalFormatting xmlns:xm="http://schemas.microsoft.com/office/excel/2006/main">
          <x14:cfRule type="dataBar" id="{71248D61-B12F-4105-ADDE-CB5BD67A5D4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G292:G295</xm:sqref>
        </x14:conditionalFormatting>
        <x14:conditionalFormatting xmlns:xm="http://schemas.microsoft.com/office/excel/2006/main">
          <x14:cfRule type="dataBar" id="{B67CF799-9274-4EFC-832A-7823AD42611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G309:G312</xm:sqref>
        </x14:conditionalFormatting>
        <x14:conditionalFormatting xmlns:xm="http://schemas.microsoft.com/office/excel/2006/main">
          <x14:cfRule type="dataBar" id="{D98DDF6A-04A9-4F3A-BF73-27A1F20CEC6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G317:G325 I320:I325 H319:H325</xm:sqref>
        </x14:conditionalFormatting>
        <x14:conditionalFormatting xmlns:xm="http://schemas.microsoft.com/office/excel/2006/main">
          <x14:cfRule type="dataBar" id="{A9295157-6313-4475-AA80-F9FE0EDE5A3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G328:G331</xm:sqref>
        </x14:conditionalFormatting>
        <x14:conditionalFormatting xmlns:xm="http://schemas.microsoft.com/office/excel/2006/main">
          <x14:cfRule type="dataBar" id="{4219E618-7D70-4113-835B-5F4D43777F9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G336:G344 I339:I344 H338:H344</xm:sqref>
        </x14:conditionalFormatting>
        <x14:conditionalFormatting xmlns:xm="http://schemas.microsoft.com/office/excel/2006/main">
          <x14:cfRule type="dataBar" id="{AAF68AA5-0D9E-45A0-905B-9762B08A9E9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G347:G350</xm:sqref>
        </x14:conditionalFormatting>
        <x14:conditionalFormatting xmlns:xm="http://schemas.microsoft.com/office/excel/2006/main">
          <x14:cfRule type="dataBar" id="{5955D89C-CF2E-4166-AD9C-0E53C460AE1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G355:G363 I358:I363 H357:H363</xm:sqref>
        </x14:conditionalFormatting>
        <x14:conditionalFormatting xmlns:xm="http://schemas.microsoft.com/office/excel/2006/main">
          <x14:cfRule type="dataBar" id="{8E95E9C4-ADC3-452F-940E-9F3DB27252B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G366</xm:sqref>
        </x14:conditionalFormatting>
        <x14:conditionalFormatting xmlns:xm="http://schemas.microsoft.com/office/excel/2006/main">
          <x14:cfRule type="dataBar" id="{13339C35-9F91-46FB-B970-4A6B50AB447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G367:G370</xm:sqref>
        </x14:conditionalFormatting>
        <x14:conditionalFormatting xmlns:xm="http://schemas.microsoft.com/office/excel/2006/main">
          <x14:cfRule type="dataBar" id="{0AF0C01A-F783-4370-B5BA-CE5157975AA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G375:G383 I378:I383 H377:H383</xm:sqref>
        </x14:conditionalFormatting>
        <x14:conditionalFormatting xmlns:xm="http://schemas.microsoft.com/office/excel/2006/main">
          <x14:cfRule type="dataBar" id="{95ABF3DD-DC56-414B-928F-E663E2F1231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G386</xm:sqref>
        </x14:conditionalFormatting>
        <x14:conditionalFormatting xmlns:xm="http://schemas.microsoft.com/office/excel/2006/main">
          <x14:cfRule type="dataBar" id="{FE1632C8-F487-4B10-839D-310DA196EAA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G387:G390</xm:sqref>
        </x14:conditionalFormatting>
        <x14:conditionalFormatting xmlns:xm="http://schemas.microsoft.com/office/excel/2006/main">
          <x14:cfRule type="dataBar" id="{6CA53515-0D09-40E3-B571-FAE7011637F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G402</xm:sqref>
        </x14:conditionalFormatting>
        <x14:conditionalFormatting xmlns:xm="http://schemas.microsoft.com/office/excel/2006/main">
          <x14:cfRule type="dataBar" id="{E31995A2-11A6-4467-B8A6-C768B2B310B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G80:H80 H76:H79</xm:sqref>
        </x14:conditionalFormatting>
        <x14:conditionalFormatting xmlns:xm="http://schemas.microsoft.com/office/excel/2006/main">
          <x14:cfRule type="dataBar" id="{B33EDE67-7672-489D-AA38-7C8D72C448D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G89:H89 H85:H86 H88</xm:sqref>
        </x14:conditionalFormatting>
        <x14:conditionalFormatting xmlns:xm="http://schemas.microsoft.com/office/excel/2006/main">
          <x14:cfRule type="dataBar" id="{F8BCCE3A-4668-463D-94F3-93B6668C977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G97:H97 H94:H96</xm:sqref>
        </x14:conditionalFormatting>
        <x14:conditionalFormatting xmlns:xm="http://schemas.microsoft.com/office/excel/2006/main">
          <x14:cfRule type="dataBar" id="{53381200-FB3A-4234-BDBE-7126C3FD354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G143:H143</xm:sqref>
        </x14:conditionalFormatting>
        <x14:conditionalFormatting xmlns:xm="http://schemas.microsoft.com/office/excel/2006/main">
          <x14:cfRule type="dataBar" id="{269E5644-3FD5-497C-96C3-04DB26B08B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G151:H152</xm:sqref>
        </x14:conditionalFormatting>
        <x14:conditionalFormatting xmlns:xm="http://schemas.microsoft.com/office/excel/2006/main">
          <x14:cfRule type="dataBar" id="{8BB33C94-B70B-4406-AA5E-7944A18E1F2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G163:H164</xm:sqref>
        </x14:conditionalFormatting>
        <x14:conditionalFormatting xmlns:xm="http://schemas.microsoft.com/office/excel/2006/main">
          <x14:cfRule type="dataBar" id="{90556DF3-8279-4535-AC61-868DCF07D61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G177:H178</xm:sqref>
        </x14:conditionalFormatting>
        <x14:conditionalFormatting xmlns:xm="http://schemas.microsoft.com/office/excel/2006/main">
          <x14:cfRule type="dataBar" id="{4D3DE2E6-1E97-4A18-AD63-FE7F472C6B6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G191:H192</xm:sqref>
        </x14:conditionalFormatting>
        <x14:conditionalFormatting xmlns:xm="http://schemas.microsoft.com/office/excel/2006/main">
          <x14:cfRule type="dataBar" id="{C192C7F8-65D8-42A4-A1F9-63E2E0D8181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G205:H206</xm:sqref>
        </x14:conditionalFormatting>
        <x14:conditionalFormatting xmlns:xm="http://schemas.microsoft.com/office/excel/2006/main">
          <x14:cfRule type="dataBar" id="{E41E9482-FA73-42E1-8C1F-0C351B1A628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G220:H221</xm:sqref>
        </x14:conditionalFormatting>
        <x14:conditionalFormatting xmlns:xm="http://schemas.microsoft.com/office/excel/2006/main">
          <x14:cfRule type="dataBar" id="{89F25F23-DA14-46E2-ADF2-DE164A98440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G232:H233</xm:sqref>
        </x14:conditionalFormatting>
        <x14:conditionalFormatting xmlns:xm="http://schemas.microsoft.com/office/excel/2006/main">
          <x14:cfRule type="dataBar" id="{5757B274-6BAB-4FFE-9B7D-1B8A7255BA5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G235:H235 G234</xm:sqref>
        </x14:conditionalFormatting>
        <x14:conditionalFormatting xmlns:xm="http://schemas.microsoft.com/office/excel/2006/main">
          <x14:cfRule type="dataBar" id="{C4E2FABF-B50D-48C1-B419-98ABF9DB17C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G247:H248</xm:sqref>
        </x14:conditionalFormatting>
        <x14:conditionalFormatting xmlns:xm="http://schemas.microsoft.com/office/excel/2006/main">
          <x14:cfRule type="dataBar" id="{3EE61231-2AB9-429D-A5A4-119FAA81316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G250:H250 G249</xm:sqref>
        </x14:conditionalFormatting>
        <x14:conditionalFormatting xmlns:xm="http://schemas.microsoft.com/office/excel/2006/main">
          <x14:cfRule type="dataBar" id="{EBEC1F9A-7DD5-4612-86B9-47A2526F9B5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G262:H263</xm:sqref>
        </x14:conditionalFormatting>
        <x14:conditionalFormatting xmlns:xm="http://schemas.microsoft.com/office/excel/2006/main">
          <x14:cfRule type="dataBar" id="{E65AEB16-FD5B-4052-8CF7-42D4B1E4F74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G265:H265 G264</xm:sqref>
        </x14:conditionalFormatting>
        <x14:conditionalFormatting xmlns:xm="http://schemas.microsoft.com/office/excel/2006/main">
          <x14:cfRule type="dataBar" id="{7D2C9590-DE54-42D9-AA6F-0D0007C6FAE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G279:H280</xm:sqref>
        </x14:conditionalFormatting>
        <x14:conditionalFormatting xmlns:xm="http://schemas.microsoft.com/office/excel/2006/main">
          <x14:cfRule type="dataBar" id="{20254F77-C842-432B-9648-0599B0BAAE0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G282:H282 G281</xm:sqref>
        </x14:conditionalFormatting>
        <x14:conditionalFormatting xmlns:xm="http://schemas.microsoft.com/office/excel/2006/main">
          <x14:cfRule type="dataBar" id="{35125B91-980A-49F5-8442-A716CAE94E3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G296:H297</xm:sqref>
        </x14:conditionalFormatting>
        <x14:conditionalFormatting xmlns:xm="http://schemas.microsoft.com/office/excel/2006/main">
          <x14:cfRule type="dataBar" id="{C67A2C57-5A22-4429-99E8-193CD7E82AA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G299:H299 G298</xm:sqref>
        </x14:conditionalFormatting>
        <x14:conditionalFormatting xmlns:xm="http://schemas.microsoft.com/office/excel/2006/main">
          <x14:cfRule type="dataBar" id="{FEB315CB-C9DB-4C17-BC4D-A5CC4D49A3F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G313:H314</xm:sqref>
        </x14:conditionalFormatting>
        <x14:conditionalFormatting xmlns:xm="http://schemas.microsoft.com/office/excel/2006/main">
          <x14:cfRule type="dataBar" id="{08D93D8F-7D8F-4CD8-8A7F-5A98916DDF8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G316:H316 G315</xm:sqref>
        </x14:conditionalFormatting>
        <x14:conditionalFormatting xmlns:xm="http://schemas.microsoft.com/office/excel/2006/main">
          <x14:cfRule type="dataBar" id="{E240E814-4D11-41C0-9ECE-F8084EB0AE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G332:H333</xm:sqref>
        </x14:conditionalFormatting>
        <x14:conditionalFormatting xmlns:xm="http://schemas.microsoft.com/office/excel/2006/main">
          <x14:cfRule type="dataBar" id="{C14146A3-80A2-4307-8DC3-E04E7A36BEE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G335:H335 G334</xm:sqref>
        </x14:conditionalFormatting>
        <x14:conditionalFormatting xmlns:xm="http://schemas.microsoft.com/office/excel/2006/main">
          <x14:cfRule type="dataBar" id="{42ED7E49-4B72-46A8-AF7D-F1F745F6552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G351:H352</xm:sqref>
        </x14:conditionalFormatting>
        <x14:conditionalFormatting xmlns:xm="http://schemas.microsoft.com/office/excel/2006/main">
          <x14:cfRule type="dataBar" id="{4F76C9FF-5953-4A89-97F1-E9E379644B8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G354:H354 G353</xm:sqref>
        </x14:conditionalFormatting>
        <x14:conditionalFormatting xmlns:xm="http://schemas.microsoft.com/office/excel/2006/main">
          <x14:cfRule type="dataBar" id="{F42CAB33-B1DF-4391-9F94-2AF5DC7790E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G371:H372</xm:sqref>
        </x14:conditionalFormatting>
        <x14:conditionalFormatting xmlns:xm="http://schemas.microsoft.com/office/excel/2006/main">
          <x14:cfRule type="dataBar" id="{08DFE613-606E-4EB6-BDD4-5774278FF38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G374:H374 G373</xm:sqref>
        </x14:conditionalFormatting>
        <x14:conditionalFormatting xmlns:xm="http://schemas.microsoft.com/office/excel/2006/main">
          <x14:cfRule type="dataBar" id="{110A5A37-F3DF-416E-A41C-C19E89D06AA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G391:H392</xm:sqref>
        </x14:conditionalFormatting>
        <x14:conditionalFormatting xmlns:xm="http://schemas.microsoft.com/office/excel/2006/main">
          <x14:cfRule type="dataBar" id="{5B9DAD54-0B2B-4085-B036-B231CA5F2F1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G394:H394 G393</xm:sqref>
        </x14:conditionalFormatting>
        <x14:conditionalFormatting xmlns:xm="http://schemas.microsoft.com/office/excel/2006/main">
          <x14:cfRule type="dataBar" id="{DD2FB232-056F-49E2-9F69-8D4F7740F1A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G345:I346</xm:sqref>
        </x14:conditionalFormatting>
        <x14:conditionalFormatting xmlns:xm="http://schemas.microsoft.com/office/excel/2006/main">
          <x14:cfRule type="dataBar" id="{C63C5E81-03F0-4DF9-BA0A-53288633323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G364:I365</xm:sqref>
        </x14:conditionalFormatting>
        <x14:conditionalFormatting xmlns:xm="http://schemas.microsoft.com/office/excel/2006/main">
          <x14:cfRule type="dataBar" id="{C812F6D3-8B83-4E89-B45D-B9BF9C541B3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G384:I385</xm:sqref>
        </x14:conditionalFormatting>
        <x14:conditionalFormatting xmlns:xm="http://schemas.microsoft.com/office/excel/2006/main">
          <x14:cfRule type="dataBar" id="{2B8E52FA-461D-4B30-B97E-8D616CB29BA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G400:I401</xm:sqref>
        </x14:conditionalFormatting>
        <x14:conditionalFormatting xmlns:xm="http://schemas.microsoft.com/office/excel/2006/main">
          <x14:cfRule type="dataBar" id="{DF4BDFF3-47C1-4865-897C-F2EE0D7FBA2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H27:H29 G63:G70</xm:sqref>
        </x14:conditionalFormatting>
        <x14:conditionalFormatting xmlns:xm="http://schemas.microsoft.com/office/excel/2006/main">
          <x14:cfRule type="dataBar" id="{D457EEC4-39EB-40A7-8C86-106189E67DF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H38:H40</xm:sqref>
        </x14:conditionalFormatting>
        <x14:conditionalFormatting xmlns:xm="http://schemas.microsoft.com/office/excel/2006/main">
          <x14:cfRule type="dataBar" id="{8D1D8DF7-045A-48B0-A00A-4D93209F8F3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H41</xm:sqref>
        </x14:conditionalFormatting>
        <x14:conditionalFormatting xmlns:xm="http://schemas.microsoft.com/office/excel/2006/main">
          <x14:cfRule type="dataBar" id="{6BCDC415-6B5B-4DC4-8AF8-285B8D1380C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H48:H51</xm:sqref>
        </x14:conditionalFormatting>
        <x14:conditionalFormatting xmlns:xm="http://schemas.microsoft.com/office/excel/2006/main">
          <x14:cfRule type="dataBar" id="{03E510B4-96D5-4637-8B49-65565A59AB9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H58:H61 G3:G61 G62:H62</xm:sqref>
        </x14:conditionalFormatting>
        <x14:conditionalFormatting xmlns:xm="http://schemas.microsoft.com/office/excel/2006/main">
          <x14:cfRule type="dataBar" id="{42495CAE-7C64-43AF-BFEE-B250B4C9B1D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H67:H70 G71:H71</xm:sqref>
        </x14:conditionalFormatting>
        <x14:conditionalFormatting xmlns:xm="http://schemas.microsoft.com/office/excel/2006/main">
          <x14:cfRule type="dataBar" id="{C67D2878-A2B3-4AEF-AFEB-1B29AD738E6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H98:H99</xm:sqref>
        </x14:conditionalFormatting>
        <x14:conditionalFormatting xmlns:xm="http://schemas.microsoft.com/office/excel/2006/main">
          <x14:cfRule type="dataBar" id="{C36F05AC-EA41-4688-8DCF-25D1A03592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H104:H106</xm:sqref>
        </x14:conditionalFormatting>
        <x14:conditionalFormatting xmlns:xm="http://schemas.microsoft.com/office/excel/2006/main">
          <x14:cfRule type="dataBar" id="{227CB08C-FADF-4A40-8CD3-67C7A0E9122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H107:H108</xm:sqref>
        </x14:conditionalFormatting>
        <x14:conditionalFormatting xmlns:xm="http://schemas.microsoft.com/office/excel/2006/main">
          <x14:cfRule type="dataBar" id="{7E7CE1AF-3A95-4D77-BF30-59F0FA3E4B5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H113:H115</xm:sqref>
        </x14:conditionalFormatting>
        <x14:conditionalFormatting xmlns:xm="http://schemas.microsoft.com/office/excel/2006/main">
          <x14:cfRule type="dataBar" id="{0D7B1BE9-E374-4963-88DE-04211A5FE33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H116:H117</xm:sqref>
        </x14:conditionalFormatting>
        <x14:conditionalFormatting xmlns:xm="http://schemas.microsoft.com/office/excel/2006/main">
          <x14:cfRule type="dataBar" id="{1732A2B1-D64D-4B97-9608-DACBC3CBEDB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H122:H124</xm:sqref>
        </x14:conditionalFormatting>
        <x14:conditionalFormatting xmlns:xm="http://schemas.microsoft.com/office/excel/2006/main">
          <x14:cfRule type="dataBar" id="{227B1509-BA50-4B17-98A5-C8E9DC60169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H131:H133</xm:sqref>
        </x14:conditionalFormatting>
        <x14:conditionalFormatting xmlns:xm="http://schemas.microsoft.com/office/excel/2006/main">
          <x14:cfRule type="dataBar" id="{5C4E1140-6929-4454-9E17-96BAE715B0F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H139:H140</xm:sqref>
        </x14:conditionalFormatting>
        <x14:conditionalFormatting xmlns:xm="http://schemas.microsoft.com/office/excel/2006/main">
          <x14:cfRule type="dataBar" id="{F4EB1BE9-8E1A-403C-9B4E-D96E227BC00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H147:H148</xm:sqref>
        </x14:conditionalFormatting>
        <x14:conditionalFormatting xmlns:xm="http://schemas.microsoft.com/office/excel/2006/main">
          <x14:cfRule type="dataBar" id="{30BF3CA5-3638-4C90-9BD5-E9B13F52205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H153:H154</xm:sqref>
        </x14:conditionalFormatting>
        <x14:conditionalFormatting xmlns:xm="http://schemas.microsoft.com/office/excel/2006/main">
          <x14:cfRule type="dataBar" id="{F7B11103-5422-407A-A8DF-9FB82511954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H159:H160</xm:sqref>
        </x14:conditionalFormatting>
        <x14:conditionalFormatting xmlns:xm="http://schemas.microsoft.com/office/excel/2006/main">
          <x14:cfRule type="dataBar" id="{6F6AE4B1-D546-41C4-82E1-E1B73AAC241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H165:H166</xm:sqref>
        </x14:conditionalFormatting>
        <x14:conditionalFormatting xmlns:xm="http://schemas.microsoft.com/office/excel/2006/main">
          <x14:cfRule type="dataBar" id="{2ADDEE6A-DA89-409F-A607-72468DCD97C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H167:H169 H164</xm:sqref>
        </x14:conditionalFormatting>
        <x14:conditionalFormatting xmlns:xm="http://schemas.microsoft.com/office/excel/2006/main">
          <x14:cfRule type="dataBar" id="{91757F93-76B8-4BE0-8FD8-36ABDD98708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H173:H174</xm:sqref>
        </x14:conditionalFormatting>
        <x14:conditionalFormatting xmlns:xm="http://schemas.microsoft.com/office/excel/2006/main">
          <x14:cfRule type="dataBar" id="{C503AA1D-6AA1-4FDB-8C9F-6FE111068AD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H179:H180</xm:sqref>
        </x14:conditionalFormatting>
        <x14:conditionalFormatting xmlns:xm="http://schemas.microsoft.com/office/excel/2006/main">
          <x14:cfRule type="dataBar" id="{F4DFA62E-8189-46D3-8B3E-5D670688A9A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H181</xm:sqref>
        </x14:conditionalFormatting>
        <x14:conditionalFormatting xmlns:xm="http://schemas.microsoft.com/office/excel/2006/main">
          <x14:cfRule type="dataBar" id="{3BB8FF38-2CF4-48AB-93DE-8F422636E3B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H182:H183 H178</xm:sqref>
        </x14:conditionalFormatting>
        <x14:conditionalFormatting xmlns:xm="http://schemas.microsoft.com/office/excel/2006/main">
          <x14:cfRule type="dataBar" id="{8A76C04E-B968-4760-B094-3C6E3718396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H187:H188</xm:sqref>
        </x14:conditionalFormatting>
        <x14:conditionalFormatting xmlns:xm="http://schemas.microsoft.com/office/excel/2006/main">
          <x14:cfRule type="dataBar" id="{905541CB-0EC9-44E3-A26A-D97B172B4BF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H193:H194</xm:sqref>
        </x14:conditionalFormatting>
        <x14:conditionalFormatting xmlns:xm="http://schemas.microsoft.com/office/excel/2006/main">
          <x14:cfRule type="dataBar" id="{FF357C45-CCE9-41C3-9952-093645E0E7D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H195</xm:sqref>
        </x14:conditionalFormatting>
        <x14:conditionalFormatting xmlns:xm="http://schemas.microsoft.com/office/excel/2006/main">
          <x14:cfRule type="dataBar" id="{FE98FBCA-91EA-4FB4-852D-A853954BB39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H196:H197 H192</xm:sqref>
        </x14:conditionalFormatting>
        <x14:conditionalFormatting xmlns:xm="http://schemas.microsoft.com/office/excel/2006/main">
          <x14:cfRule type="dataBar" id="{AE829EBD-CE34-4055-B89D-CC474990198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H201:H202</xm:sqref>
        </x14:conditionalFormatting>
        <x14:conditionalFormatting xmlns:xm="http://schemas.microsoft.com/office/excel/2006/main">
          <x14:cfRule type="dataBar" id="{3A179607-4DA5-449B-940C-A109D5B5345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H207:H208</xm:sqref>
        </x14:conditionalFormatting>
        <x14:conditionalFormatting xmlns:xm="http://schemas.microsoft.com/office/excel/2006/main">
          <x14:cfRule type="dataBar" id="{5326CB04-076D-496A-84F9-9734917FA66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H209</xm:sqref>
        </x14:conditionalFormatting>
        <x14:conditionalFormatting xmlns:xm="http://schemas.microsoft.com/office/excel/2006/main">
          <x14:cfRule type="dataBar" id="{C7C61F80-EAE2-4D05-B884-D1F1DD0CD8E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H210:H212 H206</xm:sqref>
        </x14:conditionalFormatting>
        <x14:conditionalFormatting xmlns:xm="http://schemas.microsoft.com/office/excel/2006/main">
          <x14:cfRule type="dataBar" id="{26A92CF9-7353-4713-AF22-DA596BA4383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H216:H217</xm:sqref>
        </x14:conditionalFormatting>
        <x14:conditionalFormatting xmlns:xm="http://schemas.microsoft.com/office/excel/2006/main">
          <x14:cfRule type="dataBar" id="{F17DC581-C803-4AA4-AFA8-F6C6980D00D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H222:H223</xm:sqref>
        </x14:conditionalFormatting>
        <x14:conditionalFormatting xmlns:xm="http://schemas.microsoft.com/office/excel/2006/main">
          <x14:cfRule type="dataBar" id="{22E7AE18-A212-4277-B248-475CFD1D1D9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H224</xm:sqref>
        </x14:conditionalFormatting>
        <x14:conditionalFormatting xmlns:xm="http://schemas.microsoft.com/office/excel/2006/main">
          <x14:cfRule type="dataBar" id="{6B8127B4-9A5A-4194-A46F-BE929C1C2E4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H225:H227 H221</xm:sqref>
        </x14:conditionalFormatting>
        <x14:conditionalFormatting xmlns:xm="http://schemas.microsoft.com/office/excel/2006/main">
          <x14:cfRule type="dataBar" id="{218CA3F9-5CDC-44CD-9349-DCFAA1507A8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H230:H231</xm:sqref>
        </x14:conditionalFormatting>
        <x14:conditionalFormatting xmlns:xm="http://schemas.microsoft.com/office/excel/2006/main">
          <x14:cfRule type="dataBar" id="{20420191-EB1E-43B2-9896-E3D75BE18C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H236:H237</xm:sqref>
        </x14:conditionalFormatting>
        <x14:conditionalFormatting xmlns:xm="http://schemas.microsoft.com/office/excel/2006/main">
          <x14:cfRule type="dataBar" id="{EB8D2E76-4B46-4F91-A335-F78D3944DE5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H238</xm:sqref>
        </x14:conditionalFormatting>
        <x14:conditionalFormatting xmlns:xm="http://schemas.microsoft.com/office/excel/2006/main">
          <x14:cfRule type="dataBar" id="{419EEE8A-645A-4499-82F8-E83ACC7D37C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H239:H242 H235</xm:sqref>
        </x14:conditionalFormatting>
        <x14:conditionalFormatting xmlns:xm="http://schemas.microsoft.com/office/excel/2006/main">
          <x14:cfRule type="dataBar" id="{942F3C38-E138-4926-B15D-B1970A69328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H245:H246</xm:sqref>
        </x14:conditionalFormatting>
        <x14:conditionalFormatting xmlns:xm="http://schemas.microsoft.com/office/excel/2006/main">
          <x14:cfRule type="dataBar" id="{DE25C2D2-AC51-4053-8BE8-1899F368A43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H251:H252</xm:sqref>
        </x14:conditionalFormatting>
        <x14:conditionalFormatting xmlns:xm="http://schemas.microsoft.com/office/excel/2006/main">
          <x14:cfRule type="dataBar" id="{E601F46A-F57D-45D4-9979-B59B89B48FD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H253</xm:sqref>
        </x14:conditionalFormatting>
        <x14:conditionalFormatting xmlns:xm="http://schemas.microsoft.com/office/excel/2006/main">
          <x14:cfRule type="dataBar" id="{F1BE9DDD-CAD0-4DA2-B620-3F217E8EC4B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H254:H257 H250</xm:sqref>
        </x14:conditionalFormatting>
        <x14:conditionalFormatting xmlns:xm="http://schemas.microsoft.com/office/excel/2006/main">
          <x14:cfRule type="dataBar" id="{11EF204D-757D-4E45-9A68-EC5575D9DED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H260:H261</xm:sqref>
        </x14:conditionalFormatting>
        <x14:conditionalFormatting xmlns:xm="http://schemas.microsoft.com/office/excel/2006/main">
          <x14:cfRule type="dataBar" id="{668BE7B4-76B4-4FDB-89BE-406287AB0A4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H266:H267</xm:sqref>
        </x14:conditionalFormatting>
        <x14:conditionalFormatting xmlns:xm="http://schemas.microsoft.com/office/excel/2006/main">
          <x14:cfRule type="dataBar" id="{1AC9E52A-2BA4-48BA-A08F-16FDEC4B7F6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H268</xm:sqref>
        </x14:conditionalFormatting>
        <x14:conditionalFormatting xmlns:xm="http://schemas.microsoft.com/office/excel/2006/main">
          <x14:cfRule type="dataBar" id="{598392E1-9930-4DB1-883E-100F5B8E20A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H269:H274 H265</xm:sqref>
        </x14:conditionalFormatting>
        <x14:conditionalFormatting xmlns:xm="http://schemas.microsoft.com/office/excel/2006/main">
          <x14:cfRule type="dataBar" id="{AA86CE50-E075-4C5D-8A85-3A48D860EAC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H277</xm:sqref>
        </x14:conditionalFormatting>
        <x14:conditionalFormatting xmlns:xm="http://schemas.microsoft.com/office/excel/2006/main">
          <x14:cfRule type="dataBar" id="{6C991757-23BC-4F79-B65F-B8D0EC1E744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H278</xm:sqref>
        </x14:conditionalFormatting>
        <x14:conditionalFormatting xmlns:xm="http://schemas.microsoft.com/office/excel/2006/main">
          <x14:cfRule type="dataBar" id="{4112FA39-061E-4874-9D93-030CCEB6694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H282</xm:sqref>
        </x14:conditionalFormatting>
        <x14:conditionalFormatting xmlns:xm="http://schemas.microsoft.com/office/excel/2006/main">
          <x14:cfRule type="dataBar" id="{47819D78-4495-4D65-AE19-D3BA7905AFD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H283</xm:sqref>
        </x14:conditionalFormatting>
        <x14:conditionalFormatting xmlns:xm="http://schemas.microsoft.com/office/excel/2006/main">
          <x14:cfRule type="dataBar" id="{B9A68409-8F89-430D-823E-D6331446311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H284</xm:sqref>
        </x14:conditionalFormatting>
        <x14:conditionalFormatting xmlns:xm="http://schemas.microsoft.com/office/excel/2006/main">
          <x14:cfRule type="dataBar" id="{D36FECAC-127A-4CCE-A60C-D929C3405A5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H293:H294</xm:sqref>
        </x14:conditionalFormatting>
        <x14:conditionalFormatting xmlns:xm="http://schemas.microsoft.com/office/excel/2006/main">
          <x14:cfRule type="dataBar" id="{55CFE371-AF63-48C0-8FCD-1CC9FF063DE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H295</xm:sqref>
        </x14:conditionalFormatting>
        <x14:conditionalFormatting xmlns:xm="http://schemas.microsoft.com/office/excel/2006/main">
          <x14:cfRule type="dataBar" id="{CCBD2DA5-CD53-4FBF-AFD8-9BA1FC409FA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H299</xm:sqref>
        </x14:conditionalFormatting>
        <x14:conditionalFormatting xmlns:xm="http://schemas.microsoft.com/office/excel/2006/main">
          <x14:cfRule type="dataBar" id="{858EA9D3-A85E-4E60-8AE3-36CE1BE4AC1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H300</xm:sqref>
        </x14:conditionalFormatting>
        <x14:conditionalFormatting xmlns:xm="http://schemas.microsoft.com/office/excel/2006/main">
          <x14:cfRule type="dataBar" id="{DBF6B8E6-4AD5-4460-BF00-EA0E4D4EBB3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H301</xm:sqref>
        </x14:conditionalFormatting>
        <x14:conditionalFormatting xmlns:xm="http://schemas.microsoft.com/office/excel/2006/main">
          <x14:cfRule type="dataBar" id="{5357575F-E98E-4434-B3AD-A1D18227002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H310:H311</xm:sqref>
        </x14:conditionalFormatting>
        <x14:conditionalFormatting xmlns:xm="http://schemas.microsoft.com/office/excel/2006/main">
          <x14:cfRule type="dataBar" id="{B2825B07-5BAB-43FD-8E77-8A4D08F9CEA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H312</xm:sqref>
        </x14:conditionalFormatting>
        <x14:conditionalFormatting xmlns:xm="http://schemas.microsoft.com/office/excel/2006/main">
          <x14:cfRule type="dataBar" id="{A420DDF4-38DA-4AE4-ACA1-22B855B8B22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H316</xm:sqref>
        </x14:conditionalFormatting>
        <x14:conditionalFormatting xmlns:xm="http://schemas.microsoft.com/office/excel/2006/main">
          <x14:cfRule type="dataBar" id="{7A1911FF-3D42-4780-8BC8-2338AC27B7D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H317</xm:sqref>
        </x14:conditionalFormatting>
        <x14:conditionalFormatting xmlns:xm="http://schemas.microsoft.com/office/excel/2006/main">
          <x14:cfRule type="dataBar" id="{4FE5962B-49AA-4F7C-9C8C-49C357AA8D3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H318</xm:sqref>
        </x14:conditionalFormatting>
        <x14:conditionalFormatting xmlns:xm="http://schemas.microsoft.com/office/excel/2006/main">
          <x14:cfRule type="dataBar" id="{1BA80225-595F-45C9-8984-248436C78F8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H329:H330</xm:sqref>
        </x14:conditionalFormatting>
        <x14:conditionalFormatting xmlns:xm="http://schemas.microsoft.com/office/excel/2006/main">
          <x14:cfRule type="dataBar" id="{B6A56794-E4D5-4337-9CCC-1A2FB98AB63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H331</xm:sqref>
        </x14:conditionalFormatting>
        <x14:conditionalFormatting xmlns:xm="http://schemas.microsoft.com/office/excel/2006/main">
          <x14:cfRule type="dataBar" id="{29A41D32-2F92-47A5-AD3B-414E4C9A570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H335</xm:sqref>
        </x14:conditionalFormatting>
        <x14:conditionalFormatting xmlns:xm="http://schemas.microsoft.com/office/excel/2006/main">
          <x14:cfRule type="dataBar" id="{8954A102-2CF1-4763-B207-3E99F1A0AA9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H336</xm:sqref>
        </x14:conditionalFormatting>
        <x14:conditionalFormatting xmlns:xm="http://schemas.microsoft.com/office/excel/2006/main">
          <x14:cfRule type="dataBar" id="{05911BA8-8EF0-42C9-B2C7-A2FFFAABC94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H337</xm:sqref>
        </x14:conditionalFormatting>
        <x14:conditionalFormatting xmlns:xm="http://schemas.microsoft.com/office/excel/2006/main">
          <x14:cfRule type="dataBar" id="{BE5C8494-D18E-4025-8B76-04C0EF9A6AB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H348:H349</xm:sqref>
        </x14:conditionalFormatting>
        <x14:conditionalFormatting xmlns:xm="http://schemas.microsoft.com/office/excel/2006/main">
          <x14:cfRule type="dataBar" id="{FC3FC421-DA41-4310-9903-A07799C9C34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H350</xm:sqref>
        </x14:conditionalFormatting>
        <x14:conditionalFormatting xmlns:xm="http://schemas.microsoft.com/office/excel/2006/main">
          <x14:cfRule type="dataBar" id="{5717E07B-98F7-4F9A-9C2B-30DD3394013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H354</xm:sqref>
        </x14:conditionalFormatting>
        <x14:conditionalFormatting xmlns:xm="http://schemas.microsoft.com/office/excel/2006/main">
          <x14:cfRule type="dataBar" id="{8093D7DE-BF1F-4E75-9A5F-85D757B6D1C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H355</xm:sqref>
        </x14:conditionalFormatting>
        <x14:conditionalFormatting xmlns:xm="http://schemas.microsoft.com/office/excel/2006/main">
          <x14:cfRule type="dataBar" id="{5BF32BC1-F177-4BC0-9358-92E98D12EC8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H356</xm:sqref>
        </x14:conditionalFormatting>
        <x14:conditionalFormatting xmlns:xm="http://schemas.microsoft.com/office/excel/2006/main">
          <x14:cfRule type="dataBar" id="{82247DC4-4158-4B82-874F-69B2955BC38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H366</xm:sqref>
        </x14:conditionalFormatting>
        <x14:conditionalFormatting xmlns:xm="http://schemas.microsoft.com/office/excel/2006/main">
          <x14:cfRule type="dataBar" id="{C3C019D5-DE88-44A0-83E2-BE26B4F0E75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H368:H369</xm:sqref>
        </x14:conditionalFormatting>
        <x14:conditionalFormatting xmlns:xm="http://schemas.microsoft.com/office/excel/2006/main">
          <x14:cfRule type="dataBar" id="{2A8061C6-AC9D-42E9-AF64-798F9A8D9D4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H370</xm:sqref>
        </x14:conditionalFormatting>
        <x14:conditionalFormatting xmlns:xm="http://schemas.microsoft.com/office/excel/2006/main">
          <x14:cfRule type="dataBar" id="{C618DD10-850A-4258-B783-BC0E7BC66B0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H374</xm:sqref>
        </x14:conditionalFormatting>
        <x14:conditionalFormatting xmlns:xm="http://schemas.microsoft.com/office/excel/2006/main">
          <x14:cfRule type="dataBar" id="{A50C2C57-394D-4C44-A0EB-E58836C205F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H375</xm:sqref>
        </x14:conditionalFormatting>
        <x14:conditionalFormatting xmlns:xm="http://schemas.microsoft.com/office/excel/2006/main">
          <x14:cfRule type="dataBar" id="{B2DBC0CF-976B-46DA-A467-F3BA6FFCFF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H376</xm:sqref>
        </x14:conditionalFormatting>
        <x14:conditionalFormatting xmlns:xm="http://schemas.microsoft.com/office/excel/2006/main">
          <x14:cfRule type="dataBar" id="{F0819705-CE27-4CA8-89B4-2E3B4829E1F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H386</xm:sqref>
        </x14:conditionalFormatting>
        <x14:conditionalFormatting xmlns:xm="http://schemas.microsoft.com/office/excel/2006/main">
          <x14:cfRule type="dataBar" id="{B4A5A17A-786D-4F24-A72B-532F86C536E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H388</xm:sqref>
        </x14:conditionalFormatting>
        <x14:conditionalFormatting xmlns:xm="http://schemas.microsoft.com/office/excel/2006/main">
          <x14:cfRule type="dataBar" id="{81CFA8B0-ADA2-4FC7-B1D0-D8E843E15CF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H389</xm:sqref>
        </x14:conditionalFormatting>
        <x14:conditionalFormatting xmlns:xm="http://schemas.microsoft.com/office/excel/2006/main">
          <x14:cfRule type="dataBar" id="{A8BF51C1-F05A-48C8-A99E-8A39C3EBC1D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H390</xm:sqref>
        </x14:conditionalFormatting>
        <x14:conditionalFormatting xmlns:xm="http://schemas.microsoft.com/office/excel/2006/main">
          <x14:cfRule type="dataBar" id="{16F14030-E611-4098-AD49-1E4F36EF238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H394</xm:sqref>
        </x14:conditionalFormatting>
        <x14:conditionalFormatting xmlns:xm="http://schemas.microsoft.com/office/excel/2006/main">
          <x14:cfRule type="dataBar" id="{7A255FAE-F000-4D9C-876E-74F66956D4A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H395</xm:sqref>
        </x14:conditionalFormatting>
        <x14:conditionalFormatting xmlns:xm="http://schemas.microsoft.com/office/excel/2006/main">
          <x14:cfRule type="dataBar" id="{8D575AAA-9CF7-4808-ACC9-601A4923F36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H402</xm:sqref>
        </x14:conditionalFormatting>
        <x14:conditionalFormatting xmlns:xm="http://schemas.microsoft.com/office/excel/2006/main">
          <x14:cfRule type="dataBar" id="{9E67390D-D446-40E9-8952-D44A489EC37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I245:I246</xm:sqref>
        </x14:conditionalFormatting>
        <x14:conditionalFormatting xmlns:xm="http://schemas.microsoft.com/office/excel/2006/main">
          <x14:cfRule type="dataBar" id="{140091DF-93AA-4CD3-BC0E-1200C14E596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I247:I248</xm:sqref>
        </x14:conditionalFormatting>
        <x14:conditionalFormatting xmlns:xm="http://schemas.microsoft.com/office/excel/2006/main">
          <x14:cfRule type="dataBar" id="{9D140831-F724-4B5E-8B67-A5EE0927F55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I250</xm:sqref>
        </x14:conditionalFormatting>
        <x14:conditionalFormatting xmlns:xm="http://schemas.microsoft.com/office/excel/2006/main">
          <x14:cfRule type="dataBar" id="{A147BAC0-3E9A-4FAA-B452-CDAE9007BC8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I251:I252</xm:sqref>
        </x14:conditionalFormatting>
        <x14:conditionalFormatting xmlns:xm="http://schemas.microsoft.com/office/excel/2006/main">
          <x14:cfRule type="dataBar" id="{E39B5721-006A-48A1-BB89-FCB119F9C9D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I253</xm:sqref>
        </x14:conditionalFormatting>
        <x14:conditionalFormatting xmlns:xm="http://schemas.microsoft.com/office/excel/2006/main">
          <x14:cfRule type="dataBar" id="{63CDE447-BA44-451A-B93D-417AD6FB263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I254:I257 I250</xm:sqref>
        </x14:conditionalFormatting>
        <x14:conditionalFormatting xmlns:xm="http://schemas.microsoft.com/office/excel/2006/main">
          <x14:cfRule type="dataBar" id="{C39DD927-737E-4164-9A71-A310A8F210B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I260:I261</xm:sqref>
        </x14:conditionalFormatting>
        <x14:conditionalFormatting xmlns:xm="http://schemas.microsoft.com/office/excel/2006/main">
          <x14:cfRule type="dataBar" id="{78042A4F-EEE8-4C7D-9DB2-D7167A2DDD4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I262:I263</xm:sqref>
        </x14:conditionalFormatting>
        <x14:conditionalFormatting xmlns:xm="http://schemas.microsoft.com/office/excel/2006/main">
          <x14:cfRule type="dataBar" id="{C8115E7C-C059-4EB7-9F44-4C794A64BD6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I265</xm:sqref>
        </x14:conditionalFormatting>
        <x14:conditionalFormatting xmlns:xm="http://schemas.microsoft.com/office/excel/2006/main">
          <x14:cfRule type="dataBar" id="{C11BF31D-7BE2-4D8E-AE8A-D4717034E01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I266:I267</xm:sqref>
        </x14:conditionalFormatting>
        <x14:conditionalFormatting xmlns:xm="http://schemas.microsoft.com/office/excel/2006/main">
          <x14:cfRule type="dataBar" id="{4904A230-7AF7-4CCC-B7A7-21EF46DACC2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I268</xm:sqref>
        </x14:conditionalFormatting>
        <x14:conditionalFormatting xmlns:xm="http://schemas.microsoft.com/office/excel/2006/main">
          <x14:cfRule type="dataBar" id="{3CACDE2F-3B33-417C-9898-C030038845A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I269:I274 I265</xm:sqref>
        </x14:conditionalFormatting>
        <x14:conditionalFormatting xmlns:xm="http://schemas.microsoft.com/office/excel/2006/main">
          <x14:cfRule type="dataBar" id="{114B09EC-0BE7-4992-8A7F-A3959E4C64D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I277:I278</xm:sqref>
        </x14:conditionalFormatting>
        <x14:conditionalFormatting xmlns:xm="http://schemas.microsoft.com/office/excel/2006/main">
          <x14:cfRule type="dataBar" id="{0FBF0D92-A044-4AE3-97BD-2A364361F92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I279:I280</xm:sqref>
        </x14:conditionalFormatting>
        <x14:conditionalFormatting xmlns:xm="http://schemas.microsoft.com/office/excel/2006/main">
          <x14:cfRule type="dataBar" id="{B7699C27-2DF6-465B-8BA9-985E074CFD3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14:cfRule type="dataBar" id="{D92DAF15-5BD6-48AD-BB13-C00100A6814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I282</xm:sqref>
        </x14:conditionalFormatting>
        <x14:conditionalFormatting xmlns:xm="http://schemas.microsoft.com/office/excel/2006/main">
          <x14:cfRule type="dataBar" id="{18313663-754F-484B-AD74-3826F52A0E8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I283:I284</xm:sqref>
        </x14:conditionalFormatting>
        <x14:conditionalFormatting xmlns:xm="http://schemas.microsoft.com/office/excel/2006/main">
          <x14:cfRule type="dataBar" id="{0CF4109B-A5B4-44AC-94E0-AE6881820DB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I285</xm:sqref>
        </x14:conditionalFormatting>
        <x14:conditionalFormatting xmlns:xm="http://schemas.microsoft.com/office/excel/2006/main">
          <x14:cfRule type="dataBar" id="{BD9B2F5E-2484-46A2-8CCF-44672BFF4E5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I294:I295</xm:sqref>
        </x14:conditionalFormatting>
        <x14:conditionalFormatting xmlns:xm="http://schemas.microsoft.com/office/excel/2006/main">
          <x14:cfRule type="dataBar" id="{D93D5A9A-2369-40A5-871E-78EFCBBCECC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I296:I297</xm:sqref>
        </x14:conditionalFormatting>
        <x14:conditionalFormatting xmlns:xm="http://schemas.microsoft.com/office/excel/2006/main">
          <x14:cfRule type="dataBar" id="{D1EF5D42-517D-42D3-A0BA-F7578C8F360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14:cfRule type="dataBar" id="{D125193D-3533-4393-93D8-70C6CB6BA2A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I299</xm:sqref>
        </x14:conditionalFormatting>
        <x14:conditionalFormatting xmlns:xm="http://schemas.microsoft.com/office/excel/2006/main">
          <x14:cfRule type="dataBar" id="{D1EAC461-D1B2-4659-A1B0-959AD35F3F1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I300:I301</xm:sqref>
        </x14:conditionalFormatting>
        <x14:conditionalFormatting xmlns:xm="http://schemas.microsoft.com/office/excel/2006/main">
          <x14:cfRule type="dataBar" id="{76672DE3-6B6F-42E3-B7A9-F868239A9D4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I302</xm:sqref>
        </x14:conditionalFormatting>
        <x14:conditionalFormatting xmlns:xm="http://schemas.microsoft.com/office/excel/2006/main">
          <x14:cfRule type="dataBar" id="{D4A02E42-8CDE-436E-AF26-9A8309EBE74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I311:I312</xm:sqref>
        </x14:conditionalFormatting>
        <x14:conditionalFormatting xmlns:xm="http://schemas.microsoft.com/office/excel/2006/main">
          <x14:cfRule type="dataBar" id="{4E8A2C8D-171F-4135-B232-6EF60C63D7E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I313:I314</xm:sqref>
        </x14:conditionalFormatting>
        <x14:conditionalFormatting xmlns:xm="http://schemas.microsoft.com/office/excel/2006/main">
          <x14:cfRule type="dataBar" id="{9D2C5564-7593-405A-A800-E783106C4E5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I316:I318</xm:sqref>
        </x14:conditionalFormatting>
        <x14:conditionalFormatting xmlns:xm="http://schemas.microsoft.com/office/excel/2006/main">
          <x14:cfRule type="dataBar" id="{8C27DF9E-2A51-4418-A9D7-1CEBEDD08C6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I319</xm:sqref>
        </x14:conditionalFormatting>
        <x14:conditionalFormatting xmlns:xm="http://schemas.microsoft.com/office/excel/2006/main">
          <x14:cfRule type="dataBar" id="{EC3A640B-FEFF-45CA-B8CE-0A400393326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I330:I331</xm:sqref>
        </x14:conditionalFormatting>
        <x14:conditionalFormatting xmlns:xm="http://schemas.microsoft.com/office/excel/2006/main">
          <x14:cfRule type="dataBar" id="{FF0D4D49-2DD9-40B3-92A5-206D04476B8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I332:I333</xm:sqref>
        </x14:conditionalFormatting>
        <x14:conditionalFormatting xmlns:xm="http://schemas.microsoft.com/office/excel/2006/main">
          <x14:cfRule type="dataBar" id="{DD53186D-907A-496B-83D4-16F9809C737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I335:I337</xm:sqref>
        </x14:conditionalFormatting>
        <x14:conditionalFormatting xmlns:xm="http://schemas.microsoft.com/office/excel/2006/main">
          <x14:cfRule type="dataBar" id="{A5FAC557-0076-4010-8174-566D529E5F8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I338</xm:sqref>
        </x14:conditionalFormatting>
        <x14:conditionalFormatting xmlns:xm="http://schemas.microsoft.com/office/excel/2006/main">
          <x14:cfRule type="dataBar" id="{EBF4186B-B1CE-4E93-9681-7BF239FCCCA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I349:I350</xm:sqref>
        </x14:conditionalFormatting>
        <x14:conditionalFormatting xmlns:xm="http://schemas.microsoft.com/office/excel/2006/main">
          <x14:cfRule type="dataBar" id="{D5C26A83-6EAD-4022-894C-81624737FA7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I351:I352</xm:sqref>
        </x14:conditionalFormatting>
        <x14:conditionalFormatting xmlns:xm="http://schemas.microsoft.com/office/excel/2006/main">
          <x14:cfRule type="dataBar" id="{385CA447-6496-4ED8-9D86-F6C154EC44C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I354:I356</xm:sqref>
        </x14:conditionalFormatting>
        <x14:conditionalFormatting xmlns:xm="http://schemas.microsoft.com/office/excel/2006/main">
          <x14:cfRule type="dataBar" id="{8282E528-9712-41D1-B640-6B6C1582A90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I357</xm:sqref>
        </x14:conditionalFormatting>
        <x14:conditionalFormatting xmlns:xm="http://schemas.microsoft.com/office/excel/2006/main">
          <x14:cfRule type="dataBar" id="{55B99033-6AFA-4837-995F-93D60A96B67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I366</xm:sqref>
        </x14:conditionalFormatting>
        <x14:conditionalFormatting xmlns:xm="http://schemas.microsoft.com/office/excel/2006/main">
          <x14:cfRule type="dataBar" id="{9616C88A-C8D0-4FF0-9A90-95DE3896570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I369:I370</xm:sqref>
        </x14:conditionalFormatting>
        <x14:conditionalFormatting xmlns:xm="http://schemas.microsoft.com/office/excel/2006/main">
          <x14:cfRule type="dataBar" id="{DCAAF2A4-031A-4199-9801-C999D562144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I371:I372</xm:sqref>
        </x14:conditionalFormatting>
        <x14:conditionalFormatting xmlns:xm="http://schemas.microsoft.com/office/excel/2006/main">
          <x14:cfRule type="dataBar" id="{88D9D1CF-E930-422C-A88C-0C2B2A9B176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I374:I376</xm:sqref>
        </x14:conditionalFormatting>
        <x14:conditionalFormatting xmlns:xm="http://schemas.microsoft.com/office/excel/2006/main">
          <x14:cfRule type="dataBar" id="{B2538813-20E8-4E67-87AD-FC719E97C88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I377</xm:sqref>
        </x14:conditionalFormatting>
        <x14:conditionalFormatting xmlns:xm="http://schemas.microsoft.com/office/excel/2006/main">
          <x14:cfRule type="dataBar" id="{173D2478-50FA-4DE8-A72F-805346C37CA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I386</xm:sqref>
        </x14:conditionalFormatting>
        <x14:conditionalFormatting xmlns:xm="http://schemas.microsoft.com/office/excel/2006/main">
          <x14:cfRule type="dataBar" id="{9A6B0F53-D5AC-4DEE-A9E7-857F775F47B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I389:I390</xm:sqref>
        </x14:conditionalFormatting>
        <x14:conditionalFormatting xmlns:xm="http://schemas.microsoft.com/office/excel/2006/main">
          <x14:cfRule type="dataBar" id="{7E6F482B-99BF-47A6-8DA9-D73DCBC59CC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I391:I392</xm:sqref>
        </x14:conditionalFormatting>
        <x14:conditionalFormatting xmlns:xm="http://schemas.microsoft.com/office/excel/2006/main">
          <x14:cfRule type="dataBar" id="{E161632E-BF5F-4CF8-B36F-E9306299FAC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I394:I396</xm:sqref>
        </x14:conditionalFormatting>
        <x14:conditionalFormatting xmlns:xm="http://schemas.microsoft.com/office/excel/2006/main">
          <x14:cfRule type="dataBar" id="{3ED52B4E-BEBE-4A25-8A6B-44C00F9BBA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I402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C5BB-CEC4-4435-92A0-1EF5CF20F490}">
  <sheetPr codeName="Sayfa2"/>
  <dimension ref="C3:N22"/>
  <sheetViews>
    <sheetView showGridLines="0" topLeftCell="B1" zoomScale="85" zoomScaleNormal="85" workbookViewId="0">
      <selection activeCell="J21" sqref="J21"/>
    </sheetView>
  </sheetViews>
  <sheetFormatPr defaultRowHeight="15"/>
  <cols>
    <col min="3" max="3" width="32.140625" bestFit="1" customWidth="1"/>
    <col min="4" max="4" width="23" customWidth="1"/>
    <col min="5" max="5" width="12" customWidth="1"/>
    <col min="6" max="6" width="20.28515625" customWidth="1"/>
    <col min="7" max="7" width="20" customWidth="1"/>
    <col min="8" max="9" width="2.5703125" customWidth="1"/>
    <col min="10" max="10" width="30.7109375" customWidth="1"/>
    <col min="11" max="11" width="28.42578125" customWidth="1"/>
    <col min="12" max="12" width="18.5703125" customWidth="1"/>
    <col min="13" max="13" width="19.28515625" customWidth="1"/>
    <col min="14" max="14" width="11.140625" customWidth="1"/>
    <col min="15" max="15" width="10.7109375" customWidth="1"/>
  </cols>
  <sheetData>
    <row r="3" spans="3:13">
      <c r="D3" s="341" t="s">
        <v>156</v>
      </c>
      <c r="E3" s="342"/>
      <c r="F3" s="342"/>
      <c r="G3" s="343"/>
      <c r="J3" s="341" t="s">
        <v>538</v>
      </c>
      <c r="K3" s="342"/>
      <c r="L3" s="342"/>
      <c r="M3" s="343"/>
    </row>
    <row r="4" spans="3:13" ht="45">
      <c r="C4" s="20" t="s">
        <v>54</v>
      </c>
      <c r="D4" s="21" t="s">
        <v>539</v>
      </c>
      <c r="E4" s="21" t="s">
        <v>540</v>
      </c>
      <c r="F4" s="21" t="s">
        <v>195</v>
      </c>
      <c r="G4" s="21" t="s">
        <v>61</v>
      </c>
      <c r="J4" s="21" t="s">
        <v>541</v>
      </c>
      <c r="K4" s="21" t="s">
        <v>542</v>
      </c>
      <c r="L4" s="21" t="s">
        <v>195</v>
      </c>
      <c r="M4" s="21" t="s">
        <v>55</v>
      </c>
    </row>
    <row r="5" spans="3:13">
      <c r="C5" s="22" t="s">
        <v>41</v>
      </c>
      <c r="D5" s="23">
        <v>152</v>
      </c>
      <c r="E5" s="23">
        <v>10</v>
      </c>
      <c r="F5" s="23">
        <v>128</v>
      </c>
      <c r="G5" s="24">
        <v>0.84210526315789469</v>
      </c>
      <c r="J5" s="23">
        <v>27</v>
      </c>
      <c r="K5" s="23">
        <v>0</v>
      </c>
      <c r="L5" s="23">
        <v>23</v>
      </c>
      <c r="M5" s="24">
        <v>0.85185185185185186</v>
      </c>
    </row>
    <row r="6" spans="3:13">
      <c r="C6" s="22" t="s">
        <v>42</v>
      </c>
      <c r="D6" s="23">
        <v>29</v>
      </c>
      <c r="E6" s="23">
        <v>11</v>
      </c>
      <c r="F6" s="23">
        <v>26</v>
      </c>
      <c r="G6" s="24">
        <v>0.89655172413793105</v>
      </c>
      <c r="J6" s="23">
        <v>1</v>
      </c>
      <c r="K6" s="23">
        <v>0</v>
      </c>
      <c r="L6" s="23" t="s">
        <v>385</v>
      </c>
      <c r="M6" s="24" t="s">
        <v>543</v>
      </c>
    </row>
    <row r="7" spans="3:13">
      <c r="C7" s="22" t="s">
        <v>43</v>
      </c>
      <c r="D7" s="23">
        <v>26</v>
      </c>
      <c r="E7" s="23">
        <v>12</v>
      </c>
      <c r="F7" s="23">
        <v>26</v>
      </c>
      <c r="G7" s="24">
        <v>1</v>
      </c>
      <c r="J7" s="23">
        <v>5</v>
      </c>
      <c r="K7" s="23">
        <v>1</v>
      </c>
      <c r="L7" s="23">
        <v>2</v>
      </c>
      <c r="M7" s="24">
        <v>0.4</v>
      </c>
    </row>
    <row r="8" spans="3:13">
      <c r="C8" s="22" t="s">
        <v>44</v>
      </c>
      <c r="D8" s="23">
        <v>127</v>
      </c>
      <c r="E8" s="23">
        <v>39</v>
      </c>
      <c r="F8" s="23">
        <v>108</v>
      </c>
      <c r="G8" s="24">
        <v>0.85039370078740162</v>
      </c>
      <c r="J8" s="23">
        <v>5</v>
      </c>
      <c r="K8" s="23">
        <v>1</v>
      </c>
      <c r="L8" s="23">
        <v>2</v>
      </c>
      <c r="M8" s="24">
        <v>0.4</v>
      </c>
    </row>
    <row r="9" spans="3:13">
      <c r="C9" s="22" t="s">
        <v>45</v>
      </c>
      <c r="D9" s="23">
        <v>74</v>
      </c>
      <c r="E9" s="23">
        <v>37</v>
      </c>
      <c r="F9" s="23">
        <v>65</v>
      </c>
      <c r="G9" s="24">
        <v>0.8783783783783784</v>
      </c>
      <c r="J9" s="23">
        <v>2</v>
      </c>
      <c r="K9" s="23">
        <v>0</v>
      </c>
      <c r="L9" s="23">
        <v>1</v>
      </c>
      <c r="M9" s="24">
        <v>0.5</v>
      </c>
    </row>
    <row r="10" spans="3:13">
      <c r="C10" s="22" t="s">
        <v>46</v>
      </c>
      <c r="D10" s="23">
        <v>48</v>
      </c>
      <c r="E10" s="23">
        <v>7</v>
      </c>
      <c r="F10" s="23">
        <v>42</v>
      </c>
      <c r="G10" s="24">
        <v>0.875</v>
      </c>
      <c r="J10" s="23">
        <v>3</v>
      </c>
      <c r="K10" s="23">
        <v>0</v>
      </c>
      <c r="L10" s="23">
        <v>1</v>
      </c>
      <c r="M10" s="24">
        <v>0.33333333333333331</v>
      </c>
    </row>
    <row r="11" spans="3:13">
      <c r="C11" s="22" t="s">
        <v>47</v>
      </c>
      <c r="D11" s="23">
        <v>49</v>
      </c>
      <c r="E11" s="23">
        <v>19</v>
      </c>
      <c r="F11" s="23">
        <v>48</v>
      </c>
      <c r="G11" s="24">
        <v>0.97959183673469385</v>
      </c>
      <c r="J11" s="23">
        <v>6</v>
      </c>
      <c r="K11" s="23">
        <v>1</v>
      </c>
      <c r="L11" s="23">
        <v>3</v>
      </c>
      <c r="M11" s="24">
        <v>0.5</v>
      </c>
    </row>
    <row r="12" spans="3:13">
      <c r="C12" s="22" t="s">
        <v>48</v>
      </c>
      <c r="D12" s="23">
        <v>90</v>
      </c>
      <c r="E12" s="23">
        <v>33</v>
      </c>
      <c r="F12" s="23">
        <v>82</v>
      </c>
      <c r="G12" s="24">
        <v>0.91111111111111109</v>
      </c>
      <c r="J12" s="23">
        <v>6</v>
      </c>
      <c r="K12" s="23">
        <v>2</v>
      </c>
      <c r="L12" s="23">
        <v>2</v>
      </c>
      <c r="M12" s="24">
        <v>0.33333333333333331</v>
      </c>
    </row>
    <row r="13" spans="3:13">
      <c r="C13" s="22" t="s">
        <v>175</v>
      </c>
      <c r="D13" s="23">
        <v>6</v>
      </c>
      <c r="E13" s="23">
        <v>1</v>
      </c>
      <c r="F13" s="23">
        <v>5</v>
      </c>
      <c r="G13" s="24">
        <v>0.83333333333333337</v>
      </c>
      <c r="J13" s="23" t="s">
        <v>543</v>
      </c>
      <c r="K13" s="23" t="s">
        <v>543</v>
      </c>
      <c r="L13" s="23" t="s">
        <v>385</v>
      </c>
      <c r="M13" s="24" t="s">
        <v>543</v>
      </c>
    </row>
    <row r="14" spans="3:13">
      <c r="C14" s="22" t="s">
        <v>49</v>
      </c>
      <c r="D14" s="23">
        <v>110</v>
      </c>
      <c r="E14" s="23">
        <v>65</v>
      </c>
      <c r="F14" s="23">
        <v>97</v>
      </c>
      <c r="G14" s="24">
        <v>0.88181818181818183</v>
      </c>
      <c r="J14" s="23">
        <v>5</v>
      </c>
      <c r="K14" s="23">
        <v>2</v>
      </c>
      <c r="L14" s="23">
        <v>5</v>
      </c>
      <c r="M14" s="24">
        <v>1</v>
      </c>
    </row>
    <row r="15" spans="3:13">
      <c r="C15" s="22" t="s">
        <v>50</v>
      </c>
      <c r="D15" s="23">
        <v>41</v>
      </c>
      <c r="E15" s="23">
        <v>17</v>
      </c>
      <c r="F15" s="23">
        <v>41</v>
      </c>
      <c r="G15" s="24">
        <v>1</v>
      </c>
      <c r="J15" s="23">
        <v>2</v>
      </c>
      <c r="K15" s="23">
        <v>0</v>
      </c>
      <c r="L15" s="23">
        <v>1</v>
      </c>
      <c r="M15" s="24">
        <v>0.5</v>
      </c>
    </row>
    <row r="16" spans="3:13">
      <c r="C16" s="22" t="s">
        <v>51</v>
      </c>
      <c r="D16" s="23">
        <v>27</v>
      </c>
      <c r="E16" s="23">
        <v>10</v>
      </c>
      <c r="F16" s="23">
        <v>25</v>
      </c>
      <c r="G16" s="24">
        <v>0.92592592592592593</v>
      </c>
      <c r="J16" s="23">
        <v>1</v>
      </c>
      <c r="K16" s="23">
        <v>0</v>
      </c>
      <c r="L16" s="23">
        <v>0</v>
      </c>
      <c r="M16" s="24">
        <v>0</v>
      </c>
    </row>
    <row r="17" spans="3:14">
      <c r="C17" s="22" t="s">
        <v>52</v>
      </c>
      <c r="D17" s="23">
        <v>10</v>
      </c>
      <c r="E17" s="23">
        <v>0</v>
      </c>
      <c r="F17" s="23">
        <v>9</v>
      </c>
      <c r="G17" s="24">
        <v>0.9</v>
      </c>
      <c r="J17" s="23" t="s">
        <v>543</v>
      </c>
      <c r="K17" s="23" t="s">
        <v>543</v>
      </c>
      <c r="L17" s="23" t="s">
        <v>385</v>
      </c>
      <c r="M17" s="24" t="s">
        <v>543</v>
      </c>
    </row>
    <row r="18" spans="3:14">
      <c r="C18" s="22" t="s">
        <v>53</v>
      </c>
      <c r="D18" s="23">
        <v>52</v>
      </c>
      <c r="E18" s="23">
        <v>6</v>
      </c>
      <c r="F18" s="23">
        <v>49</v>
      </c>
      <c r="G18" s="24">
        <v>0.94230769230769229</v>
      </c>
      <c r="J18" s="23" t="s">
        <v>543</v>
      </c>
      <c r="K18" s="23" t="s">
        <v>543</v>
      </c>
      <c r="L18" s="23" t="s">
        <v>385</v>
      </c>
      <c r="M18" s="24" t="s">
        <v>543</v>
      </c>
    </row>
    <row r="19" spans="3:14">
      <c r="C19" s="22" t="s">
        <v>194</v>
      </c>
      <c r="D19" s="23">
        <v>10</v>
      </c>
      <c r="E19" s="23">
        <v>0</v>
      </c>
      <c r="F19" s="23">
        <v>10</v>
      </c>
      <c r="G19" s="24">
        <v>1</v>
      </c>
      <c r="J19" s="23" t="s">
        <v>543</v>
      </c>
      <c r="K19" s="23" t="s">
        <v>543</v>
      </c>
      <c r="L19" s="23" t="s">
        <v>385</v>
      </c>
      <c r="M19" s="24" t="s">
        <v>543</v>
      </c>
    </row>
    <row r="20" spans="3:14" hidden="1">
      <c r="C20" s="22" t="s">
        <v>544</v>
      </c>
      <c r="D20" s="23">
        <v>11</v>
      </c>
      <c r="E20" s="23">
        <v>2</v>
      </c>
      <c r="F20" s="23">
        <v>9</v>
      </c>
      <c r="G20" s="24">
        <v>0.81818181818181823</v>
      </c>
      <c r="J20" s="23" t="s">
        <v>543</v>
      </c>
      <c r="K20" s="23" t="s">
        <v>543</v>
      </c>
      <c r="L20" s="23" t="s">
        <v>385</v>
      </c>
      <c r="M20" s="24" t="s">
        <v>543</v>
      </c>
    </row>
    <row r="22" spans="3:14">
      <c r="C22" s="25" t="s">
        <v>276</v>
      </c>
      <c r="D22" s="26">
        <v>862</v>
      </c>
      <c r="E22" s="26">
        <v>269</v>
      </c>
      <c r="F22" s="26">
        <v>770</v>
      </c>
      <c r="G22" s="24">
        <v>0.89425287356321836</v>
      </c>
      <c r="H22" s="28"/>
      <c r="I22" s="28"/>
      <c r="J22" s="26">
        <v>63</v>
      </c>
      <c r="K22" s="26">
        <v>7</v>
      </c>
      <c r="L22" s="26">
        <v>40</v>
      </c>
      <c r="M22" s="27">
        <v>0.63492063492063489</v>
      </c>
      <c r="N22" t="s">
        <v>754</v>
      </c>
    </row>
  </sheetData>
  <mergeCells count="2">
    <mergeCell ref="D3:G3"/>
    <mergeCell ref="J3:M3"/>
  </mergeCells>
  <conditionalFormatting sqref="G5:G20">
    <cfRule type="dataBar" priority="4">
      <dataBar>
        <cfvo type="num" val="0"/>
        <cfvo type="num" val="1"/>
        <color rgb="FF63C384"/>
      </dataBar>
      <extLst>
        <ext xmlns:x14="http://schemas.microsoft.com/office/spreadsheetml/2009/9/main" uri="{B025F937-C7B1-47D3-B67F-A62EFF666E3E}">
          <x14:id>{B09D670C-8D8A-4CB7-8E9C-F0E9A3D0F4D0}</x14:id>
        </ext>
      </extLst>
    </cfRule>
  </conditionalFormatting>
  <conditionalFormatting sqref="G22">
    <cfRule type="dataBar" priority="1">
      <dataBar>
        <cfvo type="num" val="0"/>
        <cfvo type="num" val="1"/>
        <color rgb="FF63C384"/>
      </dataBar>
      <extLst>
        <ext xmlns:x14="http://schemas.microsoft.com/office/spreadsheetml/2009/9/main" uri="{B025F937-C7B1-47D3-B67F-A62EFF666E3E}">
          <x14:id>{672CA131-9116-4812-9C28-A5EFEC1FD9CA}</x14:id>
        </ext>
      </extLst>
    </cfRule>
  </conditionalFormatting>
  <conditionalFormatting sqref="M5:M20">
    <cfRule type="dataBar" priority="3">
      <dataBar>
        <cfvo type="num" val="0"/>
        <cfvo type="num" val="1"/>
        <color rgb="FF638EC6"/>
      </dataBar>
      <extLst>
        <ext xmlns:x14="http://schemas.microsoft.com/office/spreadsheetml/2009/9/main" uri="{B025F937-C7B1-47D3-B67F-A62EFF666E3E}">
          <x14:id>{925B074D-D4D0-49DE-B14B-70E73C63F9CE}</x14:id>
        </ext>
      </extLst>
    </cfRule>
  </conditionalFormatting>
  <conditionalFormatting sqref="M22">
    <cfRule type="dataBar" priority="2">
      <dataBar>
        <cfvo type="num" val="0"/>
        <cfvo type="num" val="1"/>
        <color rgb="FF638EC6"/>
      </dataBar>
      <extLst>
        <ext xmlns:x14="http://schemas.microsoft.com/office/spreadsheetml/2009/9/main" uri="{B025F937-C7B1-47D3-B67F-A62EFF666E3E}">
          <x14:id>{DFB0CCA6-220B-4675-BE83-F607F7000735}</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B09D670C-8D8A-4CB7-8E9C-F0E9A3D0F4D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G5:G20</xm:sqref>
        </x14:conditionalFormatting>
        <x14:conditionalFormatting xmlns:xm="http://schemas.microsoft.com/office/excel/2006/main">
          <x14:cfRule type="dataBar" id="{672CA131-9116-4812-9C28-A5EFEC1FD9C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xm:sqref>
        </x14:conditionalFormatting>
        <x14:conditionalFormatting xmlns:xm="http://schemas.microsoft.com/office/excel/2006/main">
          <x14:cfRule type="dataBar" id="{925B074D-D4D0-49DE-B14B-70E73C63F9CE}">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M5:M20</xm:sqref>
        </x14:conditionalFormatting>
        <x14:conditionalFormatting xmlns:xm="http://schemas.microsoft.com/office/excel/2006/main">
          <x14:cfRule type="dataBar" id="{DFB0CCA6-220B-4675-BE83-F607F7000735}">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M22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AA9A-3F2D-40BC-86F9-55F722B416E1}">
  <dimension ref="B2:I52"/>
  <sheetViews>
    <sheetView topLeftCell="A22" zoomScale="85" zoomScaleNormal="85" workbookViewId="0">
      <selection activeCell="K33" sqref="K33"/>
    </sheetView>
  </sheetViews>
  <sheetFormatPr defaultRowHeight="15"/>
  <cols>
    <col min="2" max="2" width="12.5703125" bestFit="1" customWidth="1"/>
    <col min="3" max="3" width="14.85546875" bestFit="1" customWidth="1"/>
    <col min="4" max="8" width="13.7109375" customWidth="1"/>
    <col min="9" max="9" width="15.7109375" bestFit="1" customWidth="1"/>
  </cols>
  <sheetData>
    <row r="2" spans="2:9">
      <c r="D2" s="346" t="s">
        <v>755</v>
      </c>
      <c r="E2" s="347"/>
      <c r="F2" s="347"/>
      <c r="G2" s="347"/>
      <c r="H2" s="347"/>
    </row>
    <row r="3" spans="2:9" ht="55.15" customHeight="1">
      <c r="B3" s="131" t="s">
        <v>306</v>
      </c>
      <c r="C3" s="131" t="s">
        <v>307</v>
      </c>
      <c r="D3" s="132" t="s">
        <v>308</v>
      </c>
      <c r="E3" s="132" t="s">
        <v>309</v>
      </c>
      <c r="F3" s="132" t="s">
        <v>310</v>
      </c>
      <c r="G3" s="132" t="s">
        <v>386</v>
      </c>
      <c r="H3" s="133" t="s">
        <v>311</v>
      </c>
    </row>
    <row r="4" spans="2:9">
      <c r="B4" s="344" t="s">
        <v>110</v>
      </c>
      <c r="C4" s="288" t="s">
        <v>312</v>
      </c>
      <c r="D4" s="289">
        <v>0</v>
      </c>
      <c r="E4" s="289">
        <v>18</v>
      </c>
      <c r="F4" s="289">
        <v>18</v>
      </c>
      <c r="G4" s="289">
        <v>45</v>
      </c>
      <c r="H4" s="290">
        <v>0.4</v>
      </c>
    </row>
    <row r="5" spans="2:9">
      <c r="B5" s="348"/>
      <c r="C5" s="288" t="s">
        <v>313</v>
      </c>
      <c r="D5" s="289">
        <v>0</v>
      </c>
      <c r="E5" s="289">
        <v>0</v>
      </c>
      <c r="F5" s="289">
        <v>0</v>
      </c>
      <c r="G5" s="289">
        <v>45</v>
      </c>
      <c r="H5" s="290">
        <v>0</v>
      </c>
    </row>
    <row r="6" spans="2:9">
      <c r="B6" s="348"/>
      <c r="C6" s="288" t="s">
        <v>314</v>
      </c>
      <c r="D6" s="289">
        <v>0</v>
      </c>
      <c r="E6" s="289">
        <v>0</v>
      </c>
      <c r="F6" s="289">
        <v>0</v>
      </c>
      <c r="G6" s="289">
        <v>45</v>
      </c>
      <c r="H6" s="290">
        <v>0</v>
      </c>
    </row>
    <row r="7" spans="2:9">
      <c r="B7" s="348"/>
      <c r="C7" s="288" t="s">
        <v>315</v>
      </c>
      <c r="D7" s="289">
        <v>0</v>
      </c>
      <c r="E7" s="289">
        <v>0</v>
      </c>
      <c r="F7" s="289">
        <v>0</v>
      </c>
      <c r="G7" s="289">
        <v>45</v>
      </c>
      <c r="H7" s="290">
        <v>0</v>
      </c>
    </row>
    <row r="8" spans="2:9">
      <c r="B8" s="345"/>
      <c r="C8" s="288" t="s">
        <v>578</v>
      </c>
      <c r="D8" s="289">
        <v>0.75</v>
      </c>
      <c r="E8" s="289">
        <v>4.333333333333333</v>
      </c>
      <c r="F8" s="289">
        <v>5.083333333333333</v>
      </c>
      <c r="G8" s="289">
        <v>45</v>
      </c>
      <c r="H8" s="290">
        <v>0.11296296296296296</v>
      </c>
    </row>
    <row r="9" spans="2:9">
      <c r="B9" s="344" t="s">
        <v>316</v>
      </c>
      <c r="C9" s="304" t="s">
        <v>321</v>
      </c>
      <c r="D9" s="305">
        <v>0</v>
      </c>
      <c r="E9" s="305">
        <v>27</v>
      </c>
      <c r="F9" s="305">
        <v>27</v>
      </c>
      <c r="G9" s="305">
        <v>45</v>
      </c>
      <c r="H9" s="306">
        <v>0.6</v>
      </c>
    </row>
    <row r="10" spans="2:9">
      <c r="B10" s="348"/>
      <c r="C10" s="304" t="s">
        <v>319</v>
      </c>
      <c r="D10" s="305">
        <v>19</v>
      </c>
      <c r="E10" s="305">
        <v>8</v>
      </c>
      <c r="F10" s="305">
        <v>27</v>
      </c>
      <c r="G10" s="305">
        <v>45</v>
      </c>
      <c r="H10" s="306">
        <v>0.6</v>
      </c>
      <c r="I10" s="137"/>
    </row>
    <row r="11" spans="2:9">
      <c r="B11" s="348"/>
      <c r="C11" s="288" t="s">
        <v>320</v>
      </c>
      <c r="D11" s="289">
        <v>13</v>
      </c>
      <c r="E11" s="289">
        <v>5</v>
      </c>
      <c r="F11" s="289">
        <v>18</v>
      </c>
      <c r="G11" s="289">
        <v>45</v>
      </c>
      <c r="H11" s="290">
        <v>0.4</v>
      </c>
    </row>
    <row r="12" spans="2:9">
      <c r="B12" s="348"/>
      <c r="C12" s="304" t="s">
        <v>317</v>
      </c>
      <c r="D12" s="305">
        <v>25</v>
      </c>
      <c r="E12" s="305">
        <v>0</v>
      </c>
      <c r="F12" s="305">
        <v>25</v>
      </c>
      <c r="G12" s="305">
        <v>45</v>
      </c>
      <c r="H12" s="306">
        <v>0.55555555555555558</v>
      </c>
    </row>
    <row r="13" spans="2:9">
      <c r="B13" s="348"/>
      <c r="C13" s="288" t="s">
        <v>318</v>
      </c>
      <c r="D13" s="289">
        <v>12.5</v>
      </c>
      <c r="E13" s="289">
        <v>5.5</v>
      </c>
      <c r="F13" s="289">
        <v>18</v>
      </c>
      <c r="G13" s="289">
        <v>45</v>
      </c>
      <c r="H13" s="290">
        <v>0.4</v>
      </c>
    </row>
    <row r="14" spans="2:9">
      <c r="B14" s="348"/>
      <c r="C14" s="304" t="s">
        <v>525</v>
      </c>
      <c r="D14" s="305">
        <v>12</v>
      </c>
      <c r="E14" s="305">
        <v>21</v>
      </c>
      <c r="F14" s="305">
        <v>33</v>
      </c>
      <c r="G14" s="305">
        <v>45</v>
      </c>
      <c r="H14" s="306">
        <v>0.73333333333333328</v>
      </c>
    </row>
    <row r="15" spans="2:9">
      <c r="B15" s="345"/>
      <c r="C15" s="304" t="s">
        <v>526</v>
      </c>
      <c r="D15" s="305">
        <v>16</v>
      </c>
      <c r="E15" s="305">
        <v>7</v>
      </c>
      <c r="F15" s="305">
        <v>23</v>
      </c>
      <c r="G15" s="305">
        <v>45</v>
      </c>
      <c r="H15" s="306">
        <v>0.51111111111111107</v>
      </c>
    </row>
    <row r="16" spans="2:9">
      <c r="B16" s="344" t="s">
        <v>455</v>
      </c>
      <c r="C16" s="288" t="s">
        <v>323</v>
      </c>
      <c r="D16" s="289">
        <v>5.5</v>
      </c>
      <c r="E16" s="289">
        <v>6</v>
      </c>
      <c r="F16" s="289">
        <v>11.5</v>
      </c>
      <c r="G16" s="289">
        <v>45</v>
      </c>
      <c r="H16" s="290">
        <v>0.25555555555555554</v>
      </c>
    </row>
    <row r="17" spans="2:9">
      <c r="B17" s="348"/>
      <c r="C17" s="304" t="s">
        <v>325</v>
      </c>
      <c r="D17" s="305">
        <v>1</v>
      </c>
      <c r="E17" s="305">
        <v>23</v>
      </c>
      <c r="F17" s="305">
        <v>24</v>
      </c>
      <c r="G17" s="305">
        <v>45</v>
      </c>
      <c r="H17" s="306">
        <v>0.53333333333333333</v>
      </c>
    </row>
    <row r="18" spans="2:9">
      <c r="B18" s="348"/>
      <c r="C18" s="304" t="s">
        <v>326</v>
      </c>
      <c r="D18" s="305">
        <v>0</v>
      </c>
      <c r="E18" s="305">
        <v>26.333333333333336</v>
      </c>
      <c r="F18" s="305">
        <v>26.333333333333336</v>
      </c>
      <c r="G18" s="305">
        <v>45</v>
      </c>
      <c r="H18" s="306">
        <v>0.58518518518518525</v>
      </c>
    </row>
    <row r="19" spans="2:9">
      <c r="B19" s="348"/>
      <c r="C19" s="288" t="s">
        <v>327</v>
      </c>
      <c r="D19" s="289">
        <v>0.66666666666666663</v>
      </c>
      <c r="E19" s="289">
        <v>15.5</v>
      </c>
      <c r="F19" s="289">
        <v>16.166666666666668</v>
      </c>
      <c r="G19" s="289">
        <v>45</v>
      </c>
      <c r="H19" s="290">
        <v>0.35925925925925928</v>
      </c>
    </row>
    <row r="20" spans="2:9">
      <c r="B20" s="348"/>
      <c r="C20" s="304" t="s">
        <v>324</v>
      </c>
      <c r="D20" s="305">
        <v>24.5</v>
      </c>
      <c r="E20" s="305">
        <v>3</v>
      </c>
      <c r="F20" s="305">
        <v>27.5</v>
      </c>
      <c r="G20" s="305">
        <v>45</v>
      </c>
      <c r="H20" s="306">
        <v>0.61111111111111116</v>
      </c>
      <c r="I20" s="137"/>
    </row>
    <row r="21" spans="2:9">
      <c r="B21" s="348"/>
      <c r="C21" s="288" t="s">
        <v>328</v>
      </c>
      <c r="D21" s="289">
        <v>0</v>
      </c>
      <c r="E21" s="289">
        <v>0</v>
      </c>
      <c r="F21" s="289">
        <v>0</v>
      </c>
      <c r="G21" s="289">
        <v>45</v>
      </c>
      <c r="H21" s="290">
        <v>0</v>
      </c>
    </row>
    <row r="22" spans="2:9">
      <c r="B22" s="348"/>
      <c r="C22" s="288" t="s">
        <v>322</v>
      </c>
      <c r="D22" s="289">
        <v>0</v>
      </c>
      <c r="E22" s="289">
        <v>16</v>
      </c>
      <c r="F22" s="289">
        <v>16</v>
      </c>
      <c r="G22" s="289">
        <v>45</v>
      </c>
      <c r="H22" s="290">
        <v>0.35555555555555557</v>
      </c>
    </row>
    <row r="23" spans="2:9">
      <c r="B23" s="345"/>
      <c r="C23" s="304" t="s">
        <v>720</v>
      </c>
      <c r="D23" s="305">
        <v>10</v>
      </c>
      <c r="E23" s="305">
        <v>25</v>
      </c>
      <c r="F23" s="305">
        <v>35</v>
      </c>
      <c r="G23" s="305">
        <v>45</v>
      </c>
      <c r="H23" s="306">
        <v>0.77777777777777779</v>
      </c>
    </row>
    <row r="24" spans="2:9">
      <c r="B24" s="344" t="s">
        <v>340</v>
      </c>
      <c r="C24" s="288" t="s">
        <v>329</v>
      </c>
      <c r="D24" s="289">
        <v>0</v>
      </c>
      <c r="E24" s="289">
        <v>0</v>
      </c>
      <c r="F24" s="289">
        <v>0</v>
      </c>
      <c r="G24" s="289">
        <v>45</v>
      </c>
      <c r="H24" s="290">
        <v>0</v>
      </c>
    </row>
    <row r="25" spans="2:9">
      <c r="B25" s="345"/>
      <c r="C25" s="288" t="s">
        <v>330</v>
      </c>
      <c r="D25" s="289">
        <v>0</v>
      </c>
      <c r="E25" s="289">
        <v>0</v>
      </c>
      <c r="F25" s="289">
        <v>0</v>
      </c>
      <c r="G25" s="289">
        <v>45</v>
      </c>
      <c r="H25" s="290">
        <v>0</v>
      </c>
    </row>
    <row r="26" spans="2:9">
      <c r="B26" s="291" t="s">
        <v>686</v>
      </c>
    </row>
    <row r="28" spans="2:9">
      <c r="B28" s="349" t="s">
        <v>306</v>
      </c>
      <c r="C28" s="349" t="s">
        <v>307</v>
      </c>
      <c r="D28" s="346" t="s">
        <v>756</v>
      </c>
      <c r="E28" s="347"/>
      <c r="F28" s="347"/>
      <c r="G28" s="347"/>
      <c r="H28" s="347"/>
    </row>
    <row r="29" spans="2:9" ht="55.15" customHeight="1">
      <c r="B29" s="350"/>
      <c r="C29" s="350"/>
      <c r="D29" s="132" t="s">
        <v>308</v>
      </c>
      <c r="E29" s="132" t="s">
        <v>309</v>
      </c>
      <c r="F29" s="132" t="s">
        <v>310</v>
      </c>
      <c r="G29" s="132" t="s">
        <v>757</v>
      </c>
      <c r="H29" s="133" t="s">
        <v>311</v>
      </c>
    </row>
    <row r="30" spans="2:9">
      <c r="B30" s="344" t="s">
        <v>110</v>
      </c>
      <c r="C30" s="288" t="s">
        <v>312</v>
      </c>
      <c r="D30" s="289">
        <v>2</v>
      </c>
      <c r="E30" s="289">
        <v>6</v>
      </c>
      <c r="F30" s="289">
        <v>8</v>
      </c>
      <c r="G30" s="289">
        <f>8*3</f>
        <v>24</v>
      </c>
      <c r="H30" s="290">
        <f>F30/G30</f>
        <v>0.33333333333333331</v>
      </c>
    </row>
    <row r="31" spans="2:9">
      <c r="B31" s="348"/>
      <c r="C31" s="288" t="s">
        <v>313</v>
      </c>
      <c r="D31" s="289">
        <v>0</v>
      </c>
      <c r="E31" s="289">
        <v>0</v>
      </c>
      <c r="F31" s="289">
        <v>0</v>
      </c>
      <c r="G31" s="289">
        <f t="shared" ref="G31:G51" si="0">8*3</f>
        <v>24</v>
      </c>
      <c r="H31" s="290">
        <f t="shared" ref="H31:H51" si="1">F31/G31</f>
        <v>0</v>
      </c>
    </row>
    <row r="32" spans="2:9">
      <c r="B32" s="348"/>
      <c r="C32" s="288" t="s">
        <v>314</v>
      </c>
      <c r="D32" s="289">
        <v>0</v>
      </c>
      <c r="E32" s="289">
        <v>0</v>
      </c>
      <c r="F32" s="289">
        <v>0</v>
      </c>
      <c r="G32" s="289">
        <f t="shared" si="0"/>
        <v>24</v>
      </c>
      <c r="H32" s="290">
        <f t="shared" si="1"/>
        <v>0</v>
      </c>
    </row>
    <row r="33" spans="2:8">
      <c r="B33" s="348"/>
      <c r="C33" s="288" t="s">
        <v>315</v>
      </c>
      <c r="D33" s="289">
        <v>0</v>
      </c>
      <c r="E33" s="289">
        <v>0</v>
      </c>
      <c r="F33" s="289">
        <v>0</v>
      </c>
      <c r="G33" s="289">
        <f t="shared" si="0"/>
        <v>24</v>
      </c>
      <c r="H33" s="290">
        <f t="shared" si="1"/>
        <v>0</v>
      </c>
    </row>
    <row r="34" spans="2:8">
      <c r="B34" s="345"/>
      <c r="C34" s="288" t="s">
        <v>578</v>
      </c>
      <c r="D34" s="289">
        <v>3.5</v>
      </c>
      <c r="E34" s="289">
        <v>0.16666666666666666</v>
      </c>
      <c r="F34" s="289">
        <v>3.6666666666666665</v>
      </c>
      <c r="G34" s="289">
        <f t="shared" si="0"/>
        <v>24</v>
      </c>
      <c r="H34" s="290">
        <f t="shared" si="1"/>
        <v>0.15277777777777776</v>
      </c>
    </row>
    <row r="35" spans="2:8">
      <c r="B35" s="344" t="s">
        <v>316</v>
      </c>
      <c r="C35" s="288" t="s">
        <v>321</v>
      </c>
      <c r="D35" s="289">
        <v>0</v>
      </c>
      <c r="E35" s="289">
        <v>9</v>
      </c>
      <c r="F35" s="289">
        <v>9</v>
      </c>
      <c r="G35" s="289">
        <f t="shared" si="0"/>
        <v>24</v>
      </c>
      <c r="H35" s="290">
        <f t="shared" si="1"/>
        <v>0.375</v>
      </c>
    </row>
    <row r="36" spans="2:8">
      <c r="B36" s="348"/>
      <c r="C36" s="333" t="s">
        <v>319</v>
      </c>
      <c r="D36" s="334">
        <v>6</v>
      </c>
      <c r="E36" s="334">
        <v>18</v>
      </c>
      <c r="F36" s="334">
        <v>24</v>
      </c>
      <c r="G36" s="334">
        <f t="shared" si="0"/>
        <v>24</v>
      </c>
      <c r="H36" s="335">
        <f t="shared" si="1"/>
        <v>1</v>
      </c>
    </row>
    <row r="37" spans="2:8">
      <c r="B37" s="348"/>
      <c r="C37" s="333" t="s">
        <v>320</v>
      </c>
      <c r="D37" s="334">
        <v>6</v>
      </c>
      <c r="E37" s="334">
        <v>18</v>
      </c>
      <c r="F37" s="334">
        <v>24</v>
      </c>
      <c r="G37" s="334">
        <f t="shared" si="0"/>
        <v>24</v>
      </c>
      <c r="H37" s="335">
        <f t="shared" si="1"/>
        <v>1</v>
      </c>
    </row>
    <row r="38" spans="2:8">
      <c r="B38" s="348"/>
      <c r="C38" s="331" t="s">
        <v>317</v>
      </c>
      <c r="D38" s="332">
        <v>4</v>
      </c>
      <c r="E38" s="332">
        <v>10.5</v>
      </c>
      <c r="F38" s="332">
        <v>14.5</v>
      </c>
      <c r="G38" s="307">
        <f t="shared" si="0"/>
        <v>24</v>
      </c>
      <c r="H38" s="308">
        <f t="shared" si="1"/>
        <v>0.60416666666666663</v>
      </c>
    </row>
    <row r="39" spans="2:8">
      <c r="B39" s="348"/>
      <c r="C39" s="331" t="s">
        <v>318</v>
      </c>
      <c r="D39" s="332">
        <v>6.25</v>
      </c>
      <c r="E39" s="332">
        <v>10</v>
      </c>
      <c r="F39" s="332">
        <v>16.25</v>
      </c>
      <c r="G39" s="307">
        <f t="shared" si="0"/>
        <v>24</v>
      </c>
      <c r="H39" s="308">
        <f t="shared" si="1"/>
        <v>0.67708333333333337</v>
      </c>
    </row>
    <row r="40" spans="2:8">
      <c r="B40" s="348"/>
      <c r="C40" s="333" t="s">
        <v>525</v>
      </c>
      <c r="D40" s="334">
        <v>7</v>
      </c>
      <c r="E40" s="334">
        <v>13</v>
      </c>
      <c r="F40" s="334">
        <v>20</v>
      </c>
      <c r="G40" s="334">
        <f t="shared" si="0"/>
        <v>24</v>
      </c>
      <c r="H40" s="335">
        <f t="shared" si="1"/>
        <v>0.83333333333333337</v>
      </c>
    </row>
    <row r="41" spans="2:8">
      <c r="B41" s="345"/>
      <c r="C41" s="331" t="s">
        <v>526</v>
      </c>
      <c r="D41" s="332">
        <v>8</v>
      </c>
      <c r="E41" s="332">
        <v>7</v>
      </c>
      <c r="F41" s="332">
        <v>15</v>
      </c>
      <c r="G41" s="307">
        <f t="shared" si="0"/>
        <v>24</v>
      </c>
      <c r="H41" s="308">
        <f t="shared" si="1"/>
        <v>0.625</v>
      </c>
    </row>
    <row r="42" spans="2:8">
      <c r="B42" s="344" t="s">
        <v>455</v>
      </c>
      <c r="C42" s="333" t="s">
        <v>323</v>
      </c>
      <c r="D42" s="334">
        <v>18.5</v>
      </c>
      <c r="E42" s="334">
        <v>8</v>
      </c>
      <c r="F42" s="334">
        <v>26.5</v>
      </c>
      <c r="G42" s="334">
        <f t="shared" si="0"/>
        <v>24</v>
      </c>
      <c r="H42" s="335">
        <f t="shared" si="1"/>
        <v>1.1041666666666667</v>
      </c>
    </row>
    <row r="43" spans="2:8">
      <c r="B43" s="348"/>
      <c r="C43" s="288" t="s">
        <v>325</v>
      </c>
      <c r="D43" s="289">
        <v>2</v>
      </c>
      <c r="E43" s="289">
        <v>9</v>
      </c>
      <c r="F43" s="289">
        <v>11</v>
      </c>
      <c r="G43" s="289">
        <f t="shared" si="0"/>
        <v>24</v>
      </c>
      <c r="H43" s="290">
        <f t="shared" si="1"/>
        <v>0.45833333333333331</v>
      </c>
    </row>
    <row r="44" spans="2:8">
      <c r="B44" s="348"/>
      <c r="C44" s="288" t="s">
        <v>326</v>
      </c>
      <c r="D44" s="289">
        <v>0</v>
      </c>
      <c r="E44" s="289">
        <v>5.166666666666667</v>
      </c>
      <c r="F44" s="289">
        <v>5.166666666666667</v>
      </c>
      <c r="G44" s="289">
        <f t="shared" si="0"/>
        <v>24</v>
      </c>
      <c r="H44" s="290">
        <f t="shared" si="1"/>
        <v>0.21527777777777779</v>
      </c>
    </row>
    <row r="45" spans="2:8">
      <c r="B45" s="348"/>
      <c r="C45" s="288" t="s">
        <v>327</v>
      </c>
      <c r="D45" s="289">
        <v>1.5</v>
      </c>
      <c r="E45" s="289">
        <v>6</v>
      </c>
      <c r="F45" s="289">
        <v>7.5</v>
      </c>
      <c r="G45" s="289">
        <f t="shared" si="0"/>
        <v>24</v>
      </c>
      <c r="H45" s="290">
        <f t="shared" si="1"/>
        <v>0.3125</v>
      </c>
    </row>
    <row r="46" spans="2:8">
      <c r="B46" s="348"/>
      <c r="C46" s="331" t="s">
        <v>324</v>
      </c>
      <c r="D46" s="332">
        <v>12</v>
      </c>
      <c r="E46" s="332">
        <v>2.5</v>
      </c>
      <c r="F46" s="332">
        <v>14.5</v>
      </c>
      <c r="G46" s="307">
        <f t="shared" si="0"/>
        <v>24</v>
      </c>
      <c r="H46" s="308">
        <f t="shared" si="1"/>
        <v>0.60416666666666663</v>
      </c>
    </row>
    <row r="47" spans="2:8">
      <c r="B47" s="348"/>
      <c r="C47" s="288" t="s">
        <v>328</v>
      </c>
      <c r="D47" s="289">
        <v>0</v>
      </c>
      <c r="E47" s="289">
        <v>0</v>
      </c>
      <c r="F47" s="289">
        <v>0</v>
      </c>
      <c r="G47" s="289">
        <f t="shared" si="0"/>
        <v>24</v>
      </c>
      <c r="H47" s="290">
        <f t="shared" si="1"/>
        <v>0</v>
      </c>
    </row>
    <row r="48" spans="2:8">
      <c r="B48" s="348"/>
      <c r="C48" s="333" t="s">
        <v>322</v>
      </c>
      <c r="D48" s="334">
        <v>9</v>
      </c>
      <c r="E48" s="334">
        <v>18</v>
      </c>
      <c r="F48" s="334">
        <v>27</v>
      </c>
      <c r="G48" s="334">
        <f t="shared" si="0"/>
        <v>24</v>
      </c>
      <c r="H48" s="335">
        <f t="shared" si="1"/>
        <v>1.125</v>
      </c>
    </row>
    <row r="49" spans="2:8">
      <c r="B49" s="345"/>
      <c r="C49" s="288" t="s">
        <v>720</v>
      </c>
      <c r="D49" s="289">
        <v>0</v>
      </c>
      <c r="E49" s="289">
        <v>0</v>
      </c>
      <c r="F49" s="289">
        <v>0</v>
      </c>
      <c r="G49" s="289">
        <f t="shared" si="0"/>
        <v>24</v>
      </c>
      <c r="H49" s="290">
        <f t="shared" si="1"/>
        <v>0</v>
      </c>
    </row>
    <row r="50" spans="2:8">
      <c r="B50" s="344" t="s">
        <v>340</v>
      </c>
      <c r="C50" s="288" t="s">
        <v>329</v>
      </c>
      <c r="D50" s="289">
        <v>0</v>
      </c>
      <c r="E50" s="289">
        <v>0</v>
      </c>
      <c r="F50" s="289">
        <v>0</v>
      </c>
      <c r="G50" s="289">
        <f t="shared" si="0"/>
        <v>24</v>
      </c>
      <c r="H50" s="290">
        <f t="shared" si="1"/>
        <v>0</v>
      </c>
    </row>
    <row r="51" spans="2:8">
      <c r="B51" s="345"/>
      <c r="C51" s="288" t="s">
        <v>330</v>
      </c>
      <c r="D51" s="289">
        <v>0</v>
      </c>
      <c r="E51" s="289">
        <v>1</v>
      </c>
      <c r="F51" s="289">
        <v>1</v>
      </c>
      <c r="G51" s="289">
        <f t="shared" si="0"/>
        <v>24</v>
      </c>
      <c r="H51" s="290">
        <f t="shared" si="1"/>
        <v>4.1666666666666664E-2</v>
      </c>
    </row>
    <row r="52" spans="2:8">
      <c r="B52" s="291" t="s">
        <v>686</v>
      </c>
    </row>
  </sheetData>
  <autoFilter ref="D29:H52" xr:uid="{7726AA9A-3F2D-40BC-86F9-55F722B416E1}"/>
  <mergeCells count="12">
    <mergeCell ref="B50:B51"/>
    <mergeCell ref="D2:H2"/>
    <mergeCell ref="B9:B15"/>
    <mergeCell ref="B24:B25"/>
    <mergeCell ref="D28:H28"/>
    <mergeCell ref="B28:B29"/>
    <mergeCell ref="C28:C29"/>
    <mergeCell ref="B4:B8"/>
    <mergeCell ref="B30:B34"/>
    <mergeCell ref="B35:B41"/>
    <mergeCell ref="B16:B23"/>
    <mergeCell ref="B42:B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B8CAB-5BCD-4CD9-85FE-94E1ABF4870D}">
  <dimension ref="B10"/>
  <sheetViews>
    <sheetView topLeftCell="A5" zoomScale="85" zoomScaleNormal="85" workbookViewId="0">
      <selection activeCell="K2" sqref="K2"/>
    </sheetView>
  </sheetViews>
  <sheetFormatPr defaultRowHeight="15"/>
  <cols>
    <col min="2" max="2" width="12.5703125" bestFit="1" customWidth="1"/>
    <col min="3" max="3" width="14.85546875" bestFit="1" customWidth="1"/>
    <col min="4" max="8" width="13.7109375" customWidth="1"/>
    <col min="9" max="9" width="15.7109375" bestFit="1" customWidth="1"/>
  </cols>
  <sheetData>
    <row r="10" spans="2:2">
      <c r="B10" s="29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6DE3-8FF2-4FB0-AC59-1CD2F5357D72}">
  <sheetPr codeName="Sayfa3">
    <tabColor theme="7" tint="0.79998168889431442"/>
  </sheetPr>
  <dimension ref="A1:E22"/>
  <sheetViews>
    <sheetView showGridLines="0" zoomScale="85" zoomScaleNormal="85" workbookViewId="0">
      <selection activeCell="E11" sqref="E11"/>
    </sheetView>
  </sheetViews>
  <sheetFormatPr defaultRowHeight="15"/>
  <cols>
    <col min="1" max="1" width="27.140625" bestFit="1" customWidth="1"/>
    <col min="2" max="2" width="34" customWidth="1"/>
    <col min="3" max="6" width="28" customWidth="1"/>
    <col min="7" max="7" width="15.5703125" customWidth="1"/>
  </cols>
  <sheetData>
    <row r="1" spans="1:5" ht="28.9" customHeight="1">
      <c r="A1" s="355" t="s">
        <v>62</v>
      </c>
      <c r="B1" s="353" t="s">
        <v>63</v>
      </c>
      <c r="C1" s="313" t="s">
        <v>64</v>
      </c>
      <c r="D1" s="313" t="s">
        <v>377</v>
      </c>
      <c r="E1" s="361" t="s">
        <v>730</v>
      </c>
    </row>
    <row r="2" spans="1:5" ht="15.75" thickBot="1">
      <c r="A2" s="356"/>
      <c r="B2" s="354"/>
      <c r="C2" s="314" t="s">
        <v>388</v>
      </c>
      <c r="D2" s="315"/>
      <c r="E2" s="362"/>
    </row>
    <row r="3" spans="1:5" ht="15.75" thickBot="1">
      <c r="A3" s="217" t="s">
        <v>65</v>
      </c>
      <c r="B3" s="218" t="s">
        <v>41</v>
      </c>
      <c r="C3" s="316"/>
      <c r="D3" s="317">
        <v>1</v>
      </c>
      <c r="E3" s="316"/>
    </row>
    <row r="4" spans="1:5" ht="15.75" thickBot="1">
      <c r="A4" s="357" t="s">
        <v>66</v>
      </c>
      <c r="B4" s="218" t="s">
        <v>67</v>
      </c>
      <c r="C4" s="359">
        <v>1</v>
      </c>
      <c r="D4" s="351"/>
      <c r="E4" s="351"/>
    </row>
    <row r="5" spans="1:5" ht="19.149999999999999" customHeight="1" thickBot="1">
      <c r="A5" s="358"/>
      <c r="B5" s="218" t="s">
        <v>157</v>
      </c>
      <c r="C5" s="360"/>
      <c r="D5" s="352"/>
      <c r="E5" s="352"/>
    </row>
    <row r="6" spans="1:5" ht="30.75" thickBot="1">
      <c r="A6" s="219" t="s">
        <v>68</v>
      </c>
      <c r="B6" s="218" t="s">
        <v>69</v>
      </c>
      <c r="C6" s="317">
        <v>0.5</v>
      </c>
      <c r="D6" s="316" t="s">
        <v>502</v>
      </c>
      <c r="E6" s="318"/>
    </row>
    <row r="7" spans="1:5" ht="15.75" thickBot="1">
      <c r="A7" s="217" t="s">
        <v>70</v>
      </c>
      <c r="B7" s="220" t="s">
        <v>71</v>
      </c>
      <c r="C7" s="316"/>
      <c r="D7" s="317">
        <v>1</v>
      </c>
      <c r="E7" s="316"/>
    </row>
    <row r="8" spans="1:5" ht="15.75" thickBot="1">
      <c r="A8" s="217" t="s">
        <v>192</v>
      </c>
      <c r="B8" s="220" t="s">
        <v>193</v>
      </c>
      <c r="C8" s="317">
        <v>1</v>
      </c>
      <c r="D8" s="316"/>
      <c r="E8" s="316"/>
    </row>
    <row r="9" spans="1:5" ht="15.75" thickBot="1">
      <c r="A9" s="219" t="s">
        <v>72</v>
      </c>
      <c r="B9" s="218" t="s">
        <v>73</v>
      </c>
      <c r="C9" s="317">
        <v>1</v>
      </c>
      <c r="D9" s="316"/>
      <c r="E9" s="316"/>
    </row>
    <row r="10" spans="1:5" ht="15.75" thickBot="1">
      <c r="A10" s="219" t="s">
        <v>74</v>
      </c>
      <c r="B10" s="218" t="s">
        <v>75</v>
      </c>
      <c r="C10" s="317">
        <v>1</v>
      </c>
      <c r="D10" s="316"/>
      <c r="E10" s="316"/>
    </row>
    <row r="11" spans="1:5" ht="15.75" thickBot="1">
      <c r="A11" s="217" t="s">
        <v>76</v>
      </c>
      <c r="B11" s="220" t="s">
        <v>77</v>
      </c>
      <c r="C11" s="316"/>
      <c r="D11" s="317">
        <v>0.5</v>
      </c>
      <c r="E11" s="367"/>
    </row>
    <row r="12" spans="1:5" ht="45.75" thickBot="1">
      <c r="A12" s="219" t="s">
        <v>78</v>
      </c>
      <c r="B12" s="218" t="s">
        <v>503</v>
      </c>
      <c r="C12" s="316"/>
      <c r="D12" s="316" t="s">
        <v>502</v>
      </c>
      <c r="E12" s="316" t="s">
        <v>502</v>
      </c>
    </row>
    <row r="13" spans="1:5" ht="30.75" thickBot="1">
      <c r="A13" s="219" t="s">
        <v>79</v>
      </c>
      <c r="B13" s="218" t="s">
        <v>80</v>
      </c>
      <c r="C13" s="316"/>
      <c r="D13" s="316" t="s">
        <v>504</v>
      </c>
      <c r="E13" s="318"/>
    </row>
    <row r="14" spans="1:5" ht="15.75" thickBot="1">
      <c r="A14" s="217" t="s">
        <v>81</v>
      </c>
      <c r="B14" s="220" t="s">
        <v>82</v>
      </c>
      <c r="C14" s="316"/>
      <c r="D14" s="317">
        <v>1</v>
      </c>
      <c r="E14" s="318"/>
    </row>
    <row r="15" spans="1:5" ht="15.75" thickBot="1">
      <c r="A15" s="217" t="s">
        <v>83</v>
      </c>
      <c r="B15" s="218" t="s">
        <v>87</v>
      </c>
      <c r="C15" s="316"/>
      <c r="D15" s="317">
        <v>1</v>
      </c>
      <c r="E15" s="318"/>
    </row>
    <row r="16" spans="1:5" ht="30.75" thickBot="1">
      <c r="A16" s="217" t="s">
        <v>84</v>
      </c>
      <c r="B16" s="220" t="s">
        <v>85</v>
      </c>
      <c r="C16" s="316"/>
      <c r="D16" s="316" t="s">
        <v>504</v>
      </c>
      <c r="E16" s="318"/>
    </row>
    <row r="17" spans="1:5" ht="15.75" thickBot="1">
      <c r="A17" s="217" t="s">
        <v>86</v>
      </c>
      <c r="B17" s="220" t="s">
        <v>46</v>
      </c>
      <c r="C17" s="316"/>
      <c r="D17" s="316" t="s">
        <v>504</v>
      </c>
      <c r="E17" s="318"/>
    </row>
    <row r="18" spans="1:5" ht="15.75" thickBot="1">
      <c r="A18" s="217" t="s">
        <v>304</v>
      </c>
      <c r="B18" s="220" t="s">
        <v>49</v>
      </c>
      <c r="C18" s="316" t="s">
        <v>346</v>
      </c>
      <c r="D18" s="316" t="s">
        <v>502</v>
      </c>
      <c r="E18" s="318"/>
    </row>
    <row r="19" spans="1:5" ht="15.75" thickBot="1">
      <c r="A19" s="219" t="s">
        <v>505</v>
      </c>
      <c r="B19" s="218" t="s">
        <v>729</v>
      </c>
      <c r="C19" s="319"/>
      <c r="D19" s="366">
        <v>1</v>
      </c>
      <c r="E19" s="318"/>
    </row>
    <row r="20" spans="1:5" ht="15.75" thickBot="1">
      <c r="A20" s="219" t="s">
        <v>506</v>
      </c>
      <c r="B20" s="218" t="s">
        <v>729</v>
      </c>
      <c r="C20" s="319"/>
      <c r="D20" s="364"/>
      <c r="E20" s="363">
        <v>1</v>
      </c>
    </row>
    <row r="21" spans="1:5" ht="15.75" thickBot="1">
      <c r="A21" s="219" t="s">
        <v>535</v>
      </c>
      <c r="B21" s="218" t="s">
        <v>629</v>
      </c>
      <c r="C21" s="320"/>
      <c r="D21" s="365">
        <v>0.5</v>
      </c>
      <c r="E21" s="363">
        <v>0.5</v>
      </c>
    </row>
    <row r="22" spans="1:5" ht="15.75">
      <c r="A22" s="221" t="s">
        <v>507</v>
      </c>
    </row>
  </sheetData>
  <mergeCells count="7">
    <mergeCell ref="D4:D5"/>
    <mergeCell ref="E4:E5"/>
    <mergeCell ref="B1:B2"/>
    <mergeCell ref="A1:A2"/>
    <mergeCell ref="A4:A5"/>
    <mergeCell ref="C4:C5"/>
    <mergeCell ref="E1: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961A-3457-458F-882B-75BB0E0C8672}">
  <sheetPr codeName="Sayfa4">
    <tabColor theme="7" tint="0.79998168889431442"/>
  </sheetPr>
  <dimension ref="A1:D49"/>
  <sheetViews>
    <sheetView workbookViewId="0">
      <selection activeCell="B11" sqref="B11"/>
    </sheetView>
  </sheetViews>
  <sheetFormatPr defaultRowHeight="15"/>
  <cols>
    <col min="1" max="1" width="45.85546875" customWidth="1"/>
    <col min="2" max="2" width="49" customWidth="1"/>
    <col min="3" max="3" width="38.5703125" customWidth="1"/>
    <col min="4" max="4" width="39" customWidth="1"/>
  </cols>
  <sheetData>
    <row r="1" spans="1:4" ht="16.5" thickBot="1">
      <c r="A1" s="70" t="s">
        <v>110</v>
      </c>
      <c r="B1" s="73" t="s">
        <v>455</v>
      </c>
      <c r="C1" s="73" t="s">
        <v>22</v>
      </c>
      <c r="D1" s="73" t="s">
        <v>340</v>
      </c>
    </row>
    <row r="2" spans="1:4" ht="15.75">
      <c r="A2" s="71" t="s">
        <v>46</v>
      </c>
      <c r="B2" s="74" t="s">
        <v>109</v>
      </c>
      <c r="C2" s="74" t="s">
        <v>42</v>
      </c>
      <c r="D2" s="74" t="s">
        <v>41</v>
      </c>
    </row>
    <row r="3" spans="1:4" ht="15.75">
      <c r="A3" s="72" t="s">
        <v>89</v>
      </c>
      <c r="B3" s="75" t="s">
        <v>92</v>
      </c>
      <c r="C3" s="75" t="s">
        <v>93</v>
      </c>
      <c r="D3" s="75" t="s">
        <v>93</v>
      </c>
    </row>
    <row r="4" spans="1:4" ht="15.75">
      <c r="A4" s="71" t="s">
        <v>108</v>
      </c>
      <c r="B4" s="74" t="s">
        <v>107</v>
      </c>
      <c r="C4" s="74" t="s">
        <v>43</v>
      </c>
      <c r="D4" s="74"/>
    </row>
    <row r="5" spans="1:4" ht="15.75">
      <c r="A5" s="72" t="s">
        <v>101</v>
      </c>
      <c r="B5" s="75" t="s">
        <v>93</v>
      </c>
      <c r="C5" s="75" t="s">
        <v>98</v>
      </c>
      <c r="D5" s="74"/>
    </row>
    <row r="6" spans="1:4" ht="15.75">
      <c r="A6" s="71" t="s">
        <v>106</v>
      </c>
      <c r="B6" s="74" t="s">
        <v>105</v>
      </c>
      <c r="C6" s="74" t="s">
        <v>75</v>
      </c>
      <c r="D6" s="75"/>
    </row>
    <row r="7" spans="1:4" ht="15.75">
      <c r="A7" s="72" t="s">
        <v>89</v>
      </c>
      <c r="B7" s="75" t="s">
        <v>98</v>
      </c>
      <c r="C7" s="75" t="s">
        <v>89</v>
      </c>
      <c r="D7" s="76"/>
    </row>
    <row r="8" spans="1:4" ht="15.75">
      <c r="A8" s="71" t="s">
        <v>104</v>
      </c>
      <c r="B8" s="74" t="s">
        <v>103</v>
      </c>
      <c r="C8" s="74" t="s">
        <v>102</v>
      </c>
      <c r="D8" s="76"/>
    </row>
    <row r="9" spans="1:4" ht="15.75">
      <c r="A9" s="72" t="s">
        <v>101</v>
      </c>
      <c r="B9" s="75" t="s">
        <v>89</v>
      </c>
      <c r="C9" s="75" t="s">
        <v>89</v>
      </c>
      <c r="D9" s="76"/>
    </row>
    <row r="10" spans="1:4" ht="15.75">
      <c r="A10" s="71" t="s">
        <v>100</v>
      </c>
      <c r="B10" s="74" t="s">
        <v>47</v>
      </c>
      <c r="C10" s="74" t="s">
        <v>99</v>
      </c>
      <c r="D10" s="76"/>
    </row>
    <row r="11" spans="1:4" ht="15.75">
      <c r="A11" s="72" t="s">
        <v>93</v>
      </c>
      <c r="B11" s="75" t="s">
        <v>98</v>
      </c>
      <c r="C11" s="75" t="s">
        <v>89</v>
      </c>
      <c r="D11" s="76"/>
    </row>
    <row r="12" spans="1:4" ht="15.75">
      <c r="A12" s="71" t="s">
        <v>97</v>
      </c>
      <c r="B12" s="74" t="s">
        <v>49</v>
      </c>
      <c r="C12" s="74" t="s">
        <v>96</v>
      </c>
      <c r="D12" s="76"/>
    </row>
    <row r="13" spans="1:4" ht="15.75">
      <c r="A13" s="72" t="s">
        <v>89</v>
      </c>
      <c r="B13" s="75" t="s">
        <v>95</v>
      </c>
      <c r="C13" s="75" t="s">
        <v>92</v>
      </c>
      <c r="D13" s="76"/>
    </row>
    <row r="14" spans="1:4" ht="15.75">
      <c r="A14" s="71" t="s">
        <v>94</v>
      </c>
      <c r="B14" s="74" t="s">
        <v>50</v>
      </c>
      <c r="C14" s="76"/>
      <c r="D14" s="76"/>
    </row>
    <row r="15" spans="1:4" ht="15.75">
      <c r="A15" s="72" t="s">
        <v>93</v>
      </c>
      <c r="B15" s="75" t="s">
        <v>92</v>
      </c>
      <c r="C15" s="76"/>
      <c r="D15" s="76"/>
    </row>
    <row r="16" spans="1:4" ht="15.75">
      <c r="A16" s="71" t="s">
        <v>91</v>
      </c>
      <c r="B16" s="76"/>
      <c r="C16" s="76"/>
      <c r="D16" s="76"/>
    </row>
    <row r="17" spans="1:4" ht="15.75">
      <c r="A17" s="72" t="s">
        <v>89</v>
      </c>
      <c r="B17" s="76"/>
      <c r="C17" s="76"/>
      <c r="D17" s="76"/>
    </row>
    <row r="18" spans="1:4" ht="15.75">
      <c r="A18" s="71" t="s">
        <v>90</v>
      </c>
      <c r="B18" s="76"/>
      <c r="C18" s="76"/>
      <c r="D18" s="76"/>
    </row>
    <row r="19" spans="1:4" ht="15.75">
      <c r="A19" s="33" t="s">
        <v>89</v>
      </c>
    </row>
    <row r="20" spans="1:4" ht="15.75">
      <c r="A20" s="34"/>
    </row>
    <row r="21" spans="1:4" ht="15.75">
      <c r="A21" s="33"/>
    </row>
    <row r="22" spans="1:4" ht="15.75">
      <c r="A22" s="34"/>
    </row>
    <row r="23" spans="1:4" ht="15.75">
      <c r="A23" s="33"/>
    </row>
    <row r="24" spans="1:4" ht="15.75">
      <c r="A24" s="34"/>
    </row>
    <row r="25" spans="1:4" ht="15.75">
      <c r="A25" s="33"/>
    </row>
    <row r="26" spans="1:4" ht="15.75">
      <c r="A26" s="34"/>
    </row>
    <row r="27" spans="1:4" ht="15.75">
      <c r="A27" s="33"/>
    </row>
    <row r="28" spans="1:4" ht="15.75">
      <c r="A28" s="34"/>
    </row>
    <row r="29" spans="1:4" ht="15.75">
      <c r="A29" s="33"/>
    </row>
    <row r="30" spans="1:4" ht="15.75">
      <c r="A30" s="34"/>
    </row>
    <row r="31" spans="1:4" ht="15.75">
      <c r="A31" s="33"/>
    </row>
    <row r="32" spans="1:4" ht="16.5" thickBot="1">
      <c r="A32" s="35"/>
    </row>
    <row r="33" spans="1:1" ht="15.75">
      <c r="A33" s="34"/>
    </row>
    <row r="34" spans="1:1" ht="15.75">
      <c r="A34" s="33"/>
    </row>
    <row r="35" spans="1:1" ht="15.75">
      <c r="A35" s="34"/>
    </row>
    <row r="36" spans="1:1" ht="15.75">
      <c r="A36" s="33"/>
    </row>
    <row r="37" spans="1:1" ht="15.75">
      <c r="A37" s="34"/>
    </row>
    <row r="38" spans="1:1" ht="15.75">
      <c r="A38" s="33"/>
    </row>
    <row r="39" spans="1:1" ht="15.75">
      <c r="A39" s="34"/>
    </row>
    <row r="40" spans="1:1" ht="15.75">
      <c r="A40" s="33"/>
    </row>
    <row r="41" spans="1:1" ht="15.75">
      <c r="A41" s="34"/>
    </row>
    <row r="42" spans="1:1" ht="15.75">
      <c r="A42" s="33"/>
    </row>
    <row r="43" spans="1:1" ht="15.75">
      <c r="A43" s="34"/>
    </row>
    <row r="44" spans="1:1" ht="15.75">
      <c r="A44" s="33"/>
    </row>
    <row r="45" spans="1:1" ht="15.75">
      <c r="A45" s="34"/>
    </row>
    <row r="46" spans="1:1" ht="15.75">
      <c r="A46" s="33"/>
    </row>
    <row r="47" spans="1:1" ht="16.5" thickBot="1">
      <c r="A47" s="35"/>
    </row>
    <row r="48" spans="1:1" ht="15.75">
      <c r="A48" s="34"/>
    </row>
    <row r="49" spans="1:1" ht="15.75">
      <c r="A49"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57E8-E0A7-4F94-8D00-4B00519FE0E0}">
  <sheetPr codeName="Sayfa5">
    <tabColor theme="7" tint="0.79998168889431442"/>
  </sheetPr>
  <dimension ref="A1:E24"/>
  <sheetViews>
    <sheetView zoomScale="85" zoomScaleNormal="85" workbookViewId="0"/>
  </sheetViews>
  <sheetFormatPr defaultColWidth="8.85546875" defaultRowHeight="15.75"/>
  <cols>
    <col min="1" max="1" width="59.85546875" style="59" customWidth="1"/>
    <col min="2" max="2" width="55.28515625" style="59" customWidth="1"/>
    <col min="3" max="3" width="49.28515625" style="185" customWidth="1"/>
    <col min="4" max="4" width="46.42578125" style="59" customWidth="1"/>
    <col min="5" max="5" width="42.28515625" style="59" customWidth="1"/>
    <col min="6" max="16384" width="8.85546875" style="59"/>
  </cols>
  <sheetData>
    <row r="1" spans="1:5" ht="16.5" thickBot="1">
      <c r="A1" s="66" t="s">
        <v>30</v>
      </c>
      <c r="B1" s="67" t="s">
        <v>22</v>
      </c>
      <c r="C1" s="183" t="s">
        <v>340</v>
      </c>
      <c r="D1" s="67" t="s">
        <v>110</v>
      </c>
      <c r="E1" s="67" t="s">
        <v>455</v>
      </c>
    </row>
    <row r="2" spans="1:5" ht="31.5">
      <c r="A2" s="146" t="s">
        <v>399</v>
      </c>
      <c r="B2" s="179" t="s">
        <v>114</v>
      </c>
      <c r="C2" s="146" t="s">
        <v>351</v>
      </c>
      <c r="D2" s="177" t="s">
        <v>115</v>
      </c>
      <c r="E2" s="146" t="s">
        <v>377</v>
      </c>
    </row>
    <row r="3" spans="1:5">
      <c r="A3" s="147" t="s">
        <v>111</v>
      </c>
      <c r="B3" s="180" t="s">
        <v>113</v>
      </c>
      <c r="C3" s="147" t="s">
        <v>233</v>
      </c>
      <c r="D3" s="178" t="s">
        <v>355</v>
      </c>
      <c r="E3" s="178" t="s">
        <v>355</v>
      </c>
    </row>
    <row r="4" spans="1:5">
      <c r="A4" s="271"/>
      <c r="B4" s="180"/>
      <c r="C4" s="147"/>
      <c r="D4" s="178"/>
      <c r="E4" s="178"/>
    </row>
    <row r="5" spans="1:5" ht="35.25" customHeight="1">
      <c r="A5" s="187" t="s">
        <v>427</v>
      </c>
      <c r="B5" s="179" t="s">
        <v>351</v>
      </c>
      <c r="C5" s="146" t="s">
        <v>400</v>
      </c>
      <c r="D5" s="179" t="s">
        <v>351</v>
      </c>
      <c r="E5" s="179" t="s">
        <v>584</v>
      </c>
    </row>
    <row r="6" spans="1:5">
      <c r="A6" s="178" t="s">
        <v>135</v>
      </c>
      <c r="B6" s="180" t="s">
        <v>233</v>
      </c>
      <c r="C6" s="181" t="s">
        <v>111</v>
      </c>
      <c r="D6" s="182" t="s">
        <v>233</v>
      </c>
      <c r="E6" s="180" t="s">
        <v>426</v>
      </c>
    </row>
    <row r="7" spans="1:5">
      <c r="A7" s="178"/>
      <c r="B7" s="178"/>
      <c r="C7" s="181"/>
      <c r="D7" s="182"/>
      <c r="E7" s="178"/>
    </row>
    <row r="8" spans="1:5" ht="31.5">
      <c r="A8" s="177" t="s">
        <v>138</v>
      </c>
      <c r="B8" s="177" t="s">
        <v>28</v>
      </c>
      <c r="C8" s="146" t="s">
        <v>421</v>
      </c>
      <c r="D8" s="179" t="s">
        <v>397</v>
      </c>
      <c r="E8" s="178"/>
    </row>
    <row r="9" spans="1:5">
      <c r="A9" s="178" t="s">
        <v>135</v>
      </c>
      <c r="B9" s="178" t="s">
        <v>112</v>
      </c>
      <c r="C9" s="181" t="s">
        <v>424</v>
      </c>
      <c r="D9" s="182" t="s">
        <v>413</v>
      </c>
      <c r="E9" s="178"/>
    </row>
    <row r="10" spans="1:5">
      <c r="A10" s="178"/>
      <c r="B10" s="178"/>
      <c r="C10" s="181"/>
      <c r="D10" s="182"/>
      <c r="E10" s="178"/>
    </row>
    <row r="11" spans="1:5" ht="31.5">
      <c r="A11" s="179" t="s">
        <v>398</v>
      </c>
      <c r="B11" s="179" t="s">
        <v>584</v>
      </c>
      <c r="C11" s="146" t="s">
        <v>398</v>
      </c>
      <c r="D11" s="179" t="s">
        <v>398</v>
      </c>
      <c r="E11" s="178"/>
    </row>
    <row r="12" spans="1:5">
      <c r="A12" s="180" t="s">
        <v>516</v>
      </c>
      <c r="B12" s="180" t="s">
        <v>426</v>
      </c>
      <c r="C12" s="181" t="s">
        <v>426</v>
      </c>
      <c r="D12" s="180" t="s">
        <v>426</v>
      </c>
      <c r="E12" s="178"/>
    </row>
    <row r="13" spans="1:5">
      <c r="A13" s="178"/>
      <c r="B13" s="180"/>
      <c r="C13" s="181"/>
      <c r="D13" s="180"/>
      <c r="E13" s="178"/>
    </row>
    <row r="14" spans="1:5" ht="31.5">
      <c r="A14" s="177" t="s">
        <v>31</v>
      </c>
      <c r="B14" s="186"/>
      <c r="C14" s="146" t="s">
        <v>435</v>
      </c>
      <c r="D14" s="179" t="s">
        <v>584</v>
      </c>
      <c r="E14" s="178"/>
    </row>
    <row r="15" spans="1:5">
      <c r="A15" s="180" t="s">
        <v>516</v>
      </c>
      <c r="B15" s="186"/>
      <c r="C15" s="181" t="s">
        <v>442</v>
      </c>
      <c r="D15" s="180" t="s">
        <v>426</v>
      </c>
      <c r="E15" s="178"/>
    </row>
    <row r="16" spans="1:5">
      <c r="A16" s="180"/>
      <c r="B16" s="186"/>
      <c r="C16" s="181"/>
      <c r="D16" s="180"/>
      <c r="E16" s="178"/>
    </row>
    <row r="17" spans="1:5">
      <c r="A17" s="146" t="s">
        <v>377</v>
      </c>
      <c r="B17" s="186"/>
      <c r="C17" s="179" t="s">
        <v>584</v>
      </c>
      <c r="D17" s="69"/>
      <c r="E17" s="178"/>
    </row>
    <row r="18" spans="1:5">
      <c r="A18" s="178" t="s">
        <v>112</v>
      </c>
      <c r="B18" s="186"/>
      <c r="C18" s="180" t="s">
        <v>426</v>
      </c>
      <c r="D18" s="69"/>
      <c r="E18" s="178"/>
    </row>
    <row r="19" spans="1:5">
      <c r="A19" s="68"/>
      <c r="B19" s="186"/>
      <c r="C19" s="184"/>
      <c r="D19" s="69"/>
      <c r="E19" s="178"/>
    </row>
    <row r="20" spans="1:5">
      <c r="A20" s="69"/>
      <c r="B20" s="186"/>
      <c r="C20" s="184"/>
      <c r="D20" s="69"/>
      <c r="E20" s="178"/>
    </row>
    <row r="21" spans="1:5">
      <c r="A21" s="60"/>
    </row>
    <row r="22" spans="1:5">
      <c r="A22" s="61"/>
    </row>
    <row r="23" spans="1:5">
      <c r="A23" s="60"/>
    </row>
    <row r="24" spans="1:5">
      <c r="A24" s="6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65AFB2BEBF4B4A996ACE0A89EFD895" ma:contentTypeVersion="10" ma:contentTypeDescription="Create a new document." ma:contentTypeScope="" ma:versionID="40bfb39a4a72ad7a7d6407f89d3f302e">
  <xsd:schema xmlns:xsd="http://www.w3.org/2001/XMLSchema" xmlns:xs="http://www.w3.org/2001/XMLSchema" xmlns:p="http://schemas.microsoft.com/office/2006/metadata/properties" xmlns:ns3="7c97fd90-9f84-4c4d-8dae-c1af506b2db4" targetNamespace="http://schemas.microsoft.com/office/2006/metadata/properties" ma:root="true" ma:fieldsID="7380b7b5aad3a4778b4a15cdcbde2b4d" ns3:_="">
    <xsd:import namespace="7c97fd90-9f84-4c4d-8dae-c1af506b2db4"/>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97fd90-9f84-4c4d-8dae-c1af506b2db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c97fd90-9f84-4c4d-8dae-c1af506b2db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4995BB-4EB9-443C-A8FB-C530D1910B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97fd90-9f84-4c4d-8dae-c1af506b2d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A1358AC-5F96-4148-B2F2-5E3E208B1D2D}">
  <ds:schemaRefs>
    <ds:schemaRef ds:uri="http://schemas.microsoft.com/office/2006/documentManagement/types"/>
    <ds:schemaRef ds:uri="http://purl.org/dc/terms/"/>
    <ds:schemaRef ds:uri="http://schemas.microsoft.com/office/2006/metadata/properties"/>
    <ds:schemaRef ds:uri="http://www.w3.org/XML/1998/namespace"/>
    <ds:schemaRef ds:uri="7c97fd90-9f84-4c4d-8dae-c1af506b2db4"/>
    <ds:schemaRef ds:uri="http://schemas.microsoft.com/office/infopath/2007/PartnerControls"/>
    <ds:schemaRef ds:uri="http://schemas.openxmlformats.org/package/2006/metadata/core-properties"/>
    <ds:schemaRef ds:uri="http://purl.org/dc/dcmitype/"/>
    <ds:schemaRef ds:uri="http://purl.org/dc/elements/1.1/"/>
  </ds:schemaRefs>
</ds:datastoreItem>
</file>

<file path=customXml/itemProps3.xml><?xml version="1.0" encoding="utf-8"?>
<ds:datastoreItem xmlns:ds="http://schemas.openxmlformats.org/officeDocument/2006/customXml" ds:itemID="{65B70167-B0EA-4A71-9443-B338FAA9AD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Klasik Prj-Hibrit Prj ilerleme</vt:lpstr>
      <vt:lpstr>Çevik Prj İlerleme</vt:lpstr>
      <vt:lpstr>Jira Worklog Analizi-Sprint</vt:lpstr>
      <vt:lpstr>Jira Worklog Analizi-Kümüle</vt:lpstr>
      <vt:lpstr>Ar-Ge Yazılım Personelleri</vt:lpstr>
      <vt:lpstr>İş Dağılımı - Jira</vt:lpstr>
      <vt:lpstr>İş Dağılımı - Servicecore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Büşra Gümüşsoy</dc:creator>
  <cp:keywords/>
  <dc:description/>
  <cp:lastModifiedBy>Aykut Kutlusan</cp:lastModifiedBy>
  <cp:revision/>
  <dcterms:created xsi:type="dcterms:W3CDTF">2015-06-05T18:19:34Z</dcterms:created>
  <dcterms:modified xsi:type="dcterms:W3CDTF">2026-03-19T10:07:46Z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0x010100AA65AFB2BEBF4B4A996ACE0A89EFD895</vt:lpwstr>
  </property>
</Properties>
</file>