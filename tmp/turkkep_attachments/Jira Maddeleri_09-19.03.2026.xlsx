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ykut.kutlusan\AppData\Local\Microsoft\Windows\INetCache\Content.Outlook\7CUEMCQJ\"/>
    </mc:Choice>
  </mc:AlternateContent>
  <xr:revisionPtr revIDLastSave="0" documentId="13_ncr:1_{23B19F20-3342-467F-8314-CBD057011819}" xr6:coauthVersionLast="47" xr6:coauthVersionMax="47" xr10:uidLastSave="{00000000-0000-0000-0000-000000000000}"/>
  <bookViews>
    <workbookView xWindow="690" yWindow="705" windowWidth="26070" windowHeight="14580" tabRatio="830" xr2:uid="{8E636631-F151-41CF-A398-5AC6C7935B0B}"/>
  </bookViews>
  <sheets>
    <sheet name="özet" sheetId="5" r:id="rId1"/>
    <sheet name="Ürün İş Listesi" sheetId="1" r:id="rId2"/>
    <sheet name="Devam Eden Sprint" sheetId="2" r:id="rId3"/>
    <sheet name="Gelecek Sprint" sheetId="3" r:id="rId4"/>
    <sheet name="Türkkep Jira" sheetId="11" r:id="rId5"/>
  </sheets>
  <definedNames>
    <definedName name="_xlnm._FilterDatabase" localSheetId="2" hidden="1">'Devam Eden Sprint'!$A$1:$H$77</definedName>
    <definedName name="_xlnm._FilterDatabase" localSheetId="3" hidden="1">'Gelecek Sprint'!$A$1:$H$48</definedName>
    <definedName name="_xlnm._FilterDatabase" localSheetId="1" hidden="1">'Ürün İş Listesi'!$A$1:$K$1341</definedName>
  </definedName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2" i="1" l="1"/>
  <c r="Z21" i="1"/>
  <c r="Z20" i="1"/>
  <c r="Z19" i="1"/>
  <c r="Z18" i="1"/>
  <c r="Z17" i="1"/>
  <c r="Z16" i="1"/>
  <c r="Z15" i="1"/>
  <c r="M16" i="5" s="1"/>
  <c r="Z14" i="1"/>
  <c r="Z13" i="1"/>
  <c r="Z12" i="1"/>
  <c r="Z11" i="1"/>
  <c r="Z10" i="1"/>
  <c r="Z9" i="1"/>
  <c r="Z8" i="1"/>
  <c r="M8" i="5" s="1"/>
  <c r="Z7" i="1"/>
  <c r="Z6" i="1"/>
  <c r="Y22" i="1"/>
  <c r="Y21" i="1"/>
  <c r="Y20" i="1"/>
  <c r="Y19" i="1"/>
  <c r="Y18" i="1"/>
  <c r="Y17" i="1"/>
  <c r="Y16" i="1"/>
  <c r="Y15" i="1"/>
  <c r="Y14" i="1"/>
  <c r="Y13" i="1"/>
  <c r="Y12" i="1"/>
  <c r="Y11" i="1"/>
  <c r="Y10" i="1"/>
  <c r="Y9" i="1"/>
  <c r="Y8" i="1"/>
  <c r="Y7" i="1"/>
  <c r="Y6" i="1"/>
  <c r="AM18" i="1"/>
  <c r="AM17" i="1"/>
  <c r="AM16" i="1"/>
  <c r="AM15" i="1"/>
  <c r="AM14" i="1"/>
  <c r="AM13" i="1"/>
  <c r="AM12" i="1"/>
  <c r="AM11" i="1"/>
  <c r="AM10" i="1"/>
  <c r="AM9" i="1"/>
  <c r="AM8" i="1"/>
  <c r="AM7" i="1"/>
  <c r="AM6" i="1"/>
  <c r="F1326" i="1"/>
  <c r="F1327" i="1"/>
  <c r="F1328" i="1"/>
  <c r="F1329" i="1"/>
  <c r="F1330" i="1"/>
  <c r="F1331" i="1"/>
  <c r="F1332" i="1"/>
  <c r="F1333" i="1"/>
  <c r="F1334" i="1"/>
  <c r="F1335" i="1"/>
  <c r="F1336" i="1"/>
  <c r="F1337" i="1"/>
  <c r="F1338" i="1"/>
  <c r="F1339" i="1"/>
  <c r="F1340" i="1"/>
  <c r="F1341" i="1"/>
  <c r="G1335" i="1"/>
  <c r="H1335" i="1"/>
  <c r="G1336" i="1"/>
  <c r="H1336" i="1"/>
  <c r="G1337" i="1"/>
  <c r="H1337" i="1"/>
  <c r="G1338" i="1"/>
  <c r="H1338" i="1"/>
  <c r="G1339" i="1"/>
  <c r="H1339" i="1"/>
  <c r="G1340" i="1"/>
  <c r="H1340" i="1"/>
  <c r="G1341" i="1"/>
  <c r="H1341" i="1"/>
  <c r="G1326" i="1"/>
  <c r="H1326" i="1"/>
  <c r="G1327" i="1"/>
  <c r="H1327" i="1"/>
  <c r="G1328" i="1"/>
  <c r="H1328" i="1"/>
  <c r="G1329" i="1"/>
  <c r="H1329" i="1"/>
  <c r="G1330" i="1"/>
  <c r="H1330" i="1"/>
  <c r="G1331" i="1"/>
  <c r="H1331" i="1"/>
  <c r="G1332" i="1"/>
  <c r="H1332" i="1"/>
  <c r="G1333" i="1"/>
  <c r="H1333" i="1"/>
  <c r="G1334" i="1"/>
  <c r="H1334" i="1"/>
  <c r="H61" i="3"/>
  <c r="H60" i="3"/>
  <c r="H59" i="3"/>
  <c r="H58" i="3"/>
  <c r="H57" i="3"/>
  <c r="H56" i="3"/>
  <c r="H55" i="3"/>
  <c r="H54" i="3"/>
  <c r="H53" i="3"/>
  <c r="H52" i="3"/>
  <c r="H51" i="3"/>
  <c r="H50" i="3"/>
  <c r="H49" i="3"/>
  <c r="H77" i="2"/>
  <c r="H76" i="2"/>
  <c r="H75" i="2"/>
  <c r="H74" i="2"/>
  <c r="H73" i="2"/>
  <c r="H72" i="2"/>
  <c r="H71" i="2"/>
  <c r="H70" i="2"/>
  <c r="H69" i="2"/>
  <c r="H68" i="2"/>
  <c r="H67" i="2"/>
  <c r="H66" i="2"/>
  <c r="H65" i="2"/>
  <c r="H64" i="2"/>
  <c r="H63" i="2"/>
  <c r="H62" i="2"/>
  <c r="H61" i="2"/>
  <c r="G1304" i="1"/>
  <c r="H1304" i="1"/>
  <c r="G1305" i="1"/>
  <c r="H1305" i="1"/>
  <c r="G1306" i="1"/>
  <c r="H1306" i="1"/>
  <c r="G1307" i="1"/>
  <c r="H1307" i="1"/>
  <c r="G1308" i="1"/>
  <c r="H1308" i="1"/>
  <c r="G1309" i="1"/>
  <c r="H1309" i="1"/>
  <c r="G1310" i="1"/>
  <c r="H1310" i="1"/>
  <c r="G1311" i="1"/>
  <c r="H1311" i="1"/>
  <c r="G1312" i="1"/>
  <c r="H1312" i="1"/>
  <c r="G1313" i="1"/>
  <c r="H1313" i="1"/>
  <c r="G1314" i="1"/>
  <c r="H1314" i="1"/>
  <c r="G1315" i="1"/>
  <c r="H1315" i="1"/>
  <c r="G1316" i="1"/>
  <c r="H1316" i="1"/>
  <c r="G1317" i="1"/>
  <c r="H1317" i="1"/>
  <c r="G1318" i="1"/>
  <c r="H1318" i="1"/>
  <c r="G1319" i="1"/>
  <c r="H1319" i="1"/>
  <c r="G1320" i="1"/>
  <c r="H1320" i="1"/>
  <c r="G1321" i="1"/>
  <c r="H1321" i="1"/>
  <c r="G1322" i="1"/>
  <c r="H1322" i="1"/>
  <c r="G1323" i="1"/>
  <c r="H1323" i="1"/>
  <c r="G1324" i="1"/>
  <c r="H1324" i="1"/>
  <c r="G1325" i="1"/>
  <c r="H1325" i="1"/>
  <c r="F1304" i="1"/>
  <c r="F1305" i="1"/>
  <c r="F1306" i="1"/>
  <c r="F1307" i="1"/>
  <c r="F1308" i="1"/>
  <c r="F1309" i="1"/>
  <c r="F1310" i="1"/>
  <c r="F1311" i="1"/>
  <c r="F1312" i="1"/>
  <c r="F1313" i="1"/>
  <c r="F1314" i="1"/>
  <c r="F1315" i="1"/>
  <c r="F1316" i="1"/>
  <c r="F1317" i="1"/>
  <c r="F1318" i="1"/>
  <c r="F1319" i="1"/>
  <c r="F1320" i="1"/>
  <c r="F1321" i="1"/>
  <c r="F1322" i="1"/>
  <c r="F1323" i="1"/>
  <c r="F1324" i="1"/>
  <c r="F1325" i="1"/>
  <c r="H44" i="3"/>
  <c r="H45" i="3"/>
  <c r="H46" i="3"/>
  <c r="H47" i="3"/>
  <c r="H48" i="3"/>
  <c r="H42" i="2"/>
  <c r="H43" i="2"/>
  <c r="H44" i="2"/>
  <c r="H45" i="2"/>
  <c r="H46" i="2"/>
  <c r="H47" i="2"/>
  <c r="H48" i="2"/>
  <c r="H49" i="2"/>
  <c r="H50" i="2"/>
  <c r="H51" i="2"/>
  <c r="H52" i="2"/>
  <c r="H53" i="2"/>
  <c r="H54" i="2"/>
  <c r="H55" i="2"/>
  <c r="H56" i="2"/>
  <c r="H57" i="2"/>
  <c r="H58" i="2"/>
  <c r="H59" i="2"/>
  <c r="H60" i="2"/>
  <c r="H43" i="3"/>
  <c r="H42" i="3"/>
  <c r="H41" i="3"/>
  <c r="H40" i="3"/>
  <c r="H39" i="3"/>
  <c r="H38" i="3"/>
  <c r="H37" i="3"/>
  <c r="H36" i="3"/>
  <c r="H35" i="3"/>
  <c r="H34" i="3"/>
  <c r="H33" i="3"/>
  <c r="H32" i="3"/>
  <c r="H31" i="3"/>
  <c r="H30" i="3"/>
  <c r="H29" i="3"/>
  <c r="H28" i="3"/>
  <c r="H27" i="3"/>
  <c r="H26" i="3"/>
  <c r="H25" i="3"/>
  <c r="H24" i="3"/>
  <c r="H23" i="3"/>
  <c r="H22" i="3"/>
  <c r="H21" i="3"/>
  <c r="H20" i="3"/>
  <c r="H18" i="2"/>
  <c r="H19" i="2"/>
  <c r="H20" i="2"/>
  <c r="H21" i="2"/>
  <c r="H22" i="2"/>
  <c r="H23" i="2"/>
  <c r="H24" i="2"/>
  <c r="H25" i="2"/>
  <c r="H26" i="2"/>
  <c r="H27" i="2"/>
  <c r="H28" i="2"/>
  <c r="H29" i="2"/>
  <c r="H30" i="2"/>
  <c r="H31" i="2"/>
  <c r="H32" i="2"/>
  <c r="H33" i="2"/>
  <c r="H34" i="2"/>
  <c r="H35" i="2"/>
  <c r="H36" i="2"/>
  <c r="H37" i="2"/>
  <c r="H38" i="2"/>
  <c r="H39" i="2"/>
  <c r="H40" i="2"/>
  <c r="H41" i="2"/>
  <c r="H9" i="3"/>
  <c r="H10" i="3"/>
  <c r="H11" i="3"/>
  <c r="H12" i="3"/>
  <c r="H13" i="3"/>
  <c r="H14" i="3"/>
  <c r="H15" i="3"/>
  <c r="H16" i="3"/>
  <c r="H17" i="3"/>
  <c r="H18" i="3"/>
  <c r="H19" i="3"/>
  <c r="Z31" i="1"/>
  <c r="M7" i="5"/>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G1280" i="1"/>
  <c r="H1280" i="1"/>
  <c r="G1281" i="1"/>
  <c r="H1281" i="1"/>
  <c r="G1282" i="1"/>
  <c r="H1282" i="1"/>
  <c r="G1283" i="1"/>
  <c r="H1283" i="1"/>
  <c r="G1284" i="1"/>
  <c r="H1284" i="1"/>
  <c r="G1285" i="1"/>
  <c r="H1285" i="1"/>
  <c r="G1286" i="1"/>
  <c r="H1286" i="1"/>
  <c r="G1287" i="1"/>
  <c r="H1287" i="1"/>
  <c r="G1288" i="1"/>
  <c r="H1288" i="1"/>
  <c r="G1289" i="1"/>
  <c r="H1289" i="1"/>
  <c r="G1290" i="1"/>
  <c r="H1290" i="1"/>
  <c r="G1291" i="1"/>
  <c r="H1291" i="1"/>
  <c r="G1292" i="1"/>
  <c r="H1292" i="1"/>
  <c r="G1293" i="1"/>
  <c r="H1293" i="1"/>
  <c r="G1294" i="1"/>
  <c r="H1294" i="1"/>
  <c r="G1295" i="1"/>
  <c r="H1295" i="1"/>
  <c r="G1296" i="1"/>
  <c r="H1296" i="1"/>
  <c r="G1297" i="1"/>
  <c r="H1297" i="1"/>
  <c r="G1298" i="1"/>
  <c r="H1298" i="1"/>
  <c r="G1299" i="1"/>
  <c r="H1299" i="1"/>
  <c r="G1300" i="1"/>
  <c r="H1300" i="1"/>
  <c r="G1301" i="1"/>
  <c r="H1301" i="1"/>
  <c r="G1302" i="1"/>
  <c r="H1302" i="1"/>
  <c r="G1303" i="1"/>
  <c r="H1303" i="1"/>
  <c r="M6" i="5"/>
  <c r="M13" i="5"/>
  <c r="M17" i="5"/>
  <c r="M19" i="5"/>
  <c r="M20" i="5"/>
  <c r="F1274" i="1"/>
  <c r="F1275" i="1"/>
  <c r="F1276" i="1"/>
  <c r="F1277" i="1"/>
  <c r="F1278" i="1"/>
  <c r="F1279" i="1"/>
  <c r="G1274" i="1"/>
  <c r="H1274" i="1"/>
  <c r="G1275" i="1"/>
  <c r="H1275" i="1"/>
  <c r="G1276" i="1"/>
  <c r="H1276" i="1"/>
  <c r="G1277" i="1"/>
  <c r="H1277" i="1"/>
  <c r="G1278" i="1"/>
  <c r="H1278" i="1"/>
  <c r="G1279" i="1"/>
  <c r="H1279" i="1"/>
  <c r="H8" i="3"/>
  <c r="H7" i="3"/>
  <c r="H6" i="3"/>
  <c r="H5" i="3"/>
  <c r="H4" i="3"/>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2" i="1"/>
  <c r="G1263" i="1"/>
  <c r="H1263" i="1"/>
  <c r="G1264" i="1"/>
  <c r="H1264" i="1"/>
  <c r="G1265" i="1"/>
  <c r="H1265" i="1"/>
  <c r="G1266" i="1"/>
  <c r="H1266" i="1"/>
  <c r="G1267" i="1"/>
  <c r="H1267" i="1"/>
  <c r="G1268" i="1"/>
  <c r="H1268" i="1"/>
  <c r="G1269" i="1"/>
  <c r="H1269" i="1"/>
  <c r="G1270" i="1"/>
  <c r="H1270" i="1"/>
  <c r="G1271" i="1"/>
  <c r="H1271" i="1"/>
  <c r="G1272" i="1"/>
  <c r="H1272" i="1"/>
  <c r="G1273" i="1"/>
  <c r="H1273" i="1"/>
  <c r="H1262" i="1"/>
  <c r="G1262" i="1"/>
  <c r="H1261" i="1"/>
  <c r="G1261" i="1"/>
  <c r="H1260" i="1"/>
  <c r="G1260" i="1"/>
  <c r="H1259" i="1"/>
  <c r="G1259" i="1"/>
  <c r="H1258" i="1"/>
  <c r="G1258" i="1"/>
  <c r="H1257" i="1"/>
  <c r="G1257" i="1"/>
  <c r="H1256" i="1"/>
  <c r="G1256" i="1"/>
  <c r="H1255" i="1"/>
  <c r="G1255" i="1"/>
  <c r="H1254" i="1"/>
  <c r="G1254" i="1"/>
  <c r="H1253" i="1"/>
  <c r="G1253" i="1"/>
  <c r="H1252" i="1"/>
  <c r="G1252" i="1"/>
  <c r="H1251" i="1"/>
  <c r="G1251" i="1"/>
  <c r="G1248" i="1"/>
  <c r="H1248" i="1"/>
  <c r="G1249" i="1"/>
  <c r="H1249" i="1"/>
  <c r="G1250" i="1"/>
  <c r="H1250" i="1"/>
  <c r="J11" i="5"/>
  <c r="J12" i="5"/>
  <c r="J13" i="5"/>
  <c r="J14" i="5"/>
  <c r="J15" i="5"/>
  <c r="J16" i="5"/>
  <c r="J17" i="5"/>
  <c r="J18" i="5"/>
  <c r="J19" i="5"/>
  <c r="G1206" i="1"/>
  <c r="H1206" i="1"/>
  <c r="G1207" i="1"/>
  <c r="H1207" i="1"/>
  <c r="G1208" i="1"/>
  <c r="H1208" i="1"/>
  <c r="G1209" i="1"/>
  <c r="H1209" i="1"/>
  <c r="G1210" i="1"/>
  <c r="H1210" i="1"/>
  <c r="G1211" i="1"/>
  <c r="H1211" i="1"/>
  <c r="G1212" i="1"/>
  <c r="H1212" i="1"/>
  <c r="G1213" i="1"/>
  <c r="H1213" i="1"/>
  <c r="G1214" i="1"/>
  <c r="H1214" i="1"/>
  <c r="G1215" i="1"/>
  <c r="H1215" i="1"/>
  <c r="G1216" i="1"/>
  <c r="H1216" i="1"/>
  <c r="G1217" i="1"/>
  <c r="H1217" i="1"/>
  <c r="G1218" i="1"/>
  <c r="H1218" i="1"/>
  <c r="G1219" i="1"/>
  <c r="H1219" i="1"/>
  <c r="G1220" i="1"/>
  <c r="H1220" i="1"/>
  <c r="G1221" i="1"/>
  <c r="H1221" i="1"/>
  <c r="G1222" i="1"/>
  <c r="H1222" i="1"/>
  <c r="G1223" i="1"/>
  <c r="H1223" i="1"/>
  <c r="G1224" i="1"/>
  <c r="H1224" i="1"/>
  <c r="G1225" i="1"/>
  <c r="H1225" i="1"/>
  <c r="G1226" i="1"/>
  <c r="H1226" i="1"/>
  <c r="G1227" i="1"/>
  <c r="H1227" i="1"/>
  <c r="G1228" i="1"/>
  <c r="H1228" i="1"/>
  <c r="G1229" i="1"/>
  <c r="H1229" i="1"/>
  <c r="G1230" i="1"/>
  <c r="H1230" i="1"/>
  <c r="G1231" i="1"/>
  <c r="H1231" i="1"/>
  <c r="G1232" i="1"/>
  <c r="H1232" i="1"/>
  <c r="G1233" i="1"/>
  <c r="H1233" i="1"/>
  <c r="G1234" i="1"/>
  <c r="H1234" i="1"/>
  <c r="G1235" i="1"/>
  <c r="H1235" i="1"/>
  <c r="G1236" i="1"/>
  <c r="H1236" i="1"/>
  <c r="G1237" i="1"/>
  <c r="H1237" i="1"/>
  <c r="G1238" i="1"/>
  <c r="H1238" i="1"/>
  <c r="G1239" i="1"/>
  <c r="H1239" i="1"/>
  <c r="G1240" i="1"/>
  <c r="H1240" i="1"/>
  <c r="G1241" i="1"/>
  <c r="H1241" i="1"/>
  <c r="G1242" i="1"/>
  <c r="H1242" i="1"/>
  <c r="G1243" i="1"/>
  <c r="H1243" i="1"/>
  <c r="G1244" i="1"/>
  <c r="H1244" i="1"/>
  <c r="G1245" i="1"/>
  <c r="H1245" i="1"/>
  <c r="G1246" i="1"/>
  <c r="H1246" i="1"/>
  <c r="G1247" i="1"/>
  <c r="H1247" i="1"/>
  <c r="H2" i="3"/>
  <c r="H3" i="3"/>
  <c r="H1123" i="1"/>
  <c r="H1205" i="1"/>
  <c r="G1205" i="1"/>
  <c r="H1204" i="1"/>
  <c r="G1204" i="1"/>
  <c r="H1203" i="1"/>
  <c r="G1203" i="1"/>
  <c r="H1202" i="1"/>
  <c r="G1202" i="1"/>
  <c r="G1201" i="1"/>
  <c r="H1200" i="1"/>
  <c r="G1200" i="1"/>
  <c r="H1199" i="1"/>
  <c r="G1199" i="1"/>
  <c r="H1198" i="1"/>
  <c r="G1198" i="1"/>
  <c r="H1197" i="1"/>
  <c r="G1197" i="1"/>
  <c r="H1196" i="1"/>
  <c r="G1196" i="1"/>
  <c r="H1195" i="1"/>
  <c r="G1195" i="1"/>
  <c r="H1194" i="1"/>
  <c r="G1194" i="1"/>
  <c r="H1193" i="1"/>
  <c r="G1193" i="1"/>
  <c r="H1192" i="1"/>
  <c r="G1192" i="1"/>
  <c r="H1191" i="1"/>
  <c r="G1191" i="1"/>
  <c r="H1190" i="1"/>
  <c r="G1190" i="1"/>
  <c r="H1189" i="1"/>
  <c r="G1189" i="1"/>
  <c r="H7" i="2"/>
  <c r="H8" i="2"/>
  <c r="H9" i="2"/>
  <c r="H10" i="2"/>
  <c r="H11" i="2"/>
  <c r="H12" i="2"/>
  <c r="H13" i="2"/>
  <c r="H14" i="2"/>
  <c r="H15" i="2"/>
  <c r="H16" i="2"/>
  <c r="H17" i="2"/>
  <c r="G1167" i="1"/>
  <c r="H1167" i="1"/>
  <c r="G1168" i="1"/>
  <c r="H1168" i="1"/>
  <c r="G1169" i="1"/>
  <c r="H1169" i="1"/>
  <c r="G1170" i="1"/>
  <c r="H1170" i="1"/>
  <c r="G1171" i="1"/>
  <c r="H1171" i="1"/>
  <c r="G1172" i="1"/>
  <c r="H1172" i="1"/>
  <c r="G1173" i="1"/>
  <c r="H1173" i="1"/>
  <c r="G1174" i="1"/>
  <c r="H1174" i="1"/>
  <c r="G1175" i="1"/>
  <c r="H1175" i="1"/>
  <c r="G1176" i="1"/>
  <c r="H1176" i="1"/>
  <c r="G1177" i="1"/>
  <c r="H1177" i="1"/>
  <c r="G1178" i="1"/>
  <c r="H1178" i="1"/>
  <c r="G1179" i="1"/>
  <c r="H1179" i="1"/>
  <c r="G1180" i="1"/>
  <c r="H1180" i="1"/>
  <c r="G1181" i="1"/>
  <c r="H1181" i="1"/>
  <c r="G1182" i="1"/>
  <c r="H1182" i="1"/>
  <c r="G1183" i="1"/>
  <c r="H1183" i="1"/>
  <c r="G1184" i="1"/>
  <c r="H1184" i="1"/>
  <c r="G1185" i="1"/>
  <c r="H1185" i="1"/>
  <c r="G1186" i="1"/>
  <c r="H1186" i="1"/>
  <c r="G1187" i="1"/>
  <c r="H1187" i="1"/>
  <c r="G1188" i="1"/>
  <c r="H1188" i="1"/>
  <c r="J6" i="5"/>
  <c r="J7" i="5"/>
  <c r="J8" i="5"/>
  <c r="J9" i="5"/>
  <c r="J10" i="5"/>
  <c r="J20" i="5"/>
  <c r="J5" i="5"/>
  <c r="K5" i="5"/>
  <c r="G1121" i="1"/>
  <c r="H1121" i="1"/>
  <c r="G1122" i="1"/>
  <c r="H1122" i="1"/>
  <c r="G1123" i="1"/>
  <c r="G1124" i="1"/>
  <c r="H1124" i="1"/>
  <c r="G1125" i="1"/>
  <c r="H1125" i="1"/>
  <c r="G1126" i="1"/>
  <c r="H1126" i="1"/>
  <c r="G1127" i="1"/>
  <c r="H1127" i="1"/>
  <c r="G1128" i="1"/>
  <c r="H1128" i="1"/>
  <c r="G1129" i="1"/>
  <c r="G1130" i="1"/>
  <c r="H1130" i="1"/>
  <c r="G1131" i="1"/>
  <c r="H1131" i="1"/>
  <c r="G1132" i="1"/>
  <c r="H1132" i="1"/>
  <c r="G1133" i="1"/>
  <c r="H1133" i="1"/>
  <c r="G1134" i="1"/>
  <c r="H1134" i="1"/>
  <c r="G1135" i="1"/>
  <c r="H1135" i="1"/>
  <c r="G1136" i="1"/>
  <c r="H1136" i="1"/>
  <c r="G1137" i="1"/>
  <c r="H1137" i="1"/>
  <c r="G1138" i="1"/>
  <c r="H1138" i="1"/>
  <c r="G1139" i="1"/>
  <c r="H1139" i="1"/>
  <c r="G1140" i="1"/>
  <c r="H1140" i="1"/>
  <c r="G1141" i="1"/>
  <c r="H1141" i="1"/>
  <c r="G1142" i="1"/>
  <c r="H1142" i="1"/>
  <c r="G1143" i="1"/>
  <c r="H1143" i="1"/>
  <c r="G1144" i="1"/>
  <c r="H1144" i="1"/>
  <c r="G1145" i="1"/>
  <c r="H1145" i="1"/>
  <c r="G1146" i="1"/>
  <c r="H1146" i="1"/>
  <c r="G1147" i="1"/>
  <c r="H1147" i="1"/>
  <c r="G1148" i="1"/>
  <c r="H1148" i="1"/>
  <c r="G1149" i="1"/>
  <c r="H1149" i="1"/>
  <c r="G1150" i="1"/>
  <c r="H1150" i="1"/>
  <c r="G1151" i="1"/>
  <c r="H1151" i="1"/>
  <c r="G1152" i="1"/>
  <c r="H1152" i="1"/>
  <c r="G1153" i="1"/>
  <c r="H1153" i="1"/>
  <c r="G1154" i="1"/>
  <c r="H1154" i="1"/>
  <c r="G1155" i="1"/>
  <c r="H1155" i="1"/>
  <c r="G1156" i="1"/>
  <c r="H1156" i="1"/>
  <c r="G1157" i="1"/>
  <c r="H1157" i="1"/>
  <c r="G1158" i="1"/>
  <c r="H1158" i="1"/>
  <c r="G1159" i="1"/>
  <c r="H1159" i="1"/>
  <c r="G1160" i="1"/>
  <c r="H1160" i="1"/>
  <c r="G1161" i="1"/>
  <c r="H1161" i="1"/>
  <c r="G1162" i="1"/>
  <c r="H1162" i="1"/>
  <c r="G1163" i="1"/>
  <c r="H1163" i="1"/>
  <c r="G1164" i="1"/>
  <c r="H1164" i="1"/>
  <c r="G1165" i="1"/>
  <c r="H1165" i="1"/>
  <c r="G1166" i="1"/>
  <c r="H1166" i="1"/>
  <c r="G1101" i="1"/>
  <c r="H1101" i="1"/>
  <c r="G1102" i="1"/>
  <c r="H1102" i="1"/>
  <c r="G1103" i="1"/>
  <c r="H1103" i="1"/>
  <c r="G1104" i="1"/>
  <c r="H1104" i="1"/>
  <c r="G1105" i="1"/>
  <c r="H1105" i="1"/>
  <c r="G1106" i="1"/>
  <c r="H1106" i="1"/>
  <c r="G1107" i="1"/>
  <c r="H1107" i="1"/>
  <c r="G1108" i="1"/>
  <c r="H1108" i="1"/>
  <c r="G1109" i="1"/>
  <c r="H1109" i="1"/>
  <c r="G1110" i="1"/>
  <c r="H1110" i="1"/>
  <c r="G1111" i="1"/>
  <c r="H1111" i="1"/>
  <c r="G1112" i="1"/>
  <c r="H1112" i="1"/>
  <c r="G1113" i="1"/>
  <c r="H1113" i="1"/>
  <c r="G1114" i="1"/>
  <c r="H1114" i="1"/>
  <c r="G1115" i="1"/>
  <c r="H1115" i="1"/>
  <c r="G1116" i="1"/>
  <c r="H1116" i="1"/>
  <c r="G1117" i="1"/>
  <c r="H1117" i="1"/>
  <c r="G1118" i="1"/>
  <c r="H1118" i="1"/>
  <c r="G1119" i="1"/>
  <c r="H1119" i="1"/>
  <c r="G1120" i="1"/>
  <c r="H1120" i="1"/>
  <c r="Z32" i="1"/>
  <c r="Z33" i="1"/>
  <c r="Z34" i="1"/>
  <c r="Z35" i="1"/>
  <c r="Z36" i="1"/>
  <c r="Z37" i="1"/>
  <c r="Z38" i="1"/>
  <c r="Z39" i="1"/>
  <c r="Z40" i="1"/>
  <c r="Z41" i="1"/>
  <c r="Z42" i="1"/>
  <c r="Z43" i="1"/>
  <c r="Z44" i="1"/>
  <c r="Z45" i="1"/>
  <c r="Z46" i="1"/>
  <c r="Z47" i="1"/>
  <c r="Z48" i="1"/>
  <c r="G1080" i="1"/>
  <c r="H1080" i="1"/>
  <c r="G1081" i="1"/>
  <c r="H1081" i="1"/>
  <c r="G1082" i="1"/>
  <c r="H1082" i="1"/>
  <c r="G1083" i="1"/>
  <c r="H1083" i="1"/>
  <c r="G1084" i="1"/>
  <c r="H1084" i="1"/>
  <c r="G1085" i="1"/>
  <c r="H1085" i="1"/>
  <c r="G1086" i="1"/>
  <c r="H1086" i="1"/>
  <c r="G1087" i="1"/>
  <c r="H1087" i="1"/>
  <c r="G1088" i="1"/>
  <c r="H1088" i="1"/>
  <c r="G1089" i="1"/>
  <c r="H1089" i="1"/>
  <c r="G1090" i="1"/>
  <c r="H1090" i="1"/>
  <c r="G1091" i="1"/>
  <c r="H1091" i="1"/>
  <c r="G1092" i="1"/>
  <c r="H1092" i="1"/>
  <c r="G1093" i="1"/>
  <c r="H1093" i="1"/>
  <c r="G1094" i="1"/>
  <c r="H1094" i="1"/>
  <c r="G1095" i="1"/>
  <c r="H1095" i="1"/>
  <c r="G1096" i="1"/>
  <c r="H1096" i="1"/>
  <c r="G1097" i="1"/>
  <c r="H1097" i="1"/>
  <c r="G1098" i="1"/>
  <c r="H1098" i="1"/>
  <c r="G1099" i="1"/>
  <c r="H1099" i="1"/>
  <c r="G1100" i="1"/>
  <c r="H1100" i="1"/>
  <c r="G1072" i="1"/>
  <c r="H1072" i="1"/>
  <c r="G1073" i="1"/>
  <c r="H1073" i="1"/>
  <c r="G1074" i="1"/>
  <c r="H1074" i="1"/>
  <c r="G1075" i="1"/>
  <c r="H1075" i="1"/>
  <c r="G1076" i="1"/>
  <c r="H1076" i="1"/>
  <c r="G1077" i="1"/>
  <c r="H1077" i="1"/>
  <c r="G1078" i="1"/>
  <c r="H1078" i="1"/>
  <c r="G1079" i="1"/>
  <c r="H1079" i="1"/>
  <c r="G1056" i="1"/>
  <c r="H1056" i="1"/>
  <c r="G1057" i="1"/>
  <c r="H1057" i="1"/>
  <c r="G1058" i="1"/>
  <c r="H1058" i="1"/>
  <c r="G1059" i="1"/>
  <c r="H1059" i="1"/>
  <c r="G1060" i="1"/>
  <c r="H1060" i="1"/>
  <c r="G1061" i="1"/>
  <c r="H1061" i="1"/>
  <c r="G1062" i="1"/>
  <c r="H1062" i="1"/>
  <c r="G1063" i="1"/>
  <c r="H1063" i="1"/>
  <c r="G1064" i="1"/>
  <c r="H1064" i="1"/>
  <c r="G1065" i="1"/>
  <c r="H1065" i="1"/>
  <c r="G1066" i="1"/>
  <c r="H1066" i="1"/>
  <c r="G1067" i="1"/>
  <c r="H1067" i="1"/>
  <c r="G1068" i="1"/>
  <c r="H1068" i="1"/>
  <c r="G1069" i="1"/>
  <c r="H1069" i="1"/>
  <c r="G1070" i="1"/>
  <c r="H1070" i="1"/>
  <c r="G1071" i="1"/>
  <c r="H1071" i="1"/>
  <c r="H2" i="2"/>
  <c r="H3" i="2"/>
  <c r="H4" i="2"/>
  <c r="H5" i="2"/>
  <c r="G1027" i="1"/>
  <c r="H1027" i="1"/>
  <c r="G1028" i="1"/>
  <c r="H1028" i="1"/>
  <c r="G1029" i="1"/>
  <c r="H1029" i="1"/>
  <c r="G1030" i="1"/>
  <c r="H1030" i="1"/>
  <c r="G1031" i="1"/>
  <c r="H1031" i="1"/>
  <c r="G1032" i="1"/>
  <c r="H1032" i="1"/>
  <c r="G1033" i="1"/>
  <c r="H1033" i="1"/>
  <c r="G1034" i="1"/>
  <c r="H1034" i="1"/>
  <c r="G1035" i="1"/>
  <c r="H1035" i="1"/>
  <c r="G1036" i="1"/>
  <c r="H1036" i="1"/>
  <c r="G1037" i="1"/>
  <c r="H1037" i="1"/>
  <c r="G1038" i="1"/>
  <c r="H1038" i="1"/>
  <c r="G1039" i="1"/>
  <c r="H1039" i="1"/>
  <c r="G1040" i="1"/>
  <c r="H1040" i="1"/>
  <c r="G1041" i="1"/>
  <c r="H1041" i="1"/>
  <c r="G1042" i="1"/>
  <c r="H1042" i="1"/>
  <c r="G1043" i="1"/>
  <c r="H1043" i="1"/>
  <c r="G1044" i="1"/>
  <c r="H1044" i="1"/>
  <c r="G1045" i="1"/>
  <c r="H1045" i="1"/>
  <c r="G1046" i="1"/>
  <c r="H1046" i="1"/>
  <c r="G1047" i="1"/>
  <c r="H1047" i="1"/>
  <c r="G1048" i="1"/>
  <c r="H1048" i="1"/>
  <c r="G1049" i="1"/>
  <c r="H1049" i="1"/>
  <c r="G1050" i="1"/>
  <c r="H1050" i="1"/>
  <c r="G1051" i="1"/>
  <c r="H1051" i="1"/>
  <c r="G1052" i="1"/>
  <c r="H1052" i="1"/>
  <c r="G1053" i="1"/>
  <c r="H1053" i="1"/>
  <c r="G1054" i="1"/>
  <c r="H1054" i="1"/>
  <c r="G1055" i="1"/>
  <c r="H1055" i="1"/>
  <c r="H6" i="2"/>
  <c r="D6" i="5"/>
  <c r="D7" i="5"/>
  <c r="D8" i="5"/>
  <c r="D9" i="5"/>
  <c r="D10" i="5"/>
  <c r="D11" i="5"/>
  <c r="D12" i="5"/>
  <c r="D13" i="5"/>
  <c r="D14" i="5"/>
  <c r="D15" i="5"/>
  <c r="D16" i="5"/>
  <c r="D17" i="5"/>
  <c r="D18" i="5"/>
  <c r="D19" i="5"/>
  <c r="D20" i="5"/>
  <c r="D5" i="5"/>
  <c r="I1307" i="1" l="1"/>
  <c r="I1330" i="1"/>
  <c r="I1340" i="1"/>
  <c r="I1329" i="1"/>
  <c r="I1339" i="1"/>
  <c r="I1338" i="1"/>
  <c r="I1323" i="1"/>
  <c r="I1317" i="1"/>
  <c r="I1311" i="1"/>
  <c r="I1333" i="1"/>
  <c r="I1327" i="1"/>
  <c r="I1337" i="1"/>
  <c r="I1332" i="1"/>
  <c r="I1331" i="1"/>
  <c r="I1335" i="1"/>
  <c r="I1334" i="1"/>
  <c r="I1328" i="1"/>
  <c r="I1341" i="1"/>
  <c r="I1336" i="1"/>
  <c r="I1308" i="1"/>
  <c r="I1312" i="1"/>
  <c r="I1325" i="1"/>
  <c r="I1324" i="1"/>
  <c r="I1326" i="1"/>
  <c r="I1322" i="1"/>
  <c r="I1316" i="1"/>
  <c r="I1306" i="1"/>
  <c r="I1321" i="1"/>
  <c r="I1315" i="1"/>
  <c r="I1310" i="1"/>
  <c r="I1305" i="1"/>
  <c r="I1320" i="1"/>
  <c r="I1314" i="1"/>
  <c r="I1309" i="1"/>
  <c r="I1304" i="1"/>
  <c r="I1319" i="1"/>
  <c r="I1313" i="1"/>
  <c r="I1318" i="1"/>
  <c r="I1303" i="1"/>
  <c r="M9" i="5"/>
  <c r="L9" i="5" s="1"/>
  <c r="I1283" i="1"/>
  <c r="I1294" i="1"/>
  <c r="I1282" i="1"/>
  <c r="I1281" i="1"/>
  <c r="I1302" i="1"/>
  <c r="I1290" i="1"/>
  <c r="I1301" i="1"/>
  <c r="I1289" i="1"/>
  <c r="I1299" i="1"/>
  <c r="I1293" i="1"/>
  <c r="I1287" i="1"/>
  <c r="I1298" i="1"/>
  <c r="I1286" i="1"/>
  <c r="I1291" i="1"/>
  <c r="I1285" i="1"/>
  <c r="I1300" i="1"/>
  <c r="I1295" i="1"/>
  <c r="I1284" i="1"/>
  <c r="I1292" i="1"/>
  <c r="I1297" i="1"/>
  <c r="I1288" i="1"/>
  <c r="I1296" i="1"/>
  <c r="I1280" i="1"/>
  <c r="M12" i="5"/>
  <c r="L12" i="5" s="1"/>
  <c r="M11" i="5"/>
  <c r="L11" i="5" s="1"/>
  <c r="M10" i="5"/>
  <c r="M18" i="5"/>
  <c r="M15" i="5"/>
  <c r="L15" i="5" s="1"/>
  <c r="M14" i="5"/>
  <c r="I1278" i="1"/>
  <c r="I1277" i="1"/>
  <c r="I1276" i="1"/>
  <c r="I1275" i="1"/>
  <c r="I1279" i="1"/>
  <c r="I1274" i="1"/>
  <c r="I1268" i="1"/>
  <c r="I1270" i="1"/>
  <c r="I1269" i="1"/>
  <c r="I1263" i="1"/>
  <c r="I1267" i="1"/>
  <c r="I1266" i="1"/>
  <c r="I1265" i="1"/>
  <c r="I1271" i="1"/>
  <c r="I1264" i="1"/>
  <c r="I1273" i="1"/>
  <c r="I1272" i="1"/>
  <c r="I1251" i="1"/>
  <c r="I1257" i="1"/>
  <c r="I1252" i="1"/>
  <c r="I1258" i="1"/>
  <c r="I1254" i="1"/>
  <c r="I1260" i="1"/>
  <c r="I1255" i="1"/>
  <c r="I1261" i="1"/>
  <c r="I1256" i="1"/>
  <c r="I1262" i="1"/>
  <c r="I1253" i="1"/>
  <c r="I1259" i="1"/>
  <c r="I1250" i="1"/>
  <c r="I1249" i="1"/>
  <c r="I1248" i="1"/>
  <c r="I1232" i="1"/>
  <c r="I1208" i="1"/>
  <c r="I1237" i="1"/>
  <c r="I1217" i="1"/>
  <c r="I1229" i="1"/>
  <c r="I1212" i="1"/>
  <c r="I1244" i="1"/>
  <c r="I1209" i="1"/>
  <c r="I1213" i="1"/>
  <c r="I1223" i="1"/>
  <c r="I1228" i="1"/>
  <c r="I1220" i="1"/>
  <c r="I1225" i="1"/>
  <c r="I1238" i="1"/>
  <c r="I1221" i="1"/>
  <c r="I1216" i="1"/>
  <c r="I1226" i="1"/>
  <c r="I1231" i="1"/>
  <c r="I1236" i="1"/>
  <c r="I1214" i="1"/>
  <c r="I1219" i="1"/>
  <c r="I1240" i="1"/>
  <c r="I1224" i="1"/>
  <c r="I1245" i="1"/>
  <c r="I1233" i="1"/>
  <c r="I1218" i="1"/>
  <c r="I1207" i="1"/>
  <c r="I1230" i="1"/>
  <c r="I1206" i="1"/>
  <c r="I1235" i="1"/>
  <c r="I1211" i="1"/>
  <c r="I1239" i="1"/>
  <c r="I1234" i="1"/>
  <c r="I1215" i="1"/>
  <c r="I1210" i="1"/>
  <c r="I1243" i="1"/>
  <c r="I1247" i="1"/>
  <c r="I1242" i="1"/>
  <c r="I1227" i="1"/>
  <c r="I1222" i="1"/>
  <c r="I1246" i="1"/>
  <c r="I1241" i="1"/>
  <c r="I1204" i="1"/>
  <c r="I1192" i="1"/>
  <c r="I1198" i="1"/>
  <c r="I1193" i="1"/>
  <c r="I1199" i="1"/>
  <c r="I1205" i="1"/>
  <c r="H1201" i="1"/>
  <c r="I1201" i="1" s="1"/>
  <c r="H1129" i="1"/>
  <c r="I1129" i="1" s="1"/>
  <c r="I1189" i="1"/>
  <c r="I1195" i="1"/>
  <c r="I1190" i="1"/>
  <c r="I1196" i="1"/>
  <c r="I1202" i="1"/>
  <c r="I1191" i="1"/>
  <c r="I1197" i="1"/>
  <c r="I1203" i="1"/>
  <c r="I1194" i="1"/>
  <c r="I1200" i="1"/>
  <c r="I1179" i="1"/>
  <c r="I1176" i="1"/>
  <c r="I1178" i="1"/>
  <c r="I1183" i="1"/>
  <c r="I1170" i="1"/>
  <c r="I1187" i="1"/>
  <c r="I1175" i="1"/>
  <c r="I1182" i="1"/>
  <c r="I1177" i="1"/>
  <c r="I1171" i="1"/>
  <c r="I1181" i="1"/>
  <c r="I1186" i="1"/>
  <c r="I1174" i="1"/>
  <c r="I1167" i="1"/>
  <c r="I1172" i="1"/>
  <c r="I1185" i="1"/>
  <c r="I1180" i="1"/>
  <c r="I1184" i="1"/>
  <c r="I1188" i="1"/>
  <c r="I1169" i="1"/>
  <c r="I1173" i="1"/>
  <c r="I1168" i="1"/>
  <c r="I1125" i="1"/>
  <c r="I1163" i="1"/>
  <c r="I1157" i="1"/>
  <c r="I1145" i="1"/>
  <c r="I1141" i="1"/>
  <c r="I1140" i="1"/>
  <c r="I1134" i="1"/>
  <c r="I1128" i="1"/>
  <c r="I1162" i="1"/>
  <c r="I1156" i="1"/>
  <c r="I1150" i="1"/>
  <c r="I1138" i="1"/>
  <c r="I1132" i="1"/>
  <c r="I1126" i="1"/>
  <c r="I1161" i="1"/>
  <c r="I1155" i="1"/>
  <c r="I1142" i="1"/>
  <c r="I1136" i="1"/>
  <c r="I1130" i="1"/>
  <c r="I1124" i="1"/>
  <c r="I1165" i="1"/>
  <c r="I1159" i="1"/>
  <c r="I1104" i="1"/>
  <c r="I1144" i="1"/>
  <c r="I1139" i="1"/>
  <c r="I1114" i="1"/>
  <c r="I1108" i="1"/>
  <c r="I1149" i="1"/>
  <c r="I1166" i="1"/>
  <c r="I1143" i="1"/>
  <c r="I1160" i="1"/>
  <c r="I1154" i="1"/>
  <c r="I1148" i="1"/>
  <c r="I1137" i="1"/>
  <c r="I1131" i="1"/>
  <c r="I1153" i="1"/>
  <c r="I1147" i="1"/>
  <c r="I1164" i="1"/>
  <c r="I1158" i="1"/>
  <c r="I1152" i="1"/>
  <c r="I1135" i="1"/>
  <c r="I1110" i="1"/>
  <c r="I1133" i="1"/>
  <c r="I1121" i="1"/>
  <c r="I1103" i="1"/>
  <c r="I1120" i="1"/>
  <c r="I1123" i="1"/>
  <c r="I1151" i="1"/>
  <c r="I1146" i="1"/>
  <c r="I1127" i="1"/>
  <c r="I1122" i="1"/>
  <c r="I1118" i="1"/>
  <c r="I1116" i="1"/>
  <c r="I1102" i="1"/>
  <c r="I1107" i="1"/>
  <c r="I1112" i="1"/>
  <c r="I1106" i="1"/>
  <c r="I1095" i="1"/>
  <c r="I1089" i="1"/>
  <c r="I1083" i="1"/>
  <c r="I1115" i="1"/>
  <c r="I1109" i="1"/>
  <c r="I1119" i="1"/>
  <c r="I1113" i="1"/>
  <c r="I1117" i="1"/>
  <c r="I1105" i="1"/>
  <c r="I1111" i="1"/>
  <c r="I1101" i="1"/>
  <c r="I1100" i="1"/>
  <c r="I1092" i="1"/>
  <c r="I1080" i="1"/>
  <c r="I1064" i="1"/>
  <c r="I1058" i="1"/>
  <c r="I1069" i="1"/>
  <c r="I1094" i="1"/>
  <c r="I1088" i="1"/>
  <c r="I1082" i="1"/>
  <c r="I1056" i="1"/>
  <c r="I1097" i="1"/>
  <c r="I1091" i="1"/>
  <c r="I1061" i="1"/>
  <c r="I1096" i="1"/>
  <c r="I1066" i="1"/>
  <c r="I1065" i="1"/>
  <c r="I1099" i="1"/>
  <c r="I1087" i="1"/>
  <c r="I1057" i="1"/>
  <c r="I1085" i="1"/>
  <c r="I1090" i="1"/>
  <c r="I1084" i="1"/>
  <c r="I1093" i="1"/>
  <c r="I1098" i="1"/>
  <c r="I1081" i="1"/>
  <c r="I1086" i="1"/>
  <c r="I1077" i="1"/>
  <c r="I1063" i="1"/>
  <c r="I1068" i="1"/>
  <c r="I1062" i="1"/>
  <c r="I1067" i="1"/>
  <c r="I1060" i="1"/>
  <c r="I1076" i="1"/>
  <c r="I1075" i="1"/>
  <c r="I1071" i="1"/>
  <c r="I1074" i="1"/>
  <c r="I1070" i="1"/>
  <c r="I1079" i="1"/>
  <c r="I1073" i="1"/>
  <c r="I1059" i="1"/>
  <c r="I1078" i="1"/>
  <c r="I1072" i="1"/>
  <c r="I1054" i="1"/>
  <c r="I1053" i="1"/>
  <c r="I1047" i="1"/>
  <c r="I1041" i="1"/>
  <c r="I1032" i="1"/>
  <c r="I1049" i="1"/>
  <c r="I1044" i="1"/>
  <c r="I1043" i="1"/>
  <c r="I1051" i="1"/>
  <c r="I1045" i="1"/>
  <c r="I1039" i="1"/>
  <c r="I1038" i="1"/>
  <c r="I1036" i="1"/>
  <c r="I1030" i="1"/>
  <c r="I1052" i="1"/>
  <c r="I1040" i="1"/>
  <c r="I1034" i="1"/>
  <c r="I1037" i="1"/>
  <c r="I1048" i="1"/>
  <c r="I1042" i="1"/>
  <c r="I1031" i="1"/>
  <c r="I1046" i="1"/>
  <c r="I1035" i="1"/>
  <c r="I1029" i="1"/>
  <c r="I1050" i="1"/>
  <c r="I1033" i="1"/>
  <c r="I1028" i="1"/>
  <c r="I1055" i="1"/>
  <c r="I1027" i="1"/>
  <c r="G1020" i="1"/>
  <c r="H1020" i="1"/>
  <c r="G1021" i="1"/>
  <c r="H1021" i="1"/>
  <c r="G1022" i="1"/>
  <c r="H1022" i="1"/>
  <c r="G1023" i="1"/>
  <c r="H1023" i="1"/>
  <c r="G1024" i="1"/>
  <c r="H1024" i="1"/>
  <c r="G1025" i="1"/>
  <c r="H1025" i="1"/>
  <c r="G1026" i="1"/>
  <c r="H1026" i="1"/>
  <c r="L20" i="5"/>
  <c r="L19" i="5"/>
  <c r="L17" i="5"/>
  <c r="L13" i="5"/>
  <c r="L16" i="5"/>
  <c r="L6" i="5"/>
  <c r="M5" i="5"/>
  <c r="L5" i="5" s="1"/>
  <c r="K20" i="5"/>
  <c r="K19" i="5"/>
  <c r="K18" i="5"/>
  <c r="K17" i="5"/>
  <c r="K16" i="5"/>
  <c r="K15" i="5"/>
  <c r="K14" i="5"/>
  <c r="K13" i="5"/>
  <c r="K12" i="5"/>
  <c r="K11" i="5"/>
  <c r="K10" i="5"/>
  <c r="K9" i="5"/>
  <c r="K8" i="5"/>
  <c r="K7" i="5"/>
  <c r="K6" i="5"/>
  <c r="G22" i="5"/>
  <c r="G1017" i="1"/>
  <c r="H1017" i="1"/>
  <c r="G1018" i="1"/>
  <c r="H1018" i="1"/>
  <c r="G1019" i="1"/>
  <c r="H1019" i="1"/>
  <c r="G999" i="1"/>
  <c r="H999" i="1"/>
  <c r="G1000" i="1"/>
  <c r="H1000" i="1"/>
  <c r="G1001" i="1"/>
  <c r="H1001" i="1"/>
  <c r="G1002" i="1"/>
  <c r="H1002" i="1"/>
  <c r="G1003" i="1"/>
  <c r="H1003" i="1"/>
  <c r="G1004" i="1"/>
  <c r="H1004" i="1"/>
  <c r="G1005" i="1"/>
  <c r="H1005" i="1"/>
  <c r="G1006" i="1"/>
  <c r="H1006" i="1"/>
  <c r="G1007" i="1"/>
  <c r="H1007" i="1"/>
  <c r="G1008" i="1"/>
  <c r="H1008" i="1"/>
  <c r="G1009" i="1"/>
  <c r="H1009" i="1"/>
  <c r="G1010" i="1"/>
  <c r="H1010" i="1"/>
  <c r="G1011" i="1"/>
  <c r="H1011" i="1"/>
  <c r="G1012" i="1"/>
  <c r="H1012" i="1"/>
  <c r="G1013" i="1"/>
  <c r="H1013" i="1"/>
  <c r="G1014" i="1"/>
  <c r="H1014" i="1"/>
  <c r="G1015" i="1"/>
  <c r="H1015" i="1"/>
  <c r="G1016" i="1"/>
  <c r="H1016" i="1"/>
  <c r="G965" i="1"/>
  <c r="H965" i="1"/>
  <c r="G966" i="1"/>
  <c r="H966" i="1"/>
  <c r="G967" i="1"/>
  <c r="H967" i="1"/>
  <c r="G968" i="1"/>
  <c r="H968" i="1"/>
  <c r="G969" i="1"/>
  <c r="H969" i="1"/>
  <c r="G970" i="1"/>
  <c r="H970" i="1"/>
  <c r="G971" i="1"/>
  <c r="H971" i="1"/>
  <c r="G972" i="1"/>
  <c r="H972" i="1"/>
  <c r="G973" i="1"/>
  <c r="H973" i="1"/>
  <c r="G974" i="1"/>
  <c r="H974" i="1"/>
  <c r="G975" i="1"/>
  <c r="H975" i="1"/>
  <c r="G976" i="1"/>
  <c r="H976" i="1"/>
  <c r="G977" i="1"/>
  <c r="H977" i="1"/>
  <c r="G978" i="1"/>
  <c r="H978" i="1"/>
  <c r="G979" i="1"/>
  <c r="H979" i="1"/>
  <c r="G980" i="1"/>
  <c r="H980" i="1"/>
  <c r="G981" i="1"/>
  <c r="H981" i="1"/>
  <c r="G982" i="1"/>
  <c r="H982" i="1"/>
  <c r="G983" i="1"/>
  <c r="H983" i="1"/>
  <c r="G984" i="1"/>
  <c r="H984" i="1"/>
  <c r="G985" i="1"/>
  <c r="H985" i="1"/>
  <c r="G986" i="1"/>
  <c r="H986" i="1"/>
  <c r="G987" i="1"/>
  <c r="H987" i="1"/>
  <c r="G988" i="1"/>
  <c r="H988" i="1"/>
  <c r="G989" i="1"/>
  <c r="H989" i="1"/>
  <c r="G990" i="1"/>
  <c r="H990" i="1"/>
  <c r="G991" i="1"/>
  <c r="H991" i="1"/>
  <c r="G992" i="1"/>
  <c r="H992" i="1"/>
  <c r="G993" i="1"/>
  <c r="H993" i="1"/>
  <c r="G994" i="1"/>
  <c r="H994" i="1"/>
  <c r="G995" i="1"/>
  <c r="H995" i="1"/>
  <c r="G996" i="1"/>
  <c r="H996" i="1"/>
  <c r="G997" i="1"/>
  <c r="H997" i="1"/>
  <c r="G998" i="1"/>
  <c r="H998" i="1"/>
  <c r="H964" i="1"/>
  <c r="G964" i="1"/>
  <c r="H963" i="1"/>
  <c r="G963" i="1"/>
  <c r="H962" i="1"/>
  <c r="G962" i="1"/>
  <c r="H961" i="1"/>
  <c r="G961" i="1"/>
  <c r="H960" i="1"/>
  <c r="G960" i="1"/>
  <c r="H959" i="1"/>
  <c r="G959" i="1"/>
  <c r="H958" i="1"/>
  <c r="G958" i="1"/>
  <c r="H957" i="1"/>
  <c r="G957" i="1"/>
  <c r="H956" i="1"/>
  <c r="G956" i="1"/>
  <c r="H955" i="1"/>
  <c r="G955" i="1"/>
  <c r="H954" i="1"/>
  <c r="G954" i="1"/>
  <c r="H953" i="1"/>
  <c r="G953" i="1"/>
  <c r="H952" i="1"/>
  <c r="G952" i="1"/>
  <c r="H951" i="1"/>
  <c r="G951" i="1"/>
  <c r="H950" i="1"/>
  <c r="G950" i="1"/>
  <c r="H949" i="1"/>
  <c r="G949" i="1"/>
  <c r="H948" i="1"/>
  <c r="G948" i="1"/>
  <c r="H947" i="1"/>
  <c r="G947" i="1"/>
  <c r="H946" i="1"/>
  <c r="G946" i="1"/>
  <c r="H945" i="1"/>
  <c r="G945" i="1"/>
  <c r="H944" i="1"/>
  <c r="G944" i="1"/>
  <c r="H943" i="1"/>
  <c r="G943" i="1"/>
  <c r="H942" i="1"/>
  <c r="G942" i="1"/>
  <c r="H941" i="1"/>
  <c r="G941" i="1"/>
  <c r="H940" i="1"/>
  <c r="G940" i="1"/>
  <c r="H939" i="1"/>
  <c r="G939" i="1"/>
  <c r="H938" i="1"/>
  <c r="G938" i="1"/>
  <c r="H937" i="1"/>
  <c r="G937" i="1"/>
  <c r="H936" i="1"/>
  <c r="G936" i="1"/>
  <c r="H935" i="1"/>
  <c r="G935" i="1"/>
  <c r="H934" i="1"/>
  <c r="G934" i="1"/>
  <c r="H933" i="1"/>
  <c r="G933" i="1"/>
  <c r="H932" i="1"/>
  <c r="G932" i="1"/>
  <c r="H931" i="1"/>
  <c r="G931" i="1"/>
  <c r="H930" i="1"/>
  <c r="G930" i="1"/>
  <c r="H929" i="1"/>
  <c r="G929" i="1"/>
  <c r="H928" i="1"/>
  <c r="G928" i="1"/>
  <c r="H927" i="1"/>
  <c r="G927" i="1"/>
  <c r="H926" i="1"/>
  <c r="G926" i="1"/>
  <c r="H925" i="1"/>
  <c r="G925" i="1"/>
  <c r="H924" i="1"/>
  <c r="G924" i="1"/>
  <c r="H923" i="1"/>
  <c r="G923" i="1"/>
  <c r="H922" i="1"/>
  <c r="G922" i="1"/>
  <c r="H921" i="1"/>
  <c r="G921" i="1"/>
  <c r="H920" i="1"/>
  <c r="G920" i="1"/>
  <c r="H919" i="1"/>
  <c r="G919" i="1"/>
  <c r="H918" i="1"/>
  <c r="G918" i="1"/>
  <c r="H917" i="1"/>
  <c r="G917" i="1"/>
  <c r="H916" i="1"/>
  <c r="G916" i="1"/>
  <c r="H915" i="1"/>
  <c r="G915" i="1"/>
  <c r="H914" i="1"/>
  <c r="G914" i="1"/>
  <c r="H913" i="1"/>
  <c r="G913" i="1"/>
  <c r="H912" i="1"/>
  <c r="G912" i="1"/>
  <c r="H911" i="1"/>
  <c r="G911" i="1"/>
  <c r="H910" i="1"/>
  <c r="G910" i="1"/>
  <c r="H909" i="1"/>
  <c r="G909" i="1"/>
  <c r="H908" i="1"/>
  <c r="G908" i="1"/>
  <c r="H907" i="1"/>
  <c r="G907" i="1"/>
  <c r="H906" i="1"/>
  <c r="G906" i="1"/>
  <c r="H905" i="1"/>
  <c r="G905" i="1"/>
  <c r="H904" i="1"/>
  <c r="G904" i="1"/>
  <c r="H903" i="1"/>
  <c r="G903" i="1"/>
  <c r="H902" i="1"/>
  <c r="G902" i="1"/>
  <c r="E20" i="5"/>
  <c r="E19" i="5"/>
  <c r="E18" i="5"/>
  <c r="E17" i="5"/>
  <c r="E16" i="5"/>
  <c r="E15" i="5"/>
  <c r="E14" i="5"/>
  <c r="E13" i="5"/>
  <c r="E12" i="5"/>
  <c r="E11" i="5"/>
  <c r="E10" i="5"/>
  <c r="E9" i="5"/>
  <c r="E8" i="5"/>
  <c r="E7" i="5"/>
  <c r="E6" i="5"/>
  <c r="E5" i="5"/>
  <c r="L7" i="5" l="1"/>
  <c r="L8" i="5"/>
  <c r="L10" i="5"/>
  <c r="L14" i="5"/>
  <c r="L18" i="5"/>
  <c r="I1023" i="1"/>
  <c r="I1026" i="1"/>
  <c r="I1025" i="1"/>
  <c r="I1024" i="1"/>
  <c r="I1022" i="1"/>
  <c r="I1021" i="1"/>
  <c r="I1020" i="1"/>
  <c r="K22" i="5"/>
  <c r="I1017" i="1"/>
  <c r="I1012" i="1"/>
  <c r="I1006" i="1"/>
  <c r="I1009" i="1"/>
  <c r="I1019" i="1"/>
  <c r="I1008" i="1"/>
  <c r="I1000" i="1"/>
  <c r="I972" i="1"/>
  <c r="I977" i="1"/>
  <c r="I1018" i="1"/>
  <c r="I1010" i="1"/>
  <c r="I1016" i="1"/>
  <c r="I1004" i="1"/>
  <c r="I1014" i="1"/>
  <c r="I976" i="1"/>
  <c r="I969" i="1"/>
  <c r="I1013" i="1"/>
  <c r="I1002" i="1"/>
  <c r="I1001" i="1"/>
  <c r="I1011" i="1"/>
  <c r="I1005" i="1"/>
  <c r="I1015" i="1"/>
  <c r="I987" i="1"/>
  <c r="I981" i="1"/>
  <c r="I999" i="1"/>
  <c r="I989" i="1"/>
  <c r="I1003" i="1"/>
  <c r="I1007" i="1"/>
  <c r="I970" i="1"/>
  <c r="I980" i="1"/>
  <c r="I975" i="1"/>
  <c r="I985" i="1"/>
  <c r="I996" i="1"/>
  <c r="I978" i="1"/>
  <c r="I973" i="1"/>
  <c r="I968" i="1"/>
  <c r="I983" i="1"/>
  <c r="I994" i="1"/>
  <c r="I988" i="1"/>
  <c r="I993" i="1"/>
  <c r="I965" i="1"/>
  <c r="I982" i="1"/>
  <c r="I998" i="1"/>
  <c r="I992" i="1"/>
  <c r="I967" i="1"/>
  <c r="I997" i="1"/>
  <c r="I986" i="1"/>
  <c r="I971" i="1"/>
  <c r="I966" i="1"/>
  <c r="I991" i="1"/>
  <c r="I984" i="1"/>
  <c r="I979" i="1"/>
  <c r="I974" i="1"/>
  <c r="I995" i="1"/>
  <c r="I990" i="1"/>
  <c r="I912" i="1"/>
  <c r="I918" i="1"/>
  <c r="I924" i="1"/>
  <c r="I930" i="1"/>
  <c r="I936" i="1"/>
  <c r="I942" i="1"/>
  <c r="I948" i="1"/>
  <c r="I954" i="1"/>
  <c r="E22" i="5"/>
  <c r="I917" i="1"/>
  <c r="I911" i="1"/>
  <c r="I923" i="1"/>
  <c r="I902" i="1"/>
  <c r="I908" i="1"/>
  <c r="I914" i="1"/>
  <c r="I920" i="1"/>
  <c r="I926" i="1"/>
  <c r="I932" i="1"/>
  <c r="I938" i="1"/>
  <c r="I944" i="1"/>
  <c r="I950" i="1"/>
  <c r="I956" i="1"/>
  <c r="I962" i="1"/>
  <c r="I913" i="1"/>
  <c r="I919" i="1"/>
  <c r="I925" i="1"/>
  <c r="I931" i="1"/>
  <c r="I943" i="1"/>
  <c r="I949" i="1"/>
  <c r="I955" i="1"/>
  <c r="I961" i="1"/>
  <c r="I905" i="1"/>
  <c r="I903" i="1"/>
  <c r="I909" i="1"/>
  <c r="I915" i="1"/>
  <c r="I921" i="1"/>
  <c r="I927" i="1"/>
  <c r="I933" i="1"/>
  <c r="I939" i="1"/>
  <c r="I945" i="1"/>
  <c r="I951" i="1"/>
  <c r="I957" i="1"/>
  <c r="I963" i="1"/>
  <c r="I906" i="1"/>
  <c r="I907" i="1"/>
  <c r="I937" i="1"/>
  <c r="I904" i="1"/>
  <c r="I910" i="1"/>
  <c r="I916" i="1"/>
  <c r="I922" i="1"/>
  <c r="I928" i="1"/>
  <c r="I934" i="1"/>
  <c r="I940" i="1"/>
  <c r="I946" i="1"/>
  <c r="I952" i="1"/>
  <c r="I958" i="1"/>
  <c r="I964" i="1"/>
  <c r="I929" i="1"/>
  <c r="I935" i="1"/>
  <c r="I941" i="1"/>
  <c r="I947" i="1"/>
  <c r="I953" i="1"/>
  <c r="I959" i="1"/>
  <c r="I960" i="1"/>
  <c r="G893" i="1" l="1"/>
  <c r="H893" i="1"/>
  <c r="G894" i="1"/>
  <c r="H894" i="1"/>
  <c r="G895" i="1"/>
  <c r="H895" i="1"/>
  <c r="G896" i="1"/>
  <c r="H896" i="1"/>
  <c r="G897" i="1"/>
  <c r="H897" i="1"/>
  <c r="G898" i="1"/>
  <c r="H898" i="1"/>
  <c r="G899" i="1"/>
  <c r="H899" i="1"/>
  <c r="G900" i="1"/>
  <c r="H900" i="1"/>
  <c r="G901" i="1"/>
  <c r="H901"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7" i="1"/>
  <c r="G877" i="1"/>
  <c r="H876" i="1"/>
  <c r="G876" i="1"/>
  <c r="H875" i="1"/>
  <c r="G875" i="1"/>
  <c r="H874" i="1"/>
  <c r="G874" i="1"/>
  <c r="H873" i="1"/>
  <c r="G873" i="1"/>
  <c r="H872" i="1"/>
  <c r="G872" i="1"/>
  <c r="H871" i="1"/>
  <c r="G871" i="1"/>
  <c r="H870" i="1"/>
  <c r="G870" i="1"/>
  <c r="H869" i="1"/>
  <c r="G869" i="1"/>
  <c r="H868" i="1"/>
  <c r="G868" i="1"/>
  <c r="H867" i="1"/>
  <c r="G867"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H789"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H268"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 r="AK49" i="1"/>
  <c r="AJ49" i="1"/>
  <c r="AK48" i="1"/>
  <c r="AJ48" i="1"/>
  <c r="AK47" i="1"/>
  <c r="AJ47" i="1"/>
  <c r="G20" i="5"/>
  <c r="F20" i="5" s="1"/>
  <c r="AK46" i="1"/>
  <c r="AJ46" i="1"/>
  <c r="AK45" i="1"/>
  <c r="AJ45" i="1"/>
  <c r="G19" i="5"/>
  <c r="F19" i="5" s="1"/>
  <c r="AK44" i="1"/>
  <c r="AJ44" i="1"/>
  <c r="G13" i="5"/>
  <c r="F13" i="5" s="1"/>
  <c r="AK43" i="1"/>
  <c r="AJ43" i="1"/>
  <c r="G18" i="5"/>
  <c r="F18" i="5" s="1"/>
  <c r="AK42" i="1"/>
  <c r="AJ42" i="1"/>
  <c r="G17" i="5"/>
  <c r="F17" i="5" s="1"/>
  <c r="AK41" i="1"/>
  <c r="AJ41" i="1"/>
  <c r="G16" i="5"/>
  <c r="F16" i="5" s="1"/>
  <c r="AK40" i="1"/>
  <c r="AJ40" i="1"/>
  <c r="G15" i="5"/>
  <c r="F15" i="5" s="1"/>
  <c r="AK39" i="1"/>
  <c r="AJ39" i="1"/>
  <c r="G14" i="5"/>
  <c r="F14" i="5" s="1"/>
  <c r="AK38" i="1"/>
  <c r="AJ38" i="1"/>
  <c r="G12" i="5"/>
  <c r="F12" i="5" s="1"/>
  <c r="AK37" i="1"/>
  <c r="AJ37" i="1"/>
  <c r="G11" i="5"/>
  <c r="F11" i="5" s="1"/>
  <c r="AK36" i="1"/>
  <c r="AJ36" i="1"/>
  <c r="G10" i="5"/>
  <c r="F10" i="5" s="1"/>
  <c r="AK35" i="1"/>
  <c r="AJ35" i="1"/>
  <c r="G9" i="5"/>
  <c r="F9" i="5" s="1"/>
  <c r="AK34" i="1"/>
  <c r="AJ34" i="1"/>
  <c r="G8" i="5"/>
  <c r="F8" i="5" s="1"/>
  <c r="AK33" i="1"/>
  <c r="AJ33" i="1"/>
  <c r="G7" i="5"/>
  <c r="F7" i="5" s="1"/>
  <c r="AK32" i="1"/>
  <c r="AJ32" i="1"/>
  <c r="G6" i="5"/>
  <c r="F6" i="5" s="1"/>
  <c r="G5" i="5"/>
  <c r="I857" i="1" l="1"/>
  <c r="I853" i="1"/>
  <c r="I859" i="1"/>
  <c r="I827" i="1"/>
  <c r="I874" i="1"/>
  <c r="I803" i="1"/>
  <c r="I841" i="1"/>
  <c r="I809" i="1"/>
  <c r="I846" i="1"/>
  <c r="I900" i="1"/>
  <c r="I897" i="1"/>
  <c r="I895" i="1"/>
  <c r="I898" i="1"/>
  <c r="I896" i="1"/>
  <c r="D22" i="5"/>
  <c r="I901" i="1"/>
  <c r="I661" i="1"/>
  <c r="I894" i="1"/>
  <c r="I899" i="1"/>
  <c r="I893" i="1"/>
  <c r="F5" i="5"/>
  <c r="J22" i="5"/>
  <c r="I816" i="1"/>
  <c r="I823" i="1"/>
  <c r="I871" i="1"/>
  <c r="I806" i="1"/>
  <c r="I830" i="1"/>
  <c r="I866" i="1"/>
  <c r="I813" i="1"/>
  <c r="I819" i="1"/>
  <c r="I837" i="1"/>
  <c r="I861" i="1"/>
  <c r="I832" i="1"/>
  <c r="I844" i="1"/>
  <c r="I850" i="1"/>
  <c r="I789" i="1"/>
  <c r="I807" i="1"/>
  <c r="I825" i="1"/>
  <c r="I831" i="1"/>
  <c r="I843" i="1"/>
  <c r="I855" i="1"/>
  <c r="I867" i="1"/>
  <c r="I873" i="1"/>
  <c r="I546" i="1"/>
  <c r="I594" i="1"/>
  <c r="I600" i="1"/>
  <c r="I606" i="1"/>
  <c r="I618" i="1"/>
  <c r="I642" i="1"/>
  <c r="I678" i="1"/>
  <c r="I690" i="1"/>
  <c r="I714" i="1"/>
  <c r="I726" i="1"/>
  <c r="I738" i="1"/>
  <c r="I750" i="1"/>
  <c r="I762" i="1"/>
  <c r="I768" i="1"/>
  <c r="I774" i="1"/>
  <c r="I786" i="1"/>
  <c r="I792" i="1"/>
  <c r="I810" i="1"/>
  <c r="I822" i="1"/>
  <c r="I828" i="1"/>
  <c r="I834" i="1"/>
  <c r="I840" i="1"/>
  <c r="I858" i="1"/>
  <c r="I864" i="1"/>
  <c r="I870" i="1"/>
  <c r="I141" i="1"/>
  <c r="I805" i="1"/>
  <c r="I811" i="1"/>
  <c r="I829" i="1"/>
  <c r="I835" i="1"/>
  <c r="I847" i="1"/>
  <c r="I376" i="1"/>
  <c r="I464" i="1"/>
  <c r="I626" i="1"/>
  <c r="I770" i="1"/>
  <c r="I812" i="1"/>
  <c r="I818" i="1"/>
  <c r="I824" i="1"/>
  <c r="I842" i="1"/>
  <c r="I848" i="1"/>
  <c r="I854" i="1"/>
  <c r="I860" i="1"/>
  <c r="I377" i="1"/>
  <c r="I531" i="1"/>
  <c r="I549" i="1"/>
  <c r="I693" i="1"/>
  <c r="I790" i="1"/>
  <c r="I808" i="1"/>
  <c r="I814" i="1"/>
  <c r="I826" i="1"/>
  <c r="I838" i="1"/>
  <c r="I856" i="1"/>
  <c r="I862" i="1"/>
  <c r="I815" i="1"/>
  <c r="I821" i="1"/>
  <c r="I839" i="1"/>
  <c r="I845" i="1"/>
  <c r="I851" i="1"/>
  <c r="I863" i="1"/>
  <c r="I869" i="1"/>
  <c r="I875" i="1"/>
  <c r="I103" i="1"/>
  <c r="I802" i="1"/>
  <c r="I14" i="1"/>
  <c r="I20" i="1"/>
  <c r="I44" i="1"/>
  <c r="I56" i="1"/>
  <c r="I80" i="1"/>
  <c r="I104" i="1"/>
  <c r="I128" i="1"/>
  <c r="I134" i="1"/>
  <c r="I158" i="1"/>
  <c r="I176" i="1"/>
  <c r="I224" i="1"/>
  <c r="I248" i="1"/>
  <c r="I296" i="1"/>
  <c r="I302" i="1"/>
  <c r="I320" i="1"/>
  <c r="I326" i="1"/>
  <c r="I374" i="1"/>
  <c r="I392" i="1"/>
  <c r="I398" i="1"/>
  <c r="I416" i="1"/>
  <c r="I434" i="1"/>
  <c r="I440" i="1"/>
  <c r="I462" i="1"/>
  <c r="I486" i="1"/>
  <c r="I516" i="1"/>
  <c r="I528" i="1"/>
  <c r="I798" i="1"/>
  <c r="I787" i="1"/>
  <c r="I793" i="1"/>
  <c r="I89" i="1"/>
  <c r="I137" i="1"/>
  <c r="I245" i="1"/>
  <c r="I263" i="1"/>
  <c r="I347" i="1"/>
  <c r="I449" i="1"/>
  <c r="I627" i="1"/>
  <c r="I681" i="1"/>
  <c r="I771" i="1"/>
  <c r="I880" i="1"/>
  <c r="I886" i="1"/>
  <c r="I892" i="1"/>
  <c r="I3" i="1"/>
  <c r="I9" i="1"/>
  <c r="I15" i="1"/>
  <c r="I231" i="1"/>
  <c r="I303" i="1"/>
  <c r="I21" i="1"/>
  <c r="I27" i="1"/>
  <c r="I33" i="1"/>
  <c r="I39" i="1"/>
  <c r="I45" i="1"/>
  <c r="I51" i="1"/>
  <c r="I57" i="1"/>
  <c r="I63" i="1"/>
  <c r="I69" i="1"/>
  <c r="I81" i="1"/>
  <c r="I87" i="1"/>
  <c r="I93" i="1"/>
  <c r="I99" i="1"/>
  <c r="I105" i="1"/>
  <c r="I111" i="1"/>
  <c r="I117" i="1"/>
  <c r="I135" i="1"/>
  <c r="I153" i="1"/>
  <c r="I159" i="1"/>
  <c r="I183" i="1"/>
  <c r="I189" i="1"/>
  <c r="I207" i="1"/>
  <c r="I225" i="1"/>
  <c r="I237" i="1"/>
  <c r="I243" i="1"/>
  <c r="I249" i="1"/>
  <c r="I261" i="1"/>
  <c r="I273" i="1"/>
  <c r="I279" i="1"/>
  <c r="I285" i="1"/>
  <c r="I291" i="1"/>
  <c r="I297" i="1"/>
  <c r="I309" i="1"/>
  <c r="I327" i="1"/>
  <c r="I333" i="1"/>
  <c r="I339" i="1"/>
  <c r="I345" i="1"/>
  <c r="I351" i="1"/>
  <c r="I363" i="1"/>
  <c r="I375" i="1"/>
  <c r="I381" i="1"/>
  <c r="I387" i="1"/>
  <c r="I393" i="1"/>
  <c r="I399" i="1"/>
  <c r="I405" i="1"/>
  <c r="I411" i="1"/>
  <c r="I417" i="1"/>
  <c r="I423" i="1"/>
  <c r="I429" i="1"/>
  <c r="I435" i="1"/>
  <c r="I441" i="1"/>
  <c r="I447" i="1"/>
  <c r="I453" i="1"/>
  <c r="I457" i="1"/>
  <c r="I463" i="1"/>
  <c r="I475" i="1"/>
  <c r="I481" i="1"/>
  <c r="I487" i="1"/>
  <c r="I493" i="1"/>
  <c r="I499" i="1"/>
  <c r="I505" i="1"/>
  <c r="I517" i="1"/>
  <c r="I523" i="1"/>
  <c r="I529" i="1"/>
  <c r="I535" i="1"/>
  <c r="I541" i="1"/>
  <c r="I547" i="1"/>
  <c r="I571" i="1"/>
  <c r="I577" i="1"/>
  <c r="I607" i="1"/>
  <c r="I613" i="1"/>
  <c r="I631" i="1"/>
  <c r="I637" i="1"/>
  <c r="I643" i="1"/>
  <c r="I655" i="1"/>
  <c r="I667" i="1"/>
  <c r="I691" i="1"/>
  <c r="I697" i="1"/>
  <c r="I703" i="1"/>
  <c r="I709" i="1"/>
  <c r="I727" i="1"/>
  <c r="I733" i="1"/>
  <c r="I745" i="1"/>
  <c r="I775" i="1"/>
  <c r="I799" i="1"/>
  <c r="I328" i="1"/>
  <c r="I406" i="1"/>
  <c r="I424" i="1"/>
  <c r="I436" i="1"/>
  <c r="I476" i="1"/>
  <c r="I800" i="1"/>
  <c r="I395" i="1"/>
  <c r="I675" i="1"/>
  <c r="I88" i="1"/>
  <c r="I6" i="1"/>
  <c r="I12" i="1"/>
  <c r="I192" i="1"/>
  <c r="I127" i="1"/>
  <c r="I157" i="1"/>
  <c r="I175" i="1"/>
  <c r="I193" i="1"/>
  <c r="I211" i="1"/>
  <c r="I229" i="1"/>
  <c r="I265" i="1"/>
  <c r="I295" i="1"/>
  <c r="I319" i="1"/>
  <c r="I349" i="1"/>
  <c r="I361" i="1"/>
  <c r="I379" i="1"/>
  <c r="I421" i="1"/>
  <c r="I491" i="1"/>
  <c r="I533" i="1"/>
  <c r="I581" i="1"/>
  <c r="I611" i="1"/>
  <c r="I659" i="1"/>
  <c r="I695" i="1"/>
  <c r="I713" i="1"/>
  <c r="I737" i="1"/>
  <c r="I749" i="1"/>
  <c r="I767" i="1"/>
  <c r="I791" i="1"/>
  <c r="I881" i="1"/>
  <c r="I887" i="1"/>
  <c r="I878" i="1"/>
  <c r="I884" i="1"/>
  <c r="I890" i="1"/>
  <c r="I752" i="1"/>
  <c r="I794" i="1"/>
  <c r="I5" i="1"/>
  <c r="I35" i="1"/>
  <c r="I47" i="1"/>
  <c r="I53" i="1"/>
  <c r="I65" i="1"/>
  <c r="I77" i="1"/>
  <c r="I179" i="1"/>
  <c r="I197" i="1"/>
  <c r="I209" i="1"/>
  <c r="I329" i="1"/>
  <c r="I507" i="1"/>
  <c r="I711" i="1"/>
  <c r="I41" i="1"/>
  <c r="I7" i="1"/>
  <c r="I13" i="1"/>
  <c r="I19" i="1"/>
  <c r="I25" i="1"/>
  <c r="I31" i="1"/>
  <c r="I49" i="1"/>
  <c r="I55" i="1"/>
  <c r="I61" i="1"/>
  <c r="I67" i="1"/>
  <c r="I73" i="1"/>
  <c r="I79" i="1"/>
  <c r="I85" i="1"/>
  <c r="I91" i="1"/>
  <c r="I109" i="1"/>
  <c r="I121" i="1"/>
  <c r="I145" i="1"/>
  <c r="I151" i="1"/>
  <c r="I163" i="1"/>
  <c r="I169" i="1"/>
  <c r="I181" i="1"/>
  <c r="I205" i="1"/>
  <c r="I217" i="1"/>
  <c r="I223" i="1"/>
  <c r="I241" i="1"/>
  <c r="I247" i="1"/>
  <c r="I259" i="1"/>
  <c r="I271" i="1"/>
  <c r="I277" i="1"/>
  <c r="I301" i="1"/>
  <c r="I313" i="1"/>
  <c r="I331" i="1"/>
  <c r="I343" i="1"/>
  <c r="I355" i="1"/>
  <c r="I367" i="1"/>
  <c r="I385" i="1"/>
  <c r="I397" i="1"/>
  <c r="I403" i="1"/>
  <c r="I433" i="1"/>
  <c r="I445" i="1"/>
  <c r="I451" i="1"/>
  <c r="I455" i="1"/>
  <c r="I461" i="1"/>
  <c r="I473" i="1"/>
  <c r="I479" i="1"/>
  <c r="I503" i="1"/>
  <c r="I515" i="1"/>
  <c r="I551" i="1"/>
  <c r="I557" i="1"/>
  <c r="I563" i="1"/>
  <c r="I593" i="1"/>
  <c r="I599" i="1"/>
  <c r="I623" i="1"/>
  <c r="I629" i="1"/>
  <c r="I647" i="1"/>
  <c r="I671" i="1"/>
  <c r="I701" i="1"/>
  <c r="I719" i="1"/>
  <c r="I755" i="1"/>
  <c r="I773" i="1"/>
  <c r="I191" i="1"/>
  <c r="I227" i="1"/>
  <c r="I317" i="1"/>
  <c r="I335" i="1"/>
  <c r="I365" i="1"/>
  <c r="I407" i="1"/>
  <c r="I419" i="1"/>
  <c r="I437" i="1"/>
  <c r="I477" i="1"/>
  <c r="I567" i="1"/>
  <c r="I585" i="1"/>
  <c r="I663" i="1"/>
  <c r="I795" i="1"/>
  <c r="I408" i="1"/>
  <c r="I490" i="1"/>
  <c r="I532" i="1"/>
  <c r="I628" i="1"/>
  <c r="I676" i="1"/>
  <c r="I694" i="1"/>
  <c r="I706" i="1"/>
  <c r="I718" i="1"/>
  <c r="I730" i="1"/>
  <c r="I742" i="1"/>
  <c r="I754" i="1"/>
  <c r="I760" i="1"/>
  <c r="I766" i="1"/>
  <c r="I778" i="1"/>
  <c r="I796" i="1"/>
  <c r="I4" i="1"/>
  <c r="I10" i="1"/>
  <c r="I16" i="1"/>
  <c r="I28" i="1"/>
  <c r="I34" i="1"/>
  <c r="I40" i="1"/>
  <c r="I46" i="1"/>
  <c r="I52" i="1"/>
  <c r="I58" i="1"/>
  <c r="I64" i="1"/>
  <c r="I70" i="1"/>
  <c r="I76" i="1"/>
  <c r="I82" i="1"/>
  <c r="I94" i="1"/>
  <c r="I112" i="1"/>
  <c r="I118" i="1"/>
  <c r="I136" i="1"/>
  <c r="I142" i="1"/>
  <c r="I160" i="1"/>
  <c r="I166" i="1"/>
  <c r="I184" i="1"/>
  <c r="I190" i="1"/>
  <c r="I208" i="1"/>
  <c r="I214" i="1"/>
  <c r="I232" i="1"/>
  <c r="I238" i="1"/>
  <c r="I256" i="1"/>
  <c r="I262" i="1"/>
  <c r="I280" i="1"/>
  <c r="I286" i="1"/>
  <c r="I304" i="1"/>
  <c r="I310" i="1"/>
  <c r="I334" i="1"/>
  <c r="I352" i="1"/>
  <c r="I358" i="1"/>
  <c r="I382" i="1"/>
  <c r="I388" i="1"/>
  <c r="I394" i="1"/>
  <c r="I400" i="1"/>
  <c r="I412" i="1"/>
  <c r="I418" i="1"/>
  <c r="I430" i="1"/>
  <c r="I442" i="1"/>
  <c r="I448" i="1"/>
  <c r="I458" i="1"/>
  <c r="I470" i="1"/>
  <c r="I482" i="1"/>
  <c r="I488" i="1"/>
  <c r="I494" i="1"/>
  <c r="I500" i="1"/>
  <c r="I506" i="1"/>
  <c r="I512" i="1"/>
  <c r="I518" i="1"/>
  <c r="I524" i="1"/>
  <c r="I530" i="1"/>
  <c r="I542" i="1"/>
  <c r="I548" i="1"/>
  <c r="I554" i="1"/>
  <c r="I566" i="1"/>
  <c r="I572" i="1"/>
  <c r="I578" i="1"/>
  <c r="I584" i="1"/>
  <c r="I590" i="1"/>
  <c r="I602" i="1"/>
  <c r="I632" i="1"/>
  <c r="I638" i="1"/>
  <c r="I650" i="1"/>
  <c r="I656" i="1"/>
  <c r="I662" i="1"/>
  <c r="I674" i="1"/>
  <c r="I686" i="1"/>
  <c r="I698" i="1"/>
  <c r="I710" i="1"/>
  <c r="I722" i="1"/>
  <c r="I734" i="1"/>
  <c r="I746" i="1"/>
  <c r="I758" i="1"/>
  <c r="I776" i="1"/>
  <c r="I782" i="1"/>
  <c r="I75" i="1"/>
  <c r="I553" i="1"/>
  <c r="I583" i="1"/>
  <c r="I679" i="1"/>
  <c r="I757" i="1"/>
  <c r="I876" i="1"/>
  <c r="I882" i="1"/>
  <c r="I888" i="1"/>
  <c r="I17" i="1"/>
  <c r="I23" i="1"/>
  <c r="I59" i="1"/>
  <c r="I71" i="1"/>
  <c r="I83" i="1"/>
  <c r="I95" i="1"/>
  <c r="I101" i="1"/>
  <c r="I113" i="1"/>
  <c r="I125" i="1"/>
  <c r="I131" i="1"/>
  <c r="I143" i="1"/>
  <c r="I149" i="1"/>
  <c r="I161" i="1"/>
  <c r="I167" i="1"/>
  <c r="I215" i="1"/>
  <c r="I221" i="1"/>
  <c r="I233" i="1"/>
  <c r="I257" i="1"/>
  <c r="I269" i="1"/>
  <c r="I275" i="1"/>
  <c r="I281" i="1"/>
  <c r="I287" i="1"/>
  <c r="I293" i="1"/>
  <c r="I305" i="1"/>
  <c r="I323" i="1"/>
  <c r="I341" i="1"/>
  <c r="I353" i="1"/>
  <c r="I359" i="1"/>
  <c r="I371" i="1"/>
  <c r="I383" i="1"/>
  <c r="I401" i="1"/>
  <c r="I413" i="1"/>
  <c r="I425" i="1"/>
  <c r="I443" i="1"/>
  <c r="I465" i="1"/>
  <c r="I471" i="1"/>
  <c r="I483" i="1"/>
  <c r="I489" i="1"/>
  <c r="I495" i="1"/>
  <c r="I513" i="1"/>
  <c r="I519" i="1"/>
  <c r="I525" i="1"/>
  <c r="I555" i="1"/>
  <c r="I573" i="1"/>
  <c r="I597" i="1"/>
  <c r="I603" i="1"/>
  <c r="I615" i="1"/>
  <c r="I621" i="1"/>
  <c r="I633" i="1"/>
  <c r="I645" i="1"/>
  <c r="I651" i="1"/>
  <c r="I669" i="1"/>
  <c r="I687" i="1"/>
  <c r="I705" i="1"/>
  <c r="I717" i="1"/>
  <c r="I735" i="1"/>
  <c r="I741" i="1"/>
  <c r="I759" i="1"/>
  <c r="I777" i="1"/>
  <c r="I783" i="1"/>
  <c r="I877" i="1"/>
  <c r="I883" i="1"/>
  <c r="I889" i="1"/>
  <c r="I624" i="1"/>
  <c r="I2" i="1"/>
  <c r="I8" i="1"/>
  <c r="I32" i="1"/>
  <c r="I38" i="1"/>
  <c r="I68" i="1"/>
  <c r="I110" i="1"/>
  <c r="I278" i="1"/>
  <c r="I344" i="1"/>
  <c r="I368" i="1"/>
  <c r="I422" i="1"/>
  <c r="I446" i="1"/>
  <c r="I480" i="1"/>
  <c r="I504" i="1"/>
  <c r="I409" i="1"/>
  <c r="I521" i="1"/>
  <c r="I879" i="1"/>
  <c r="I885" i="1"/>
  <c r="I891" i="1"/>
  <c r="I582" i="1"/>
  <c r="I26" i="1"/>
  <c r="I50" i="1"/>
  <c r="I62" i="1"/>
  <c r="I74" i="1"/>
  <c r="I86" i="1"/>
  <c r="I152" i="1"/>
  <c r="I182" i="1"/>
  <c r="I200" i="1"/>
  <c r="I206" i="1"/>
  <c r="I230" i="1"/>
  <c r="I254" i="1"/>
  <c r="I272" i="1"/>
  <c r="I350" i="1"/>
  <c r="I386" i="1"/>
  <c r="I410" i="1"/>
  <c r="I456" i="1"/>
  <c r="I468" i="1"/>
  <c r="I492" i="1"/>
  <c r="I510" i="1"/>
  <c r="I534" i="1"/>
  <c r="I570" i="1"/>
  <c r="I588" i="1"/>
  <c r="I630" i="1"/>
  <c r="I654" i="1"/>
  <c r="I666" i="1"/>
  <c r="I702" i="1"/>
  <c r="I129" i="1"/>
  <c r="I147" i="1"/>
  <c r="I165" i="1"/>
  <c r="I177" i="1"/>
  <c r="I195" i="1"/>
  <c r="I201" i="1"/>
  <c r="I213" i="1"/>
  <c r="I255" i="1"/>
  <c r="I321" i="1"/>
  <c r="I357" i="1"/>
  <c r="I369" i="1"/>
  <c r="I469" i="1"/>
  <c r="I511" i="1"/>
  <c r="I559" i="1"/>
  <c r="I619" i="1"/>
  <c r="I721" i="1"/>
  <c r="I11" i="1"/>
  <c r="I29" i="1"/>
  <c r="I119" i="1"/>
  <c r="I173" i="1"/>
  <c r="I185" i="1"/>
  <c r="I239" i="1"/>
  <c r="I311" i="1"/>
  <c r="I389" i="1"/>
  <c r="I431" i="1"/>
  <c r="I459" i="1"/>
  <c r="I501" i="1"/>
  <c r="I537" i="1"/>
  <c r="I561" i="1"/>
  <c r="I579" i="1"/>
  <c r="I591" i="1"/>
  <c r="I609" i="1"/>
  <c r="I639" i="1"/>
  <c r="I657" i="1"/>
  <c r="I729" i="1"/>
  <c r="I18" i="1"/>
  <c r="I24" i="1"/>
  <c r="I36" i="1"/>
  <c r="I42" i="1"/>
  <c r="I48" i="1"/>
  <c r="I54" i="1"/>
  <c r="I60" i="1"/>
  <c r="I66" i="1"/>
  <c r="I72" i="1"/>
  <c r="I78" i="1"/>
  <c r="I84" i="1"/>
  <c r="I90" i="1"/>
  <c r="I96" i="1"/>
  <c r="I102" i="1"/>
  <c r="I120" i="1"/>
  <c r="I126" i="1"/>
  <c r="I144" i="1"/>
  <c r="I150" i="1"/>
  <c r="I168" i="1"/>
  <c r="I174" i="1"/>
  <c r="I198" i="1"/>
  <c r="I216" i="1"/>
  <c r="I222" i="1"/>
  <c r="I240" i="1"/>
  <c r="I246" i="1"/>
  <c r="I264" i="1"/>
  <c r="I270" i="1"/>
  <c r="I288" i="1"/>
  <c r="I294" i="1"/>
  <c r="I312" i="1"/>
  <c r="I318" i="1"/>
  <c r="I336" i="1"/>
  <c r="I342" i="1"/>
  <c r="I360" i="1"/>
  <c r="I366" i="1"/>
  <c r="I390" i="1"/>
  <c r="I402" i="1"/>
  <c r="I414" i="1"/>
  <c r="I438" i="1"/>
  <c r="I444" i="1"/>
  <c r="I450" i="1"/>
  <c r="I460" i="1"/>
  <c r="I484" i="1"/>
  <c r="I496" i="1"/>
  <c r="I508" i="1"/>
  <c r="I544" i="1"/>
  <c r="I550" i="1"/>
  <c r="I562" i="1"/>
  <c r="I568" i="1"/>
  <c r="I574" i="1"/>
  <c r="I586" i="1"/>
  <c r="I592" i="1"/>
  <c r="I598" i="1"/>
  <c r="I604" i="1"/>
  <c r="I610" i="1"/>
  <c r="I616" i="1"/>
  <c r="I622" i="1"/>
  <c r="I634" i="1"/>
  <c r="I640" i="1"/>
  <c r="I646" i="1"/>
  <c r="I658" i="1"/>
  <c r="I664" i="1"/>
  <c r="I670" i="1"/>
  <c r="I682" i="1"/>
  <c r="I688" i="1"/>
  <c r="I784" i="1"/>
  <c r="I37" i="1"/>
  <c r="I43" i="1"/>
  <c r="I97" i="1"/>
  <c r="I115" i="1"/>
  <c r="I133" i="1"/>
  <c r="I199" i="1"/>
  <c r="I253" i="1"/>
  <c r="I289" i="1"/>
  <c r="I307" i="1"/>
  <c r="I325" i="1"/>
  <c r="I337" i="1"/>
  <c r="I373" i="1"/>
  <c r="I415" i="1"/>
  <c r="I427" i="1"/>
  <c r="I467" i="1"/>
  <c r="I497" i="1"/>
  <c r="I509" i="1"/>
  <c r="I527" i="1"/>
  <c r="I539" i="1"/>
  <c r="I575" i="1"/>
  <c r="I587" i="1"/>
  <c r="I605" i="1"/>
  <c r="I635" i="1"/>
  <c r="I683" i="1"/>
  <c r="I725" i="1"/>
  <c r="I743" i="1"/>
  <c r="I761" i="1"/>
  <c r="I30" i="1"/>
  <c r="I92" i="1"/>
  <c r="I108" i="1"/>
  <c r="I124" i="1"/>
  <c r="I140" i="1"/>
  <c r="I156" i="1"/>
  <c r="I172" i="1"/>
  <c r="I188" i="1"/>
  <c r="I204" i="1"/>
  <c r="I220" i="1"/>
  <c r="I236" i="1"/>
  <c r="I252" i="1"/>
  <c r="I268" i="1"/>
  <c r="I284" i="1"/>
  <c r="I300" i="1"/>
  <c r="I316" i="1"/>
  <c r="I332" i="1"/>
  <c r="I348" i="1"/>
  <c r="I364" i="1"/>
  <c r="I380" i="1"/>
  <c r="I472" i="1"/>
  <c r="I522" i="1"/>
  <c r="I543" i="1"/>
  <c r="I22" i="1"/>
  <c r="I98" i="1"/>
  <c r="I114" i="1"/>
  <c r="I130" i="1"/>
  <c r="I146" i="1"/>
  <c r="I162" i="1"/>
  <c r="I178" i="1"/>
  <c r="I194" i="1"/>
  <c r="I210" i="1"/>
  <c r="I226" i="1"/>
  <c r="I242" i="1"/>
  <c r="I258" i="1"/>
  <c r="I274" i="1"/>
  <c r="I290" i="1"/>
  <c r="I306" i="1"/>
  <c r="I322" i="1"/>
  <c r="I338" i="1"/>
  <c r="I354" i="1"/>
  <c r="I370" i="1"/>
  <c r="I391" i="1"/>
  <c r="I538" i="1"/>
  <c r="I426" i="1"/>
  <c r="I474" i="1"/>
  <c r="I100" i="1"/>
  <c r="I116" i="1"/>
  <c r="I132" i="1"/>
  <c r="I148" i="1"/>
  <c r="I164" i="1"/>
  <c r="I180" i="1"/>
  <c r="I196" i="1"/>
  <c r="I212" i="1"/>
  <c r="I228" i="1"/>
  <c r="I244" i="1"/>
  <c r="I260" i="1"/>
  <c r="I276" i="1"/>
  <c r="I292" i="1"/>
  <c r="I308" i="1"/>
  <c r="I324" i="1"/>
  <c r="I340" i="1"/>
  <c r="I356" i="1"/>
  <c r="I372" i="1"/>
  <c r="I485" i="1"/>
  <c r="I614" i="1"/>
  <c r="I106" i="1"/>
  <c r="I122" i="1"/>
  <c r="I138" i="1"/>
  <c r="I154" i="1"/>
  <c r="I170" i="1"/>
  <c r="I186" i="1"/>
  <c r="I202" i="1"/>
  <c r="I218" i="1"/>
  <c r="I234" i="1"/>
  <c r="I250" i="1"/>
  <c r="I266" i="1"/>
  <c r="I282" i="1"/>
  <c r="I298" i="1"/>
  <c r="I314" i="1"/>
  <c r="I330" i="1"/>
  <c r="I346" i="1"/>
  <c r="I362" i="1"/>
  <c r="I378" i="1"/>
  <c r="I428" i="1"/>
  <c r="I520" i="1"/>
  <c r="I107" i="1"/>
  <c r="I123" i="1"/>
  <c r="I139" i="1"/>
  <c r="I155" i="1"/>
  <c r="I171" i="1"/>
  <c r="I187" i="1"/>
  <c r="I203" i="1"/>
  <c r="I219" i="1"/>
  <c r="I235" i="1"/>
  <c r="I251" i="1"/>
  <c r="I267" i="1"/>
  <c r="I283" i="1"/>
  <c r="I299" i="1"/>
  <c r="I315" i="1"/>
  <c r="I439" i="1"/>
  <c r="I420" i="1"/>
  <c r="I466" i="1"/>
  <c r="I514" i="1"/>
  <c r="I536" i="1"/>
  <c r="I556" i="1"/>
  <c r="I576" i="1"/>
  <c r="I608" i="1"/>
  <c r="I454" i="1"/>
  <c r="I502" i="1"/>
  <c r="I552" i="1"/>
  <c r="I404" i="1"/>
  <c r="I452" i="1"/>
  <c r="I498" i="1"/>
  <c r="I558" i="1"/>
  <c r="I589" i="1"/>
  <c r="I652" i="1"/>
  <c r="I396" i="1"/>
  <c r="I595" i="1"/>
  <c r="I565" i="1"/>
  <c r="I384" i="1"/>
  <c r="I432" i="1"/>
  <c r="I478" i="1"/>
  <c r="I526" i="1"/>
  <c r="I560" i="1"/>
  <c r="I580" i="1"/>
  <c r="I680" i="1"/>
  <c r="I685" i="1"/>
  <c r="I700" i="1"/>
  <c r="I716" i="1"/>
  <c r="I732" i="1"/>
  <c r="I748" i="1"/>
  <c r="I764" i="1"/>
  <c r="I780" i="1"/>
  <c r="I765" i="1"/>
  <c r="I781" i="1"/>
  <c r="I797" i="1"/>
  <c r="I696" i="1"/>
  <c r="I712" i="1"/>
  <c r="I728" i="1"/>
  <c r="I744" i="1"/>
  <c r="I872" i="1"/>
  <c r="I648" i="1"/>
  <c r="I653" i="1"/>
  <c r="I672" i="1"/>
  <c r="I677" i="1"/>
  <c r="I707" i="1"/>
  <c r="I723" i="1"/>
  <c r="I739" i="1"/>
  <c r="I596" i="1"/>
  <c r="I601" i="1"/>
  <c r="I620" i="1"/>
  <c r="I625" i="1"/>
  <c r="I644" i="1"/>
  <c r="I649" i="1"/>
  <c r="I668" i="1"/>
  <c r="I673" i="1"/>
  <c r="I692" i="1"/>
  <c r="I708" i="1"/>
  <c r="I724" i="1"/>
  <c r="I740" i="1"/>
  <c r="I756" i="1"/>
  <c r="I772" i="1"/>
  <c r="I788" i="1"/>
  <c r="I804" i="1"/>
  <c r="I820" i="1"/>
  <c r="I836" i="1"/>
  <c r="I852" i="1"/>
  <c r="I868" i="1"/>
  <c r="I751" i="1"/>
  <c r="I704" i="1"/>
  <c r="I720" i="1"/>
  <c r="I736" i="1"/>
  <c r="I540" i="1"/>
  <c r="I545" i="1"/>
  <c r="I564" i="1"/>
  <c r="I569" i="1"/>
  <c r="I612" i="1"/>
  <c r="I617" i="1"/>
  <c r="I636" i="1"/>
  <c r="I641" i="1"/>
  <c r="I660" i="1"/>
  <c r="I665" i="1"/>
  <c r="I684" i="1"/>
  <c r="I689" i="1"/>
  <c r="I699" i="1"/>
  <c r="I715" i="1"/>
  <c r="I731" i="1"/>
  <c r="I747" i="1"/>
  <c r="I763" i="1"/>
  <c r="I779" i="1"/>
  <c r="I753" i="1"/>
  <c r="I769" i="1"/>
  <c r="I785" i="1"/>
  <c r="I801" i="1"/>
  <c r="I817" i="1"/>
  <c r="I833" i="1"/>
  <c r="I849" i="1"/>
  <c r="I865" i="1"/>
  <c r="L22" i="5" l="1"/>
  <c r="M22" i="5" s="1"/>
  <c r="F2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tc={EA88F590-FBB9-4D50-B13E-8258E097B1EC}</author>
    <author>tc={E43BD3DB-4076-4A9B-9384-3223334B3D0A}</author>
    <author>tc={35C7E3F2-4193-442E-AFCC-19D5921BC04D}</author>
  </authors>
  <commentList>
    <comment ref="D125" authorId="0" shapeId="0" xr:uid="{EA88F590-FBB9-4D50-B13E-8258E097B1EC}">
      <text>
        <t>[Yorum yazışması]
Excel sürümünüz bu yorum yazışmasını okumanıza izin veriyor, ancak dosya daha yeni bir Excel sürümünde açılırsa, yapılan düzenlemeler kaldırılır. Daha fazla bilgi: https://go.microsoft.com/fwlink/?linkid=870924.
Açıklama:
    Uğur Dündar kontrolü bekliyor.</t>
      </text>
    </comment>
    <comment ref="D175" authorId="1" shapeId="0" xr:uid="{E43BD3DB-4076-4A9B-9384-3223334B3D0A}">
      <text>
        <t>[Yorum yazışması]
Excel sürümünüz bu yorum yazışmasını okumanıza izin veriyor, ancak dosya daha yeni bir Excel sürümünde açılırsa, yapılan düzenlemeler kaldırılır. Daha fazla bilgi: https://go.microsoft.com/fwlink/?linkid=870924.
Açıklama:
    Madde müşterinin taleplerini takip etmek için açık bırakılıyor. Kapatılmayacak</t>
      </text>
    </comment>
    <comment ref="D187" authorId="2" shapeId="0" xr:uid="{35C7E3F2-4193-442E-AFCC-19D5921BC04D}">
      <text>
        <t>[Yorum yazışması]
Excel sürümünüz bu yorum yazışmasını okumanıza izin veriyor, ancak dosya daha yeni bir Excel sürümünde açılırsa, yapılan düzenlemeler kaldırılır. Daha fazla bilgi: https://go.microsoft.com/fwlink/?linkid=870924.
Açıklama:
    Ara verildi. Acil Değil.</t>
      </text>
    </comment>
  </commentList>
</comments>
</file>

<file path=xl/sharedStrings.xml><?xml version="1.0" encoding="utf-8"?>
<sst xmlns="http://schemas.openxmlformats.org/spreadsheetml/2006/main" count="39671" uniqueCount="4501">
  <si>
    <t>Issue Type</t>
  </si>
  <si>
    <t>Issue key</t>
  </si>
  <si>
    <t>Status</t>
  </si>
  <si>
    <t>Summary</t>
  </si>
  <si>
    <t>Project name</t>
  </si>
  <si>
    <t>DEVAM EDEN SPRİNT</t>
  </si>
  <si>
    <t>GELECEK SPRİNT</t>
  </si>
  <si>
    <t>Durum</t>
  </si>
  <si>
    <t>Story Point2</t>
  </si>
  <si>
    <t>CRM-281</t>
  </si>
  <si>
    <t>To Do</t>
  </si>
  <si>
    <t xml:space="preserve">Türkkep -E-Güven CRM entegrasyonu Faz 2 </t>
  </si>
  <si>
    <t>CRM</t>
  </si>
  <si>
    <t>Devam Eden Sprint</t>
  </si>
  <si>
    <t>Story</t>
  </si>
  <si>
    <t>CRM-497</t>
  </si>
  <si>
    <t>Done</t>
  </si>
  <si>
    <t xml:space="preserve">Saklama Kota Yükleme İşlemleri </t>
  </si>
  <si>
    <t>CRM-533</t>
  </si>
  <si>
    <t>KEP IK Mahremiyet &amp; CRM Entegrasyonu</t>
  </si>
  <si>
    <t>Say Durum</t>
  </si>
  <si>
    <t>Sütun Etiketleri</t>
  </si>
  <si>
    <t>Toplam Story Point2</t>
  </si>
  <si>
    <t>CRM-535</t>
  </si>
  <si>
    <t>KEP IK Blulut NVİ Tamamlanan Çalışanların QR Kodlu Islak İmza Taahhütnamelerinin Üretilmesi</t>
  </si>
  <si>
    <t>Satır Etiketleri</t>
  </si>
  <si>
    <t>In Progress</t>
  </si>
  <si>
    <t>TO TEST</t>
  </si>
  <si>
    <t>In Test</t>
  </si>
  <si>
    <t>Genel Toplam</t>
  </si>
  <si>
    <t>Sprint Perf. Oranı</t>
  </si>
  <si>
    <t xml:space="preserve">CRM-541	</t>
  </si>
  <si>
    <t>Üretim Modülü için Tablo Modellenmesi</t>
  </si>
  <si>
    <t>CRM-542</t>
  </si>
  <si>
    <t>Üretim Modülü için Anasayfa Filtre Ekranı</t>
  </si>
  <si>
    <t>Destek Portal</t>
  </si>
  <si>
    <t>CRM-543</t>
  </si>
  <si>
    <t>Üretim Modülü Liste Sayfasının Geliştirmesi</t>
  </si>
  <si>
    <t>E-Defter</t>
  </si>
  <si>
    <t>CRM-544</t>
  </si>
  <si>
    <t>Üretim Modülü Mütabakat Sürecinin Geliştirmesi</t>
  </si>
  <si>
    <t>E-Fatura</t>
  </si>
  <si>
    <t>CRM-545</t>
  </si>
  <si>
    <t>KEP IK Bulut NVİ Tamamlanmayan Çalışanların QR Kodlu Islak İmza Taahhütnamelerinin Üretilmesi için Servis Geliştirmesi</t>
  </si>
  <si>
    <t>Entegrasyon Suit</t>
  </si>
  <si>
    <t>CRM-546</t>
  </si>
  <si>
    <t>KEP IK Bulut Çalışanların QR Kodlu Islak İmza Taahhütnamelerinin Uygulama İçerisinden Toplu İndirilmesi</t>
  </si>
  <si>
    <t>KEP</t>
  </si>
  <si>
    <t>CRM-550</t>
  </si>
  <si>
    <t>Multikep Müşteri Bilgilerinin CRM Sözleşmeden Aktarılması</t>
  </si>
  <si>
    <t>Kep Assist</t>
  </si>
  <si>
    <t>CRM-551</t>
  </si>
  <si>
    <t>Multikep Modüllerinin CRM İşlem Kaydından Aktif Edilmesi</t>
  </si>
  <si>
    <t>KEP İK BULUT</t>
  </si>
  <si>
    <t>CRM-553</t>
  </si>
  <si>
    <t>Multikep Aktarılan Kullanıcılarının Update Edilmesi</t>
  </si>
  <si>
    <t>Mobil Uygulama</t>
  </si>
  <si>
    <t>CRM-554</t>
  </si>
  <si>
    <t>CRM Kurumsal Müşteri Oluşturma MERSİS Entegrasyonu</t>
  </si>
  <si>
    <t>Muhaberat Yönetim Sistemi</t>
  </si>
  <si>
    <t>CRM-555</t>
  </si>
  <si>
    <t>KEP IK Toplu Açılış için CRM den Çalışan Listesini Insert Etme</t>
  </si>
  <si>
    <t>TÜRKKEP İMZA</t>
  </si>
  <si>
    <t>CRM-558</t>
  </si>
  <si>
    <t>KEP IK Kullanıcı için İşlem Yetkilisi Değişiklikleri</t>
  </si>
  <si>
    <t>CRM-559</t>
  </si>
  <si>
    <t>e-İmza UKDS Bilgilendirme Hk.</t>
  </si>
  <si>
    <t>CRM-560</t>
  </si>
  <si>
    <t>MultiKEP Ek Kullanıcı Aktarılması</t>
  </si>
  <si>
    <t>CRM-562</t>
  </si>
  <si>
    <t>Yenileme Hatırlatma Maili Akışına Pasif Kullanıcı Kuralının Eklenmesi</t>
  </si>
  <si>
    <t>CRM-565</t>
  </si>
  <si>
    <t>Toplu Teklif Oluşturma İşlemi</t>
  </si>
  <si>
    <t>CRM-568</t>
  </si>
  <si>
    <t>MERSİS Ek Geliştirme</t>
  </si>
  <si>
    <t>CRM-569</t>
  </si>
  <si>
    <t>Satış Rapor Yeni Müşteri Statüsü</t>
  </si>
  <si>
    <t>Bug</t>
  </si>
  <si>
    <t>CRM-570</t>
  </si>
  <si>
    <t>Duplicate Teklif Numarası Hatası</t>
  </si>
  <si>
    <t>CRM-571</t>
  </si>
  <si>
    <t>İş Bankası Sanal POS Api User Değişikliği</t>
  </si>
  <si>
    <t>CRM-572</t>
  </si>
  <si>
    <t>Pazarama Bundle Hatası</t>
  </si>
  <si>
    <t>CRM-573</t>
  </si>
  <si>
    <t>Müşteri Modülünde Mail Adresi İle Müşteri Listeleme</t>
  </si>
  <si>
    <t>Tüm Ürün İş Listesi</t>
  </si>
  <si>
    <t>CRM-574</t>
  </si>
  <si>
    <t>Güvenlik Grubu Değişiklik Tarihçesi Hk.</t>
  </si>
  <si>
    <t>(Birden Çok Öğe)</t>
  </si>
  <si>
    <t>CRM-577</t>
  </si>
  <si>
    <t>Dijikolay Potansiyel Müşteri Entegrasyonu Hk.</t>
  </si>
  <si>
    <t>CRM-580</t>
  </si>
  <si>
    <t>KEP IK Toplu Açılış için CRM den Çalışan Listesini Insert Etme Ek Geliştirme</t>
  </si>
  <si>
    <t>Publish</t>
  </si>
  <si>
    <t>İş Adedi</t>
  </si>
  <si>
    <t>CRM-581</t>
  </si>
  <si>
    <t>Toplu IK Excel Yüklemede Hatalı Excelin Export Edilmesi</t>
  </si>
  <si>
    <t>Devam Eden ve Gelecek Sprint</t>
  </si>
  <si>
    <t>Gelecek Sprint</t>
  </si>
  <si>
    <t>Ürün İş Listesi</t>
  </si>
  <si>
    <t>Tamamlanan Sprint</t>
  </si>
  <si>
    <t>CRM-582</t>
  </si>
  <si>
    <t>Toplu KEP IK Açılış Excelinde Güvenlik Kelimesi</t>
  </si>
  <si>
    <t>CRM-583</t>
  </si>
  <si>
    <t>Toplu KEP IK Açılışlarında Bildirim Gönderilmesi</t>
  </si>
  <si>
    <t>CRM-584</t>
  </si>
  <si>
    <t>KEP Adresi ile Arama</t>
  </si>
  <si>
    <t>CRM-587</t>
  </si>
  <si>
    <t xml:space="preserve">e-İmza Başvuruları için Dış Servis Yazılması </t>
  </si>
  <si>
    <t>CRM-588</t>
  </si>
  <si>
    <t>Üretim Modülü Fatura Tahsilatların İşlenmesi</t>
  </si>
  <si>
    <t>CRM-589</t>
  </si>
  <si>
    <t>Duplicate Teklif Numarası için Alarm Maili Oluşturulması</t>
  </si>
  <si>
    <t>CRM-590</t>
  </si>
  <si>
    <t xml:space="preserve">Aynı TCKN ye Ait Birden Fazla KEP Adresinin KEP IK Aktarım Süreci </t>
  </si>
  <si>
    <t>CRM-591</t>
  </si>
  <si>
    <t>Pasif Olan KEP Adresin Tekrar Aktif Edilmesi (UKDS)</t>
  </si>
  <si>
    <t>CRM-592</t>
  </si>
  <si>
    <t>Pasif Olan KEP Hesabın Tekrar Aktif Edilmesi (CRM)</t>
  </si>
  <si>
    <t>CRM-593</t>
  </si>
  <si>
    <t>Mersis sorgu sonucunda dönen NACE kodu bilgisinin alınması</t>
  </si>
  <si>
    <t>CRM-594</t>
  </si>
  <si>
    <t>KEP Assist ürün kullanım raporu</t>
  </si>
  <si>
    <t>UETS</t>
  </si>
  <si>
    <t>CRM-597</t>
  </si>
  <si>
    <t>Sipariş detayında MERSİS sorgu sonucu başarılı dönmemesi</t>
  </si>
  <si>
    <t>UZAKTAN KİMLİK DOĞRULAMA</t>
  </si>
  <si>
    <t>CRM-598</t>
  </si>
  <si>
    <t>Kamu/Oda/Vakıf/Dernek müşteri tipi için KEP hesap oluşturulabilmesi</t>
  </si>
  <si>
    <t>Kep Web Servisi</t>
  </si>
  <si>
    <t>CRM-599</t>
  </si>
  <si>
    <t>Manuel müşteri kaydı oluşturma</t>
  </si>
  <si>
    <t>Detsis</t>
  </si>
  <si>
    <t>CRM-600</t>
  </si>
  <si>
    <t>MERSİS sonucunda eşleşme sağlanamaması</t>
  </si>
  <si>
    <t>Imza Entegrasyon Uygulaması</t>
  </si>
  <si>
    <t>CRM-601</t>
  </si>
  <si>
    <t>KEP Assist rapor servisine entegrasyon sağlanması</t>
  </si>
  <si>
    <t>CRM-602</t>
  </si>
  <si>
    <t>KEP Assist organizasyon ID bilgisinin kaydedilmesi</t>
  </si>
  <si>
    <t>CRM-603</t>
  </si>
  <si>
    <t>Sözleşmeler sayfasına kullanım bilgilerinin kaydedilmesi</t>
  </si>
  <si>
    <t>CRM-604</t>
  </si>
  <si>
    <t>Kullanım bilgilerinin güncellenmesi için job yazılması</t>
  </si>
  <si>
    <t>CRM-605</t>
  </si>
  <si>
    <t>Belirli tarih aralığındaki kullanım bilgilerinin gösterilmesi</t>
  </si>
  <si>
    <t>CRM-608</t>
  </si>
  <si>
    <t>Duplicate Fatura Numaraları için Düzenleme</t>
  </si>
  <si>
    <t>CRM-609</t>
  </si>
  <si>
    <t>Müşterinin Oluşturulma Tarihi Düzenlemesi</t>
  </si>
  <si>
    <t>CRM-610</t>
  </si>
  <si>
    <t>Test ortamı MERSİS entegrasyonu kontrol adımları</t>
  </si>
  <si>
    <t>CRM-613</t>
  </si>
  <si>
    <t>Test ortamında NACE kodu bilgisi alanının getirilmesi</t>
  </si>
  <si>
    <t>CRM-614</t>
  </si>
  <si>
    <t>Tobb Mersis servisi bakiye kontrolü için bildirim maili gönderilmesi</t>
  </si>
  <si>
    <t>CRM-616</t>
  </si>
  <si>
    <t>Turmob servis tüketim bilgilerinin kaydedilmesi</t>
  </si>
  <si>
    <t>CRM-617</t>
  </si>
  <si>
    <t>Turmob servis tüketim verilerinin Fatura bakiyesinden düşülmesi</t>
  </si>
  <si>
    <t>CRM-618</t>
  </si>
  <si>
    <t>Fatura tüketim verileri içeren raporların güncellenmesi</t>
  </si>
  <si>
    <t>DP-266</t>
  </si>
  <si>
    <t>İptal Firmaların Veri Teslimi İçin Sorgu Ekranı Eklenmesi</t>
  </si>
  <si>
    <t>DP-267</t>
  </si>
  <si>
    <t>E-Defter Firma Raporu Excelinin Güncellenmesi</t>
  </si>
  <si>
    <t>DP-268</t>
  </si>
  <si>
    <t>KEP Utility Servisi Evidence-controller metotlarının eklenmesi</t>
  </si>
  <si>
    <t>DP-269</t>
  </si>
  <si>
    <t>KEP Utility Servisi Mailbox-controller metotlarının eklenmesi</t>
  </si>
  <si>
    <t>DP-270</t>
  </si>
  <si>
    <t>KEP Utility Servisi Original-controller metotlarının eklenmesi</t>
  </si>
  <si>
    <t>DP-271</t>
  </si>
  <si>
    <t>KEP Utility Servisi quota-controller metotlarının eklenmesi</t>
  </si>
  <si>
    <t>DP-272</t>
  </si>
  <si>
    <t xml:space="preserve"> KEP Utility Servisi Rem-q-controller metotlarının eklenmesi</t>
  </si>
  <si>
    <t>DP-273</t>
  </si>
  <si>
    <t xml:space="preserve"> KEP Utility Servisi Web-hr-controller metotlarının eklenmesi</t>
  </si>
  <si>
    <t>DS-10</t>
  </si>
  <si>
    <t>Hata loglarının LogSign üzerinden bildirim olarak gönderilmesi</t>
  </si>
  <si>
    <t>EDF-748</t>
  </si>
  <si>
    <t>e-Defter Kebir Dosyalarının Ocak 2025 Dönemi İtibarı ile GİB Sistemlerine Yüklenmemesi İçin Değişiklik</t>
  </si>
  <si>
    <t>EDF-750</t>
  </si>
  <si>
    <t>E-Defter Client Defter İmzalama İçin .jar Dosyasının Güncellenmesi</t>
  </si>
  <si>
    <t>EDF-751</t>
  </si>
  <si>
    <t>Büyük Parçalı Firma (LOFT) Portalde İşlem Yapabilmesi İçin Exe Yazılması</t>
  </si>
  <si>
    <t>EDF-752</t>
  </si>
  <si>
    <t>CST_Contract Tablosunda Yer Almayan Müşterinin Portale Girişinin Engellediği Geliştirmenin Geri Alınması</t>
  </si>
  <si>
    <t>EDF-755</t>
  </si>
  <si>
    <t>Sözleşmesi Dolacak Müşteriler İçin Portalde Uyarı Metni Gösterimi</t>
  </si>
  <si>
    <t>EFT-1669</t>
  </si>
  <si>
    <t>Blocked</t>
  </si>
  <si>
    <t>Şifreli Tutulan Verilerin SHA-2 Algoritması İle Hashlenmesi</t>
  </si>
  <si>
    <t>EFT-1934</t>
  </si>
  <si>
    <t>Sözleşme ve aktivasyon süreçlerinin istemci ile gerçekleştirilmesi</t>
  </si>
  <si>
    <t>EFT-2043</t>
  </si>
  <si>
    <t>Kamu Faturaları Düzenlemeleri</t>
  </si>
  <si>
    <t>EFT-2068</t>
  </si>
  <si>
    <t xml:space="preserve">Portalde Excel İle Fatura Yükleme </t>
  </si>
  <si>
    <t>EFT-2085</t>
  </si>
  <si>
    <t>İlaç ve Tıbbi Cihaz Fatura Tipinde Fatura Oluşturulup Gönderilmesi</t>
  </si>
  <si>
    <t>EFT-2087</t>
  </si>
  <si>
    <t>DeliveryCustomerParty Alanında TCKN Giriliyorsa Ad Soyad Girme Zorunluluğu Ekleme</t>
  </si>
  <si>
    <t>EFT-2094</t>
  </si>
  <si>
    <t>Portal İlaç ve Tıbbi Cihaz Fatura Tipinde Fatura Oluşturulup Gönderilmesi</t>
  </si>
  <si>
    <t>EFT-2095</t>
  </si>
  <si>
    <t>Ef-Admin Portalde Şifremi Unuttum Alanının Çalışmaması</t>
  </si>
  <si>
    <t>EFT-2100</t>
  </si>
  <si>
    <t>IHRACKAYITLI fatura tipi için GTİP ve Satır Kodu Zorunluluğu</t>
  </si>
  <si>
    <t>EFT-2101</t>
  </si>
  <si>
    <t>İade ve Tevkifatiade Fatura Tiplerinde İadeye Konu Olan Fatura Numarası ve Tarihi Boş Olmaması</t>
  </si>
  <si>
    <t>EFT-2102</t>
  </si>
  <si>
    <t>TaxExemptionReasonCodeType Güncellenmesi</t>
  </si>
  <si>
    <t>EFT-2108</t>
  </si>
  <si>
    <t>ERP Binding Müşterilerine GİB Zorunlulukları İçin Geliştirme</t>
  </si>
  <si>
    <t>EFT-2109</t>
  </si>
  <si>
    <t>MLP İade Faturası Geliştirmesi</t>
  </si>
  <si>
    <t>EFT-2114</t>
  </si>
  <si>
    <t>HSM Lisans Süresini Uzatılması</t>
  </si>
  <si>
    <t>EFT-2116</t>
  </si>
  <si>
    <t>Yapılan Türmob sorgularının veri tablosuna kaydedilmesi</t>
  </si>
  <si>
    <t>EFT-2117</t>
  </si>
  <si>
    <t>Konnektör VKN/TCKN Alanı Minimum 10 Hane ve Ücretlendirme Uyarısı</t>
  </si>
  <si>
    <t>EFT-2118</t>
  </si>
  <si>
    <t>Proxy Servis Metot Geliştirmeleri</t>
  </si>
  <si>
    <t>EFT-2119</t>
  </si>
  <si>
    <t>CRM-Fatura Entegrasyonu Sağlanması</t>
  </si>
  <si>
    <t>EFT-2120</t>
  </si>
  <si>
    <t>Portal VKN/TCKN Alanına Minimum 10 haneli Giriş Zorunluluğu ve Ücretlendirme Uyarısı</t>
  </si>
  <si>
    <t>EFT-2121</t>
  </si>
  <si>
    <t>Portalda Dashboard da TÜRMOB Sorgu Sayısı</t>
  </si>
  <si>
    <t>bug</t>
  </si>
  <si>
    <t>EFT-2122</t>
  </si>
  <si>
    <t xml:space="preserve">İrsaliye Web Metotlarında Mersis No ve Ticaret No Zorunluluğu Kaldırma </t>
  </si>
  <si>
    <t>EFT-2127</t>
  </si>
  <si>
    <t>GİB Zorunlulukları Sonrası Konnektörde Harici Excel İle Yüklemede Hata</t>
  </si>
  <si>
    <t>EFT-2129</t>
  </si>
  <si>
    <t>Türmob Geliştirmelerinde Connector Uygulamasının Proxy Servisine Entegre Edilmesi</t>
  </si>
  <si>
    <t>EFT-2136</t>
  </si>
  <si>
    <t>MLP İade Fatura İadeye Konu Fatura Düzeltmesi</t>
  </si>
  <si>
    <t>EFT-2137</t>
  </si>
  <si>
    <t xml:space="preserve">Ücretlendirme Uyarısının Gösterimi </t>
  </si>
  <si>
    <t>EFT-2138</t>
  </si>
  <si>
    <t>Portalda İade ve Tevkifat İade Faturalarında İadeye Konu Olan Fatura Numarasının Seri Numarası Tarihi Hatası</t>
  </si>
  <si>
    <t>EFT-2140</t>
  </si>
  <si>
    <t xml:space="preserve">Portal uygulumasına "TEKNOLOJIDESTEK” fatura tipinin eklenmesi.	</t>
  </si>
  <si>
    <t>EFT-2141</t>
  </si>
  <si>
    <t>Konnektör uygulumasına "TEKNOLOJIDESTEK” fatura tipinin eklenmesi.</t>
  </si>
  <si>
    <t>EFT-2142</t>
  </si>
  <si>
    <t>Webservis uygulumasına "TEKNOLOJIDESTEK” fatura tipinin eklenmesi.</t>
  </si>
  <si>
    <t>EFT-2143</t>
  </si>
  <si>
    <t xml:space="preserve">Modellerin, servislerin ve SPlerin oluşması </t>
  </si>
  <si>
    <t>IEU-114</t>
  </si>
  <si>
    <t>Pdf hash imza - client</t>
  </si>
  <si>
    <t>IEU-115</t>
  </si>
  <si>
    <t>PDF Dosyasının Hash Değerini Alma</t>
  </si>
  <si>
    <t>IEU-122</t>
  </si>
  <si>
    <t>Veritabanının farklı sunucuya taşınması (Hubtest)</t>
  </si>
  <si>
    <t>IEU-127</t>
  </si>
  <si>
    <t>XAdES çoklu imza doğrulama hatası</t>
  </si>
  <si>
    <t>IEU-128</t>
  </si>
  <si>
    <t>XAdES çoklu imzalama hatası hakkında</t>
  </si>
  <si>
    <t>IEU-13</t>
  </si>
  <si>
    <t>Mobil İmza modülüne XAdES imzalama özelliği eklenmesi</t>
  </si>
  <si>
    <t>IEU-149</t>
  </si>
  <si>
    <t>UETS servisinin Hubtest'e alınması</t>
  </si>
  <si>
    <t>IEU-151</t>
  </si>
  <si>
    <t>Webmail ile Mobil İmza Entegrasyonu</t>
  </si>
  <si>
    <t>IEU-153</t>
  </si>
  <si>
    <t>/api/v1/crg/search/account-info Metodunun Yeniden Yapılandırılması</t>
  </si>
  <si>
    <t>IEU-154</t>
  </si>
  <si>
    <t>Son Ui Getiren Metotların Hubtest'e Alınması</t>
  </si>
  <si>
    <t>IEU-155</t>
  </si>
  <si>
    <t>İmzalama servislerinde toplu imzalama imkanı</t>
  </si>
  <si>
    <t>IEU-158</t>
  </si>
  <si>
    <t>KEP Rehber - Genel Adres Doğrulama Metodunun Eklenmesi</t>
  </si>
  <si>
    <t>IEU-159</t>
  </si>
  <si>
    <t>Merkezi KEP Rehberi Metodunda Hatalı Dönüşün Açıklamasının Eklenmesi</t>
  </si>
  <si>
    <t>IEU-160</t>
  </si>
  <si>
    <t>İmzaClient Güncellemesi</t>
  </si>
  <si>
    <t>IEU-162</t>
  </si>
  <si>
    <t>Mobil imza cades tipinde imzalanan belgenin imzalı datasını çağırma hk.</t>
  </si>
  <si>
    <t>IEU-164</t>
  </si>
  <si>
    <t>TCKN ve VKN ile Kep Adresi Sorgulama</t>
  </si>
  <si>
    <t>IEU-165</t>
  </si>
  <si>
    <t>/api/v1/sign/multi metoduna api-access-token parametresi eklenmesi</t>
  </si>
  <si>
    <t>IEU-166</t>
  </si>
  <si>
    <t>list-by-folder-name metodu hk.</t>
  </si>
  <si>
    <t>IEU-171</t>
  </si>
  <si>
    <t>İmzalı Hash Değeri ile Orijinal PDF'yi Birleştirme Metodu Geliştirilmesi</t>
  </si>
  <si>
    <t>IEU-172</t>
  </si>
  <si>
    <t>Hubtest metotlardaki hatalar hk.</t>
  </si>
  <si>
    <t>IEU-174</t>
  </si>
  <si>
    <t>İmza Client - E-Fatura</t>
  </si>
  <si>
    <t>IEU-176</t>
  </si>
  <si>
    <t>Pades Es-A İmzalarda Çift Zaman Damgası Basılması</t>
  </si>
  <si>
    <t>IEU-177</t>
  </si>
  <si>
    <t>Hubtest /api/v1/eyp/composer/v13/paket/imza/ekle metodu hk.</t>
  </si>
  <si>
    <t>IEU-181</t>
  </si>
  <si>
    <t>Metotlardan Dönen Hata Yanıtlarının Kontrol Edilmesi ve Listelenmesi</t>
  </si>
  <si>
    <t>IEU-182</t>
  </si>
  <si>
    <t>Entegrasyon Suit Servis (Rest Api) Dokümanı Güncelleme</t>
  </si>
  <si>
    <t>IEU-183</t>
  </si>
  <si>
    <t>rems-by-folder-name metodu hk.</t>
  </si>
  <si>
    <t>KA-1359</t>
  </si>
  <si>
    <t>Mobil İmza Servis Entegrasyonu</t>
  </si>
  <si>
    <t>KA-1445</t>
  </si>
  <si>
    <t>Organizasyon kullanıcılarının customerAdmin tarafından tanımlanması</t>
  </si>
  <si>
    <t>KA-1447</t>
  </si>
  <si>
    <t>Otomatik yanıtlanan iletilerin eklerine ek dosya eklenmesi</t>
  </si>
  <si>
    <t>KA-1448</t>
  </si>
  <si>
    <t>Kep iletisi oluşturan kişinin gönderimin sınırlandırılması</t>
  </si>
  <si>
    <t>KA-1452</t>
  </si>
  <si>
    <t>Pasife alınan kullanıcı yerine kullanıcı eklenebilmesi</t>
  </si>
  <si>
    <t>KA-1453</t>
  </si>
  <si>
    <t>Update sorgusu hazırlanması EYP_SECURITYCODE tablosu</t>
  </si>
  <si>
    <t>KA-1454</t>
  </si>
  <si>
    <t>Kullanım Raporu (Faz-1)</t>
  </si>
  <si>
    <t>KA-1455</t>
  </si>
  <si>
    <t>Eyp Şablon Yetkili Sorunu Hk.</t>
  </si>
  <si>
    <t>KA-1456</t>
  </si>
  <si>
    <t>Kullanım Raporu (Faz-2)</t>
  </si>
  <si>
    <t>KA-1465x</t>
  </si>
  <si>
    <t>CRM Entegrasyonu İçin Organizasyonları Listeleyen Servis Geliştirilmesi</t>
  </si>
  <si>
    <t>KA-1469</t>
  </si>
  <si>
    <t>CRM Entegrasyonu İçin Kullanım Raporu Metodu Geliştirilmesi - Faz 1</t>
  </si>
  <si>
    <t>KA-1470</t>
  </si>
  <si>
    <t>CRM Entegrasyonu İçin Kullanım Raporu Metodu Geliştirilmesi - Faz 2</t>
  </si>
  <si>
    <t>KA-1471</t>
  </si>
  <si>
    <t>Gelen KEP İletileri Excel Raporunda EYP Belge Numaralarının Eklenmesi</t>
  </si>
  <si>
    <t>KA-1472</t>
  </si>
  <si>
    <t>Güncelleme Paketi Hazırlanması</t>
  </si>
  <si>
    <t>KA-1476</t>
  </si>
  <si>
    <t>UETS Gelen Kutusu İşlem Statüsü ve Süreçteki Adım Sütunları Hk.</t>
  </si>
  <si>
    <t>KA-1482</t>
  </si>
  <si>
    <t>Etys Süreçlerinde Veritabanı Deadlock Hatası hk.</t>
  </si>
  <si>
    <t>KA-1485</t>
  </si>
  <si>
    <t>Hatalı delillerin tekrar tetiklenmesi için sorgu hazırlanması</t>
  </si>
  <si>
    <t>KA-1488</t>
  </si>
  <si>
    <t>Hatalı Delillerin Tekrar Tetiklenmesi İçin Worker Çalışması</t>
  </si>
  <si>
    <t>KA-1491</t>
  </si>
  <si>
    <t>Kep Assist - Crm Kullanım Raporu Servisi Kullanım Alanları Birim Değişikliği</t>
  </si>
  <si>
    <t>KEP-101</t>
  </si>
  <si>
    <t>Dovecot DB geçişi</t>
  </si>
  <si>
    <t>KEP-113</t>
  </si>
  <si>
    <t>Webmail E-Tebligat Kutusu Belge İndirme ve Okundu Sayılma</t>
  </si>
  <si>
    <t>KEP-132</t>
  </si>
  <si>
    <t>Teslim Edilemedi Delili Mail Bildirimi</t>
  </si>
  <si>
    <t>KEP-251</t>
  </si>
  <si>
    <t>Log kayıtlarının kolay erişilebilir yapıda tutulması</t>
  </si>
  <si>
    <t>KEP-258</t>
  </si>
  <si>
    <t>Merkezi KEP Rehberi Servis Geliştirmesi</t>
  </si>
  <si>
    <t>KEP-259</t>
  </si>
  <si>
    <t>CRM Servisi Geliştirmesi</t>
  </si>
  <si>
    <t>KEP-260</t>
  </si>
  <si>
    <t>Lisans Güncellemesi Hk.</t>
  </si>
  <si>
    <t>KEP-261</t>
  </si>
  <si>
    <t xml:space="preserve">Webmail PDF Görüntüleme İşlemi </t>
  </si>
  <si>
    <t>KEP-262</t>
  </si>
  <si>
    <t xml:space="preserve">Webmail Giden Kutusu Listeleme </t>
  </si>
  <si>
    <t>KEP-263</t>
  </si>
  <si>
    <t>Webmail CTRL Tuşu İle Birden Fazla İleti Seçme</t>
  </si>
  <si>
    <t>KEP-264</t>
  </si>
  <si>
    <t>UETS Mail bildirim kayıtlarının Utility servis üzerinden sorgulanması</t>
  </si>
  <si>
    <t>KEP-265</t>
  </si>
  <si>
    <t>UETS SMS bildirim kayıtlarının Utility servis üzerinden sorgulanması</t>
  </si>
  <si>
    <t>KEP-266</t>
  </si>
  <si>
    <t>Web mail dosya boyut sınırı</t>
  </si>
  <si>
    <t>KEP-267</t>
  </si>
  <si>
    <t>Vodafone mobil imza seçeneğinin eklenmesi</t>
  </si>
  <si>
    <t>KEP-268</t>
  </si>
  <si>
    <t>Mobil İmza Entegrasyonlarının Değiştirmesi Hk</t>
  </si>
  <si>
    <t>KEP-269</t>
  </si>
  <si>
    <t>Yeni Açılan KEP Adreslerinin Yeni Altyapı Tarafında Açılması Hk (CRM Geliştirmesi)</t>
  </si>
  <si>
    <t>story</t>
  </si>
  <si>
    <t>KEP-270</t>
  </si>
  <si>
    <t>e-Saklama Modulü Tarih Filtresi Alanında Sorguya Ait Değerin Getirilmesi</t>
  </si>
  <si>
    <t>KEP-271</t>
  </si>
  <si>
    <t xml:space="preserve">Delil Arşiv Sunucusu Taşınması </t>
  </si>
  <si>
    <t>KEP-272</t>
  </si>
  <si>
    <t>İşlem Yetkilisi Bilgi Güncelle Ekranında Yapılan Yetki Kısıtlamaları Çalışmıyor</t>
  </si>
  <si>
    <t>KEP-273</t>
  </si>
  <si>
    <t>BTK Sorgulamalarında Bir Yerine Birden Fazla Kuyruk Oluşturma</t>
  </si>
  <si>
    <t>KEP-274</t>
  </si>
  <si>
    <t>BTK Rehber Servisine Rehber Bildirimlerinin Aylık Yerine Anlık Yapılması</t>
  </si>
  <si>
    <t>KEP-275</t>
  </si>
  <si>
    <t>Eliptik Eğri Güncel Sürümün Test Edilmesi</t>
  </si>
  <si>
    <t>KEP-277</t>
  </si>
  <si>
    <t>KEP Webmail Yetkilerinin Düzenlenmesi</t>
  </si>
  <si>
    <t>KEP-278</t>
  </si>
  <si>
    <t>Adalet Bakanlığı'na Gönderilen KEP'lerde Detsis Numarası Eksik Olanlar için Verilen Uyarı Mesajında Detsis Güncellemesi</t>
  </si>
  <si>
    <t>KW-1</t>
  </si>
  <si>
    <t>SSL/TLS SERTİFİKA DEĞİŞİKLİĞİ</t>
  </si>
  <si>
    <t>KW-2</t>
  </si>
  <si>
    <t>Utility - Delil İndirme Servisi Hk.</t>
  </si>
  <si>
    <t>KW-3</t>
  </si>
  <si>
    <t>Akbank KEP hesap mutabakatlarının gerçekleştirilmesi</t>
  </si>
  <si>
    <t>KW-4</t>
  </si>
  <si>
    <t>evidence ve original controller altındaki metotlarda güncelleme talebi</t>
  </si>
  <si>
    <t>MU-44</t>
  </si>
  <si>
    <t>Bildirim servisi geliştirmesi</t>
  </si>
  <si>
    <t>MU-50</t>
  </si>
  <si>
    <t>UKDS yeni KİDOS entegrasyon tipinin başvuru ekranlarının düzenlenmesi</t>
  </si>
  <si>
    <t>MU-51</t>
  </si>
  <si>
    <t>Bildirim servisi entegrasyonu</t>
  </si>
  <si>
    <t>MU-52</t>
  </si>
  <si>
    <t>Bildirim onay ekranı geliştirilmesi</t>
  </si>
  <si>
    <t>MU-53</t>
  </si>
  <si>
    <t>Geçmiş bildirimler sayfası geliştirilmesi</t>
  </si>
  <si>
    <t>MU-54</t>
  </si>
  <si>
    <t>Pazarama senaryosu için ekran düzenlemeleri</t>
  </si>
  <si>
    <t>MU-55</t>
  </si>
  <si>
    <t>UKDS ekranlarında parametre kontrolü eklenmesi</t>
  </si>
  <si>
    <t>MU-56</t>
  </si>
  <si>
    <t>Senaryo değişikliklerinde son kullanıcı yönlendirmesi</t>
  </si>
  <si>
    <t>MU-57</t>
  </si>
  <si>
    <t>Uygulama Başlangıç Ekranı ve Ayarlar Ekranında Dil Seçeneği Eklenmesi (Türkçe/İngilizce)</t>
  </si>
  <si>
    <t>MU-58</t>
  </si>
  <si>
    <t>Uygulama Bildirim Ekranında Gönderim Tarihini Gösterme</t>
  </si>
  <si>
    <t>MU-59</t>
  </si>
  <si>
    <t>Bildirimi kapalı olan kullanıcılara gönderilen mesajların failed-messages tablosunda tutulması</t>
  </si>
  <si>
    <t>MU-60</t>
  </si>
  <si>
    <t>Mobil bildirim açma/kapama hk.</t>
  </si>
  <si>
    <t>MU-61</t>
  </si>
  <si>
    <t>Siyah Ekran Hatası Hk.</t>
  </si>
  <si>
    <t>MUL-146</t>
  </si>
  <si>
    <t>Grup oluşturmada arama düzenlemesi</t>
  </si>
  <si>
    <t>MULTİKEP</t>
  </si>
  <si>
    <t>MUL-176</t>
  </si>
  <si>
    <t>MKR modülüne firma bazlı kota geliştirmesi</t>
  </si>
  <si>
    <t>MUL-184</t>
  </si>
  <si>
    <t>Yeni KEP iletisi oluştur ekranı alıcı arama geliştirmesi</t>
  </si>
  <si>
    <t>MUL-197</t>
  </si>
  <si>
    <t>Windows Delil Servis geliştirmesi</t>
  </si>
  <si>
    <t>MUL-198</t>
  </si>
  <si>
    <t>MKR Kullanım Kısıtlama Hk.</t>
  </si>
  <si>
    <t>MUL-199</t>
  </si>
  <si>
    <t>Müşteri Sözleşme Tanımı Hk</t>
  </si>
  <si>
    <t>MUL-200</t>
  </si>
  <si>
    <t>Yüksek Boyutlu PDF Parçalama İşlemi Hk</t>
  </si>
  <si>
    <t>MUL-201</t>
  </si>
  <si>
    <t>Merkezi KEP Sorgulama Kayıtlarının Silinmesi</t>
  </si>
  <si>
    <t>MUL-202</t>
  </si>
  <si>
    <t xml:space="preserve">Yeni KEP İletisi Oluştur Ekranı Gönder Düğmesi Simgesinin Değiştirilmesi </t>
  </si>
  <si>
    <t>MUL-203</t>
  </si>
  <si>
    <t xml:space="preserve">Excel ile KEP Gönderim Ekranında Ek Dosya Eklendikten Sonra Dosyanın Silinebilmesi </t>
  </si>
  <si>
    <t>MUL-204</t>
  </si>
  <si>
    <t>Refactor Çalışması Hk</t>
  </si>
  <si>
    <t>MUL-205</t>
  </si>
  <si>
    <t>Taslaklar üzerinde Simge (icon) Değişikliği</t>
  </si>
  <si>
    <t>MUL-206</t>
  </si>
  <si>
    <t>Jar Güncellemesi Hk.</t>
  </si>
  <si>
    <t>MUL-207</t>
  </si>
  <si>
    <t>MultiKEP Dashboard Çalışması</t>
  </si>
  <si>
    <t>MultiKEP</t>
  </si>
  <si>
    <t>MUL-208</t>
  </si>
  <si>
    <t>MKR modülünde Süreç İyileştirme</t>
  </si>
  <si>
    <t>Multikep</t>
  </si>
  <si>
    <t>MUL-209</t>
  </si>
  <si>
    <t>Alıcıları Listeleyen Süreçte Performans Geliştirmesi</t>
  </si>
  <si>
    <t>MYS-401</t>
  </si>
  <si>
    <t>Güncel Olmayan JavaScript Kütüphanesi Kullanımı</t>
  </si>
  <si>
    <t>MYS-739</t>
  </si>
  <si>
    <t>Sep Gelen Kutusuna Süreç No Bilgisinin Getirilmesi</t>
  </si>
  <si>
    <t>MYS-740</t>
  </si>
  <si>
    <t>Sep Giden Kutusuna Süreç No Bilgisinin Getirilmesi</t>
  </si>
  <si>
    <t>MYS-741</t>
  </si>
  <si>
    <t>Hatalı Süreçler Ekranı Kayıt Listeleme Sorunu</t>
  </si>
  <si>
    <t>MYS-744</t>
  </si>
  <si>
    <t>İşlem yetkilisi ayarları sayfası</t>
  </si>
  <si>
    <t>MYS-745</t>
  </si>
  <si>
    <t>UETS Gelen Kutusuna Süreçteki Adım kolonu eklenmesi</t>
  </si>
  <si>
    <t>MYS-746</t>
  </si>
  <si>
    <t>Profil Ekranına Cep Numarası Girilmesi</t>
  </si>
  <si>
    <t>MYS-747</t>
  </si>
  <si>
    <t>Profil Ekranına Kimlik Numarası Girilmesi</t>
  </si>
  <si>
    <t>MYS-748</t>
  </si>
  <si>
    <t>Profil Ekranına E-Posta Girilmesi</t>
  </si>
  <si>
    <t>MYS-749</t>
  </si>
  <si>
    <t>Şifre Güncellenmesi Hk.</t>
  </si>
  <si>
    <t>MYS-752</t>
  </si>
  <si>
    <t>Basılı İleti Güncelleme Sorunu Hk.</t>
  </si>
  <si>
    <t>MYS-753</t>
  </si>
  <si>
    <t>Sep İletilerinin Statüsünün Güncellenmesi İçin Worker Çalışması Hk.</t>
  </si>
  <si>
    <t>MYS-756</t>
  </si>
  <si>
    <t>Sütunlardaki Filtreleme Sorunu</t>
  </si>
  <si>
    <t>MYS-757</t>
  </si>
  <si>
    <t>SEP İleti -&gt; Taslaklar ekranındaki sütunların kaldırılması</t>
  </si>
  <si>
    <t>MYS-759</t>
  </si>
  <si>
    <t>MYS-761</t>
  </si>
  <si>
    <t>Güncelleme Paketi Hazırlanması - 03122024-08042025</t>
  </si>
  <si>
    <t>TIM-189</t>
  </si>
  <si>
    <t>TIM-304</t>
  </si>
  <si>
    <t>Servis dönen hataların ön yüzde kullanıcı dostu şekilde gösterilmesi</t>
  </si>
  <si>
    <t>TIM-308</t>
  </si>
  <si>
    <t>Varsayılan imzalama formatı geliştirmesi</t>
  </si>
  <si>
    <t>TIM-373</t>
  </si>
  <si>
    <t>Toplu işlemlerde çoklu onay verilmesi</t>
  </si>
  <si>
    <t>TIM-381</t>
  </si>
  <si>
    <t>Mobil İmzada Tarihçe düzenlemesi</t>
  </si>
  <si>
    <t>TIM-411</t>
  </si>
  <si>
    <t>İmza Logo Seçiminde Belge Sayfalarının Yatay ya da Hem Yatay Hem Dikey Yönlendirilmesi Seçeneklerinin de Sağlanması</t>
  </si>
  <si>
    <t>TIM-416</t>
  </si>
  <si>
    <t>Dış imzacı mail bildiriminin SMS olarak da iletilmesi</t>
  </si>
  <si>
    <t>TIM-417</t>
  </si>
  <si>
    <t>Paket ve Admin Yönetimi</t>
  </si>
  <si>
    <t>TIM-420</t>
  </si>
  <si>
    <t>Yeni arayüz talebi</t>
  </si>
  <si>
    <t>TIM-422</t>
  </si>
  <si>
    <t>Admin panelden firmaların farklı bir kullanıcısına admin yetkisi verilmesi geliştirmesi</t>
  </si>
  <si>
    <t>TIM-423</t>
  </si>
  <si>
    <t>İmza client iyileştirmeleri</t>
  </si>
  <si>
    <t>TIM-428</t>
  </si>
  <si>
    <t>Dış imzacı ret maili düzenleme</t>
  </si>
  <si>
    <t>TIM-429</t>
  </si>
  <si>
    <t>Belge Silme Adımı Yazım Hatası</t>
  </si>
  <si>
    <t>TIM-431</t>
  </si>
  <si>
    <t xml:space="preserve">Türkkep İmza Dış İmzacı Karekod/Doğrulama Kodu Eklenmesi </t>
  </si>
  <si>
    <t>TIM-432</t>
  </si>
  <si>
    <t>İmzalamada vekil atama özelliği</t>
  </si>
  <si>
    <t>TIM-433</t>
  </si>
  <si>
    <t>Sftp ile gönderilen evrakların statü takibi</t>
  </si>
  <si>
    <t>TIM-434</t>
  </si>
  <si>
    <t>Aynı Hedef Sunucuya Tek Seferde Seçimle Toplu SFTP Gönderimi</t>
  </si>
  <si>
    <t>TIM-435</t>
  </si>
  <si>
    <t xml:space="preserve">İşlem Bekleyen Belgeler Ekranındaki İmza İstekleri İçin Hatırlatma Yapılması </t>
  </si>
  <si>
    <t>TIM-436</t>
  </si>
  <si>
    <t>Paralel imzalamada sıra gözetmeksizin imzalama özelliği</t>
  </si>
  <si>
    <t>TIM-437</t>
  </si>
  <si>
    <t>İmzalanmış belgede birden fazla sayfa varsa ilk sayfa dışındakilere karekod/logo gelmesi</t>
  </si>
  <si>
    <t>TIM-439</t>
  </si>
  <si>
    <t>DB Tablolarının Oluşturulması.</t>
  </si>
  <si>
    <t>Türkkep İmza</t>
  </si>
  <si>
    <t>TIM-440</t>
  </si>
  <si>
    <t>Dış İmzacı Seçiminde Dosya Ataması</t>
  </si>
  <si>
    <t>TIM-441</t>
  </si>
  <si>
    <t>Dış İmzacı Yeni Servislerinin Oluşturulması</t>
  </si>
  <si>
    <t>TIM-442</t>
  </si>
  <si>
    <t>Dış Doğrulama İçin Yeni Süreç ID'lerinin Kullanılması</t>
  </si>
  <si>
    <t>TIM-443</t>
  </si>
  <si>
    <t>"Gönderilmeyi Bekleyen Belgeler” Ekranında Gönderilmiş Olan Belgelerin Filtre İle Gizlenebilmesi</t>
  </si>
  <si>
    <t>TÜRKKEP İmza</t>
  </si>
  <si>
    <t>UEP-12</t>
  </si>
  <si>
    <t>VKN’ye ait birden fazla başvuru kontrolü</t>
  </si>
  <si>
    <t>UEP-6</t>
  </si>
  <si>
    <t>CRM&amp;UETS Entegrasyonu</t>
  </si>
  <si>
    <t>UKDS-109</t>
  </si>
  <si>
    <t>Islak imza senaryosu için yeni statü ve düzenlemeler</t>
  </si>
  <si>
    <t>UKDS-112</t>
  </si>
  <si>
    <t>SMS metin içeriğine video linki ve e-devlet login seçeneklerinin eklenmesi</t>
  </si>
  <si>
    <t>UKDS-127</t>
  </si>
  <si>
    <t>Merkezi KEP Rehberi entegrasyonu</t>
  </si>
  <si>
    <t>UKDS-131</t>
  </si>
  <si>
    <t>KİDOS ve KİDOS Entegrasyon sözleşme bitiş tarihlerinin aktarım metoduna eklenmesi</t>
  </si>
  <si>
    <t>UKDS-138</t>
  </si>
  <si>
    <t>WEBİKENTEGRASYON KİDOS ürününe aktif/pasif liste geliştirmesi</t>
  </si>
  <si>
    <t>UKDS-139</t>
  </si>
  <si>
    <t>KİDOS'ta UKDS ile e-İmza Başvuru Seçeneğinin Geliştirmesi</t>
  </si>
  <si>
    <t>UKDS-140</t>
  </si>
  <si>
    <t>WEBİKENTEGRASYON KİDOS ürününe "Kep Kapatma" geliştirmesi</t>
  </si>
  <si>
    <t>UKDS-143</t>
  </si>
  <si>
    <t>Basvuruonay sayfasında loginden önce Pazarlamadan alınacak bilgilendirme görselinin eklenmesi</t>
  </si>
  <si>
    <t>UKDS-148</t>
  </si>
  <si>
    <t>UKDS Ön Başvuru Dokümanı e-Posta ve SMS İçeriğinin Yeni Bağlantı Adresleriyle Güncellenmesi</t>
  </si>
  <si>
    <t>WIK-573</t>
  </si>
  <si>
    <t>Firma çalışanlarına ait KEP delillerinin indirilmesi geliştirmesi</t>
  </si>
  <si>
    <t>WIK-598</t>
  </si>
  <si>
    <t>Belge Raporu ekranının migration sonrası belgeler için de kullanılabilir hale getirilmesi</t>
  </si>
  <si>
    <t>WIK-614</t>
  </si>
  <si>
    <t>KEP İK Sözleşme sürelerinin ve statülerinin tutularak iptal edilen veya süresi dolan organizasyonların girişinin engellenmesi</t>
  </si>
  <si>
    <t>WIK-619</t>
  </si>
  <si>
    <t>Çalışan gruplarının İK gönderilerinde kullanılmasi</t>
  </si>
  <si>
    <t>WIK-625</t>
  </si>
  <si>
    <t>TÜRKÇE İNGİLİZCE DİL DESTEĞİ</t>
  </si>
  <si>
    <t>WIK-626</t>
  </si>
  <si>
    <t>Eşleşmeyenler Alanında Çalışanlar Otomatik Eşleştirilmesi Hk.</t>
  </si>
  <si>
    <t>WIK-628</t>
  </si>
  <si>
    <t xml:space="preserve">Kep İk Özlük İşlemleri Şablon Oluşturma </t>
  </si>
  <si>
    <t>WIK-629</t>
  </si>
  <si>
    <t>Özlük İşlemleri Alıcı Ekleme/Şablon Eşleştirme</t>
  </si>
  <si>
    <t>WIK-630</t>
  </si>
  <si>
    <t>Özlük İşlemleri Gönderim Adımı</t>
  </si>
  <si>
    <t>WIK-631</t>
  </si>
  <si>
    <t>Özlük İşlemleri Robot Yönlendirme ve Listelenmesi</t>
  </si>
  <si>
    <t>WIK-633</t>
  </si>
  <si>
    <t>Çalışan Ekle Ekranında "İptal" Durumundaki Kayıtların Yeniden Kullanıcı Ekleme Sürecine Dahil Edilmesi</t>
  </si>
  <si>
    <t>WIK-634</t>
  </si>
  <si>
    <t xml:space="preserve">Çalışan Ekle Ekranında "İptal" Durumundaki Kayıtların Filtre İle Gizlenmesi </t>
  </si>
  <si>
    <t>WIK-635</t>
  </si>
  <si>
    <t>Duyuru Modülü Gönderimleri İçin Raporlama Seçeneği</t>
  </si>
  <si>
    <t>WIK-637</t>
  </si>
  <si>
    <t xml:space="preserve">Özlük Belgeler Alıcı TCKN Ekleme İşlemi </t>
  </si>
  <si>
    <t>WIK-638</t>
  </si>
  <si>
    <t>Özlük Belgeleri Reddedilen Belgelerin Tekrar Gönderilmesi</t>
  </si>
  <si>
    <t>WIK-639</t>
  </si>
  <si>
    <t>Özlük Belgeleri Alıcı Yükleme Ekranı Açık Rıza ve KVKK Onaylarının Eklenmesi</t>
  </si>
  <si>
    <t>WIK-640</t>
  </si>
  <si>
    <t>Delil Servislerine Erişilmesi</t>
  </si>
  <si>
    <t>KEP İK Bulut</t>
  </si>
  <si>
    <t>WIK-641</t>
  </si>
  <si>
    <t>Belge Raporu Ekranında İndirme</t>
  </si>
  <si>
    <t>WIK-642</t>
  </si>
  <si>
    <t>Rapor Dosyasının Oluşturulması.</t>
  </si>
  <si>
    <t>WIK-643</t>
  </si>
  <si>
    <t>Rapor Dosyasının Teslim edilmesi</t>
  </si>
  <si>
    <t>WIK-644</t>
  </si>
  <si>
    <t xml:space="preserve">Rapor Talebinin Oluşturulması </t>
  </si>
  <si>
    <t>WIK-646</t>
  </si>
  <si>
    <t>Uygulama Kullanıcı Simgesinin Erkek Yerine Cinsiyetsiz Bir Simge İle Değiştirilmesi</t>
  </si>
  <si>
    <t>WIK-649</t>
  </si>
  <si>
    <t>Çalışan Grupları İçin Yetkilendirme Çalışmıyor</t>
  </si>
  <si>
    <t>WIK-651</t>
  </si>
  <si>
    <t>Özlük Belgeleri Yükleme Ekranı Kullanıcı Deneyimi İyileştirmesi</t>
  </si>
  <si>
    <t>WIK-653</t>
  </si>
  <si>
    <t>Silme İşlem Loglarının Tutulması ve Log Listelerinde Sağlanması</t>
  </si>
  <si>
    <t>WIK-654</t>
  </si>
  <si>
    <t>İK Modüllerinde Reddeden Çalışanın Ret Sebebi Açıklama Alanını Doldurmasının Zorunlu Hale Getirilmesi</t>
  </si>
  <si>
    <t>EFT-2148</t>
  </si>
  <si>
    <t xml:space="preserve">e-fatura Schematron Güncellemesi </t>
  </si>
  <si>
    <t>WIK-655</t>
  </si>
  <si>
    <t>Ara yüzdeki Türkçe Metinlerin Tespit Edilmesi</t>
  </si>
  <si>
    <t>KEP-279</t>
  </si>
  <si>
    <t>Java KEP Api Güncellenmesi ile Procenne HSM Desteği Eklenmesi</t>
  </si>
  <si>
    <t>WIK-657</t>
  </si>
  <si>
    <t>Yapılan çevirilerin yerleştirilmesi</t>
  </si>
  <si>
    <t>IEU-189</t>
  </si>
  <si>
    <t>Turkcell Mobil İmza Servisinde SSL Sertifikası Değişimi - 15 Mayıs 2025</t>
  </si>
  <si>
    <t>IEU-187</t>
  </si>
  <si>
    <t>Zaman Damgalı İmzaların Sayılması</t>
  </si>
  <si>
    <t>WIK-659</t>
  </si>
  <si>
    <t>Alınan Özlük Belgelerinin Türkkep Sistemlerinde Saklanması ve e-Saklama Entegrasyonu</t>
  </si>
  <si>
    <t>WIK-656</t>
  </si>
  <si>
    <t>Translate pipe ve önyüz servisinin oluşturulması</t>
  </si>
  <si>
    <t>TIM-438</t>
  </si>
  <si>
    <t>İmza süreci tamamlanmış belgelerin silinmemesi</t>
  </si>
  <si>
    <t>KEP-283</t>
  </si>
  <si>
    <t>Kapalı Hesaba Giriş Yapıldığında Bilgilendirme Sağlanması</t>
  </si>
  <si>
    <t>IEU-188</t>
  </si>
  <si>
    <t>Basit İmzaların Sayılması</t>
  </si>
  <si>
    <t>KEP-284</t>
  </si>
  <si>
    <t>Test Ortamındaki KEP Adreslerinin Yeni Altyapıya Taşınması</t>
  </si>
  <si>
    <t>WIK-663</t>
  </si>
  <si>
    <t>Özlük Belgeleri Alıcı Yükleme Ekranı Açık Rıza ve KVKK Onayı Müşteri Metinlerinin Eklenmesi</t>
  </si>
  <si>
    <t>WIK-662</t>
  </si>
  <si>
    <t>Özlük Belgelerinin KEP İK Sunucusunda Geçici Saklanması</t>
  </si>
  <si>
    <t>WIK-661</t>
  </si>
  <si>
    <t>Ay İçinde Aktif ve Pasif Edilen Çalışanların Durumuna Göre Çalışan Listesinin Güncellenebilmesi</t>
  </si>
  <si>
    <t>WIK-660</t>
  </si>
  <si>
    <t>Ücret Pusulası ve Puantaj Modülleri Yetkilendirme Yapısında Düzenleme</t>
  </si>
  <si>
    <t>WIK-652</t>
  </si>
  <si>
    <t>Özlük Bilgileri Sayfa Karşılaştırma için Gerekli Özlük Servisi-Robot İletişim</t>
  </si>
  <si>
    <t>WIK-648</t>
  </si>
  <si>
    <t>WIK-647</t>
  </si>
  <si>
    <t>Çalışan Ekle ve Çalışanlar Modülleri İçin Kullanıcı Bazlı Yetkilendirme</t>
  </si>
  <si>
    <t>WIK-632</t>
  </si>
  <si>
    <t>Bordro gönderim sürecinde aynı ay içinde tekrar çarşaf bordro eklemeye gerek kalmadan yeni eklenen çalışanlar için eşleşmeyenleri ayrıştırarak yeniden göndermeye imkan sağlaması</t>
  </si>
  <si>
    <t>MYS-765</t>
  </si>
  <si>
    <t>Original Message Id Değerinin Düzenlenmesi</t>
  </si>
  <si>
    <t>KEP-285</t>
  </si>
  <si>
    <t>CRM KEP Hesapları Yönetimi Servis Geliştirmesi</t>
  </si>
  <si>
    <t>KA-1495</t>
  </si>
  <si>
    <t>KEPAssist CRM Entegrasyonu Kullanım Raporu Servisinin Canlı Ortam İçin Hazırlanması</t>
  </si>
  <si>
    <t>KA-1494</t>
  </si>
  <si>
    <t>KA-1479</t>
  </si>
  <si>
    <t>Gelen EYP 1.3 iletilerinin statüsünün güncellenmemesi</t>
  </si>
  <si>
    <t>KA-1465</t>
  </si>
  <si>
    <t>KA-1464</t>
  </si>
  <si>
    <t>Kullanım Raporu Sp'lerinin Hızlandırılması Hk.</t>
  </si>
  <si>
    <t>KA-1459</t>
  </si>
  <si>
    <t>IEU-202</t>
  </si>
  <si>
    <t>CI/CD Kurulumu</t>
  </si>
  <si>
    <t>IEU-201</t>
  </si>
  <si>
    <t>Yeni Geliştirmelerin QA/TEST Ortamına Atılması</t>
  </si>
  <si>
    <t>IEU-200</t>
  </si>
  <si>
    <t xml:space="preserve">Tek Metot ile Tüm İmza Tipleri İçin Doğrulama Sağlanması - verify-controller </t>
  </si>
  <si>
    <t>IEU-199</t>
  </si>
  <si>
    <t>Zaman Damgalı İmza Sayımı - Admin Panel Düzenlemesi ve Raporlama</t>
  </si>
  <si>
    <t>IEU-198</t>
  </si>
  <si>
    <t>Zaman Damgalı İmza Sayımı - VT - İşlem Kayıtlarının Tutulması</t>
  </si>
  <si>
    <t>IEU-197</t>
  </si>
  <si>
    <t>Zaman Damgalı İmza Sayımı - Auth Service İşlem Kayıtları için Metot Hazırlanması</t>
  </si>
  <si>
    <t>IEU-196</t>
  </si>
  <si>
    <t xml:space="preserve">Zaman Damgalı İmza Sayımı - Imza-Client-v2 - Exe ve Jar Güncellemesi </t>
  </si>
  <si>
    <t>IEU-195</t>
  </si>
  <si>
    <t>Zaman Damgalı İmza Sayımı - Signature-Service İmza Upgrade İşleminin Sayılması</t>
  </si>
  <si>
    <t>IEU-194</t>
  </si>
  <si>
    <t>IEU-167</t>
  </si>
  <si>
    <t>MKR Sorgulama Frekansı Değişikliği</t>
  </si>
  <si>
    <t>IEU-161</t>
  </si>
  <si>
    <t>İmzaClient Jar Güncellemesi</t>
  </si>
  <si>
    <t>IEU-156</t>
  </si>
  <si>
    <t>UETS servislerinin bulut olarak da sağlanabilmesi ve servise eklenmesi</t>
  </si>
  <si>
    <t>IEU-150</t>
  </si>
  <si>
    <t>MKR Modülü İçin /api/v1/usage Metoduna Tarih Aralığı Filtreleme Özelliği Eklenmesi (CRM Entegrasyonu)</t>
  </si>
  <si>
    <t>EFT-2159</t>
  </si>
  <si>
    <t>İmza Süresi Bitiş Kullanıcılara Uyarı Gösterilmesi</t>
  </si>
  <si>
    <t>EFT-2158</t>
  </si>
  <si>
    <t>Menü Ağacının Sıralamasının Değiştirilmesi</t>
  </si>
  <si>
    <t>EFT-2157</t>
  </si>
  <si>
    <t>Fatura Ön Eki Hata Uyarısın Düzeltilmesi.</t>
  </si>
  <si>
    <t>EFT-2156</t>
  </si>
  <si>
    <t>Hata Alan Faturaların için Çoklu İşlem Fonksiyonu Eklenmesi</t>
  </si>
  <si>
    <t>EFT-2155</t>
  </si>
  <si>
    <t>Türmob Sorgu Bilgisinin Dashboard Ekranında Düzenlemesi.</t>
  </si>
  <si>
    <t>EFT-2154</t>
  </si>
  <si>
    <t>Test Ortamında Türmob Sorgu Servisinin Kapatılması.</t>
  </si>
  <si>
    <t>EFT-2153</t>
  </si>
  <si>
    <t>Smartcard Bilgilerinin Yeni İmza Client Uygulamasında Saklanması</t>
  </si>
  <si>
    <t>EFT-2092</t>
  </si>
  <si>
    <t>Sözleşme Ve Aktivasyon Kullanılan Setupta .jar Dosyasının Güncellenmesi</t>
  </si>
  <si>
    <t>EFT-2080</t>
  </si>
  <si>
    <t>Gelen Faturalar Modülünde Reddedilen Faturalara Arşive Gönder Özelliği Eklenmesi</t>
  </si>
  <si>
    <t>EDF-757</t>
  </si>
  <si>
    <t>Kapital Firması/ e-Defter Kebir Dosyalarının GİB Sistemlerine Yüklenmemesi için Değişiklik</t>
  </si>
  <si>
    <t>EDF-745</t>
  </si>
  <si>
    <t>Sızma Testi Bulguları</t>
  </si>
  <si>
    <t>EDF-744</t>
  </si>
  <si>
    <t>Portalde Yükleme Araçlar&gt;LUCA Excel Yükleme Modülünde Madde No Kontrolü Ekleme</t>
  </si>
  <si>
    <t>EDF-743</t>
  </si>
  <si>
    <t>Kontratı CST_Contract Tablosunda Bulunmayan Müşterilere Uyarı Metni</t>
  </si>
  <si>
    <t>EDF-731</t>
  </si>
  <si>
    <t>Hizmet Sözleşmesi Bitecek Müşteri İçin E-Defter Ürünlerinin Ekranında Geri Sayım İçeren Uyarı Metninin Eklenmesi</t>
  </si>
  <si>
    <t>CRM-629</t>
  </si>
  <si>
    <t>RezerveKEP metoduna dış servis kullanım senaryosu eklenmesi</t>
  </si>
  <si>
    <t>CRM-628</t>
  </si>
  <si>
    <t>Yüksek boyutlu dosya yükleme hatası</t>
  </si>
  <si>
    <t>CRM-627</t>
  </si>
  <si>
    <t>MERSİS sorgu sonucunda birden fazla münferit yetkili gelmesi</t>
  </si>
  <si>
    <t>CRM-626</t>
  </si>
  <si>
    <t>Servisin test ortamında aktif edilmesi</t>
  </si>
  <si>
    <t>CRM-623</t>
  </si>
  <si>
    <t>MERSİS sorgu sonucunda NACE kodu bilgisinin boş gelmesi</t>
  </si>
  <si>
    <t>CRM-622</t>
  </si>
  <si>
    <t>Teklif onay süreci geliştirilmesi</t>
  </si>
  <si>
    <t>CRM-621</t>
  </si>
  <si>
    <t>KEP Assist modül yenileme akışının kontrol edilmesi</t>
  </si>
  <si>
    <t>CRM-561</t>
  </si>
  <si>
    <t>Multikep Kota Yükleme İşlemleri</t>
  </si>
  <si>
    <t>CRM-552</t>
  </si>
  <si>
    <t>Multikep Müşteri Bilgileri Gönderilirken İşlem Yetkililerinden Kullanıcıların Aktarılması</t>
  </si>
  <si>
    <t>CRM-495</t>
  </si>
  <si>
    <t>Oluşan QR Kodlu Toplu Evrakların Satışçıya/Bayiye İletilmesi</t>
  </si>
  <si>
    <t>EDF-759</t>
  </si>
  <si>
    <t>Defter Portalda İmzalama Sürecinde Client Linkinin Eski Olması</t>
  </si>
  <si>
    <t>MYS-768</t>
  </si>
  <si>
    <t>KW-7</t>
  </si>
  <si>
    <t>Üst Yönetim Raporu - KEP İleti Sayılarının Detaylı Kırılımı</t>
  </si>
  <si>
    <t>KA-1504</t>
  </si>
  <si>
    <t>Detsis No Arama Hatası</t>
  </si>
  <si>
    <t>KA-1503</t>
  </si>
  <si>
    <t>Kullanıcı Yönetimi - Kullanıcı Oluşturma Hatası</t>
  </si>
  <si>
    <t>IEU-207</t>
  </si>
  <si>
    <t>SonarQube Kod Taraması Yapılması</t>
  </si>
  <si>
    <t>IEU-206</t>
  </si>
  <si>
    <t>Kod Gözden Geçirme ve Güvenlik İyileştirmesi (SonarQube Analizi Sonuçlarına Göre)</t>
  </si>
  <si>
    <t>EFT-2165</t>
  </si>
  <si>
    <t>Portalda İrsaliye oluştur Ekranında 'Sevk Saati' Alanı Değişikliği</t>
  </si>
  <si>
    <t>EFT-2167</t>
  </si>
  <si>
    <t>Araştırma/ Şematron Hatalarının Kaynaklarının Tespiti</t>
  </si>
  <si>
    <t>DP-281</t>
  </si>
  <si>
    <t>e-Belge Kullanıcı Listelerinin Dışa Aktarılabilir Hale Getirilmesi</t>
  </si>
  <si>
    <t>DP-280</t>
  </si>
  <si>
    <t>Hizmet İptali Olan Firmalar İçin Veri Teslim Talebi</t>
  </si>
  <si>
    <t>DP-279</t>
  </si>
  <si>
    <t>Yanlış Mühürle İmzalanan Defterin Durumunun Güncellenmesi</t>
  </si>
  <si>
    <t>DP-278</t>
  </si>
  <si>
    <t>Şematron Kontrolünde Kalan Defterin Aktarım Başarılı Durumuna Çekilmesi</t>
  </si>
  <si>
    <t>DP-277</t>
  </si>
  <si>
    <t>Defterin Dönem Kapama Durumuna Geçmemesi Halinde Güncelleme Talebi</t>
  </si>
  <si>
    <t>DP-276</t>
  </si>
  <si>
    <t>Silinen Cari Hesabın Geri Alınma İşleminin Portal Üzerinden Yapılması</t>
  </si>
  <si>
    <t>EDF-761</t>
  </si>
  <si>
    <t>E-Defter Gönderim Sürecindeki Hata ve Sorunların Tespiti</t>
  </si>
  <si>
    <t>IEU-208</t>
  </si>
  <si>
    <t>Metotlardan Dönen Hata Yanıtlarının Düzenlenmesi</t>
  </si>
  <si>
    <t>MU-64</t>
  </si>
  <si>
    <t>Genel Responsive Design Düzenlemesi</t>
  </si>
  <si>
    <t>MU-63</t>
  </si>
  <si>
    <t>Mobil Uygulamada Sayfalar Arası Geçişlerde UX Sorunlarının Giderilmesi</t>
  </si>
  <si>
    <t>MU-62</t>
  </si>
  <si>
    <t>Bazı Mobil Cihazlarda "Şifremi Unuttum" Adımında Yaşanan Hata</t>
  </si>
  <si>
    <t>WIK-670</t>
  </si>
  <si>
    <t>Çalışan Ekle Ekranı Sayfalama Yapısının Sağlanması - Arayüz Çalışması</t>
  </si>
  <si>
    <t>WIK-671</t>
  </si>
  <si>
    <t>Özlük Belgeleri Ekranı Sayfalama Yapısının Sağlanması - Servis Çalışması</t>
  </si>
  <si>
    <t>WIK-666</t>
  </si>
  <si>
    <t>Özlük Belgeleri Ekranı Sayfalama Yapısının Sağlanması - Arayüz Çalışması</t>
  </si>
  <si>
    <t>UKDS-151</t>
  </si>
  <si>
    <t>Çalışan Ekle Modülünde Çok Sayıda Kayıt için Excel'e Aktarma Özelliğinin Performans İyileştirmesi</t>
  </si>
  <si>
    <t>UKDS-152</t>
  </si>
  <si>
    <t>Çalışan Ekle Ekranı Sayfalama Yapısının Sağlanması - Servis Çalışması</t>
  </si>
  <si>
    <t>TIM-447</t>
  </si>
  <si>
    <t>Yatay Belge İçerisinde Logonun Doküman İçerisinde Tam Görünmemesi</t>
  </si>
  <si>
    <t>KEP-286</t>
  </si>
  <si>
    <t>Webmail Delil Doğrulama Servisleri Güncellemesi</t>
  </si>
  <si>
    <t>KEP-287</t>
  </si>
  <si>
    <t>Hesap Kapatma İşlemlerinin JNLP yerine Yeni Client ile Gerçekleştirilmesi</t>
  </si>
  <si>
    <t>UKDS-156</t>
  </si>
  <si>
    <t>KİDOS Özelliklerinin Servis Olarak Sağlanması</t>
  </si>
  <si>
    <t>UKDS-154</t>
  </si>
  <si>
    <t>KİDOS-MERSİS Entegrasyonu</t>
  </si>
  <si>
    <t>DP-282</t>
  </si>
  <si>
    <t>Faturanın Deleted durumunun Y olarak güncellenmesi</t>
  </si>
  <si>
    <t>MU-67</t>
  </si>
  <si>
    <t>Mobil İmza İle KEP Gönderimi</t>
  </si>
  <si>
    <t>IEU-209</t>
  </si>
  <si>
    <t>EYP Parser Metotlarında Hatalı Doğrulama Sonucu Dönmesi</t>
  </si>
  <si>
    <t>EFT-2174</t>
  </si>
  <si>
    <t>“YOLCU BERABER FATURA” Senaryo Kontrolü</t>
  </si>
  <si>
    <t>EFT-2173</t>
  </si>
  <si>
    <t>“TICARIFATURA” Senaryo Kontrolü</t>
  </si>
  <si>
    <t>EFT-2172</t>
  </si>
  <si>
    <t>“TEMELFATURA" Senaryo Kontrolü</t>
  </si>
  <si>
    <t>DP-283</t>
  </si>
  <si>
    <t>Onay işlemleri açılmayan defterin gib kuyruğuna gönderilmesi</t>
  </si>
  <si>
    <t>EDF-764</t>
  </si>
  <si>
    <t>EFT-2192</t>
  </si>
  <si>
    <t>Web Serviste Vergi Oranı Sınırı</t>
  </si>
  <si>
    <t>EFT-2193</t>
  </si>
  <si>
    <t>Konnektör Vergi Oranı Sınırı</t>
  </si>
  <si>
    <t>MYS-771</t>
  </si>
  <si>
    <t>"KEP İleti -&gt; Hatalı Süreçler" Sayfasında Hata Alan İletilere Ait Detay Bilgilerin Gösterilmesi</t>
  </si>
  <si>
    <t>WIK-678</t>
  </si>
  <si>
    <t>Kayıt defterinde Modül Adlarının Doğru Yazılması</t>
  </si>
  <si>
    <t>WIK-675</t>
  </si>
  <si>
    <t>Dönem/Ay Açılışlarında Geçersiz Ek Dönemlerin Açılması.</t>
  </si>
  <si>
    <t>WIK-679</t>
  </si>
  <si>
    <t>Çalışan Ekle ve Özlük Belgeleri işlemlerinin İşlem Kayıt Defterinde Eklenmesi</t>
  </si>
  <si>
    <t>WIK-676</t>
  </si>
  <si>
    <t>Çalışan Ekle ve Özlük Belgeleri Kullanıcı Bazlı Silme İşlemlerinin Loglanması</t>
  </si>
  <si>
    <t>WIK-677</t>
  </si>
  <si>
    <t>Sistem Tarafından Silinen Verinin Loglanması</t>
  </si>
  <si>
    <t>WIK-680</t>
  </si>
  <si>
    <t>Yeni Açılan Dönem/Ay için Hazır Şablon Oluşturulması ve Atanması</t>
  </si>
  <si>
    <t>UKDS-157</t>
  </si>
  <si>
    <t>Firma Ünvanı Uzunluğunun SMS Gönderimini Engellemesi</t>
  </si>
  <si>
    <t>UKDS-155</t>
  </si>
  <si>
    <t>KİDOS ve CRM için MERSİS Entegrasyonu</t>
  </si>
  <si>
    <t>UKDS-144</t>
  </si>
  <si>
    <t>Raporlama servisine entegrasyon servisi ile birlikte gelen yeni tiplerin eklenmesi</t>
  </si>
  <si>
    <t>UKDS-137</t>
  </si>
  <si>
    <t>ENTEGRASYON BIREYSEL/KURUMSAL ve Pazarama tipli başvurularda paket gösterimi+seçimi</t>
  </si>
  <si>
    <t>UKDS-117</t>
  </si>
  <si>
    <t>Entegrasyon UKDS Servis Geliştirmesi</t>
  </si>
  <si>
    <t>TIM-424</t>
  </si>
  <si>
    <t>Filtrelemelerde bug fix</t>
  </si>
  <si>
    <t>TIM-421</t>
  </si>
  <si>
    <t>Mail bildirimi kapalı userların şifre sıfırlama süreci</t>
  </si>
  <si>
    <t>TIM-415</t>
  </si>
  <si>
    <t>e-imza ile girişte enter tuşu ile login olma</t>
  </si>
  <si>
    <t>MU-70</t>
  </si>
  <si>
    <t>Gelen ve Giden kutularında kayıt tekrarlama sorunu</t>
  </si>
  <si>
    <t>MU-69</t>
  </si>
  <si>
    <t xml:space="preserve">e-İmza ile Giriş Özelliğinin Sağlanması </t>
  </si>
  <si>
    <t>MU-68</t>
  </si>
  <si>
    <t>Mobil İmza ile Giriş Özelliğinin Sağlanması</t>
  </si>
  <si>
    <t>KEP-289</t>
  </si>
  <si>
    <t>Webmail Giriş Seçeneğinden Bağımsız Olarak KEP İleti Gönderiminde İstenilen İmzalama Yönetiminin Kullanılması</t>
  </si>
  <si>
    <t>EFT-2191</t>
  </si>
  <si>
    <t>"e-ARŞİV FATURA" Düzenlenme Kontrolü</t>
  </si>
  <si>
    <t>EFT-2190</t>
  </si>
  <si>
    <t>"TEKNOLOJİ DESTEK FATURA TİPİ" Senaryo Kontrolü</t>
  </si>
  <si>
    <t>EFT-2189</t>
  </si>
  <si>
    <t xml:space="preserve"> "ŞARJ ANLIK FATURA TİPİ" Senaryo Kontrolü</t>
  </si>
  <si>
    <t>EFT-2188</t>
  </si>
  <si>
    <t>"ŞARJ FATURA TİPİ" Senaryo Kontrolü</t>
  </si>
  <si>
    <t>EFT-2187</t>
  </si>
  <si>
    <t>"HAL TİPİ SATIŞ FATURA TİPİ" Senaryo Kontrolü</t>
  </si>
  <si>
    <t>EFT-2186</t>
  </si>
  <si>
    <t>"KONAKLAMA VERGİSİ FATURASI" Senaryo Kontrolü</t>
  </si>
  <si>
    <t>EFT-2185</t>
  </si>
  <si>
    <t>"SGK’YA DÜZENLENECEK FATURA TİPİ" Senaryo Tipi</t>
  </si>
  <si>
    <t>EFT-2184</t>
  </si>
  <si>
    <t xml:space="preserve"> "İHRAÇ KAYITLI FATURA TİPİ" Senaryo Kontrolü</t>
  </si>
  <si>
    <t>EFT-2183</t>
  </si>
  <si>
    <t>"ÖZEL MATRAHLI FATURA TİPİ" Senaryo Kontrolü</t>
  </si>
  <si>
    <t>EFT-2182</t>
  </si>
  <si>
    <t>"İSTİSNA FATURA TİPİ" Senaryo Kontrolü</t>
  </si>
  <si>
    <t>EFT-2181</t>
  </si>
  <si>
    <t>"TEVKİFATLI İADE FATURA TİPİ" Senaryo Kontrolü</t>
  </si>
  <si>
    <t>EFT-2180</t>
  </si>
  <si>
    <t>"TEVKİFAT FATURA TİPİ" Senaryo Kontrolü</t>
  </si>
  <si>
    <t>EFT-2179</t>
  </si>
  <si>
    <t>"İADE FATURA TİPİ" Senaryo Kontrolü</t>
  </si>
  <si>
    <t>EFT-2178</t>
  </si>
  <si>
    <t>“İLAC_TIBBİCİHAZ” Senaryo Kontrolü</t>
  </si>
  <si>
    <t>EFT-2177</t>
  </si>
  <si>
    <t>“HAL TİPİ FATURA (HKS)” Senaryo Kontrolü</t>
  </si>
  <si>
    <t>EFT-2176</t>
  </si>
  <si>
    <t>“KAMU”  Senaryo Kontrolü</t>
  </si>
  <si>
    <t>EFT-2175</t>
  </si>
  <si>
    <t>“IHRACAT” Senaryo Kontrolü</t>
  </si>
  <si>
    <t>EDF-765</t>
  </si>
  <si>
    <t>WIK-686</t>
  </si>
  <si>
    <t>Bir Çalışan İçin Birden Fazla Sayfa İçeren PDF Yüklendiğinde Tümünün Tek İleti İle Gönderilebilmesi</t>
  </si>
  <si>
    <t>WIK-685</t>
  </si>
  <si>
    <t>Özlük Belgeleri Yüklemeyi Tamamlayan Kişinin Sonuç Ekranına Yönlendirilmesi</t>
  </si>
  <si>
    <t>WIK-581</t>
  </si>
  <si>
    <t>Çalışanlar modülünde başarısız duyuru gönderim gösterimi</t>
  </si>
  <si>
    <t>WIK-533</t>
  </si>
  <si>
    <t>CRM servis metotları reponse body düzenlemesi</t>
  </si>
  <si>
    <t>WIK-524</t>
  </si>
  <si>
    <t>İmzalamada çıkan progress bar yazısı</t>
  </si>
  <si>
    <t>WIK-513</t>
  </si>
  <si>
    <t>İK gönderim dönemlerinin yüklenmesi konusunda iyileştirme çalışması</t>
  </si>
  <si>
    <t>WIK-510</t>
  </si>
  <si>
    <t xml:space="preserve">CRM metotları için yeni servis geliştirmesi </t>
  </si>
  <si>
    <t>WIK-507</t>
  </si>
  <si>
    <t>Onay/Ret modül düzenlemesi</t>
  </si>
  <si>
    <t>UKDS-160</t>
  </si>
  <si>
    <t>UKDS Süreçlerinde BTK Onayında Bekleyen Kaydın İptal Edilebilmesi</t>
  </si>
  <si>
    <t>UKDS-159</t>
  </si>
  <si>
    <t>E posta Domain Değişikliği</t>
  </si>
  <si>
    <t>UKDS-120</t>
  </si>
  <si>
    <t>Çalışan listesindeki pasif çalışanın "Çalışan Ekle" modülü uyarı popup geliştirmesi</t>
  </si>
  <si>
    <t>UKDS-118</t>
  </si>
  <si>
    <t>Raporlama servisi için KEP İK başvurularında kep adresi bilgisinin de tutulması</t>
  </si>
  <si>
    <t>UKDS-57</t>
  </si>
  <si>
    <t>Mobil tarayıcı pop-up düzenlemesi</t>
  </si>
  <si>
    <t>UKDS-54</t>
  </si>
  <si>
    <t>Mobil uygulama üzerinden erişim için uuid bilgisi listeleme metot geliştirmesi</t>
  </si>
  <si>
    <t>UKDS-50</t>
  </si>
  <si>
    <t>Pazarlama biriminden talep edilen ön yüz tasarımı için geliştirmeler</t>
  </si>
  <si>
    <t>UKDS-49</t>
  </si>
  <si>
    <t>İletişim bilgileri ekranı düzenlemesi</t>
  </si>
  <si>
    <t>UEP-13</t>
  </si>
  <si>
    <t>UEP - Bitiş tarihinin PTT response bodysinden alınması</t>
  </si>
  <si>
    <t>UEP-11</t>
  </si>
  <si>
    <t>UEP - Türkkep logosunun güncellenmesi</t>
  </si>
  <si>
    <t>UEP-9</t>
  </si>
  <si>
    <t>UEP - Yenileme yapılmayan hesaplar için kontrol geliştirmesi</t>
  </si>
  <si>
    <t>UEP-5</t>
  </si>
  <si>
    <t>UEP - Alıcı Referans bilgisinin kaydedilmesi</t>
  </si>
  <si>
    <t>UEP-4</t>
  </si>
  <si>
    <t>UEP - Jenkins'in UETS Portal entegresi</t>
  </si>
  <si>
    <t>UEP-3</t>
  </si>
  <si>
    <t>UEP - UETS API Anahtarı Yenileme Geliştirmesi</t>
  </si>
  <si>
    <t>UEP-2</t>
  </si>
  <si>
    <t>UEP - UETS başvuru portal önyüz geliştirmesi</t>
  </si>
  <si>
    <t>UEP-1</t>
  </si>
  <si>
    <t>UEP - UETS başvuru portal servis geliştirmesi</t>
  </si>
  <si>
    <t>TIM-448</t>
  </si>
  <si>
    <t>MU-75</t>
  </si>
  <si>
    <t>Teslim edilemeyen iletinin giden iletiye ait delil detayında teslim edildi olarak görünmesi</t>
  </si>
  <si>
    <t>MU-74</t>
  </si>
  <si>
    <t>Bildirim Servisi Hata Düzenlemeleri</t>
  </si>
  <si>
    <t>MU-71</t>
  </si>
  <si>
    <t>Bildirimler Ekranı Düzenlemeleri</t>
  </si>
  <si>
    <t>KEP-295</t>
  </si>
  <si>
    <t>Görme Yetkisinin Düzenlenmesi</t>
  </si>
  <si>
    <t>KEP-294</t>
  </si>
  <si>
    <t>Rehber Servis Güncellemesi</t>
  </si>
  <si>
    <t>KEP-293</t>
  </si>
  <si>
    <t>Rehber Sorgulamalarında Kuyruk/Sorgu Çoklama</t>
  </si>
  <si>
    <t>KEP-292</t>
  </si>
  <si>
    <t>UETS bildirimlerinin logunun tutulması ve log kayıtlarının kolay erişilebilir yapıda tutulması</t>
  </si>
  <si>
    <t>KEP-291</t>
  </si>
  <si>
    <t xml:space="preserve">IMAP Sunucu Değişikliği </t>
  </si>
  <si>
    <t>KEP-290</t>
  </si>
  <si>
    <t>Webmail Posta Kutuları Altında Klasör Oluşturulabilmesi</t>
  </si>
  <si>
    <t>IEU-213</t>
  </si>
  <si>
    <t>Crg Service 404 not found hatası - test ortamı</t>
  </si>
  <si>
    <t>IEU-143</t>
  </si>
  <si>
    <t>Güvenlik Bulguları Hk.</t>
  </si>
  <si>
    <t>IEU-141</t>
  </si>
  <si>
    <t>MKR Modülü için kota tanımlamaları</t>
  </si>
  <si>
    <t>EFT-2199</t>
  </si>
  <si>
    <t xml:space="preserve">Nihai Tüketici Kontrolü </t>
  </si>
  <si>
    <t>EFT-2198</t>
  </si>
  <si>
    <t>Portal/ SGK Tipi Faturalarda "Aracı Kurum" Alanının Kaldırılması</t>
  </si>
  <si>
    <t>EDF-767</t>
  </si>
  <si>
    <t>Muvakatname İşlemleri</t>
  </si>
  <si>
    <t>DS-12</t>
  </si>
  <si>
    <t>DETSİS - İsimle kurum arama zorunlu karakter sayısı değişikliği</t>
  </si>
  <si>
    <t>DS-11</t>
  </si>
  <si>
    <t>DETSİS - KEP Asistan uygulaması için kullanıcı tanımlanması</t>
  </si>
  <si>
    <t>DS-9</t>
  </si>
  <si>
    <t>DETSİS - Detsis test servis erişim ayarlamaları</t>
  </si>
  <si>
    <t>DS-8</t>
  </si>
  <si>
    <t>DETSİS servis - KEP Assist erişim tanımlaması</t>
  </si>
  <si>
    <t>DS-7</t>
  </si>
  <si>
    <t>DETSİS - Servis domain adı tanımlanması</t>
  </si>
  <si>
    <t>DS-4</t>
  </si>
  <si>
    <t>DETSİS servis projesinin düzenlenmesi ve canlıya aktarımı</t>
  </si>
  <si>
    <t>DS-3</t>
  </si>
  <si>
    <t>DETSİS - Rest Servis Geliştirilmesi</t>
  </si>
  <si>
    <t>DS-2</t>
  </si>
  <si>
    <t>DETSİS - Veri Tabanının Oluşturulması</t>
  </si>
  <si>
    <t>DAVS-31</t>
  </si>
  <si>
    <t>Yazılım Alt Yapının Hazırlanması</t>
  </si>
  <si>
    <t>Dijital Arşiv ve Saklama</t>
  </si>
  <si>
    <t>DAVS-30</t>
  </si>
  <si>
    <t>Yazılım Geliştirme Ortamının Belirlenmesi</t>
  </si>
  <si>
    <t>DAVS-29</t>
  </si>
  <si>
    <t>Yazılım Alt Yapısının Belirlenmesi</t>
  </si>
  <si>
    <t>DAVS-28</t>
  </si>
  <si>
    <t>Kullanıcı Arayüz Tasarımın Oluşturulması</t>
  </si>
  <si>
    <t>DAVS-27</t>
  </si>
  <si>
    <t>Webservis Tasarımın Oluşturulması</t>
  </si>
  <si>
    <t>DAVS-26</t>
  </si>
  <si>
    <t>Veritabanı Tasarımın Oluşturulması</t>
  </si>
  <si>
    <t>DAVS-25</t>
  </si>
  <si>
    <t>Mimari Tasarımın Oluşturulması</t>
  </si>
  <si>
    <t>CRM-639</t>
  </si>
  <si>
    <t>KEP İK Kullanıcı Yönetim Modülü Entegrasyonu</t>
  </si>
  <si>
    <t>CRM-638</t>
  </si>
  <si>
    <t>Entegrasyon üzerinden gelen başvuruların statü güncellenmesi</t>
  </si>
  <si>
    <t>CRM-637</t>
  </si>
  <si>
    <t>Entegrasyon servisinden KEP hesap başvurusunun iptal edilmesi</t>
  </si>
  <si>
    <t>CRM-636</t>
  </si>
  <si>
    <t>KEP İK Özlük Modülü CRM Entegrasyonu</t>
  </si>
  <si>
    <t>CRM-633</t>
  </si>
  <si>
    <t>E-Ödeme için Tutar alanının güncellenmesi</t>
  </si>
  <si>
    <t>CRM-632</t>
  </si>
  <si>
    <t>Sipariş detayında aktif temsilci bilgisi gelmemesi</t>
  </si>
  <si>
    <t>IEU-218</t>
  </si>
  <si>
    <t xml:space="preserve">HSM ile İmzalama Metotlarında Slot Bilgisinin Parametre Olarak Eklenmesi  </t>
  </si>
  <si>
    <t>IEU-217</t>
  </si>
  <si>
    <t>HSM Üzerinde Tanımlı Olan Sertifikaları Listeleyen token Metodu Geliştirmesi</t>
  </si>
  <si>
    <t>MYS-776</t>
  </si>
  <si>
    <t>MU-101</t>
  </si>
  <si>
    <t>KEP İmzalama Adımında Telefon Numarası Girişinin Pratik Hale Getirilmesi</t>
  </si>
  <si>
    <t>MU-100</t>
  </si>
  <si>
    <t>Giden Kutusunda “Teslim Edilemedi” ve “Reddedildi” Delil Türleri İçin Sebep Açıklaması Gösterimi</t>
  </si>
  <si>
    <t>MU-99</t>
  </si>
  <si>
    <t>Posta Kutularında Kaydırma Konumunu Gösteren Scroll Çubuğu Eklenmesi</t>
  </si>
  <si>
    <t>MU-98</t>
  </si>
  <si>
    <t>Uygulama Genelindeki Diyalog (Pop-up) Tasarımlarının Modernize Edilmesi</t>
  </si>
  <si>
    <t>MU-97</t>
  </si>
  <si>
    <t>Login Ekranında KEP Adresi Listeleme Alanının Modernize Edilmesi</t>
  </si>
  <si>
    <t>MU-96</t>
  </si>
  <si>
    <t>Ek Dosya Açılış Sürecinde Kullanıcıya Yönelik Geri Bildirim Eksikliği</t>
  </si>
  <si>
    <t>MU-95</t>
  </si>
  <si>
    <t>Yüksek Boyutlu İletilerinin Açılma Süresinin İyileştirilmesi</t>
  </si>
  <si>
    <t>MU-94</t>
  </si>
  <si>
    <t xml:space="preserve">rem-address-is-active metodunda sender Parametresinin Tutarsız Değer Döndürmesi </t>
  </si>
  <si>
    <t>MU-93</t>
  </si>
  <si>
    <t>Biometrik Doğrulama ile Giriş Süresinin Artması (v2.0.15 (1) Paketi)</t>
  </si>
  <si>
    <t>MU-92</t>
  </si>
  <si>
    <t>Manuel Açılan Posta Kutularının Görüntülenme ve İsimlendirme Sorunu</t>
  </si>
  <si>
    <t>MU-91</t>
  </si>
  <si>
    <t>Uyarı Diyaloglarındaki Yönlendirme Hatalarının Düzenlenmesi</t>
  </si>
  <si>
    <t>MU-90</t>
  </si>
  <si>
    <t>Hatalı Geçici Parola Girişi Durumunda Yanıltıcı Uyarı Mesajı Gösterimi</t>
  </si>
  <si>
    <t>MU-89</t>
  </si>
  <si>
    <t>Merkezi KEP Rehberi Sorgulamasının Yapılması</t>
  </si>
  <si>
    <t>MU-88</t>
  </si>
  <si>
    <t>Alt Menüdeki 'Gelen Kutusu' ve 'Giden Kutusu' Butonlarına Çoklu Tıklama Sorunu</t>
  </si>
  <si>
    <t>MU-87</t>
  </si>
  <si>
    <t>Posta Kutusu Görüntüleme Sonrası Liste Konumunun Korunması</t>
  </si>
  <si>
    <t>MU-86</t>
  </si>
  <si>
    <t>Webmail Adres Defterinin Mobil Uygulamada Eşzamanlı Kullanılması</t>
  </si>
  <si>
    <t>MU-85</t>
  </si>
  <si>
    <t xml:space="preserve">Posta Kutularındaki İletiler İçin "Yanıtla", "İlet" ve "Sil" İşlevlerinin Sağlanması </t>
  </si>
  <si>
    <t>MU-84</t>
  </si>
  <si>
    <t>Hatalı TCKN veya Şifre Girişinde Kullanıcı Uyarısının Güncellenmesi</t>
  </si>
  <si>
    <t>MU-83</t>
  </si>
  <si>
    <t>KEP Gönderim Ekranında İletinin Gönderimi Sırasında Paket İçeriğine Müdahalenin Engellenmesi</t>
  </si>
  <si>
    <t>MU-82</t>
  </si>
  <si>
    <t>KEP Başvuru Girişi Sonrası Ana Sayfaya Dönüş Sorununun Giderilmesi</t>
  </si>
  <si>
    <t>MU-81</t>
  </si>
  <si>
    <t>KEP İletisi Gönderim Ekranında Alıcı Adresi Doğrulama Kontrolü</t>
  </si>
  <si>
    <t>MU-80</t>
  </si>
  <si>
    <t>İleti Arama Filtreleme Arayüzü Düzenlemesi</t>
  </si>
  <si>
    <t>MU-78</t>
  </si>
  <si>
    <t>Şifre sıfırlama sonrası giriş ekranında etkileşim problemi</t>
  </si>
  <si>
    <t>MU-77</t>
  </si>
  <si>
    <t>Canlı ve Test Ortamında Ulaşılamayan Mobil Servislerin Erişilebilirliğinin Sağlanması</t>
  </si>
  <si>
    <t>MU-76</t>
  </si>
  <si>
    <t>Giden Kutusundan Görüntülenen Mesajlarda 'Geri' Tuşunun Yanlış Ekrana Yönlendirmesi</t>
  </si>
  <si>
    <t>MU-73</t>
  </si>
  <si>
    <t>Posta Kutuları Tasarımsal Düzenleme Hk.</t>
  </si>
  <si>
    <t>KEP-299</t>
  </si>
  <si>
    <t>/ws/evidencelistbyorigmsgid Metodunda Tarih Bilgisinin Dönülmesi</t>
  </si>
  <si>
    <t>KEP-298</t>
  </si>
  <si>
    <t xml:space="preserve">Hesapta Tanımlı Olandan Farklı Bir Telefon Numarası ile Mobil İmzalama Yapılabilmesi </t>
  </si>
  <si>
    <t>KEP-296</t>
  </si>
  <si>
    <t>MKR Sorgusunda Bulunamayan KEP Adresleri için Anlaşılır Uyarı Gösterilmesi</t>
  </si>
  <si>
    <t>DAVS-35</t>
  </si>
  <si>
    <t>Sisteme Giriş Loglarının Tutulması</t>
  </si>
  <si>
    <t>DAVS-34</t>
  </si>
  <si>
    <t xml:space="preserve">Alternatif Giriş Yöntemleri/ Elektronik İmza </t>
  </si>
  <si>
    <t>DAVS-33</t>
  </si>
  <si>
    <t>Alternatif Giriş Yöntemleri/Mobil İmza</t>
  </si>
  <si>
    <t>DAVS-32</t>
  </si>
  <si>
    <t>Kullanıcıların e-Posta/ TCKN ve Parola Bilgisi ile Portala Giriş Yapabilmesi.</t>
  </si>
  <si>
    <t>CRM-642</t>
  </si>
  <si>
    <t>Entegrasyon Suit trafik bilgilerinin kaydedilmesi</t>
  </si>
  <si>
    <t>EFT-2208</t>
  </si>
  <si>
    <t>SAP - Gelen İrsaliyeleri İndir (UUID) Metodunun Sağlanması</t>
  </si>
  <si>
    <t>EFT-2207</t>
  </si>
  <si>
    <t>SAP - Gelen İrsaliyeleri İndir (ZIP UBL) Metodunun Sağlanması</t>
  </si>
  <si>
    <t>EFT-2206</t>
  </si>
  <si>
    <t>SAP - Gelen İrsaliyeleri Listeleyen Metot Sağlanması</t>
  </si>
  <si>
    <t>CRM-649</t>
  </si>
  <si>
    <t>E-Fatura ve E-Arşiv Ürünleri Trafik Bilgileri Detay Görünüm</t>
  </si>
  <si>
    <t>CRM-650</t>
  </si>
  <si>
    <t>Tevkifatlı Fatura Sınırı Güncelleme</t>
  </si>
  <si>
    <t>WIK-689</t>
  </si>
  <si>
    <t>Özlük Belgeleri KVKK Aydınlatma Metinin İçerisinde Ünvanın Sayfa İçerisine Sığmaması</t>
  </si>
  <si>
    <t>MU-105</t>
  </si>
  <si>
    <t>Mobil Uygulamada Cihaz Ekran Boyutlarına Göre Görsel Oran Uyumsuzluklarının Düzenlenmesi</t>
  </si>
  <si>
    <t>MU-104</t>
  </si>
  <si>
    <t>Kurumsal Ön Başvuru Belge Yükleme Alanında Dosya Format Kontrolü ve Galeri Erişimi</t>
  </si>
  <si>
    <t>MU-103</t>
  </si>
  <si>
    <t>Kurumsal Ön Başvuru Belge Yükleme Alanında Yüklenen Belgelerin Anlık Görüntülenmemesi</t>
  </si>
  <si>
    <t>MU-102</t>
  </si>
  <si>
    <t>Ön Başvuru Onaylama Sayfasında Tekrarlı Gönderimlerin Engellenmesi</t>
  </si>
  <si>
    <t>KW-8</t>
  </si>
  <si>
    <t>rem-address-is-active Metodunda "hesapDurum" Değerinin Düzeltilmesi</t>
  </si>
  <si>
    <t>TIM-450</t>
  </si>
  <si>
    <t>Onaylama Adımından Sonra Karekod Doğrulama Kodunun Gelmemesi</t>
  </si>
  <si>
    <t>MU-108</t>
  </si>
  <si>
    <t>Okunmamış İletilerin Okundu Olarak İşaretlenmesi Gerçek Zamanlı Güncellenmiyor</t>
  </si>
  <si>
    <t>MU-107</t>
  </si>
  <si>
    <t>Login İşleminde API 500 Hatası Alındığında Anlaşılır Hata Bildirimi Gösterilmiyor</t>
  </si>
  <si>
    <t>KA-1514</t>
  </si>
  <si>
    <t>Taslaklardan EYP eki silerken alınan hata</t>
  </si>
  <si>
    <t>EFT-2213</t>
  </si>
  <si>
    <t>e-İrsaliye SAP Metotları Test Sürecini Kolaylaştıran Uygulamanın Yazılması</t>
  </si>
  <si>
    <t>EFT-2205</t>
  </si>
  <si>
    <t xml:space="preserve">İlaç Tıbbi Cihaz Teslimlerine İlişkin Fatura Teknik Kılavuzu 1.2 Sürümü Değişiklikleri </t>
  </si>
  <si>
    <t>EDF-771</t>
  </si>
  <si>
    <t>Ayyıldız İmza Şematron Sorunu Çözüm Araştırması</t>
  </si>
  <si>
    <t>DAVS-47</t>
  </si>
  <si>
    <t>"Giden e-İrsaliye Faturalar"ın Listelenmesi</t>
  </si>
  <si>
    <t>DAVS-46</t>
  </si>
  <si>
    <t>"Gelen e-İrsaliye Faturalar"ın Listelenmesi</t>
  </si>
  <si>
    <t>DAVS-45</t>
  </si>
  <si>
    <t>"Gönderilen e-Arşiv Faturaların" Listelenmesi.</t>
  </si>
  <si>
    <t>DAVS-44</t>
  </si>
  <si>
    <t>Fatura Uygulamasından Gelen, Giden ve E-arşiv Faturaların Saklama Uygulamasına Aktarılması için Entegrasyon Servisi Geliştirilmesi</t>
  </si>
  <si>
    <t>DAVS-43</t>
  </si>
  <si>
    <t>"Giden Faturalar” ların Listelenmesi</t>
  </si>
  <si>
    <t>DAVS-42</t>
  </si>
  <si>
    <t>"Gelen Faturalar” ların Listelenmesi</t>
  </si>
  <si>
    <t>DAVS-41</t>
  </si>
  <si>
    <t>Gelişmiş Filtreleme Alanlarının Eklenmesi</t>
  </si>
  <si>
    <t>DAVS-40</t>
  </si>
  <si>
    <t>KEP Uygulamasından Verilerin Alınarak Saklama Uygulamasına Aktarılması için Entegrasyon Servisi Geliştirilmesi</t>
  </si>
  <si>
    <t>DAVS-39</t>
  </si>
  <si>
    <t>Birden Fazla KEP Hesabı Olan Kullanıcının Hesap Seçimi Yapabilmesi ve İlk Adımda Seçim Zorunluluğu</t>
  </si>
  <si>
    <t>DAVS-38</t>
  </si>
  <si>
    <t>"Delil"lerin Listelenmesi</t>
  </si>
  <si>
    <t>DAVS-37</t>
  </si>
  <si>
    <t>"Giden İletiler"in Listelenmesi</t>
  </si>
  <si>
    <t>DAVS-36</t>
  </si>
  <si>
    <t xml:space="preserve">"Gelen İletiler"in Listelenmesi </t>
  </si>
  <si>
    <t>CRM-654</t>
  </si>
  <si>
    <t>E-Defter Uygulamasına Organizasyon ID ve Periyod Bilgisi Gönderimi</t>
  </si>
  <si>
    <t>CRM-653</t>
  </si>
  <si>
    <t>E-Belge Ürünleri için Açılan Görev Kayıtlarının Düzenlenmesi</t>
  </si>
  <si>
    <t>MYS-779</t>
  </si>
  <si>
    <t>Basılı İletilerde Açıklama Alanında Karakter Sınırı Aşıldığında Uygun Uyarı Mesajı Gösterilmemesi</t>
  </si>
  <si>
    <t>MU-114</t>
  </si>
  <si>
    <t>Ön Başvuru Geri Dönüş Akışında 'Doğrulama Kodu Gönder' Butonu Pasif Kalıyor</t>
  </si>
  <si>
    <t>MU-113</t>
  </si>
  <si>
    <t>Ön başvuru Onay Giriş İşleminde API 500 Hatası Alındığında Anlaşılır Hata Bildirimi Gösterilmiyor</t>
  </si>
  <si>
    <t>MU-112</t>
  </si>
  <si>
    <t>Kep İletisi Gönderiminde Parmak İzi Numarasının Kullanıcı Arayüzünde Görüntülenmemesi</t>
  </si>
  <si>
    <t>MU-111</t>
  </si>
  <si>
    <t>Android Target SDK Versiyonunun 35'e Güncellenmesi</t>
  </si>
  <si>
    <t>IEU-229</t>
  </si>
  <si>
    <t xml:space="preserve">Yük Testi Süreçlerinin Gözden Geçirilmesi </t>
  </si>
  <si>
    <t>IEU-228</t>
  </si>
  <si>
    <t xml:space="preserve"> Entegrasyon Suit Servisleri İçin Müşteriye Sunulabilir Standart Metot Dokümanının Oluşturulması</t>
  </si>
  <si>
    <t>IEU-227</t>
  </si>
  <si>
    <t>Araştırma-  api/v1/sign/multi Metodunun Lisans ve Access Token Kontrolleri Açısından İncelenmesi</t>
  </si>
  <si>
    <t>CRM-655</t>
  </si>
  <si>
    <t>E-İrsaliye Ürünü Maliyet Raporu Güncellenmesi</t>
  </si>
  <si>
    <t>CRM-656</t>
  </si>
  <si>
    <t>Sözleşmeler Modülünde Trafik Bilgileri Alanı Gönderi Bilgisi Getir Butonu</t>
  </si>
  <si>
    <t>CRM-657</t>
  </si>
  <si>
    <t>SuggestKEP Metoduna Parametre Eklenmesi</t>
  </si>
  <si>
    <t>CRM-658</t>
  </si>
  <si>
    <t>İptal Durumdaki KEP Adresinin Tekrar Aktif Edilmesi</t>
  </si>
  <si>
    <t>EFT-2215</t>
  </si>
  <si>
    <t>Default İrsaliye Tasarımının Yeni Dinamik Kalem Destekli Şablon ile Güncellenmesi</t>
  </si>
  <si>
    <t>EFT-2214</t>
  </si>
  <si>
    <t>Yolcu Beraber Fatura Senaryosunda KDV Alanının Açılması ve Vergi Muafiyet Kodunun Düzenlenmesi</t>
  </si>
  <si>
    <t>WIK-692</t>
  </si>
  <si>
    <t>Araştırma- Bir Çalışan İçin Birden Fazla Sayfa İçeren PDF Yüklendiğinde Tümünün Tek İleti İle Gönderilebilmesi</t>
  </si>
  <si>
    <t>WIK-693</t>
  </si>
  <si>
    <t>Özlük Belgesi Yükleme Mailin Domain İsim Değişikliği</t>
  </si>
  <si>
    <t>MU-117</t>
  </si>
  <si>
    <t>KEP Ön Başvuru Giriş Uyarı Mesajlarının Tasarıma Uygun Hale Getirilmesi</t>
  </si>
  <si>
    <t>MU-116</t>
  </si>
  <si>
    <t>Bildirim Servisinin İncelenmesi ve Sistem Dokumantasyonu Hazırlanması</t>
  </si>
  <si>
    <t>MU-109</t>
  </si>
  <si>
    <t>Drawer Menü Tasarımı ve Kullanılabilirliği Düzenleme</t>
  </si>
  <si>
    <t>IEU-233</t>
  </si>
  <si>
    <t>tkiletisimbilgisi Parametresinin Swagger Sayfasında Hatalı İsimlendirilmesi</t>
  </si>
  <si>
    <t>CRM-663</t>
  </si>
  <si>
    <t>E-Defter Uygulamasına Tüm Organizasyon ID ve Periyod Bilgisi Gönderimi</t>
  </si>
  <si>
    <t>WIK-696</t>
  </si>
  <si>
    <t>Test Robot Ortamının Kurulması</t>
  </si>
  <si>
    <t>TIM-451</t>
  </si>
  <si>
    <t>Türkkep İmza- Zaman Damgası Değişikliği</t>
  </si>
  <si>
    <t>MYS-785</t>
  </si>
  <si>
    <t>Toplu İşlemler Menüsünün Türkçeleştirilmesi</t>
  </si>
  <si>
    <t>MYS-782</t>
  </si>
  <si>
    <t>KEP ve UETS Servislerinden Gelen İletilerde Takvimleme Mekanizması</t>
  </si>
  <si>
    <t>MU-120</t>
  </si>
  <si>
    <t>Dil Seçim Menüsü için Animasyonlu Tasarım</t>
  </si>
  <si>
    <t>MU-119</t>
  </si>
  <si>
    <t>Boş Posta Kutusu Durumu için Tasarım Değişikliği</t>
  </si>
  <si>
    <t>KA-1517</t>
  </si>
  <si>
    <t>Gelen Kutusu ve Görevlerim Ekranlarına Toplu EYP/EML İndirme Butonu Eklenmesi</t>
  </si>
  <si>
    <t>CRM-661</t>
  </si>
  <si>
    <t>CRM-662</t>
  </si>
  <si>
    <t>Sözleşmeler - Trafik Bilgileri Ekranı Güncelleme</t>
  </si>
  <si>
    <t>CRM-664</t>
  </si>
  <si>
    <t>E-Belge Başarısız Aktivasyon Raporunun İlgili Kişilere İletilmesi</t>
  </si>
  <si>
    <t>WIK-699</t>
  </si>
  <si>
    <t>Duyuru Modülündeki Uyarı Metninin Güncellenmesi ve Tasarım Düzenlemesi</t>
  </si>
  <si>
    <t>WIK-697</t>
  </si>
  <si>
    <t>Tüm "Eminim" Butonlarının "Evet" Olarak Güncellenmesi</t>
  </si>
  <si>
    <t>WIK-698</t>
  </si>
  <si>
    <t>PIN Girişi Eksikliği ve E-İmza Bloke Durumunda Gösterilen Uyarı Mesajlarının Düzenlenmesi</t>
  </si>
  <si>
    <t>WIK-703</t>
  </si>
  <si>
    <t>Birden Fazla TCKN Kontrolü Yapılması</t>
  </si>
  <si>
    <t>WIK-702</t>
  </si>
  <si>
    <t>Yüklenen PDF te Sayfa Sayısı Kontrolü</t>
  </si>
  <si>
    <t>UKDS-163</t>
  </si>
  <si>
    <t>Araştırma- UKDS Toplu Excel Alma İşlemleri için Kuyruk/Asenkron Yapı Önerisi</t>
  </si>
  <si>
    <t>WIK-704</t>
  </si>
  <si>
    <t>Dosya Okunması ve Eşleştirilmesi</t>
  </si>
  <si>
    <t>WIK-701</t>
  </si>
  <si>
    <t>Yükleme Ekranı Geliştirmesi</t>
  </si>
  <si>
    <t>WIK-700</t>
  </si>
  <si>
    <t>Araştırma- DB Partitioning İşleminin Teknik Değerlendirilmesi</t>
  </si>
  <si>
    <t>TIM-452</t>
  </si>
  <si>
    <t>Mobil İmzalama Adımında Türkçe Karakterli Kullanıcı Adı Sorunu Hk</t>
  </si>
  <si>
    <t>MU-110</t>
  </si>
  <si>
    <t>KEP Açılış Ön Başvuru Ekranlarında Tasarımsal ve Kullanılabilirlik Sorunları</t>
  </si>
  <si>
    <t>EFT-2229</t>
  </si>
  <si>
    <t>SAP WS Kılavuz Hazırlanması</t>
  </si>
  <si>
    <t>EFT-2227</t>
  </si>
  <si>
    <t>Konnektör Mail Parametrelerinin OTAdmin ile Yönetilmesi</t>
  </si>
  <si>
    <t>EFT-2226</t>
  </si>
  <si>
    <t>Smartcard Bilgilerinin Tutulduğu Tablodaki Verilerin CRM'e Aktarımı için Metot Hazırlanması</t>
  </si>
  <si>
    <t>EFT-2225</t>
  </si>
  <si>
    <t>SmartCard Bilgilerinin Şifreli (Encrypted) Saklanması</t>
  </si>
  <si>
    <t>EFT-2223</t>
  </si>
  <si>
    <t>9900 TL ve Üzeri Tutarlı Faturalar için Eklenen Kontrollerden TCKN "11111111111" ve Alıcı Adı/Soyadı "Muhtelif Kullancılar" Kontrollerinin Kaldırılması</t>
  </si>
  <si>
    <t>EFT-2218</t>
  </si>
  <si>
    <t>Nihai Tüketici Kontrol Tutarının 9.900TL ve Üzeri Tutarlı Faturalar İçin Yapılması</t>
  </si>
  <si>
    <t>EFT-2217</t>
  </si>
  <si>
    <t>Web Serviste e-Mail Hatalarının Düzelmesi için Regex Kontrolü</t>
  </si>
  <si>
    <t>EFT-2216</t>
  </si>
  <si>
    <t>Projelerin GITLAB Platformuna Taşınması</t>
  </si>
  <si>
    <t>EDF-773</t>
  </si>
  <si>
    <t>Araştırma - Tekrar Denemelerde Her Seferinde Aynı Hatayı Alan Parçaların Sistemin Defter İşlemlerini Aksatmasını Engellemesi</t>
  </si>
  <si>
    <t>DAVS-63</t>
  </si>
  <si>
    <t>Backend Çalışması</t>
  </si>
  <si>
    <t>DAVS-62</t>
  </si>
  <si>
    <t>Arayüz Ön Çalışma</t>
  </si>
  <si>
    <t>DAVS-61</t>
  </si>
  <si>
    <t>Dokümanların Görüntülenmesi</t>
  </si>
  <si>
    <t>DAVS-60</t>
  </si>
  <si>
    <t>Yeni Klasör Oluşturma</t>
  </si>
  <si>
    <t>DAVS-59</t>
  </si>
  <si>
    <t>Yeni Doküman Ekleme</t>
  </si>
  <si>
    <t>DAVS-58</t>
  </si>
  <si>
    <t>Sürükle-bırak Fonksiyonun Sağlanması</t>
  </si>
  <si>
    <t>DAVS-57</t>
  </si>
  <si>
    <t>Klasör ve Dokümanların İndirilmesi</t>
  </si>
  <si>
    <t>DAVS-56</t>
  </si>
  <si>
    <t>Klasör ve Dokümanların Listelenmesi</t>
  </si>
  <si>
    <t>DAVS-55</t>
  </si>
  <si>
    <t>"Giden Faturalar” ların İndirilmesi</t>
  </si>
  <si>
    <t>DAVS-54</t>
  </si>
  <si>
    <t>"Gelen Faturalar” ların İndirilmesi</t>
  </si>
  <si>
    <t>DAVS-53</t>
  </si>
  <si>
    <t>"Gönderilen e-Arşiv Faturaların" İndirilmesi</t>
  </si>
  <si>
    <t>DAVS-52</t>
  </si>
  <si>
    <t>"Giden e-İrsaliye Faturalar"ın İndirilmesi</t>
  </si>
  <si>
    <t>DAVS-51</t>
  </si>
  <si>
    <t>"Gelen e-İrsaliye Faturalar"ın  İndirilmesi</t>
  </si>
  <si>
    <t>DAVS-50</t>
  </si>
  <si>
    <t xml:space="preserve">"Delil"lerin İndirilmesi </t>
  </si>
  <si>
    <t>DAVS-49</t>
  </si>
  <si>
    <t xml:space="preserve">"Giden İleti"lerin İndirilmesi </t>
  </si>
  <si>
    <t>DAVS-48</t>
  </si>
  <si>
    <t>"Gelen İleti"lerin İndirilmesi</t>
  </si>
  <si>
    <t>UKDS-169</t>
  </si>
  <si>
    <t>Başvuru önyüz geliştirmesi</t>
  </si>
  <si>
    <t>UKDS-170</t>
  </si>
  <si>
    <t>Başvuru Servislerinin Geliştirmesi</t>
  </si>
  <si>
    <t>IEU-238</t>
  </si>
  <si>
    <t>UKDS Servislerinin Entegrasyon Suit Üzerinden Sunulması</t>
  </si>
  <si>
    <t>KAN-60</t>
  </si>
  <si>
    <t xml:space="preserve">Test Ortamında Domain Geçiş Hazırlıkları ve Geçiş </t>
  </si>
  <si>
    <t>KEP Asistan</t>
  </si>
  <si>
    <t>KA-1521</t>
  </si>
  <si>
    <t xml:space="preserve">2025-BTA-013 FKM'ne Geçiş Projesi Test Ortamında Domain Geçiş Hazırlıkları ve Geçiş </t>
  </si>
  <si>
    <t>KA-1523</t>
  </si>
  <si>
    <t>Güncelleme Paketi hazırlanması</t>
  </si>
  <si>
    <t>MU-133</t>
  </si>
  <si>
    <t>KEP Gönderme Ekranında Geri Tuşu Uyarı Mekanizması</t>
  </si>
  <si>
    <t>MU-132</t>
  </si>
  <si>
    <t>KEP Gönderme Ekranında Alan Sıralamasının Düzenlenmesi</t>
  </si>
  <si>
    <t>MU-130</t>
  </si>
  <si>
    <t>Android Cihazlarda UKDS Kurumsal Başvuruda JPEG Dosya Yükleme Sorunu</t>
  </si>
  <si>
    <t>MU-129</t>
  </si>
  <si>
    <t>Android Cihazlarda "Firma Çalışanı Değilim" Seçeneğinde Yönlendirme Sorunu</t>
  </si>
  <si>
    <t>MU-122</t>
  </si>
  <si>
    <t>Gelen Kutusunda Okunmayan İletilerin Sayısının Gösterilmesi</t>
  </si>
  <si>
    <t>MYS-787</t>
  </si>
  <si>
    <t>MYS-788</t>
  </si>
  <si>
    <t>Takvimleme Methodu Hata Alma Senaryosu</t>
  </si>
  <si>
    <t>MYS-789</t>
  </si>
  <si>
    <t>CRM-667</t>
  </si>
  <si>
    <t>KEP İleti Sayıları CRM Sistemine Data Aktarımı</t>
  </si>
  <si>
    <t>CRM-668</t>
  </si>
  <si>
    <t>İptal Durumdan Aktif Duruma Alınan KEP IK Hesapları Düzenleme</t>
  </si>
  <si>
    <t>CRM-669</t>
  </si>
  <si>
    <t>İptal Durumdan Aktif Duruma Alınacak KEP IK Hesapları Ek Geliştirme</t>
  </si>
  <si>
    <t>CRM-670</t>
  </si>
  <si>
    <t>Mersis Sorgulama İçin EndPoint Paylaşımı</t>
  </si>
  <si>
    <t>CRM-671</t>
  </si>
  <si>
    <t>Mersis Sorgu Sonucu Ek Geliştirme</t>
  </si>
  <si>
    <t>EFT-2241</t>
  </si>
  <si>
    <t>2025-BTA-013 FKM'ne Geçiş Projesi Test Ortamı Domain Geçiş Hazırlıkları ve Geçiş</t>
  </si>
  <si>
    <t>EFT-2240</t>
  </si>
  <si>
    <t>ERP Bağımlı Konnektör Metotlarında e-Fatura Oluşturmada Zorunlu Olmayan Yeni Alanların Eklenmesi - Aselsan</t>
  </si>
  <si>
    <t>EFT-2237</t>
  </si>
  <si>
    <t>Bağımsız Konnektörde e-Fatura Oluşturmada Zorunlu Olmayan Yeni Alanların Eklenmesi</t>
  </si>
  <si>
    <t>EFT-2236</t>
  </si>
  <si>
    <t>Web Servis Metotlarında e-Fatura Oluşturmada Zorunlu Olmayan Yeni Alanların Eklenmesi - Aselsan</t>
  </si>
  <si>
    <t>EFT-2235</t>
  </si>
  <si>
    <t>Portal Üzerinde e-Fatura Oluşturmada Zorunlu Olmayan Yeni Alanların Eklenmesi - Aselsan</t>
  </si>
  <si>
    <t>EDF-776</t>
  </si>
  <si>
    <t>2025-BTA-013 FKM'ne Geçiş Projesi Test Ortam Domain Geçiş Hazırlıkları ve Geçiş</t>
  </si>
  <si>
    <t>MU-135</t>
  </si>
  <si>
    <t>KEP Gönderme Ekranında “Vazgeç” Aksiyonlarının Hatalı Yönlendirmelere Sebep Olması</t>
  </si>
  <si>
    <t>MU-124</t>
  </si>
  <si>
    <t>Şifremi Unuttum Akışında Geri Tuşu ile Bilgilerin Silinmesi ve Yanlış Ekrana Yönlendirmesi</t>
  </si>
  <si>
    <t>MU-131</t>
  </si>
  <si>
    <t>İmzala ve Gönder Butonuna Çoklu Tıklama ile Mobil İmza Talebinin Tekrarlanması</t>
  </si>
  <si>
    <t>CRM-674</t>
  </si>
  <si>
    <t>Toplu Açılış Excel Aktarım Ek Geliştirme</t>
  </si>
  <si>
    <t>CRM-675</t>
  </si>
  <si>
    <t>Sipariş Detayı Mersis Süreci Münferit Müşteri E-Devlet Onaya Gönderme</t>
  </si>
  <si>
    <t>CRM-676</t>
  </si>
  <si>
    <t>Sipariş Detayı Ekranı Mersis Sorgulama</t>
  </si>
  <si>
    <t>CRM-679</t>
  </si>
  <si>
    <t>Trendyol Projesi Bireysel ve Kurumsal Promosyon Tanımlama</t>
  </si>
  <si>
    <t>CRM-680</t>
  </si>
  <si>
    <t>Trendyol Projesi DIŞ Bireysel ve Kurumsal Promosyon CRM Sisteminde Tanımlama</t>
  </si>
  <si>
    <t>CRM-681</t>
  </si>
  <si>
    <t>Trendyol Projesi Ödeme İşlemi Link Gönderimi</t>
  </si>
  <si>
    <t>MUL-210</t>
  </si>
  <si>
    <t>2025-BTA-013 FKM'ne Geçiş Projesi Test Ortamında Domain Geçiş Hazırlıkları ve Geçiş</t>
  </si>
  <si>
    <t>KIK-153</t>
  </si>
  <si>
    <t>KEP İK YK</t>
  </si>
  <si>
    <t>DS-14</t>
  </si>
  <si>
    <t>2025-BTA-013 FKM'ne Geçiş Projesi Canlı Ortamı Domain Geçiş Hazırlıkları ve Geçiş</t>
  </si>
  <si>
    <t>IEU-244</t>
  </si>
  <si>
    <t>192.168.224.224 Sunucusunda /tkapp Diskinden /tklog Diskine Log Yönlendirmesi</t>
  </si>
  <si>
    <t>EFT-2249</t>
  </si>
  <si>
    <t>e-İrsaliye SAP Servisi Gelen İrsaliyeleri Listele Metodunda Düzenleme</t>
  </si>
  <si>
    <t>EFT-2248</t>
  </si>
  <si>
    <t>e-Arsiv Teknik Kilavuzu V.1.18 ve earsiv paket v1.1_4 İncelemesi</t>
  </si>
  <si>
    <t>EFT-2239</t>
  </si>
  <si>
    <t>Nihai Tüketici İfadesi Kullanım Kuralı</t>
  </si>
  <si>
    <t>EFT-2238</t>
  </si>
  <si>
    <t>Muhtelif Müşteriler İfadesi Kullanım Kuralı</t>
  </si>
  <si>
    <t>EFT-2243</t>
  </si>
  <si>
    <t>MYS-793</t>
  </si>
  <si>
    <t>Gelen İletiler EYP 2.0 Görüntüleme Desteği ve Ek Alanların Gösterimi</t>
  </si>
  <si>
    <t>UKDS-174</t>
  </si>
  <si>
    <t>Mobil İmza Aşamasında Operatör Seçeneklerinin Eklenmesi</t>
  </si>
  <si>
    <t>MYS-795</t>
  </si>
  <si>
    <t>MUL-211</t>
  </si>
  <si>
    <t>MU-142</t>
  </si>
  <si>
    <t>Okunmamış KEP Gönderileri İçin Kırmızı Gösterge (Badge) Tasarımı</t>
  </si>
  <si>
    <t>KIK-155</t>
  </si>
  <si>
    <t>Sub-task</t>
  </si>
  <si>
    <t>KA-1536</t>
  </si>
  <si>
    <t>Sub-Task Veritabanı ve Servis Geliştirmesi Hk.</t>
  </si>
  <si>
    <t>IEU-251</t>
  </si>
  <si>
    <t>EYP 2.0 oluşturma sırasında aciklama parametresi boş bırakıldığında parser hatası oluşuyor</t>
  </si>
  <si>
    <t>ES-302</t>
  </si>
  <si>
    <t>2025-BTA-013 FKM'ne Geçiş Projesi Canlı Ortam Domain Geçiş Hazırlıkları ve Geçiş</t>
  </si>
  <si>
    <t>E-Saklama</t>
  </si>
  <si>
    <t>ES-301</t>
  </si>
  <si>
    <t xml:space="preserve">2025-BTA-013 FKM'ne Geçiş Projesi Test Ortam Domain Geçiş Hazırlıkları ve Geçiş </t>
  </si>
  <si>
    <t>EFT-2260</t>
  </si>
  <si>
    <t>GİB Güncellemesi – Yeni İstisna Kodu (344) için Düzenlemeler</t>
  </si>
  <si>
    <t>EFT-2258</t>
  </si>
  <si>
    <t>Konnektör Bağımsız/ 702 Kodlu İhraç Kayıtlı Faturalarda Değişiklik</t>
  </si>
  <si>
    <t>EFT-2257</t>
  </si>
  <si>
    <t xml:space="preserve">Konnektör Bağımlı/ 702 Kodlu İhraç Kayıtlı Faturalarda Değişiklik </t>
  </si>
  <si>
    <t>EFT-2256</t>
  </si>
  <si>
    <t xml:space="preserve">Portal/ 702 Kodlu İhraç Kayıtlı Faturalarda Değişiklik </t>
  </si>
  <si>
    <t>EFT-2255</t>
  </si>
  <si>
    <t>e- Fatura Paket Güncellemesi</t>
  </si>
  <si>
    <t>EFT-2254</t>
  </si>
  <si>
    <t>GIB Web Servisleri Test ve Doğrulama Süreci</t>
  </si>
  <si>
    <t>EDF-777</t>
  </si>
  <si>
    <t xml:space="preserve">2025-BTA-013 FKM'ne Geçiş Projesi Canlı Ortam Domain Geçiş Hazırlıkları ve Geçiş </t>
  </si>
  <si>
    <t>EDF-774</t>
  </si>
  <si>
    <t xml:space="preserve">Araştırma - İmzalama Sürecinde Defterlerde Yaşanan Hatalar </t>
  </si>
  <si>
    <t>DAVS-137</t>
  </si>
  <si>
    <t>File Service – Klasör İçeriğinin Dosya Tipine Göre Getirme Endpoint'i Geliştirilmesi</t>
  </si>
  <si>
    <t>DAVS-134</t>
  </si>
  <si>
    <t>Dosyaların silinmesi</t>
  </si>
  <si>
    <t>DAVS-133</t>
  </si>
  <si>
    <t>Dosya isminin güncellenmesi</t>
  </si>
  <si>
    <t>DAVS-132</t>
  </si>
  <si>
    <t>File Service – Çöp Kutusundaki Tüm Verileri Kalıcı Silme Endpoint'i Geliştirilmesi</t>
  </si>
  <si>
    <t>DAVS-131</t>
  </si>
  <si>
    <t>File Service – Çöp Kutusundaki Tüm Verileri Geri Taşıma Endpoint'i Geliştirilmesi</t>
  </si>
  <si>
    <t>DAVS-130</t>
  </si>
  <si>
    <t>Uygulama açılış sayfası geliştirilmesi</t>
  </si>
  <si>
    <t>DAVS-129</t>
  </si>
  <si>
    <t>File Service – Çöp kutusunda olan Klasör İçeriğini Getirme Endpoint'i Geliştirilmesi</t>
  </si>
  <si>
    <t>DAVS-128</t>
  </si>
  <si>
    <t>Çöp kutusundaki verilerin tamamen silinmesi</t>
  </si>
  <si>
    <t>DAVS-127</t>
  </si>
  <si>
    <t>Çöp kutusundaki verilerin geri yüklenmesi</t>
  </si>
  <si>
    <t>DAVS-126</t>
  </si>
  <si>
    <t>Çöp Kutusu sayfasındaki verilerin listelenmesi</t>
  </si>
  <si>
    <t>DAVS-125</t>
  </si>
  <si>
    <t>Çöp Kutusu sayfası tasarımsal düzenlemeler</t>
  </si>
  <si>
    <t>DAVS-124</t>
  </si>
  <si>
    <t>User Service – Parola Güncelleme Endpoint'i Geliştirilmesi</t>
  </si>
  <si>
    <t>DAVS-123</t>
  </si>
  <si>
    <t>User Service – Parola Sıfırlama Endpoint'i Geliştirilmesi</t>
  </si>
  <si>
    <t>DAVS-122</t>
  </si>
  <si>
    <t xml:space="preserve">Frontend Geliştirme- Destek Merkezi / SSS </t>
  </si>
  <si>
    <t>DAVS-121</t>
  </si>
  <si>
    <t xml:space="preserve">Frontend Geliştirme- Doğrulama Kodu Giriş Ekranı  </t>
  </si>
  <si>
    <t>DAVS-120</t>
  </si>
  <si>
    <t xml:space="preserve">Frontend Geliştirme- Giriş Sayfası </t>
  </si>
  <si>
    <t>DAVS-116</t>
  </si>
  <si>
    <t>Sayfa içi fonksiyon ve tasarım çalışmaları/Sprint3</t>
  </si>
  <si>
    <t>DAVS-115</t>
  </si>
  <si>
    <t>DAVS-113</t>
  </si>
  <si>
    <t>DAVS-108</t>
  </si>
  <si>
    <t>Invoices Service – E-Fatura Aktarım Durumu Sorgulama Endpoint’inin Geliştirilmesi</t>
  </si>
  <si>
    <t>DAVS-107</t>
  </si>
  <si>
    <t>Invoices Service – E-Fatura Dosyası Gönderme Endpoint’inin Geliştirilmesi</t>
  </si>
  <si>
    <t>DAVS-106</t>
  </si>
  <si>
    <t>Rem Service – KEP Dosya Aktarım Durumu Sorgulama Endpoint’i Geliştirilmesi</t>
  </si>
  <si>
    <t>DAVS-105</t>
  </si>
  <si>
    <t>Rem Service – KEP Üzerinden Dosya Gönderimi Endpoint’i Geliştirilmesi</t>
  </si>
  <si>
    <t>DAVS-101</t>
  </si>
  <si>
    <t>Integrations Service – İrsaliye Kayıtlarını Filtreleme Endpoint’i Geliştirilmesi</t>
  </si>
  <si>
    <t>DAVS-100</t>
  </si>
  <si>
    <t>Integrations Service – İrsaliye Listeleme Endpoint’i Geliştirilmesi</t>
  </si>
  <si>
    <t>DAVS-99</t>
  </si>
  <si>
    <t>Integrations Service – Fatura Kayıtlarını Filtreleme Endpoint’i Geliştirilmesi</t>
  </si>
  <si>
    <t>DAVS-98</t>
  </si>
  <si>
    <t>Integrations Service – Fatura Listeleme Endpoint’i Geliştirilmesi</t>
  </si>
  <si>
    <t>DAVS-97</t>
  </si>
  <si>
    <t>Integrations Service – KEP İletilerini Filtreleme Endpoint’i Geliştirilmesi</t>
  </si>
  <si>
    <t>DAVS-96</t>
  </si>
  <si>
    <t>Integrations Service – KEP İletilerini Listeleme Endpoint’i Geliştirilmesi</t>
  </si>
  <si>
    <t>DAVS-95</t>
  </si>
  <si>
    <t>Integrations Service – KEP Hesaplarını Listeleme Endpoint’i Geliştirilmesi</t>
  </si>
  <si>
    <t>DAVS-94</t>
  </si>
  <si>
    <t>Integrations Service – Entegrasyon Modüllerini Getirme Endpoint’i Geliştirilmesi</t>
  </si>
  <si>
    <t>DAVS-93</t>
  </si>
  <si>
    <t>Document Operations Service – Parçalı Yüklemeyi Tamamlama Endpoint’i Geliştirilmesi</t>
  </si>
  <si>
    <t>DAVS-91</t>
  </si>
  <si>
    <t>Document Operations Service – Dosya Yükleme Endpoint’i Geliştirilmesi</t>
  </si>
  <si>
    <t>DAVS-89</t>
  </si>
  <si>
    <t>File Service – Çöp Kutusu Kalıcı Silme Endpoint'i Geliştirilmesi</t>
  </si>
  <si>
    <t>DAVS-88</t>
  </si>
  <si>
    <t>File Service – Çöp Kutusundan Geri Taşıma Endpoint'i Geliştirilmesi</t>
  </si>
  <si>
    <t>DAVS-86</t>
  </si>
  <si>
    <t>File Service – Dosya İsmini Güncelleme Endpoint'i Geliştirilmesi</t>
  </si>
  <si>
    <t>DAVS-85</t>
  </si>
  <si>
    <t>File Service – Dosya Kopyalama Endpoint'i Geliştirilmesi</t>
  </si>
  <si>
    <t>DAVS-84</t>
  </si>
  <si>
    <t>File Service – Dosya Taşıma Endpoint'i Geliştirilmesi</t>
  </si>
  <si>
    <t>DAVS-83</t>
  </si>
  <si>
    <t>File Service – Dosyayı Çöp Kutusuna Taşıma Endpoint'i Geliştirilmesi</t>
  </si>
  <si>
    <t>DAVS-79</t>
  </si>
  <si>
    <t>File Service – Dosya Arama Endpoint'i Geliştirilmesi</t>
  </si>
  <si>
    <t>DAVS-78</t>
  </si>
  <si>
    <t>File Service – Ana Klasördeki Dosyaları Getirme Endpoint'i Geliştirilmesi</t>
  </si>
  <si>
    <t>DAVS-77</t>
  </si>
  <si>
    <t>File Service – Önerilen Belgeleri Getirme Endpoint'i Geliştirilmesi</t>
  </si>
  <si>
    <t>DAVS-75</t>
  </si>
  <si>
    <t>User Service – OTP Doğrulama ve Token Oluşturma Endpoint'i Geliştirilmesi</t>
  </si>
  <si>
    <t>DAVS-74</t>
  </si>
  <si>
    <t>User Service – Giriş ve OTP Gönderimi Endpoint'i Geliştirilmesi</t>
  </si>
  <si>
    <t>DAVS-73</t>
  </si>
  <si>
    <t>User Service – Organizasyona Ait Kullanıcıları Getirme Endpoint'i Geliştirilmesi</t>
  </si>
  <si>
    <t>DAVS-72</t>
  </si>
  <si>
    <t>User Service – Kullanıcıyı Pasife Çekme Endpoint'i Geliştirilmesi</t>
  </si>
  <si>
    <t>DAVS-71</t>
  </si>
  <si>
    <t>User Service – Kullanıcı Bilgisi Güncelleme Endpoint'i Geliştirilmesi</t>
  </si>
  <si>
    <t>DAVS-70</t>
  </si>
  <si>
    <t>User Service – Yeni Kullanıcı Oluşturma Endpoint'i Geliştirilmesi</t>
  </si>
  <si>
    <t>DAVS-69</t>
  </si>
  <si>
    <t>User Service – Kullanıcının Bilgilerini Getirme Endpoint'i Geliştirilmesi</t>
  </si>
  <si>
    <t>DAVS-68</t>
  </si>
  <si>
    <t>Organization Service – Kota ve Kullanım Bilgisi Getirme Endpoint'i Geliştirilmesi</t>
  </si>
  <si>
    <t>CRM-691</t>
  </si>
  <si>
    <t>Kurumsal KEP Öneri Firma Adı Karakter Sınırı Güncelleme</t>
  </si>
  <si>
    <t>CRM-689</t>
  </si>
  <si>
    <t>Başvuru Formları CRM İçerisinde Güncellenmesi</t>
  </si>
  <si>
    <t>CRM-688</t>
  </si>
  <si>
    <t xml:space="preserve">Müşteriye Askıda Olan Siparişi İçin Hatırlatma </t>
  </si>
  <si>
    <t>CRM-687</t>
  </si>
  <si>
    <t>E-Ödeme Test Sunucusunun Kurulumu</t>
  </si>
  <si>
    <t>CRM-683</t>
  </si>
  <si>
    <t>E-İmza Aktivasyon SMS'nin Türkkep CRM Üzerinden Tetiklenmesi</t>
  </si>
  <si>
    <t>CRM-690</t>
  </si>
  <si>
    <t>Trendyol'dan Gelen Başvuruların Ayrıştırılması</t>
  </si>
  <si>
    <t>KA-1537</t>
  </si>
  <si>
    <t>Uygulamada İngilizce İfadelerin Türkçeleştirilmesi</t>
  </si>
  <si>
    <t>KEP Assist</t>
  </si>
  <si>
    <t>MYS-798</t>
  </si>
  <si>
    <t>MU-146</t>
  </si>
  <si>
    <t>UKDS Giriş Ekranı Alan Gösterimi</t>
  </si>
  <si>
    <t>MU-147</t>
  </si>
  <si>
    <t>UKDS Güncellemeleri Mobil Uygulama Uyumlandırması ve Trendyol Başvuru Süreçleri</t>
  </si>
  <si>
    <t>WIK-713</t>
  </si>
  <si>
    <t>Doğum Tarihi Alanının Tüm Bölgesini Tıklanabilir Olması</t>
  </si>
  <si>
    <t>WIK-715</t>
  </si>
  <si>
    <t>Örnek Excel Formatındaki E-Posta Adresinin Güncellenmesi</t>
  </si>
  <si>
    <t>WIK-716</t>
  </si>
  <si>
    <t>Islak İmza Sürecinde Gösterilen Uyarı Mesajı Kutusunun Boyutunun Küçültülmesi</t>
  </si>
  <si>
    <t>IEU-252</t>
  </si>
  <si>
    <t>EYP 1.3 Dokümana Uygunluk Kapsamında Eksik Kontrollerin Tamamlanması</t>
  </si>
  <si>
    <t>IEU-253</t>
  </si>
  <si>
    <t>EYP 2.0 Dokümana Uygunluk Kapsamında Eksik Kontrollerin Tamamlanması</t>
  </si>
  <si>
    <t>IEU-257</t>
  </si>
  <si>
    <t>Kota hesaplama servisinde bazı hesapların kotası veri tabanına yazılmaması</t>
  </si>
  <si>
    <t>MU-149</t>
  </si>
  <si>
    <t>UKDS Süreç Takibi ve Hata Giderme Çalışmaları</t>
  </si>
  <si>
    <t>EFT-2266</t>
  </si>
  <si>
    <t>Mevcut QR Code Image Alanlarının Kaldırılması – Sadece JavaScript ile Devam Edilmesi</t>
  </si>
  <si>
    <t>EFT-2261</t>
  </si>
  <si>
    <t>Araştırma-Gelen Faturaların Sistem Üzerinde Görünmemesi Durumunun İncelenmesi</t>
  </si>
  <si>
    <t>EFT-2259</t>
  </si>
  <si>
    <t>Web Servis/ 702 Kodlu İhraç Kayıtlı Faturalarda Değişiklik</t>
  </si>
  <si>
    <t>EDF-781</t>
  </si>
  <si>
    <t>Onaylı Defter Silme İşleminde GİB Kontrolü</t>
  </si>
  <si>
    <t>KA-1541</t>
  </si>
  <si>
    <t>OverFrame – AllowedHosts IP Bağımlılığı Sorunu</t>
  </si>
  <si>
    <t>EFT-2270</t>
  </si>
  <si>
    <t>Web Serviste YeniGelenFaturalarıListele Metodu Şahıs Şirketi Bilgileri</t>
  </si>
  <si>
    <t>EFT-2269</t>
  </si>
  <si>
    <t>Web Serviste FaturaGonder Metodu 00 ile Başlayan TaxID Düzeltmesi</t>
  </si>
  <si>
    <t>EFT-2268</t>
  </si>
  <si>
    <t>Konnektör – E-Fatura/İrsaliye Ekranlarında Notlar Alanında Scroll Fonksiyonun Eklenmesi</t>
  </si>
  <si>
    <t>EFT-2267</t>
  </si>
  <si>
    <t>Tüm XSLT’lerde GİB logosu güncellemesi</t>
  </si>
  <si>
    <t>DP-285</t>
  </si>
  <si>
    <t>"Harici Olarak İşaretleme" ve Arşiv Bilgisi Alanlarin Eklenmesi</t>
  </si>
  <si>
    <t>CRM-692</t>
  </si>
  <si>
    <t>Rest Servisinde Kullanılan Zaman Damgası Kullanıcısının Değiştirimesi</t>
  </si>
  <si>
    <t>CRM-693</t>
  </si>
  <si>
    <t>Kurumsal KEP Adresi Öneri Güncelleme</t>
  </si>
  <si>
    <t>CRM-702</t>
  </si>
  <si>
    <t>CRM Sözleşme PDF'i Unvan Uzunlukları ve Adres Formatı</t>
  </si>
  <si>
    <t>CRM-700</t>
  </si>
  <si>
    <t>UKDS Bireysel KEP Kontrol Otomasyonu</t>
  </si>
  <si>
    <t>CRM-701</t>
  </si>
  <si>
    <t>UKDS Kurumsal KEP Kontrol Otomasyonu</t>
  </si>
  <si>
    <t>WIK-717</t>
  </si>
  <si>
    <t>Uygulama İçindeki “KEP Sender” İfadesinin Türkçeleştirilmesi</t>
  </si>
  <si>
    <t>WIK-721</t>
  </si>
  <si>
    <t>İnceleme-Kütüphane Değişliği</t>
  </si>
  <si>
    <t>UKDS-176</t>
  </si>
  <si>
    <t>MU-127</t>
  </si>
  <si>
    <t>Şifremi Unuttum” Ekranında Sayfa Geçişlerinde Oluşan Katmanlama Hatası</t>
  </si>
  <si>
    <t>IEU-262</t>
  </si>
  <si>
    <t>API Entegrasyonu: SBM Firması Yanıtında Türkçe Karakter Kodlama Sorunu (UTF-8)</t>
  </si>
  <si>
    <t>MYS-803</t>
  </si>
  <si>
    <t>İngilizce Metinlerin Türkçeleştirilmesi</t>
  </si>
  <si>
    <t>KA-1547</t>
  </si>
  <si>
    <t>Toplu Dosya İmzalama İşleminde Chrome Performans Sorunu</t>
  </si>
  <si>
    <t>KA-1548</t>
  </si>
  <si>
    <t>Çoklu KEP İletisi Oluşturulduğunda İmzalama Hatası</t>
  </si>
  <si>
    <t>MU-126</t>
  </si>
  <si>
    <t>UKDS Login Ekranında Sayfa Geçişlerinde Görülen Katmanlama Hatası</t>
  </si>
  <si>
    <t>MU-152</t>
  </si>
  <si>
    <t>Deferred Deep Link Entegrasyonu: Teknik Analiz ve MVP Uygulaması</t>
  </si>
  <si>
    <t>MU-153</t>
  </si>
  <si>
    <t>Kullanıcı Davranış Analizi İçin Mobil Uygulama Event'lerinin Entegrasyonu</t>
  </si>
  <si>
    <t>ES-303</t>
  </si>
  <si>
    <t>Yetkilendirme Düzeltmesi</t>
  </si>
  <si>
    <t>EFT-2277</t>
  </si>
  <si>
    <t>EFT-2267 Mevcut default xslt dosyalarının GIB logosunun güncellenmesi</t>
  </si>
  <si>
    <t>EFT-2278</t>
  </si>
  <si>
    <t>e-Fatura portalda parent yapısı için kullanılan imzalamanın set-up güncellemesi</t>
  </si>
  <si>
    <t>EFT-2276</t>
  </si>
  <si>
    <t>Regex Kurallarının Düzenlenmesi</t>
  </si>
  <si>
    <t>IEU-263</t>
  </si>
  <si>
    <t>Entegrasyon Suit - UKDS Servis Uyarılarının Ortaklaştırılması</t>
  </si>
  <si>
    <t>EFT-2281</t>
  </si>
  <si>
    <t>Prod Ortamda Xslt Dosyalarının Script Olması</t>
  </si>
  <si>
    <t>EFT-2279</t>
  </si>
  <si>
    <t>Mail Gönderimlerinin Ortaklaştırılması</t>
  </si>
  <si>
    <t>EFT-2280</t>
  </si>
  <si>
    <t>Kullanıcı Bildirim Stratejisinin Analizi ve Uygulama Bazında Dokümantasyonu</t>
  </si>
  <si>
    <t>EFT-2282</t>
  </si>
  <si>
    <t>SAP Servisleri / Gelenirsliyeindir ve Gelenirsliyelistele Metodlarının İncelenmesi</t>
  </si>
  <si>
    <t>CRM-696</t>
  </si>
  <si>
    <t>E-İmza Siparişleri Ek Düzenleme</t>
  </si>
  <si>
    <t>CRM-712</t>
  </si>
  <si>
    <t>E-Ödeme Linki Gönderiminde Onay Süreci Şartı</t>
  </si>
  <si>
    <t>CRM-708</t>
  </si>
  <si>
    <t>Halkbank Projesi için Statü Kodlarının Eklenmesi</t>
  </si>
  <si>
    <t>CRM-709</t>
  </si>
  <si>
    <t>UKDS Kontrol Otomasyon Raporu</t>
  </si>
  <si>
    <t>CRM-710</t>
  </si>
  <si>
    <t>UKDS Kontrol Otomasyonu Kurumsal KEP Öneri</t>
  </si>
  <si>
    <t>CRM-711</t>
  </si>
  <si>
    <t>MERSİS Sonuç Dokümanı ile CRM Müşteri Ekranı VKN Eşleştirmesi</t>
  </si>
  <si>
    <t>UKDS-180</t>
  </si>
  <si>
    <t>UKDS e- Devlet Onay Linki Süreci İçin Hatırlatma Bildirimleri</t>
  </si>
  <si>
    <t>UKDS</t>
  </si>
  <si>
    <t>WIK-732</t>
  </si>
  <si>
    <t>Araştırma- Kep İK Servisleri İçin DB Partitioning İşleminin Teknik Değerlendirilmesi</t>
  </si>
  <si>
    <t>WIK-724</t>
  </si>
  <si>
    <t>Uyarı Gösteriminde PrimeNG Kütüphanesi Entegrasyonunun Sağlanması</t>
  </si>
  <si>
    <t>WIK-725</t>
  </si>
  <si>
    <t>Toast Mesajlarının Gruplandırmaya Göre Yeniden Düzenlenmesi ve Metinlerin İyileştirilmesi</t>
  </si>
  <si>
    <t>KEP-304</t>
  </si>
  <si>
    <t>KEP Adresi Arama Alanında EYP Görüntüleme Sorunu</t>
  </si>
  <si>
    <t>WIK-731</t>
  </si>
  <si>
    <t>Araştırma- Kullanıcı Yönetimi Ekranı DB Partitioning İşleminin Teknik Değerlendirilmesi</t>
  </si>
  <si>
    <t>WIK-730</t>
  </si>
  <si>
    <t>Araştırma- Duyuru Modülü İçin DB Partitioning İşleminin Teknik Değerlendirilmesi</t>
  </si>
  <si>
    <t>WIK-729</t>
  </si>
  <si>
    <t>Araştırma- Çalışan Ekle Ekranı İçin DB Partitioning İşleminin Teknik Değerlendirilmesi</t>
  </si>
  <si>
    <t>WIK-728</t>
  </si>
  <si>
    <t>Araştırma- Çalışanlar Ekranında DB Partitioning İşleminin Teknik Değerlendirilmesi</t>
  </si>
  <si>
    <t>WIK-727</t>
  </si>
  <si>
    <t>Araştırma- İk Gönderimleri DB Partitioning İşleminin Teknik Değerlendirilmesi</t>
  </si>
  <si>
    <t>WIK-708</t>
  </si>
  <si>
    <t>Araştırma- Anasayfa  DB Partitioning İşleminin Teknik Değerlendirilmesi</t>
  </si>
  <si>
    <t>UKDS-181</t>
  </si>
  <si>
    <t>Kep İK,  Süreçleri İçin Bildirimlerin Ayrıştırılması</t>
  </si>
  <si>
    <t>Uzaktan Kimlik Doğrulama Sistemi</t>
  </si>
  <si>
    <t>MYS-810</t>
  </si>
  <si>
    <t>KEP İletisi İşlemi Sonrası Görev Statüsünün Hatalı Olarak 'Onay Bekliyor'da Kalması</t>
  </si>
  <si>
    <t>MYS-809</t>
  </si>
  <si>
    <t>SEP Entegrasyonu / Durum  Hatası</t>
  </si>
  <si>
    <t>MYS-806</t>
  </si>
  <si>
    <t>Kullanıcı Yorumu Alanına Tooltip ve Grid Genişletme Fonksiyonun Eklenmesi</t>
  </si>
  <si>
    <t>MU-157</t>
  </si>
  <si>
    <t>Uygulama İçi ve Push Notification Fonksiyonun Eklenmesi</t>
  </si>
  <si>
    <t>MU-156</t>
  </si>
  <si>
    <t>Tarih Seçimi Format Hatası: Ayın 10. günü "010" olarak formatlanıyor ve doğrulamayı geçemiyor.</t>
  </si>
  <si>
    <t>MU-155</t>
  </si>
  <si>
    <t>Webmail erişim Kontrolün Eklenmesi</t>
  </si>
  <si>
    <t>MU-141</t>
  </si>
  <si>
    <t>Araştırma-FCM Token Alma Hatası Durumların Araştırılması</t>
  </si>
  <si>
    <t>MU-125</t>
  </si>
  <si>
    <t>_currentMailBoxData Alanının Başlatılmaması Nedeniyle Oluşan Hata</t>
  </si>
  <si>
    <t>KEP-307</t>
  </si>
  <si>
    <t>Yetki Alanlarının Web ve Mobil Uygulamalarda Doğru Çalışmasının Test Edilmesi</t>
  </si>
  <si>
    <t>KEP-306</t>
  </si>
  <si>
    <t>SOAP servislerde "webmail erişim yetkisi" Kontrolünün Mobil Uygulama için Eklenmesi</t>
  </si>
  <si>
    <t>KEP-303</t>
  </si>
  <si>
    <t>Bazı Senaryolarda "Şifremi Unuttum" Adımında Yaşanan Hata</t>
  </si>
  <si>
    <t>KA-1554</t>
  </si>
  <si>
    <t>KEP Assist Gelen Kutusunda EYP 1.3 iletisi görüntülenmek istendiğinde 500 hatası alınıyor ve ekran donuyor</t>
  </si>
  <si>
    <t>DP-284</t>
  </si>
  <si>
    <t>Destek Portal Veritabanı Hostname Geçişi</t>
  </si>
  <si>
    <t>DAVS-176</t>
  </si>
  <si>
    <t>Kullanıcı statüsünün güncellenmesi</t>
  </si>
  <si>
    <t>DAVS-175</t>
  </si>
  <si>
    <t>E-Defter modülü Defter Rapor Berat dokümanının indirilmesi</t>
  </si>
  <si>
    <t>DAVS-174</t>
  </si>
  <si>
    <t>E-Defter modülü sayfasının oluşturulması</t>
  </si>
  <si>
    <t>DAVS-173</t>
  </si>
  <si>
    <t>E-Defter dokümanlarının indirilmesi</t>
  </si>
  <si>
    <t>DAVS-172</t>
  </si>
  <si>
    <t>E-Defter kayıtlarının listelenmesi</t>
  </si>
  <si>
    <t>DAVS-171</t>
  </si>
  <si>
    <t>Kod refactoring çalışması</t>
  </si>
  <si>
    <t>DAVS-168</t>
  </si>
  <si>
    <t>DAVS-166</t>
  </si>
  <si>
    <t>DAVS-165</t>
  </si>
  <si>
    <t>Faz-1 geliştirmeleri için kod refactoring çalışması</t>
  </si>
  <si>
    <t>DAVS-164</t>
  </si>
  <si>
    <t>Servis dokümanının güncellenmesi</t>
  </si>
  <si>
    <t>DAVS-163</t>
  </si>
  <si>
    <t>Entegrasyon modülünün kullanıcı yetkilerine göre erişilmesi - E-Defter</t>
  </si>
  <si>
    <t>DAVS-104</t>
  </si>
  <si>
    <t>Integrations Service – Defter Belgesini Getirme Endpoint’i Geliştirilmesi</t>
  </si>
  <si>
    <t>DAVS-103</t>
  </si>
  <si>
    <t>Integrations Service – Defter Kayıtlarını Filtreleme Endpoint’i Geliştirilmesi</t>
  </si>
  <si>
    <t>DAVS-102</t>
  </si>
  <si>
    <t>Integrations Service – Defter Listeleme Endpoint’i Geliştirilmesi</t>
  </si>
  <si>
    <t>CRM-717</t>
  </si>
  <si>
    <t>CRM Satış Raporundaki Olumsuz Durumlar</t>
  </si>
  <si>
    <t>CRM-716</t>
  </si>
  <si>
    <t>UKDS Şahıs Şirketi Müşteri Tipi Kontrol Otomasyonu</t>
  </si>
  <si>
    <t>CRM-713</t>
  </si>
  <si>
    <t>UKDS'den Gelen Münferit Kayıtlarda Faaliyet Belgesi ve İmza Sirküsü Zorunluluğunun Kaldırılması</t>
  </si>
  <si>
    <t>EFT-2295</t>
  </si>
  <si>
    <t>'0' Başlayan VKN'lerde Excel Aktarım Hatası Hk.</t>
  </si>
  <si>
    <t>EFT-2287</t>
  </si>
  <si>
    <t>140 Sunucusunda "Deleted" Klasörünün Otomatik Temizlenmesi</t>
  </si>
  <si>
    <t>DP-287</t>
  </si>
  <si>
    <t>Template Tablosu İnceleme</t>
  </si>
  <si>
    <t>EDF-785</t>
  </si>
  <si>
    <t>Her Seferinde Aynı Hatayı Alan Parçaların Diğer Defter İşlemlerini Aksatmasının Engellemesi</t>
  </si>
  <si>
    <t>WIK-736</t>
  </si>
  <si>
    <t>KEP İK Delil Raporları Alanında Düzenleme</t>
  </si>
  <si>
    <t>WIK-733</t>
  </si>
  <si>
    <t>Uygulamayı Kullanmadan İptal Eden Müşteriler İçin İptal Süreci Metodu Oluşturulması</t>
  </si>
  <si>
    <t>UKDS-187</t>
  </si>
  <si>
    <t>CRM Üzerinden Açılan UKDS Başvurularında E-Devlet Onayı İçin Hatırlatma Maillerinin Gönderilmesi</t>
  </si>
  <si>
    <t>UKDS-186</t>
  </si>
  <si>
    <t>CRM Süreçlerinde BTK Onayında Bekleyen Kayıtların Otomatik İptali ve “Süresi Geçti” Statüsünün Tanımlanması</t>
  </si>
  <si>
    <t>UKDS-185</t>
  </si>
  <si>
    <t>Paket Seçimi Sonrasında Kullanıcının Ödeme Alanına Yönlendirilmesi ve Ödeme Tamamlanmadan Sürece Devam Edilmemesi</t>
  </si>
  <si>
    <t>UKDS-183</t>
  </si>
  <si>
    <t>Kidos Ekran/ KEP Adres Bilgisi Görüntüleme ve Excel Aktarımı</t>
  </si>
  <si>
    <t>UKDS-182</t>
  </si>
  <si>
    <t>Ek İşler Hk</t>
  </si>
  <si>
    <t>TIM-453</t>
  </si>
  <si>
    <t>E-İmza Girişinde TCKN Tanımlı Olmayan Kullanıcılarda Hata Bildirimi Gösterilmesi</t>
  </si>
  <si>
    <t>SMSGW-11</t>
  </si>
  <si>
    <t>Bakiye Alt Limit Uyarı ve Parametrik Mail Bildirimi</t>
  </si>
  <si>
    <t>Türkkep SMS GW</t>
  </si>
  <si>
    <t>MYS-815</t>
  </si>
  <si>
    <t>BPA_LST_ATTRIBUTEVALUES_SP</t>
  </si>
  <si>
    <t>MU-168</t>
  </si>
  <si>
    <t>"Şifremi Unuttum" Ekranında KEP Adresi, TCKN ve GSM Alanlarında Format Doğrulaması (Regex Kontrolü) Eksikliği</t>
  </si>
  <si>
    <t>MU-167</t>
  </si>
  <si>
    <t>Posta Kutularında (Inbox) Aşağı Kaydırma Yapıldığında Eski İletiler Yavaş Yükleniyor</t>
  </si>
  <si>
    <t>MU-164</t>
  </si>
  <si>
    <t>Android için Debug Apk Oluşturulması</t>
  </si>
  <si>
    <t>MU-162</t>
  </si>
  <si>
    <t>Face ID (yüz tanıma) ile girişte “Bağlantı sorunu oluştu” hatası</t>
  </si>
  <si>
    <t>MU-160</t>
  </si>
  <si>
    <t>Ayarlar Şifre Değiştirme</t>
  </si>
  <si>
    <t>MU-159</t>
  </si>
  <si>
    <t>App Rate Pop-up Eklenmesi</t>
  </si>
  <si>
    <t>KEP-308</t>
  </si>
  <si>
    <t>SOAP servislerde "görme yetkisi" Kontrolünün Mobil Uygulama için Eklenmesi</t>
  </si>
  <si>
    <t>KA-1559</t>
  </si>
  <si>
    <t>Sub-Task Veri Modelleri ve İşlem Akışı Hk.</t>
  </si>
  <si>
    <t>KA-1556</t>
  </si>
  <si>
    <t xml:space="preserve">Hesap Hata Takibi </t>
  </si>
  <si>
    <t>KA-1555</t>
  </si>
  <si>
    <t>KEP Assist Otomatik Yanıt Süreç Hatası</t>
  </si>
  <si>
    <t>IEU-273</t>
  </si>
  <si>
    <t>EYP Parser v20 – Alan Eksiklikleri ve Boş Response Sorunları</t>
  </si>
  <si>
    <t>IEU-272</t>
  </si>
  <si>
    <t>EYP Parser v13 – Alan Eksiklikleri ve Boş Response Sorunları</t>
  </si>
  <si>
    <t>IEU-264</t>
  </si>
  <si>
    <t>Entegrasyon Suit - UKDS Web Servis Entegrasyonunun Teknik Dokümantasyonunun Hazırlanması</t>
  </si>
  <si>
    <t>IEU-258</t>
  </si>
  <si>
    <t>İnceleme/ e-Güven İmza Test API’si İncelemesi ve Olası Değişiklik Senaryolarının Değerlendirilmesi</t>
  </si>
  <si>
    <t>EFT-2296</t>
  </si>
  <si>
    <t>Gelen Fatura Kalemleri Raporunda PartyName Alanı Yoksa Fatura Kalemi Eklenememesi</t>
  </si>
  <si>
    <t>EFT-2290</t>
  </si>
  <si>
    <t>GİB Sicil Servis Testi ile e-Belge Hizmet İptali</t>
  </si>
  <si>
    <t>EFT-2289</t>
  </si>
  <si>
    <t>Gelen Fatura için Otomatik İade Faturası Oluşturma Butonu Eklenmesi</t>
  </si>
  <si>
    <t>EFT-2288</t>
  </si>
  <si>
    <t>Fatura Takibi için Okundu-Okunmadı Özelliği Eklenmesi</t>
  </si>
  <si>
    <t>DAVS-170</t>
  </si>
  <si>
    <t>CRM-727</t>
  </si>
  <si>
    <t>Sanal Pos Ödeme Limiti Güncellemesi</t>
  </si>
  <si>
    <t>CRM-726</t>
  </si>
  <si>
    <t>Form Kayıtlarının CRM’de Potansiyel Müşteri Olarak Oluşturulması</t>
  </si>
  <si>
    <t>CRM-725</t>
  </si>
  <si>
    <t>Kısmı İade Fatura Kaydı</t>
  </si>
  <si>
    <t>CRM-724</t>
  </si>
  <si>
    <t>KIDOS Kayıtlarında MERSİS Sorgu Dokümanı Ekleme Hatası</t>
  </si>
  <si>
    <t>CRM-721</t>
  </si>
  <si>
    <t>KEP IK KKB Belgesi (PDF) Üretimi</t>
  </si>
  <si>
    <t>CRM-720</t>
  </si>
  <si>
    <t>Ödeme Öncelikli Sipariş Yönetimi</t>
  </si>
  <si>
    <t>CRM-719</t>
  </si>
  <si>
    <t>Bireysel ve Kurumsal KEP Sözleşmelerinde(PDF) Eklenecek Bilgiler</t>
  </si>
  <si>
    <t>CRM-705</t>
  </si>
  <si>
    <t>İptal Siparişler Ek Düzenleme</t>
  </si>
  <si>
    <t>MU-158</t>
  </si>
  <si>
    <t>Şifre Unuttum Ekranlarının Tasarımlarının Güncellenmesi</t>
  </si>
  <si>
    <t>IEU-245</t>
  </si>
  <si>
    <t>EYP-Service için Teknik Rehbere Göre EYP 1.3 ve 2.0 Testlerinin Gerçekleştirilmesi</t>
  </si>
  <si>
    <t>IEU-246</t>
  </si>
  <si>
    <t>timestamp-controller Altındaki Metotlara CloudApiHost Alanının Eklenmesi ve API-Access Token Kontrollü Erişim</t>
  </si>
  <si>
    <t>IEU-247</t>
  </si>
  <si>
    <t>Servisteki Hataların Dokümantasyonu</t>
  </si>
  <si>
    <t>KAN-63</t>
  </si>
  <si>
    <t>KA-1530</t>
  </si>
  <si>
    <t>KA-1531</t>
  </si>
  <si>
    <t>KA-1533</t>
  </si>
  <si>
    <t>KA-1532</t>
  </si>
  <si>
    <t>MU-137</t>
  </si>
  <si>
    <t>Kep Gönderimi – İleti Tipi Seçimini BottomSheet ile Göster</t>
  </si>
  <si>
    <t>MU-136</t>
  </si>
  <si>
    <t>Şifremi Unuttum – İnternet Yok Uyarısı</t>
  </si>
  <si>
    <t>MU-139</t>
  </si>
  <si>
    <t>Kep Gönderimden Sonra Giden Kutusu Otomatik Açılması</t>
  </si>
  <si>
    <t>MU-140</t>
  </si>
  <si>
    <t>SMS Doğrulama/ Kod Silindiğin Butonun Pasif Olması</t>
  </si>
  <si>
    <t>MU-143</t>
  </si>
  <si>
    <t>"İleti Detayı (Barkod)" Alanına Bilgilendirme Eklenmesi</t>
  </si>
  <si>
    <t>CRM-682</t>
  </si>
  <si>
    <t>E-Belge Entegrasyon Yönetimi Alanı Düzenleme</t>
  </si>
  <si>
    <t>CRM-677</t>
  </si>
  <si>
    <t>Ent. Suit Yenileme ve Modül Yenileme Akışının Düzenlenmesi</t>
  </si>
  <si>
    <t>UKDS-172</t>
  </si>
  <si>
    <t>getApplicationsByMobile API’sine Yeni Parametrelerin Eklenmesi</t>
  </si>
  <si>
    <t>KEP-302</t>
  </si>
  <si>
    <t>e-Güven İmzalama API Testi</t>
  </si>
  <si>
    <t>Project Name</t>
  </si>
  <si>
    <t>Canlıya Alma (E/H)</t>
  </si>
  <si>
    <t>Story Point</t>
  </si>
  <si>
    <t>x</t>
  </si>
  <si>
    <t>(Tümü)</t>
  </si>
  <si>
    <t>Development</t>
  </si>
  <si>
    <t>EFT-2301</t>
  </si>
  <si>
    <t>Pasif Olan Kullanıcılara Bildirim Maillerinin Gönderilmemesi</t>
  </si>
  <si>
    <t>EFT-2300</t>
  </si>
  <si>
    <t>GİB - e-Arşiv Paket Güncellemesi</t>
  </si>
  <si>
    <t>EFT-2299</t>
  </si>
  <si>
    <t>GİB - e-Fatura Paketi Güncelleme</t>
  </si>
  <si>
    <t>EFT-2298</t>
  </si>
  <si>
    <t>EFT-2297</t>
  </si>
  <si>
    <t>EFT-2275</t>
  </si>
  <si>
    <t>e- Belge “GIB” Ön Ek Düzenlemeleri</t>
  </si>
  <si>
    <t>EDF-789</t>
  </si>
  <si>
    <t>Şifre Hatırlat Link Düzeltmesi</t>
  </si>
  <si>
    <t>EDF-788</t>
  </si>
  <si>
    <t>Araştırma - e-Envanter Defterinin e-Defter Altında Konumlandırılması</t>
  </si>
  <si>
    <t>Kasım 2024'ten İtibaren Toplam Değerler</t>
  </si>
  <si>
    <t>Tamamlanan Sprint Değerleri</t>
  </si>
  <si>
    <t>Ürünler</t>
  </si>
  <si>
    <t>Tamamlanan İş Adetleri</t>
  </si>
  <si>
    <t xml:space="preserve"> Product Backlog Eritme oranı</t>
  </si>
  <si>
    <t>Tamamlanan Sprint Perf. Oranı</t>
  </si>
  <si>
    <t>Tamamlanan Sprint içinde Üzerinde Çalışılan Bug Adedi</t>
  </si>
  <si>
    <t>Chatbot Webhook Güvenlik Servisi Geliştirmesi</t>
  </si>
  <si>
    <t>YZCK-17</t>
  </si>
  <si>
    <t>Yapay Zeka Destekli Çağrı Karşılama</t>
  </si>
  <si>
    <t>Chatbot Mobil Uygulama FrontEnd Geliştirme</t>
  </si>
  <si>
    <t>YZCK-16</t>
  </si>
  <si>
    <t>Araştırma-Max Iteration Hatası – Agent Döngü Problemi ve Çözüm Uygulamaları</t>
  </si>
  <si>
    <t>YZCK-15</t>
  </si>
  <si>
    <t>Chat History Workflow ve PostgreSQL Entegrasyonu</t>
  </si>
  <si>
    <t>YZCK-10</t>
  </si>
  <si>
    <t>Vectorel Veri Tabanında Q&amp;A Verilerinin Artırılması</t>
  </si>
  <si>
    <t>YZCK-9</t>
  </si>
  <si>
    <t>Excelde Bulunan Linklerin Clickable Olması</t>
  </si>
  <si>
    <t>YZCK-8</t>
  </si>
  <si>
    <t>Chatbot Frontend Geliştirme Yaklaşımı İçin Teknik Araştırma</t>
  </si>
  <si>
    <t>YZCK-7</t>
  </si>
  <si>
    <t>Promptta Bulunmayan Verilerin Hata Mesajı Düzeltmesi</t>
  </si>
  <si>
    <t>YZCK-6</t>
  </si>
  <si>
    <t>Çağrı Merkezi Senaryolarının Database Node (Qdrant)' a Eklenmesi</t>
  </si>
  <si>
    <t>YZCK-5</t>
  </si>
  <si>
    <t>WIK-627</t>
  </si>
  <si>
    <t>WIK-621</t>
  </si>
  <si>
    <t>WIK-612</t>
  </si>
  <si>
    <t>UKDS-165</t>
  </si>
  <si>
    <t>UKDS-122</t>
  </si>
  <si>
    <t>MYS-816</t>
  </si>
  <si>
    <t>MYS-732</t>
  </si>
  <si>
    <t>MYS-731</t>
  </si>
  <si>
    <t>MYS-727</t>
  </si>
  <si>
    <t>MUL-194</t>
  </si>
  <si>
    <t>MUL-193</t>
  </si>
  <si>
    <t>MUL-191</t>
  </si>
  <si>
    <t>MUL-185</t>
  </si>
  <si>
    <t>MUL-182</t>
  </si>
  <si>
    <t>MUL-181</t>
  </si>
  <si>
    <t>MUL-177</t>
  </si>
  <si>
    <t>MUL-84</t>
  </si>
  <si>
    <t>MU-174</t>
  </si>
  <si>
    <t>MU-173</t>
  </si>
  <si>
    <t>MU-172</t>
  </si>
  <si>
    <t>MU-171</t>
  </si>
  <si>
    <t>MU-170</t>
  </si>
  <si>
    <t>MU-169</t>
  </si>
  <si>
    <t>MU-128</t>
  </si>
  <si>
    <t>MU-123</t>
  </si>
  <si>
    <t>KEP-169</t>
  </si>
  <si>
    <t>KEP-104</t>
  </si>
  <si>
    <t>KA-1562</t>
  </si>
  <si>
    <t>KA-1546</t>
  </si>
  <si>
    <t>KA-1529</t>
  </si>
  <si>
    <t>IEU-281</t>
  </si>
  <si>
    <t>IEU-279</t>
  </si>
  <si>
    <t>IEU-277</t>
  </si>
  <si>
    <t>IEU-243</t>
  </si>
  <si>
    <t>IEU-242</t>
  </si>
  <si>
    <t>IEU-237</t>
  </si>
  <si>
    <t>IEU-118</t>
  </si>
  <si>
    <t>IEU-108</t>
  </si>
  <si>
    <t>EFT-2308</t>
  </si>
  <si>
    <t>EFT-2067</t>
  </si>
  <si>
    <t>EFT-2055</t>
  </si>
  <si>
    <t>EFT-2022</t>
  </si>
  <si>
    <t>EFT-1996</t>
  </si>
  <si>
    <t>EDF-791</t>
  </si>
  <si>
    <t>EDF-738</t>
  </si>
  <si>
    <t>EDF-737</t>
  </si>
  <si>
    <t>EDF-735</t>
  </si>
  <si>
    <t>EDF-701</t>
  </si>
  <si>
    <t>DP-274</t>
  </si>
  <si>
    <t>DP-265</t>
  </si>
  <si>
    <t>DP-264</t>
  </si>
  <si>
    <t>DP-263</t>
  </si>
  <si>
    <t>DP-261</t>
  </si>
  <si>
    <t>DP-260</t>
  </si>
  <si>
    <t>DP-259</t>
  </si>
  <si>
    <t>DP-258</t>
  </si>
  <si>
    <t>DP-253</t>
  </si>
  <si>
    <t>CRM-539</t>
  </si>
  <si>
    <t>CRM-523</t>
  </si>
  <si>
    <t>CRM-522</t>
  </si>
  <si>
    <t>CRM-516</t>
  </si>
  <si>
    <t>TEST</t>
  </si>
  <si>
    <t>Kardekod logo ayar ekranı konumların kayması hk.</t>
  </si>
  <si>
    <t>Karekod görsel sorunu</t>
  </si>
  <si>
    <t>Duyuru modülü Taslakların güncellenmemesi</t>
  </si>
  <si>
    <t>Çalışan Ekle Toplu İşlemlerde Paging Sorunu Hk</t>
  </si>
  <si>
    <t>KİDOS Kurumsal başvurularda VKN hatası</t>
  </si>
  <si>
    <t xml:space="preserve">MYS(agesa) Görevler Toplu İşlemler Alanında SEP İletileri İçin Toplu Aksiyon Butonları Çalışmıyor </t>
  </si>
  <si>
    <t>SEP İletisi Gönderme Hatası</t>
  </si>
  <si>
    <t>EYP'lerin Taslaklara Kopyalanma Hatası</t>
  </si>
  <si>
    <t>Basılı İleti -&gt; Taslaklar Ekranında Silme İşlemi Sırasında Hata ve Uyarılar</t>
  </si>
  <si>
    <t>Toplu Alıcı Ekleme/Kaydetme Hk.</t>
  </si>
  <si>
    <t>Test Servisleri Genel Test Bulguları-2</t>
  </si>
  <si>
    <t>Test Servisleri Genel Test Bulguları</t>
  </si>
  <si>
    <t>Doküman Kişiselleştir Hatası</t>
  </si>
  <si>
    <t>İTO 65K'lık belge yükleme sonrası oluşan hata</t>
  </si>
  <si>
    <t>MKR yüksek ölçekli dosyaların indirilmesinde hata</t>
  </si>
  <si>
    <t>Daha önce silinen belgelerin başka bir belge yüklerken tekrar listelenmesi</t>
  </si>
  <si>
    <t>Kep iletisi içerik alanındaki metinlerin webmail'den görüntülenme düzenlemesi</t>
  </si>
  <si>
    <t xml:space="preserve">KEP Mobil Uygulama HTML İçerik Sorunu </t>
  </si>
  <si>
    <t>Yanlış Posta Kutusunda Görünüyor (Gelen Kutusu İken Giden Kutusu Yazıyor)</t>
  </si>
  <si>
    <t>Tarih Seçim Bileşeninde Geri Tuşu Kullanımı: Gün Görünümünden Ay Görünümüne Dönülmüyor, Direkt Yıla Atlıyor</t>
  </si>
  <si>
    <t>UKDS Başvurusu Onayında Akış Kesintisi: "Hayır İptal Etme" Seçeneği Uygulamadan Atıyor (Logout)</t>
  </si>
  <si>
    <t>Android'de Uygulama İlk Kez Açılırken Bildirim İzni İsteği İki Kez Görünüyor (Reddetmeye Rağmen)</t>
  </si>
  <si>
    <t>Oturum Kapatma (Logout) Sonrası Giriş Ekranında Biyometrik Kimlik Doğrulama Otomatik Tetiklenmiyor</t>
  </si>
  <si>
    <t>Cihazlarda FCM Token Alma Sürecinde Zaman Zaman Oluşan Hata</t>
  </si>
  <si>
    <t>OTP Doğrulama Alanında Silinen Kod Sonrası "Doğrula" Butonunun Aktif Kalması</t>
  </si>
  <si>
    <t>EYP İndirme Sorunu</t>
  </si>
  <si>
    <t>Desteği Olmayan Web Sunucu Uygulaması</t>
  </si>
  <si>
    <t>Bazı KEP Adreslerinden Gelen İletilerin Ekleri gözükmemektedir.</t>
  </si>
  <si>
    <t>Toplu İmza Sürecinde Sıra Atlama ve FaultException Hatası</t>
  </si>
  <si>
    <t>İmzalanan iletilerde "İmzalayanlar" alanında yanlış isim bilgisi görünmesi</t>
  </si>
  <si>
    <t>INT-SUITE Ortamında Bellek Tüketimi Artışı araştırması</t>
  </si>
  <si>
    <t>KEP Hesaplarında Onay Sürecindeki Login Hatası</t>
  </si>
  <si>
    <t>Servisde Listeleme Sorunu: İletilerin Eksik Görüntülenmesi</t>
  </si>
  <si>
    <t>EYP 2.0 Formatındaki Dosyanın Parse Edilirken Hata Alınması</t>
  </si>
  <si>
    <t>-	EYP 1.3’te gerçek kişi oluştururken hata alınması</t>
  </si>
  <si>
    <t>HSM İmzalamalardaki Hatalar</t>
  </si>
  <si>
    <t>Mutabakat metodunda gelen ileti adetlerinin sorgu sonucuna yansıtılamaması</t>
  </si>
  <si>
    <t>Yüksek boyutlu KEP iletisi oluşturma hatası hakkında</t>
  </si>
  <si>
    <t>e-Arşiv ve e-Fatura Gönderilen Faturalar Sayfalarından 'e-Posta Gönder' Butonunun Kaldırılması</t>
  </si>
  <si>
    <t>Konnektörde Seçilen Faturanın Mail Olarak Gönderilememesi</t>
  </si>
  <si>
    <t>E-Fatura Portal Hizmet Sözleşmesi Alanında Belge Yükleme Limit Kaldırılması</t>
  </si>
  <si>
    <t xml:space="preserve">Konnektörde İrsaliye Oluşturma Ekranında “Cari Seç” ve “Ürün Seç” Butonlarının Kısayollarında ki Hata Hk. </t>
  </si>
  <si>
    <t xml:space="preserve">Portalde Fatura Girişte 'Hesaplanan KDV' değeri ile Fatura Kesildikten Sonra ki 'Hesaplanan KDV' Değeri Arasında ki Fark </t>
  </si>
  <si>
    <t>Ondalık Birim Nokta Olduğu Defter XML'lerinin Düzeltilmesi</t>
  </si>
  <si>
    <t>Scheduler Servis İyileştirmesi</t>
  </si>
  <si>
    <t>Veritabanında Open Transaction Uyarısı Hk.</t>
  </si>
  <si>
    <t>Bloke Olan Kullanıcı 'Şifre Hatırlat' Butonuna Tıkladığında Ekranda Uyarı Mesajı</t>
  </si>
  <si>
    <t xml:space="preserve">Defter Raporu Kuyrukta Bekleme Sorunu </t>
  </si>
  <si>
    <t>KEP-Assist Kep İmza İşlemleri</t>
  </si>
  <si>
    <t>Gönderilen E-Fatura ve E-İrsaliye'de 1163 Olup İçinde 2004 Durumlu Zarf Olanlarda Hata Alması</t>
  </si>
  <si>
    <t>E-Fatura&gt;İptal Firma Modülü Timeout Hata</t>
  </si>
  <si>
    <t>E-Fatura Modülünde Toplu Zarf Sorgulama Ebasebulka İşlem Yapılamaması</t>
  </si>
  <si>
    <t>Gönderilen Faturalarda 1163 Faturaların Zarf Kontrolde 1000 Durumuna Gelmesi</t>
  </si>
  <si>
    <t xml:space="preserve">E-Fatura&gt;Gelen Faturalarda Yanıt Zarf Kontrolü </t>
  </si>
  <si>
    <t>Rapor &gt; E-Fatura Sayfasında Sorgulama Hatası</t>
  </si>
  <si>
    <t>E-Fatura&gt; Gönderilen Fatura İşlemleri&gt; 1163 Faturaları Hk.</t>
  </si>
  <si>
    <t xml:space="preserve">Raporlar Modülünde 2 Günden Fazla Günlerde Alınan Hata </t>
  </si>
  <si>
    <t>Toplu KEP IK Bireysel KEP Açılışlarında Rezerve Tablosunun Kontrolü</t>
  </si>
  <si>
    <t>Pazarama Bug Fix</t>
  </si>
  <si>
    <t>Teklif Onay Sayfasında Özel İndirim Alanı Hk.</t>
  </si>
  <si>
    <t>Kısmen İade Tutar Bug</t>
  </si>
  <si>
    <t>Tamamlanan Sprint içinde Üzerinde Çalışılan İş Adedi (Bug Dahil)</t>
  </si>
  <si>
    <t>Toplam İş Adedi 
(Açık ve Kapalı Tüm Maddeleri, Bug Dahil)</t>
  </si>
  <si>
    <t>Toplam Bug Adedi</t>
  </si>
  <si>
    <t>KEP İK Kullanıcı Yetkilendirme Modülü Entegrasyonu</t>
  </si>
  <si>
    <t>CRM-718</t>
  </si>
  <si>
    <t>Üretim Modülü Ek Geliştirme</t>
  </si>
  <si>
    <t>CRM-728</t>
  </si>
  <si>
    <t>KEP Öneri Metodu Karakter Hatası</t>
  </si>
  <si>
    <t>CRM-732</t>
  </si>
  <si>
    <t xml:space="preserve">Ödeme Altyapısının Servis ile UKDS ve MU ile Paylaşılması </t>
  </si>
  <si>
    <t>CRM-744</t>
  </si>
  <si>
    <t xml:space="preserve">Datassist &amp; CRM Entegrasyonu - Kurumsal Müşteri ve Teklif Kayıtları Oluşturma </t>
  </si>
  <si>
    <t>CRM-747</t>
  </si>
  <si>
    <t>Datassist &amp; CRM Entegrasyonu - Kurumsal Teklif İçin Sipariş Detayı ve Sözleşme Kayıtları Oluşturma</t>
  </si>
  <si>
    <t>CRM-748</t>
  </si>
  <si>
    <t>Datassist &amp; CRM Entegrasyonu - Bireysel Sipariş Detayı Oluşturma</t>
  </si>
  <si>
    <t>CRM-740</t>
  </si>
  <si>
    <t>KEP Adresi Açılışında UKDS’ye KEP ID Gönderimi</t>
  </si>
  <si>
    <t>CRM-742</t>
  </si>
  <si>
    <t>UKDS Servisine API Access Token Gönderimi</t>
  </si>
  <si>
    <t>CRM-743</t>
  </si>
  <si>
    <t>RezerveKEP Metoduna API Access Token Parametresi Eklenmesi</t>
  </si>
  <si>
    <t>CRM-745</t>
  </si>
  <si>
    <t>UKDS Kontrol Otomasyonu - E-Devlet Onay İbaresi Alanı Ek Metin</t>
  </si>
  <si>
    <t>CRM-749</t>
  </si>
  <si>
    <t>KEP Oluştur Butonu - Kuyruk Ayrımı</t>
  </si>
  <si>
    <t>CRM-741</t>
  </si>
  <si>
    <t>Tekliflerde İade Faturası Sonrası Eksik Fatura Kontrolü</t>
  </si>
  <si>
    <t>CRM-736</t>
  </si>
  <si>
    <t>E-Belge Ürünleri Zorunlu Eşitlemeler</t>
  </si>
  <si>
    <t>IEU-278</t>
  </si>
  <si>
    <t>IEU-280</t>
  </si>
  <si>
    <t>KA-1563</t>
  </si>
  <si>
    <t>KA-1564</t>
  </si>
  <si>
    <t>MYS-817</t>
  </si>
  <si>
    <t>UKDS Metodlarındaki Güncellemelerin Entegrasyon Suit Tarafında Uygulanması</t>
  </si>
  <si>
    <t>EYP 2.0 Paketine İkinci İmza Ekleme İşleminde "Zaten İmzalıdır" Hatası</t>
  </si>
  <si>
    <t>Word-PDF Dönüşümü APİ (Office + API) Test ve Doğrulaması</t>
  </si>
  <si>
    <t>EvoPDF ile Word → PDF Dönüşüm Aracı Değerlendirmesi</t>
  </si>
  <si>
    <t>Cevap Şablon Modülünün SEP Yanıt Süreç Akışının Sağlanması</t>
  </si>
  <si>
    <t>IEU-282</t>
  </si>
  <si>
    <t>IEU-283</t>
  </si>
  <si>
    <t>MU-163</t>
  </si>
  <si>
    <t>MU-176</t>
  </si>
  <si>
    <t>MU-177</t>
  </si>
  <si>
    <t>MYS-821</t>
  </si>
  <si>
    <t>MYS-820</t>
  </si>
  <si>
    <t>Araştırma/ İmzalama Sürecinde Aynı Anda Gelen Çoklu İstek Akışının Belirlenmesi</t>
  </si>
  <si>
    <t>Araştırma KEP Gönderim Süreçlerinin Tek Metotta Birleştirilmesi ve Optimizasyonu</t>
  </si>
  <si>
    <t>CRM Onayı Bekleyen KEP Adresleri İçin Yönlendirme Sayfalarının Tasarım Güncellemesi</t>
  </si>
  <si>
    <t>CRM Onayı Bekleyen KEP Adresleri İçin Yönlendirme Sayfalarının API Entegrasyonu</t>
  </si>
  <si>
    <t>TEST - E-Tebligat Metninde Satır Başı Sorunu</t>
  </si>
  <si>
    <t>KEP-Gelen İleti Listeleme Ekranında Giden İleti ID Gösterimi</t>
  </si>
  <si>
    <t>UKDS-198</t>
  </si>
  <si>
    <t>UKDS ana servis ve önyüzde yeni tipe göre güncelleme</t>
  </si>
  <si>
    <t>UKDS-189</t>
  </si>
  <si>
    <t>"Entegrasyon Suit UKDS" servisinin remake çalışması hk</t>
  </si>
  <si>
    <t>UKDS-191</t>
  </si>
  <si>
    <t>Entegrasyon Suit Üzerinden UKDS Modülü Satıldığında UKDS’ye Bilgi Gönderilecek Yeni Methodun Oluşturulması</t>
  </si>
  <si>
    <t>UKDS-194</t>
  </si>
  <si>
    <t>Ön Başvuru Oluşturma Metoduna kepid, producttype ve value Parametrelerinin Eklenmesi</t>
  </si>
  <si>
    <t>UKDS-195</t>
  </si>
  <si>
    <t>Ön Başvuru Düzenleme Metoduna Yeni Parametrelerin Eklenmesi</t>
  </si>
  <si>
    <t>UKDS-197</t>
  </si>
  <si>
    <t>Get Integration/application/{applicationId} Methodunun Response’una kepid Eklenmesi</t>
  </si>
  <si>
    <t>UKDS-196</t>
  </si>
  <si>
    <t>Tüm Başvuruları Listeleme Metodunda kepid Zorunluluğunun Kaldırılması</t>
  </si>
  <si>
    <t>UKDS-193</t>
  </si>
  <si>
    <t>Yeni Bir Başvuru Tipi Eklenmesi: IKENTEGRASYON</t>
  </si>
  <si>
    <t>UKDS-192</t>
  </si>
  <si>
    <t>changestatuscrm Methoduna ‘kepid’ Parametresinin Eklenmesi</t>
  </si>
  <si>
    <t>UKDS-201</t>
  </si>
  <si>
    <t>Toplu Çalışan Ekleme – Excel Format Doğrulama Akışındaki Tarih Formatının Kontrolü</t>
  </si>
  <si>
    <t>WIK-741</t>
  </si>
  <si>
    <t>Çalışan Ekle Ekranında Ad–Soyad Bilgilerinin Tüm Fonksiyonlarda Görüntülenmesi ve Aranabilir Hale Getirilmesi</t>
  </si>
  <si>
    <t>WIK-743</t>
  </si>
  <si>
    <t>Çalışanlar Ekranına Çalışan Grubu Kolonu Eklenmesi</t>
  </si>
  <si>
    <t>Issue id</t>
  </si>
  <si>
    <t>Parent id</t>
  </si>
  <si>
    <t>Project key</t>
  </si>
  <si>
    <t>Project type</t>
  </si>
  <si>
    <t>Project lead</t>
  </si>
  <si>
    <t>Project description</t>
  </si>
  <si>
    <t>Project url</t>
  </si>
  <si>
    <t>Priority</t>
  </si>
  <si>
    <t>Resolution</t>
  </si>
  <si>
    <t>Assignee</t>
  </si>
  <si>
    <t>Reporter</t>
  </si>
  <si>
    <t>Creator</t>
  </si>
  <si>
    <t>Created</t>
  </si>
  <si>
    <t>Updated</t>
  </si>
  <si>
    <t>Last Viewed</t>
  </si>
  <si>
    <t>Resolved</t>
  </si>
  <si>
    <t>Fix Version/s</t>
  </si>
  <si>
    <t>Due Date</t>
  </si>
  <si>
    <t>Votes</t>
  </si>
  <si>
    <t>Labels</t>
  </si>
  <si>
    <t>Description</t>
  </si>
  <si>
    <t>Environment</t>
  </si>
  <si>
    <t>Watchers</t>
  </si>
  <si>
    <t>Watchers_2</t>
  </si>
  <si>
    <t>Watchers_3</t>
  </si>
  <si>
    <t>Log Work</t>
  </si>
  <si>
    <t>Log Work_7</t>
  </si>
  <si>
    <t>Log Work_8</t>
  </si>
  <si>
    <t>Log Work_9</t>
  </si>
  <si>
    <t>Log Work_10</t>
  </si>
  <si>
    <t>Log Work_11</t>
  </si>
  <si>
    <t>Log Work_12</t>
  </si>
  <si>
    <t>Log Work_13</t>
  </si>
  <si>
    <t>Log Work_14</t>
  </si>
  <si>
    <t>Log Work_15</t>
  </si>
  <si>
    <t>Log Work_16</t>
  </si>
  <si>
    <t>Log Work_17</t>
  </si>
  <si>
    <t>Original Estimate</t>
  </si>
  <si>
    <t>Remaining Estimate</t>
  </si>
  <si>
    <t>Time Spent</t>
  </si>
  <si>
    <t>Work Ratio</t>
  </si>
  <si>
    <t>Σ Original Estimate</t>
  </si>
  <si>
    <t>Σ Remaining Estimate</t>
  </si>
  <si>
    <t>Σ Time Spent</t>
  </si>
  <si>
    <t>Security Level</t>
  </si>
  <si>
    <t>Outward issue link (Relates)</t>
  </si>
  <si>
    <t>Attachment</t>
  </si>
  <si>
    <t>Custom field (Analyst)</t>
  </si>
  <si>
    <t>Custom field (Başlama Tarihi)</t>
  </si>
  <si>
    <t>Custom field (Epic Color)</t>
  </si>
  <si>
    <t>Custom field (Epic Link)</t>
  </si>
  <si>
    <t>Custom field (Epic Name)</t>
  </si>
  <si>
    <t>Custom field (Epic Status)</t>
  </si>
  <si>
    <t>Custom field (Ortak - Kayda Atanan)</t>
  </si>
  <si>
    <t>Custom field (Ortak - Kaydı Açan)</t>
  </si>
  <si>
    <t>Custom field (Pending Reason)</t>
  </si>
  <si>
    <t>Custom field (Product Owner)</t>
  </si>
  <si>
    <t>Custom field (Rank)</t>
  </si>
  <si>
    <t>Sprint</t>
  </si>
  <si>
    <t>Custom field (Story Points)</t>
  </si>
  <si>
    <t>Custom field (Talep Sahibi - CRM)</t>
  </si>
  <si>
    <t>Custom field (Tester)</t>
  </si>
  <si>
    <t>Comment</t>
  </si>
  <si>
    <t>Ara Servis Katmanında IP Kontrolünün Yapılabilmesi</t>
  </si>
  <si>
    <t>YZCK-19</t>
  </si>
  <si>
    <t>YZCK</t>
  </si>
  <si>
    <t>software</t>
  </si>
  <si>
    <t>elvan.gurler</t>
  </si>
  <si>
    <t/>
  </si>
  <si>
    <t>Medium</t>
  </si>
  <si>
    <t>baris.tunc</t>
  </si>
  <si>
    <t>Araştırma- Chat Değerlendirme Workflow'da Ürün Bazlı Değerlendirme Sonucu</t>
  </si>
  <si>
    <t>YZCK-18</t>
  </si>
  <si>
    <t>basak.ayverdi</t>
  </si>
  <si>
    <t>Ek İşler Hk.</t>
  </si>
  <si>
    <t>Side-Jobs</t>
  </si>
  <si>
    <t>berrin.akan</t>
  </si>
  <si>
    <t>Arka planda yapılan işlerin loglanması</t>
  </si>
  <si>
    <t>omer.saritoy</t>
  </si>
  <si>
    <t>WIK</t>
  </si>
  <si>
    <t>ceren.sertkaya</t>
  </si>
  <si>
    <t>https://kep-ik.turkkep.com.tr/</t>
  </si>
  <si>
    <t>onder.bar</t>
  </si>
  <si>
    <t>can.macit</t>
  </si>
  <si>
    <t>gulnur.aka</t>
  </si>
  <si>
    <t>Kidos Ekranlarına Aktif/Pasif Statün Eklenmesi</t>
  </si>
  <si>
    <t>UKDS-200</t>
  </si>
  <si>
    <t>UKDS Paket Seçimi Sonrası Ödeme Adımı Servis Entegrasyonunun Gerçekleştirilmesi</t>
  </si>
  <si>
    <t>UKDS-199</t>
  </si>
  <si>
    <t>gurkan.guney</t>
  </si>
  <si>
    <t>gitlab.dev</t>
  </si>
  <si>
    <t>hasan.coskun</t>
  </si>
  <si>
    <t>Verified</t>
  </si>
  <si>
    <t>Epic</t>
  </si>
  <si>
    <t>MYS</t>
  </si>
  <si>
    <t>Remzi.Sefer</t>
  </si>
  <si>
    <t>http://mys.turkkep.com.tr/</t>
  </si>
  <si>
    <t>batuhan.tufan</t>
  </si>
  <si>
    <t>Ek işler Hk.</t>
  </si>
  <si>
    <t>mert.tanel</t>
  </si>
  <si>
    <t>API Bağlantılarındaki Responselar için Model Düzenlemeleri</t>
  </si>
  <si>
    <t>MU-175</t>
  </si>
  <si>
    <t>MU</t>
  </si>
  <si>
    <t>Türkkep Uniram, Kep ileti Gönderim ve alım webservisleri ve webmail için oluşturulmuştur.</t>
  </si>
  <si>
    <t>ugur.dundar</t>
  </si>
  <si>
    <t>KEP Sprint 2025/39-40</t>
  </si>
  <si>
    <t>KEP Sprint 2025/40-41</t>
  </si>
  <si>
    <t>KEP Sprint 2025/42-43</t>
  </si>
  <si>
    <t>KEP Sprint 2025/30-32</t>
  </si>
  <si>
    <t>KEP Sprint 2025/335-36</t>
  </si>
  <si>
    <t>KEP Sprint 2025/37-38</t>
  </si>
  <si>
    <t>04/Sep/25 11:20 AM;gulnur.aka;Yapılan görüşmeden sonra testlerin 22 Eylül gibi tamamlanması beklenmektedir.</t>
  </si>
  <si>
    <t>KA</t>
  </si>
  <si>
    <t>https://kepassist.turkkep.com.tr/</t>
  </si>
  <si>
    <t>recep.simsek</t>
  </si>
  <si>
    <t>DP-288</t>
  </si>
  <si>
    <t>IEU</t>
  </si>
  <si>
    <t>https://int-suite.turkkep.com.tr/</t>
  </si>
  <si>
    <t>IEU Sprint 2025/35-41</t>
  </si>
  <si>
    <t>omer.turkmen</t>
  </si>
  <si>
    <t>IEU Sprint 2025/35-40</t>
  </si>
  <si>
    <t>hamza.ceylan</t>
  </si>
  <si>
    <t>e-Fatura Portal</t>
  </si>
  <si>
    <t>EFT-2311</t>
  </si>
  <si>
    <t>EFT</t>
  </si>
  <si>
    <t>Temel, Ticari, E-Arşiv Fatura</t>
  </si>
  <si>
    <t>https://efportal.turkkep.com.tr/</t>
  </si>
  <si>
    <t>İlaçTıbbiAçıklama Alanın Tıklanabilir Input Tablosuna Dönüştürülmesi</t>
  </si>
  <si>
    <t>EFT-2310</t>
  </si>
  <si>
    <t>atakan.akyildiz</t>
  </si>
  <si>
    <t>e-Fatura - İlk Aktivasyon Esnasında Mükelleflerin İmza/Mali Mühür Sertifikasyon Başlangıç-Bitiş Tarih Loglama</t>
  </si>
  <si>
    <t>EFT-2309</t>
  </si>
  <si>
    <t xml:space="preserve">GİB - "CurrencyCodeList" Güncellenmesi </t>
  </si>
  <si>
    <t xml:space="preserve">GİB - ILAC_TIBBICIHAZ Profilinde "AdditionalItemIdentification" Kontrolü </t>
  </si>
  <si>
    <t>EDF</t>
  </si>
  <si>
    <t>http://edefter.turkkep.com.tr</t>
  </si>
  <si>
    <t>KEP Assist - Hesap Hata Takibi Tablosu Eklenmesi</t>
  </si>
  <si>
    <t>kemal.gur</t>
  </si>
  <si>
    <t>https://crm.turkkep.com.tr</t>
  </si>
  <si>
    <t>ahmet.hekim</t>
  </si>
  <si>
    <t>Sipariş Detayı Sayfası – İyileştirme Çalışması</t>
  </si>
  <si>
    <t>CRM-746</t>
  </si>
  <si>
    <t>KEP Zorunlu Eşitlemeler</t>
  </si>
  <si>
    <t>CRM-739</t>
  </si>
  <si>
    <t>CRM-735</t>
  </si>
  <si>
    <t>KEP Opsiyonel Eşitlemeler</t>
  </si>
  <si>
    <t>CRM-738</t>
  </si>
  <si>
    <t>Kurumsal Çözümler Zorunlu Eşitlemeler</t>
  </si>
  <si>
    <t>CRM-737</t>
  </si>
  <si>
    <t>KEP IK Başvuru Süreci CRM ve UKDS Sistemleri Arası Doğrulama</t>
  </si>
  <si>
    <t>CRM-734</t>
  </si>
  <si>
    <t>UKDS Kaynaklı Başvuru Durumlarının CRM Sisteminde Görüntülenmesi</t>
  </si>
  <si>
    <t>CRM-733</t>
  </si>
  <si>
    <t>Ent. Suit Sözleşme Bitiş Bildirimi</t>
  </si>
  <si>
    <t>CRM-729</t>
  </si>
  <si>
    <t>Sipariş Detayları ekranında bulunan "*Entegrasyon Yönetimi*" alanı zorunlu olup, liste içerisinde mevcut sistemde "Portal, Konnektör, Özel Entegrasyon" seçenekleri bulunmaktadır._x000D_
_x000D_
İstenilen "Entegrasyon Yönetimi" alanındaki listenin güncellenmesi._x000D_
_x000D_
Portal ve Serbest Konnektör seçeneği tek başına seçilebilir, fakat ERP Bağımlı Konnektör veya Özel Entegrasyon seçenekleri seçilir ise altlarında belirtilen seçeneklerinde seçilebilir olması gerekir._x000D_
_x000D_
Sipariş detayı ekranında bulunan "Entegrasyon Yönetimi" alanından "ERP Bağımlı Konnektör ve Özel Entegrasyon" seçeneği seçilirse "ERP İsmi" alanı zorunlu olur ve aşağıda belirtilen seçeneklerin seçilebilmesi sağlanır._x000D_
_x000D_
"ERP Bağımlı Konnektör ve Özel Entegrasyon seçildiğinde "ERP İsmi" alanı zorunlu olur._x000D_
_x000D_
Yeni Eklenecek Seçenekler;_x000D_
 * Portal_x000D_
 * Serbest Konnektör_x000D_
 * ERP Bağımlı Konnektör_x000D_
 ** BAY.T Yazılım_x000D_
 ** ETA_x000D_
 ** LİNK_x000D_
 ** LOGO_x000D_
 ** MEDİTEK Yazılım_x000D_
 ** Mikro_x000D_
 ** Scala_x000D_
 ** Sispar_x000D_
 ** Vega_x000D_
 ** Zirve_x000D_
 ** Efes Pro ERP_x000D_
 ** Akınsoft Volvox_x000D_
 ** Netsis_x000D_
 ** Sermar_x000D_
 * Özel Entegrasyon_x000D_
 ** ABYS_x000D_
 ** ADA YAZILIM_x000D_
 ** AKEAD_x000D_
 ** ANYSTOCK_x000D_
 ** ARES YAZILIM_x000D_
 ** ATC GRUP_x000D_
 ** ATLAS HAL_x000D_
 ** AYAZSOFT_x000D_
 ** BAYBİLGİN ERP_x000D_
 ** BEST BİLGİSAYAR_x000D_
 ** BEYAZ YAZILIM_x000D_
 ** BGSİS_x000D_
 ** BİLİŞİM ERP_x000D_
 ** BİLTAM_x000D_
 ** BİMSER_x000D_
 ** BİSOD YAZILIM / ORİON_x000D_
 ** BOTANİK YAZILIM_x000D_
 ** CETASOFT_x000D_
 ** DOA YAZILIM_x000D_
 ** DEFLİNE TEKNOLOJİ_x000D_
 ** E-BİLGİ_x000D_
 ** EGEMEN YAZILIM_x000D_
 ** EKOHESAP_x000D_
 ** EKSTREM YAZILIM_x000D_
 ** ELEKTRA YAZILIM_x000D_
 ** ENTEGRA_x000D_
 ** ERP12 YAZILIM_x000D_
 ** EVRİM YAZILIM_x000D_
 ** FEMSOFT_x000D_
 ** F- ERP YAZILIM_x000D_
 ** GELECEK YAZILIM_x000D_
 ** GURU ENVİRO_x000D_
 ** GÜNEŞ YAZILIM_x000D_
 ** HARMONY ERP_x000D_
 ** HASER BİLGİSAYAR SİST. YAZILIM LTD._x000D_
 ** HBSOFT_x000D_
 ** HOTELRUNNER_x000D_
 ** İNCİ DİJİTAL_x000D_
 ** K12.NET_x000D_
 ** LED YAZILIM_x000D_
 ** LİKOM PRESTO PLUS_x000D_
 ** LUCA_x000D_
 ** MAVİ YAZILIM_x000D_
 ** MEDULA_x000D_
 ** MİKROTEKSOFT_x000D_
 ** MODEL BİLGİ İŞL. HİZ. SAN. TİC. LTD._x000D_
 ** NESİLCESOFT_x000D_
 ** NET KOZA_x000D_
 ** NETSİM_x000D_
 ** NETO YAZILIM_x000D_
 ** NİMBO/MODALTRANS_x000D_
 ** NOKTA BARKOD_x000D_
 ** NOVA FORTİS_x000D_
 ** ONELEE_x000D_
 ** ÖZKIRCA BİLGİSAYAR_x000D_
 ** PALMA_x000D_
 ** PAYCELL_x000D_
 ** POİNT YAZILIM / MEDİSİS_x000D_
 ** PR YAZILIM_x000D_
 ** PROTEL_x000D_
 ** RESİTAL_x000D_
 ** SABNET_x000D_
 ** SAP_x000D_
 ** SDATAM_x000D_
 ** SELECT_x000D_
 ** SENBENDENAL_x000D_
 ** SENİT YAZILIM_x000D_
 ** SENTEZ_x000D_
 ** SETİM_x000D_
 ** THREECOLOR_x000D_
 ** TÜRK NİPPON SİGORTA_x000D_
 ** USTAPOS_x000D_
 ** VERA ERP_x000D_
 ** VERİ BİLİŞİM_x000D_
 ** WORK OF TIME -MTOD</t>
  </si>
  <si>
    <t>Eklenmek istenen alanlar veritabanına eklenerek ilgili alanda listelenmesi sağlandı;15/Sep/25 10:09 AM;baris.tunc;7200</t>
  </si>
  <si>
    <t>Erp İsmi alanına elenen değerler entegrasyon yöntemi alanına bağlanıp filreleme yapılmıştır.;15/Sep/25 10:11 AM;baris.tunc;10800</t>
  </si>
  <si>
    <t>04/Sep/25 2:40 PM;kemal.gur;Entegrasyon Yönetimi Alanı.xlsx;http://192.168.124.186:8080/secure/attachment/15559/Entegrasyon+Y%C3%B6netimi+Alan%C4%B1.xlsx</t>
  </si>
  <si>
    <t>08/Sep/25 10:25 AM;kemal.gur;image-2025-09-08-10-25-10-177.png;http://192.168.124.186:8080/secure/attachment/15568/image-2025-09-08-10-25-10-177.png</t>
  </si>
  <si>
    <t>10/Sep/25 4:43 PM;baris.tunc;resim.png;http://192.168.124.186:8080/secure/attachment/15592/resim.png</t>
  </si>
  <si>
    <t>10/Sep/25 4:44 PM;baris.tunc;resim.png doyasındaki alanların _x000D_
_x000D_
Sipariş detayı =&gt; adv_entegrasyon_yontemi =&gt; entegrasyon_yonetimi_list kısmına eklenmesi gerekmektedir</t>
  </si>
  <si>
    <t>11/Sep/25 9:36 AM;baris.tunc;Aşağıdaki değerlerin Sipariş detayı =&gt; trkkp_erp_adi =&gt; trkkp_erp_adi_list kısmında yok ise eklenmesi gerekmektedir._x000D_
 'bayt_yazilim' : 'BAY.T Yazılım',_x000D_
 'eta' : 'ETA',_x000D_
 'link' : 'LİNK',_x000D_
 'logo' : 'LOGO',_x000D_
 'meditek_yazilim' : 'MEDİTEK Yazılım',_x000D_
 'mikro' : 'Mikro',_x000D_
 'scala' : 'Scala',_x000D_
 'sispar' : 'Sispar',_x000D_
 'vega' : 'Vega',_x000D_
 'zirve' : 'Zirve',_x000D_
 'efes_pro_erp' : 'Efes Pro ERP',_x000D_
 'akinsotf_volvox' : 'Akınsoft Volvox',_x000D_
 'netsis' : 'Netsis',_x000D_
 'sermar' : 'Sermar',_x000D_
 'abys' : 'ABYS',_x000D_
 'ada_yazilim' : 'ADA YAZILIM',_x000D_
 'akead' : 'AKEAD',_x000D_
 'anystock' : 'ANYSTOCK',_x000D_
 'ares_yazilim' : 'ARES YAZILIM',_x000D_
 'atc_grup' : 'ATC GRUP',_x000D_
 'atlas_hal' : 'ATLAS HAL',_x000D_
 'ayaz_spft' : 'AYAZSOFT',_x000D_
 'baybilgin_erp' : 'BAYBİLGİN ERP',_x000D_
 'mest_bilgisayar' : 'BEST BİLGİSAYAR',_x000D_
 'beyaz_yazilim' : 'BEYAZ YAZILIM',_x000D_
 'bgsis' : 'BGSİS',_x000D_
 'bilisim_erp' : 'BİLİŞİM ERP',_x000D_
 'biltam' : 'BİLTAM',_x000D_
 'bimser' : 'BİMSER',_x000D_
 'bisod_yazililm_orion' : 'BİSOD YAZILIM / ORİON',_x000D_
 'botanik_yazilim' : 'BOTANİK YAZILIM',_x000D_
 'cetasoft' : 'CETASOFT',_x000D_
 'oda_yazilim' : 'DOA YAZILIM',_x000D_
 'defline_teknoloji' : 'DEFLİNE TEKNOLOJİ',_x000D_
 'e_bilgi' : 'E-BİLGİ',_x000D_
 'egemen_yazilim' : 'EGEMEN YAZILIM',_x000D_
 'ekohesap' : 'EKOHESAP',_x000D_
 'ekstrem_yazilim' : 'EKSTREM YAZILIM',_x000D_
 'elektra_yazilim' : 'ELEKTRA YAZILIM',_x000D_
 'entagra' : 'ENTEGRA',_x000D_
 'erp12_yazilim' : 'ERP12 YAZILIM',_x000D_
 'evrim_yazilim' : 'EVRİM YAZILIM',_x000D_
 'femsport' : 'FEMSOFT',_x000D_
 'f_erp_yazilim' : 'F- ERP YAZILIM',_x000D_
 'elecek_yazilim' : 'GELECEK YAZILIM',_x000D_
 'guru_evrino' : 'GURU ENVİRO',_x000D_
 'gunes_yazilim' : 'GÜNEŞ YAZILIM',_x000D_
 'marmony_erp' : 'HARMONY ERP',_x000D_
 'haser_bilgisayar' : 'HASER BİLGİSAYAR SİST. YAZILIM LTD.',_x000D_
 'hbsoft' : 'HBSOFT',_x000D_
 'hotelrunner' : 'HOTELRUNNER',_x000D_
 'inci_dijital' : 'İNCİ DİJİTAL',_x000D_
 'k12_net' : 'K12.NET',_x000D_
 'led_yazilim' : 'LED YAZILIM',_x000D_
 'likom_presto_plus' : 'LİKOM PRESTO PLUS',_x000D_
 'luca' : 'LUCA',_x000D_
 'mavi_yazilim' : 'MAVİ YAZILIM',_x000D_
 'medula' : 'MEDULA',_x000D_
 'mikroteksoft' : 'MİKROTEKSOFT',_x000D_
 'model_bilgi_isl' : 'MODEL BİLGİ İŞL. HİZ. SAN. TİC. LTD.',_x000D_
 'nesilcesoft' : 'NESİLCESOFT',_x000D_
 'net_koza' : 'NET KOZA',_x000D_
 'netsim' : 'NETSİM',_x000D_
 'netro_yazilim' : 'NETO YAZILIM',_x000D_
 'nimbp_modaltrans' : 'NİMBO/MODALTRANS',_x000D_
 'nokta_barkod' : 'NOKTA BARKOD',_x000D_
 'nova_fortis' : 'NOVA FORTİS',_x000D_
 'onele' : 'ONELEE',_x000D_
 'ozkirca_bilgisayar' : 'ÖZKIRCA BİLGİSAYAR',_x000D_
 'palma' : 'PALMA',_x000D_
 'paycell' : 'PAYCELL',_x000D_
 'point_yazilim_medisis' : 'POİNT YAZILIM / MEDİSİS',_x000D_
 'pr_yazilim' : 'PR YAZILIM',_x000D_
 'protel' : 'PROTEL',_x000D_
 'resital' : 'RESİTAL',_x000D_
 'sabnet' : 'SABNET',_x000D_
 'sap' : 'SAP',_x000D_
 'sdatam' : 'SDATAM',_x000D_
 'select' : 'SELECT',_x000D_
 'senbendenal' : 'SENBENDENAL',_x000D_
 'senit_yazilim' : 'SENİT YAZILIM',_x000D_
 'sentez' : 'SENTEZ',_x000D_
 'setim' : 'SETİM',_x000D_
 'threecolor' : 'THREECOLOR',_x000D_
 'turk_nippon_sigorta' : 'TÜRK NİPPON SİGORTA',_x000D_
 'ustapos' : 'USTAPOS',_x000D_
 'vera_erp' : 'VERA ERP',_x000D_
 'veri_bilisim' : 'VERİ BİLİŞİM',_x000D_
 'mark_of_time' : 'WORK OF TIME -MTOD',</t>
  </si>
  <si>
    <t>11/Sep/25 9:37 AM;baris.tunc;trkkp_erp_adi alanına eklenmesi gereken alanların hepsi test ortamına eklenmemiştir. Test yapılırken dikkate alınmalıdır.</t>
  </si>
  <si>
    <t>12/Sep/25 9:53 AM;kemal.gur;İlgili alanlar canlı ortamda eklenmiştir.</t>
  </si>
  <si>
    <t>CRM Update 30</t>
  </si>
  <si>
    <t>CRM sisteminde E-Fatura ve E-Arşiv ürünleri için trafik bilgileri ekranında tarih aralığı girerek, girilen tarihler arasındaki trafik bilgilerinin gösterilmesi._x000D_
_x000D_
Trafik bilgileri ekranında "*Detay Göster*" butonu eklenmelidir._x000D_
_x000D_
Detay göster butonuna tıklandığında tarih aralığı girilebilmeli ve girilen tarih aralığına göre sonuçlar listelenmelidir._x000D_
_x000D_
Kullanılacak Servisler: [https://efinttestws.turkkep.com.tr/TurkkepAdminEntegrasyon.asmx]_x000D_
_x000D_
                                     [InvoiceArchiveCountService Web Service|http://192.168.226.101:1001/InvoiceArchiveCountService.asmx]_x000D_
_x000D_
Kullanılacak Metodlar:_x000D_
 * *GetErrorTurmobInfoCountByDate*_*:*_ Belirli bir tarih aralığında yapılan Türmob sorguları içinden hatalı sonuçlananları verir._x000D_
 * *GetSuccessTurmobInfoCountByDate*: Belirli bir tarih aralığında yapılan Türmob sorgularında başarılı olanların sayısını döner._x000D_
 * *GetInvoiceArchiveCount:* Belirli bir tarih aralığında yapılan gelen-giden faturalar_x000D_
 ([http://192.168.226.101:1001/InvoiceArchiveCountService.asmx?op=GetInvoiceArchiveCount])</t>
  </si>
  <si>
    <t>GetErrorTurmobInfoCountByDate , GetSuccessTurmobInfoCountByDate,GetInvoiceArchiveCount_x000D_
kod da servisler için methodlar tanımlandı istek atıldı._x000D_
_x000D_
 ;21/Jul/25 5:08 PM;ahmet.hekim;32400</t>
  </si>
  <si>
    <t>sözleşme modülünde trafik bilgileri ekranında gönderi bilgisi getir buttonu eklendi._x000D_
buttonda girilen tarihe göre gönderi servisden dönen datalar hesaplandı, bilgileri popupda gösterildi. hata durumları tanımlandı, popup da gösterildi._x000D_
_x000D_
örnek kayıt:_x000D_
http://10.1.20.180/index.php?module=AOS_Contracts&amp;action=DetailView&amp;record=9cf0d99a6a9f363ec61d5dad0679840f;21/Jul/25 5:16 PM;ahmet.hekim;64800</t>
  </si>
  <si>
    <t>"servis test edili, arayüz yerleştirmeleri buttonlar popuplar hata durumları test edildi, çalışma testi yapıldı._x000D_
servisden gelen parametrelere karşılık gelen fieldlar tanımlandı._x000D_
servisden gelen parametreler eksik bilgi veya yanlış bilgi kontrolü için analize iletildi.";22/Jul/25 9:32 AM;ahmet.hekim;32400</t>
  </si>
  <si>
    <t>11/Jul/25 2:48 PM;kemal.gur;image-2025-07-11-14-48-09-144.png;http://192.168.124.186:8080/secure/attachment/15389/image-2025-07-11-14-48-09-144.png</t>
  </si>
  <si>
    <t>22/Jul/25 9:39 AM;ahmet.hekim;servisden gelen parametreler aşağıdaki gibi tanımlanmıştır._x000D_
e-Fatura Sözleşme: _x000D_
 * Giden Toplam:                                     GetInvoiceArchiveCount-&gt;CountModel-&gt;EInvoiceOutgoingCount_x000D_
 * Gelen Toplam:                                     GetInvoiceArchiveCount-&gt;CountModel-&gt;EInvoiceIncomingCount_x000D_
 * Toplam Gelen/Giden Adeti            GetInvoiceArchiveCount-&gt;CountModel-&gt;TotalInvoiceCount_x000D_
 * Toplam Satın Alınan                          GetInvoiceArchiveCount-&gt;CountModel-&gt;TotalEInvoiceCredit_x000D_
 * e-Yazışma Toplam Giden Adet:    GetSuccessTurmobInfoCountByDate-&gt;Data_x000D_
 * e-Yazışma Toplam Gönderi:           GetErrorTurmobInfoCountByDate-&gt;Data_x000D_
 * Tüketilen Toplam Gönderi Adeti   (TurmobSuccessCount + TurmobErrorCount) / 2_x000D_
 * Tüketim Durumu                                 Toplam Satın Alınan - Toplam Gelen/Giden Adeti - Tüketilen Toplam Gönderi Adeti_x000D_
_x000D_
e-Arşiv-Fatura Sözleşme:_x000D_
 * Giden Toplam:                    GetInvoiceArchiveCount-&gt;CountModel-&gt;EArchiveInvoiceCount_x000D_
 * Gelen Toplam:                    GetInvoiceArchiveCount-&gt;CountModel-&gt;EArchiveInvoiceCount_x000D_
 * Toplam Satın Alınan         GetInvoiceArchiveCount-&gt;CountModel-&gt;TotalEArchiveCredit</t>
  </si>
  <si>
    <t>CRM Update 29</t>
  </si>
  <si>
    <t>KEP IK ürününde geliştirilen Kullanıcı Yetkilendirme Modülünün CRM sisteminde, KEP IK sözleşmesi içerisinden "CRM sistemi" üzerinden aktivasyon edilmesidir._x000D_
_x000D_
KEP IK Kullanıcı Yetkilendirme Modülünün satışı yapılan müşterilere "işlem kaydı" ekranında bulunan "durum" alanında "Kullanıcı Yetkilendirme Ekle" butonunu aktif olmalıdır._x000D_
_x000D_
Durum ve İşlem Durumu alanları "Uygulandı" statüsünde ulaştıktan sonra işlem kaydı ekranında bulunan "durum" alanında "Kullanıcı Yetkilendirme Ekle" butonu gizlenip, "Kullanıcı Yetkilendirme İptal Et" butonu aktif olmalıdır._x000D_
_x000D_
Eklenen Kullanıcı Yetkilendirmenin Bitiş Tarihi: Oluşan işlem kaydı editlenerek "Kullanıcı Yetkilendirme" uygulanacak KEP IK sözleşmesi seçilir._x000D_
 Bitiş Tarihi: Seçilen KEP IK sözleşmesindeki bitiş tarihi ile aynı olmalıdır._x000D_
_x000D_
Yeni müşteri için kullanıcı yetkilendirme modülü açılacağı zaman, "*hasPrivacy*" true olarak gelmelidir._x000D_
_x000D_
Modül açılırken de "admin" işlem yetkilisi için "*isadmin*" true olmalıdır._x000D_
_x000D_
İşlem yetkili kodu (authorization code) sözleşmeler ekranında işlem yetkilileri alanında "*işlem yetkili no*" olarak görünüyor._x000D_
_x000D_
Kullanıcı Yetkilendirme Modülü eklerken ilk admin ekleme işleminde "Kullanıcı Yetkilendirme Ekle" butonuna tıklandığında pop-up ekran ile hesaba bağlı işlem yetkilileri listelenir, pop-up ekrandan en az 1 adet (birden fazla seçim yapılabilir) seçim ile admin atanır._x000D_
_x000D_
Sonradan admin yetkilendirmek istenirse ilgili hesabın işlem yetkililerinin sayfasında olacak olan "admin ata" butonu ile yetkilendirilebilir._x000D_
_x000D_
 _x000D_
_x000D_
KEP IK Web Servis: [https://testik.turkkep.com.tr:8020|https://testik.turkkep.com.tr:8020/swagger-ui]_x000D_
 Kullanılacak Metod: 1- Put /crm/customer/privacy/status - (Kullanıcı yetkilendirme modülünü açmak veya kapatmak için)_x000D_
_x000D_
                                 2- Put /crm/user/admin - (Ek bir admin ekleme veya admin güncelleme)_x000D_
_x000D_
Kullanılacak Metod Parametresi/Parametreleri: user, secret_x000D_
_x000D_
 _x000D_
_x000D_
Miro Board Link:_x000D_
_x000D_
[https://miro.com/app/board/uXjVIjX0BRs=/?share_link_id=704259629236]</t>
  </si>
  <si>
    <t>;22/Sep/25 6:01 PM;gurkan.guney;3600</t>
  </si>
  <si>
    <t>;23/Sep/25 3:54 PM;gurkan.guney;3600</t>
  </si>
  <si>
    <t>09/Jul/25 10:38 AM;baris.tunc;Dev ortamı İşlemler modül *type* alanına '_x000D_
*kepikkullaniciyetkilendirme*' =&gt; 'KEP IK Kullanıcı Yetkilendirme' ve '*kepikkullaniciyetkilendirmeyenileme*' =&gt; 'KEP IK Kullanıcı Yetkilendirme Yenileme' değerleri eklendi. Deployment sonrası production ortamına da eklenmelidir._x000D_
 </t>
  </si>
  <si>
    <t>09/Jul/25 10:46 AM;baris.tunc;Dev ortamı Sözleşmeler modülüne *'Kontrol Kutusu'* veri tipinde '*trkkp_yetkilendirme_yapildi*' =&gt; '*Kullanıcı Yetkilendirme Uygulandı mı*' alanı eklendi. Deployment sonrası production ortamına da eklenmelidir._x000D_
 * [|http://192.168.124.186:8080/secure/AddComment!default.jspa?id=21717]</t>
  </si>
  <si>
    <t>23/Sep/25 3:54 PM;gurkan.guney;Modülü ekleyebildim. [gurkan.firma@kep.turkkep.com.tr|mailto:gurkan.firma@kep.turkkep.com.tr] 001 kendimi admin olarak seçtim. Ama kep ik uygulamasına girerken böyle bir uyarı verdi ve uygulamaya login etmedi:_x000D_
_x000D_
 "Adınıza herhangi bir yetki tanımlaması yapılmamıştır. Giriş yapabilmeniz için sistem yöneticinizden size yetki tanımlaması yapmasını isteyiniz."_x000D_
_x000D_
 Bu uyarı yetkilendirme modül olup da admin olmayan standart kullanıcılara çıkan bir uyarıdır. Kendimi Admin olarak eklediğim için böyle bir uyarı vermemesi lazım.  _x000D_
_x000D_
Anladığım kadarıyla admin olduğum bilgisini ik'nın veritabanına iletmedi._x000D_
_x000D_
 </t>
  </si>
  <si>
    <t>EFT-2307</t>
  </si>
  <si>
    <t>e-Arşiv Fatura - Yatırım Teşvik Belgesi Faturası Oluşturulup Gönderilmesi</t>
  </si>
  <si>
    <t>EFT-2306</t>
  </si>
  <si>
    <t>e-Fatura - Yatırım Teşvik Belgesi Faturası Oluşturulup Gönderilmesi</t>
  </si>
  <si>
    <t>EFT-791</t>
  </si>
  <si>
    <t>IEU-287</t>
  </si>
  <si>
    <t>KA-1568</t>
  </si>
  <si>
    <t>KA-1567</t>
  </si>
  <si>
    <t>MU-180</t>
  </si>
  <si>
    <t>MU-179</t>
  </si>
  <si>
    <t>MYS-825</t>
  </si>
  <si>
    <t>MYS-822</t>
  </si>
  <si>
    <t>MYS-818</t>
  </si>
  <si>
    <t>MYS-819</t>
  </si>
  <si>
    <t>Başarısız işlem hatası- api/v1/eyp/parser/v20/download/ek 401 başarısız işlem</t>
  </si>
  <si>
    <t>KEPAssist Testi (Paket Öncesi)</t>
  </si>
  <si>
    <t>Ilk Onay Gerekiyor Surecinde Sms Doğrulama Adımı</t>
  </si>
  <si>
    <t>Login Hata Mesajının Güncellenmesi</t>
  </si>
  <si>
    <t>E-Tebligat Metninde Satır Başı Sorunu</t>
  </si>
  <si>
    <t>Listeleme Ekranlarında Grid Yüksekliğinin Artırılması</t>
  </si>
  <si>
    <t>Gelen Basılı İletiler / Editör Alanının Eklenmesi</t>
  </si>
  <si>
    <t>Yeniden Çalıştır Akışının Güvercin Onayı Atlanarak Görev Kutusuna Düşmesi</t>
  </si>
  <si>
    <t>KA-1571</t>
  </si>
  <si>
    <t>MU-183</t>
  </si>
  <si>
    <t>Hesap Oluşturma Sırasında Statü Seçilmemesi Sonucu Hesap Ayarları Ekranında Hata Oluşumu</t>
  </si>
  <si>
    <t>Ayarlar Ekranının Menü Yapısına Dönüştürülmesi</t>
  </si>
  <si>
    <t>KEP İletisi Silme Servisi Geliştirme</t>
  </si>
  <si>
    <t>EFT-2326</t>
  </si>
  <si>
    <t>GİB Mükellef Listesi Tarih Formatı Hatası Hk.</t>
  </si>
  <si>
    <t>EFT-2332</t>
  </si>
  <si>
    <t>Aselsan Geliştirmesi Sonucu Additional Item Alanında SchemeID Gelmemesi</t>
  </si>
  <si>
    <t>EFT-2331</t>
  </si>
  <si>
    <t>MA3 API e-imza Lisans Güncelleme ve Testi</t>
  </si>
  <si>
    <t>EFT-2325</t>
  </si>
  <si>
    <t>GİB Sicil Servis Test Entegresi</t>
  </si>
  <si>
    <t>EFT-2322</t>
  </si>
  <si>
    <t>GİB Sicil Servis Canlı Entegresi</t>
  </si>
  <si>
    <t>UKDS-179</t>
  </si>
  <si>
    <t>WIK-749</t>
  </si>
  <si>
    <t>Çalışan Grubunda Zorunlu Olan Alanların Boş Bırakılması Uyarı Bildirimi</t>
  </si>
  <si>
    <t>WIK-748</t>
  </si>
  <si>
    <t>Belge Raporları Devam Eden Rapor İstekleri Türkçeleştirilmesi</t>
  </si>
  <si>
    <t>WIK-747</t>
  </si>
  <si>
    <t>Belge Raporu Sayfasında Yeni Açılan Dönemlerin Gelmemesi</t>
  </si>
  <si>
    <t>WIK-754</t>
  </si>
  <si>
    <t>Sol Menü Alt Menülerinin Görselleştirilmesinin Local Ortamda Test Edilmesi</t>
  </si>
  <si>
    <t>WIK-751</t>
  </si>
  <si>
    <t>Belirlenen Kütüphanelerin Güncel Versiyonlarının Uygulanması</t>
  </si>
  <si>
    <t>WIK-753</t>
  </si>
  <si>
    <t>Belirlenen Sorguların Güncellenmesi</t>
  </si>
  <si>
    <t>UKDS-203</t>
  </si>
  <si>
    <t>Swagger Açıklamalarının Düzenlenmesi</t>
  </si>
  <si>
    <t>CRM-752</t>
  </si>
  <si>
    <t>Kurumsal KEP Öneri Metodu - Ek Geliştirme</t>
  </si>
  <si>
    <t>CRM-753</t>
  </si>
  <si>
    <t>Datassist &amp; CRM Entegrasyonu - Kurumsal Sözleşme Oluştur Metodu Tanımlanması</t>
  </si>
  <si>
    <t>CRM-754</t>
  </si>
  <si>
    <t>Kurumsal KEP Oluştur Butonunun JOB'a Bağlanması</t>
  </si>
  <si>
    <t>CRM-756</t>
  </si>
  <si>
    <t>UKDS Otomasyon Manuel İşlemler - Rapor</t>
  </si>
  <si>
    <t>CRM-757</t>
  </si>
  <si>
    <t>UKDS Otomasyonu - Ek Kontrol</t>
  </si>
  <si>
    <t>Log Work_18</t>
  </si>
  <si>
    <t>Outward issue link (Cloners)</t>
  </si>
  <si>
    <t>WIK-750</t>
  </si>
  <si>
    <t>dogukan.oncuer</t>
  </si>
  <si>
    <t>mehmetcan.olgun</t>
  </si>
  <si>
    <t>MU-182</t>
  </si>
  <si>
    <t>Mobil Uygulama / UKDS Süreçlerine Yeni Başvuru Tipi Eklenmesi</t>
  </si>
  <si>
    <t>MU-181</t>
  </si>
  <si>
    <t>KEP Sprint 2025/44-45</t>
  </si>
  <si>
    <t>IEU Sprint 2025/35-42</t>
  </si>
  <si>
    <t>e-İrsaliye - Web Servis - İnşaat Demiri İzleme Sistemi (IDIS) Faturası Oluşturulup Gönderilmesi</t>
  </si>
  <si>
    <t>EFT-2330</t>
  </si>
  <si>
    <t>EFT-2329</t>
  </si>
  <si>
    <t>e-İrsaliye - Konektör - İnşaat Demiri İzleme Sistemi (IDIS) Faturası Oluşturulup Gönderilmesi</t>
  </si>
  <si>
    <t>EFT-2324</t>
  </si>
  <si>
    <t>EFT-2328</t>
  </si>
  <si>
    <t>EFT-2327</t>
  </si>
  <si>
    <t>EFT-2323</t>
  </si>
  <si>
    <t>e-İrsaliye - Web Portal - İnşaat Demiri İzleme Sistemi (IDIS) Faturası Oluşturulup Gönderilmesi</t>
  </si>
  <si>
    <t>Kurumsal KEP siparişlerinde "Kurumsal KEP Oluştur" butonunun bir job'a bağlanması gerekmektedir. Kurumsal KEP Oluştur butonunun bir job'a bağlanarak açılışların otomatik olması gerekmektedir._x000D_
_x000D_
UKDS otomasyondan başarılı olarak geçen kurumsal kayıtlar otomatik olarak, diğerleri manuel tetiklenerek açılmalıdır.</t>
  </si>
  <si>
    <t>tanımlamalar yapılıp, açılmıştır;08/Dec/25 4:02 PM;ahmet.hekim;1800</t>
  </si>
  <si>
    <t>09/Dec/25 8:56 AM;ahmet.hekim;job kapatıldı, süreci tekrar incelencek.</t>
  </si>
  <si>
    <t>MYS-832</t>
  </si>
  <si>
    <t>MYS-826</t>
  </si>
  <si>
    <t>MYS-827</t>
  </si>
  <si>
    <t>IEU-292</t>
  </si>
  <si>
    <t>IEU-294</t>
  </si>
  <si>
    <t>IEU-291</t>
  </si>
  <si>
    <t>KA-1575</t>
  </si>
  <si>
    <t>KA-1574</t>
  </si>
  <si>
    <t>MYS-833</t>
  </si>
  <si>
    <t>Haciz Ekleme ve Haciz Kaldırma Metni Alanlarına Karakter Sınırı Uyarısı Eklenmesi</t>
  </si>
  <si>
    <t>Haciz Ekleme ve Haciz Kaldırma Metni Alanlarının Default Satır Yüksekliği Düzenlenmesi</t>
  </si>
  <si>
    <t>MA3 API Mobil İmza Lisans Güncelleme Teknik Hazırlık ve Testleri</t>
  </si>
  <si>
    <t>MA3 API Ent Suit Güncellemeleri hk</t>
  </si>
  <si>
    <t>KEP Gönderim Sürecinin Tek Metot Altında Birleştirilmesi</t>
  </si>
  <si>
    <t>Docx Dönüşümü Windows Servis/Etys Entegrasyonu</t>
  </si>
  <si>
    <t>Docx Dönüşümü Portal Entegrasyonu</t>
  </si>
  <si>
    <t>MA3 API Lisans Güncelleme Testleri</t>
  </si>
  <si>
    <t>KA-1573</t>
  </si>
  <si>
    <t>EYP Oluşturma – Dağıtım Listesi Tablosunda Kolonların Genişletilmesi</t>
  </si>
  <si>
    <t>MU-184</t>
  </si>
  <si>
    <t>KEP İletisi Yanıtla Fonksiyonun Eklenmesi</t>
  </si>
  <si>
    <t>MU-185</t>
  </si>
  <si>
    <t>KEP İletisi İletme Fonksiyonun Eklenmesi</t>
  </si>
  <si>
    <t>UKDS-206</t>
  </si>
  <si>
    <t>MA3 API Lisans/DLL Güncelleme Test</t>
  </si>
  <si>
    <t>Araştırma- Mevcut Kütüphanelerin Güncellenmesi</t>
  </si>
  <si>
    <t>WIK-764</t>
  </si>
  <si>
    <t>TIM-455</t>
  </si>
  <si>
    <t>MUL-212</t>
  </si>
  <si>
    <t>KIK-156</t>
  </si>
  <si>
    <t>WIK-760</t>
  </si>
  <si>
    <t>KEP Delil Servisinde Yüksek Boyutların Servisten İndirilmesi</t>
  </si>
  <si>
    <t>WIK-759</t>
  </si>
  <si>
    <t>KEP Delil Raporunda Silme İşleminin Başarısız Olması</t>
  </si>
  <si>
    <t>WIK-761</t>
  </si>
  <si>
    <t>KEP İK Girişinde Pasif Hesapların Gözükmesi</t>
  </si>
  <si>
    <t>WIK-763</t>
  </si>
  <si>
    <t>Toplu PDF Parçalama İçerisinde Kontrol Adımı</t>
  </si>
  <si>
    <t>WIK-765</t>
  </si>
  <si>
    <t>Duyuru Raporlama Ekranında Filtreleme Alanlarının Düzenlenmesi</t>
  </si>
  <si>
    <t>WIK-767</t>
  </si>
  <si>
    <t>Duyuru Modülünde Çalışan Grubu Bazlı Gönderim İlişki Kurulması</t>
  </si>
  <si>
    <t>WIK-768</t>
  </si>
  <si>
    <t>Yeni Filtreleme Alanlarına Yönelik Excel Fonksiyon Güncellemeleri</t>
  </si>
  <si>
    <t>UKDS-205</t>
  </si>
  <si>
    <t>şlem Belgesinin PAdES-LTV formatında oluşturulması</t>
  </si>
  <si>
    <t>Watchers_4</t>
  </si>
  <si>
    <t>Prompt Güncellemesi</t>
  </si>
  <si>
    <t>YZCK-28</t>
  </si>
  <si>
    <t>Çalışan Grubu Alanının Duyuru Raporlama Filtreleme Ekranına Eklenmesi</t>
  </si>
  <si>
    <t>WIK-766</t>
  </si>
  <si>
    <t>Belge Raporlarında Yeni Açılan Dönemlerin Gelmemesi</t>
  </si>
  <si>
    <t>WIK-762</t>
  </si>
  <si>
    <t>Şifremi Unuttum/ KEP Adres Seçimine Göre Şifre Değişikliği</t>
  </si>
  <si>
    <t>MU-188</t>
  </si>
  <si>
    <t>MU-186</t>
  </si>
  <si>
    <t>ugur.acik</t>
  </si>
  <si>
    <t>Highest</t>
  </si>
  <si>
    <t>KEP CORE MA3 API Versiyon ve Lisans güncellemesi</t>
  </si>
  <si>
    <t>KEP-313</t>
  </si>
  <si>
    <t>KEP Sprint 2025/46-47</t>
  </si>
  <si>
    <t>Yeni Kepapi Versiyonunun Çıkarılması</t>
  </si>
  <si>
    <t>KEP-310</t>
  </si>
  <si>
    <t>KA-1572</t>
  </si>
  <si>
    <t>IEU Sprint 2025/35-44</t>
  </si>
  <si>
    <t>IEU Sprint 2025/35-43</t>
  </si>
  <si>
    <t>*Açıklama:*_x000D_
_x000D_
Bu task, yakın zamanda tamamlanan "UKDS Servisleri Entegrasyonunun" teknik detaylarını içeren kapsamlı bir dokümantasyon oluşturmayı amaçlamaktadır. _x000D_
_x000D_
*Amacı:*_x000D_
_x000D_
Bu servisleri kullanacak diğer ekipler veya uygulamalar için bir rehber oluşturmak._x000D_
_x000D_
*Dokümantasyonun Kapsamı ve İçermesi Gerekenler:*_x000D_
 # *Genel bakış ve amaç:* Bu entegrasyonun hangi iş ihtiyacını karşıladığı ve ne amaçla geliştirildiği._x000D_
 # *Mimari ve akış diyagramı*_x000D_
 # *Web servis endpoint'leri:* Eklenen tüm yeni endpoint'lerin listesi._x000D_
 # *Hata yönetimi ve kodları:* UKDS servisinden dönebilecek spesifik hata kodları ve bunların Entegrasyon Suit'te nasıl yorumlandığı._x000D_
 # *Örnek senaryo akışı*_x000D_
_x000D_
 _x000D_
_x000D_
http://192.168.124.186:8080/browse/IEU-228 JIRA kaydıyla oluşturulan diyagramlarda bu dokümana uygun bir şekilde eklenmelidir. </t>
  </si>
  <si>
    <t>25/Nov/25 2:13 PM;Remzi.Sefer;Entegrasyon Suit UKDS Güncelleme Alanları Taslak.docx;http://192.168.124.186:8080/secure/attachment/15727/Entegrasyon+Suit+UKDS+G%C3%BCncelleme+Alanlar%C4%B1+Taslak.docx</t>
  </si>
  <si>
    <t>22/Oct/25 3:23 PM;gulnur.aka;Entegrasyon Suit Web Servis Kılavuzu s.01.00.pdf;http://192.168.124.186:8080/secure/attachment/15672/Entegrasyon+Suit+Web+Servis+K%C4%B1lavuzu+s.01.00.pdf</t>
  </si>
  <si>
    <t>25/Nov/25 2:16 PM;Remzi.Sefer;UKDS 1.drawio.pdf;http://192.168.124.186:8080/secure/attachment/15728/UKDS+1.drawio.pdf</t>
  </si>
  <si>
    <t>25/Nov/25 2:17 PM;Remzi.Sefer;testpaydas-turkkep-tr-8020-swagger.pdf;http://192.168.124.186:8080/secure/attachment/15729/testpaydas-turkkep-tr-8020-swagger.pdf</t>
  </si>
  <si>
    <t>0|hzzzw8:</t>
  </si>
  <si>
    <t>25/Nov/25 2:16 PM;Remzi.Sefer;Merhaba,_x000D_
_x000D_
Entegrasyon Suit UKDS Güncelleme Alanları Taslak.docx taslak dosyası eklenmiştir._x000D_
 Eklenicek Görsel İş Akışı UKDS 1.drawio.pdf _x000D_
 Onayınız sonrası ilgili doküman Web Servis klavuzuna eklenecektir._x000D_
İlgili süreç ekte bulunan testpaydas-turkkep-tr-8020-swagger bilgisi üzerinden hazırlanmıştır._x000D_
 Eklenicek içerik ve akış için onayına sunarım._x000D_
 [~gulnur.aka]</t>
  </si>
  <si>
    <t>25/Nov/25 2:19 PM;Remzi.Sefer;Meerhaba Süreci Teste Alıp [~gulnur.aka] atamayı üzerine yaptım._x000D_
Taslak dokumanı onayladığında ilgili Klavuz dokümanına ekleme yapılıp talep kapatılacaktır._x000D_
Bilgine</t>
  </si>
  <si>
    <t>IDIS-Schematron Paketinin Güncellenmesi</t>
  </si>
  <si>
    <t>EFT-2346</t>
  </si>
  <si>
    <t>IDIS için DB, Model,Servis,XML Gösterim İşlemleri</t>
  </si>
  <si>
    <t>EFT-2345</t>
  </si>
  <si>
    <t>İnternet Satış Faturalarnın e-Arşiv Raporunda Zorunlu Alanlar Hk.</t>
  </si>
  <si>
    <t>EFT-2344</t>
  </si>
  <si>
    <t>InternetDetail Portalda Taslaklara Kopyalandığında Bilgilerin Sıfırlanması</t>
  </si>
  <si>
    <t>EFT-2343</t>
  </si>
  <si>
    <t>e-Arşiv Rapor İnternet Satış Bilgilerinde Gönderici VKN ile İlgili Düzeltme</t>
  </si>
  <si>
    <t>EFT-2342</t>
  </si>
  <si>
    <t>XML Note alanında YatırımTesvik Faturalarda KDV'li Halini Yazıyor</t>
  </si>
  <si>
    <t>EFT-2341</t>
  </si>
  <si>
    <t>EFT-2340</t>
  </si>
  <si>
    <t>e-Arşiv Fatura - Schematron Paketinin Güncellenmesi</t>
  </si>
  <si>
    <t>EFT-2339</t>
  </si>
  <si>
    <t>Lisans XML Güncellemesi Sonrası Yeni İmza Client .jar Yüklemesi</t>
  </si>
  <si>
    <t>EDF-795</t>
  </si>
  <si>
    <t>Muvafakatname Beratların İmzalanması Hk.</t>
  </si>
  <si>
    <t>EDF-794</t>
  </si>
  <si>
    <t>Raporlar&gt;Kullanıcı Raporları&gt;e-Fatura Raporlarını Alırken Hata Yaşanması</t>
  </si>
  <si>
    <t>DP-290</t>
  </si>
  <si>
    <t>Halkbank Projesi – İptal Statüsü Servis Tetikleme</t>
  </si>
  <si>
    <t>CRM-771</t>
  </si>
  <si>
    <t>Ent. Suit Sözleşme Ekranı - Tutar ve İlgili Kalem Alanları Düzeltme</t>
  </si>
  <si>
    <t>CRM-769</t>
  </si>
  <si>
    <t>Müşteri Ekranı | E-posta Alanı Zorunluluk Kontrolü</t>
  </si>
  <si>
    <t>CRM-768</t>
  </si>
  <si>
    <t>CRM-767</t>
  </si>
  <si>
    <t>E-Güven Servis</t>
  </si>
  <si>
    <t>CRM-766</t>
  </si>
  <si>
    <t>Müşterek Müşterilerde Doküman Onay Tipi Sınırlandırması</t>
  </si>
  <si>
    <t>CRM-765</t>
  </si>
  <si>
    <t>CRM-764</t>
  </si>
  <si>
    <t>CRM Satış Raporuna Hatalı Yansıyan Kayıt Tiplerinin İncelenmesi</t>
  </si>
  <si>
    <t>CRM-763</t>
  </si>
  <si>
    <t>* Müşteri ilgi seviyesi yanlış olan kayıtlar_x000D_
 ** 499624 - 484306 - 507053_x000D_
 * Müşteri ilgi seviyesi "yeni müşteri" fakat satış tipi çapraz ve ilave satış olan kayıtlar_x000D_
 ** 477171 - 483148 - 500840_x000D_
 * Ürün adında yenileme yok fakat satış tipi yenileme olan kayıtlar_x000D_
 ** 497839 - 495955 - 495966_x000D_
 * Müşteri ilgi seviyesi "mevcut müşteri" olan fakat satış tipi yeni satış olan kayıtlar_x000D_
 ** 499624 - 500193 - 486502_x000D_
 * Satış tipi yenileme olması gerekirken, çapraz ve ilave satış olan kayıtlar_x000D_
 ** 489641 - 489968 - 491061 -479097_x000D_
 * Satış tipi yeni satış olması gerekirken, çapraz ve ilave satış olan kayıtlar_x000D_
 ** 509091 - 509090 - 483148 - 484306_x000D_
 * Satış tipi yerinde hizmet olması gerekirken, yenileme olan kayıtlar_x000D_
 ** 505677 - 483148_x000D_
 * İlave stok kodu ile gelen fakat satış tipi ilave satış olarak gelmeyen kayıtlar_x000D_
 ** 509311 - 484749 - 492813</t>
  </si>
  <si>
    <t>;24/Dec/25 12:58 PM;gurkan.guney;7200</t>
  </si>
  <si>
    <t>;26/Dec/25 3:28 PM;gurkan.guney;1800</t>
  </si>
  <si>
    <t>24/Dec/25 12:58 PM;gurkan.guney;Kep Assist'in CRM ile herhangi bir entegrasyonu olmadığı için test edilemedi._x000D_
_x000D_
Entegrasyon Suit Çözüm ve Bulut olarak iki farklı senaryoda test edildi._x000D_
_x000D_
Sonradan eklenen modüllerin bitiş süresi, ana ürün sözleşmesi ile başarılı şekilde eşitlenmiş. Sonradan bir modül eklendiğinde bitiş süresi ana ürünün bitiş sözleşmesi ile aynı görünüyor._x000D_
_x000D_
Fakat sonradan eklenen modülün başlangıç tarihi de ana ürünün başlangıç tarihiyle eşitlenmiş durumda. Sonradan eklenen modül, hangi tarihte eklendiyse başlangıç tarihine o yansımalı.</t>
  </si>
  <si>
    <t>24/Dec/25 2:46 PM;baris.tunc;Modül ekle işleminden sonra başlangıç tarihi güncellemesi tespit edilmiş olup gerekli işlemler yapılmıştır.</t>
  </si>
  <si>
    <t>26/Dec/25 3:28 PM;gurkan.guney;Sonradan eklenen Ent. Suit modülün başlangıç tarihi de ana ürünün başlangıç tarihiyle eşitlenmiş durumda. Sonradan eklenen modül, hangi tarihte eklendiyse başlangıç tarihine o yansımalı.</t>
  </si>
  <si>
    <t>E-Defter Finansal Yıl Alanı</t>
  </si>
  <si>
    <t>CRM-698</t>
  </si>
  <si>
    <t>;25/Dec/25 1:21 PM;gurkan.guney;1800</t>
  </si>
  <si>
    <t>22/Sep/25 6:01 PM;gurkan.guney;İşlemler menüsünden KEP IK Kullanıcı Yetkilendirme modülü eklendi. Fakat o sırada işlem yetkilileri listelenmedi. Haliyle hangi yetkilinin admin olacağı belirlenemedi. Bu durumda 'Kep İk Kullanıcı Yetkilendir' butonuna basınca en az 1 admin seçilmelidir uyarısı geliyor ve ekran donuyor._x000D_
_x000D_
[http://10.1.20.180/index.php?module=AOS_Contracts&amp;action=DetailView&amp;record=a5148cf3-9782-11f0-a068-00505687203a]_x000D_
_x000D_
 _x000D_
 [gurkan.firma@kep.turkkep.com.tr|mailto:gurkan.firma@kep.turkkep.com.tr]_x000D_
  _x000D_
  </t>
  </si>
  <si>
    <t>24/Dec/25 1:43 PM;kemal.gur;Alınan hata için KEP IK tarafından aşağıdaki gibi yorum geldi._x000D_
_x000D_
Servisten admin yetkisi kullanıcıya verildi mi? Servisi ben kullanıyorum. Sorun yaşanmıyor. Kullanıcı yetkilendirmeyi aktif ettikten sonra işlem yetkilisine yetki verildi mi? Test hesabı bireysel bir hesap mı?</t>
  </si>
  <si>
    <t>25/Dec/25 1:21 PM;gurkan.guney;KEP IK servislerinde sorun bulunmuyor. Fakat CRM üzerinden mahremiyet modülü aktif edilip bir yetkili admin olarak tanımlandığında bu bilgiler IK'nın veritabanına ulaşmamış. Bu hesaba CRM üzerinden mahremiyet tanımlandı fakat IK tarafına bunu iletmemiş. Yani CRM'in mahremiyet modülünü ve admin kullanıcısını IK tarafına iletmesi gerekir.</t>
  </si>
  <si>
    <t>Portalda Taslak Fatura Güncellemede BuyerCustomerParty'nin XML'e Eklenmesi</t>
  </si>
  <si>
    <t>e-Fatura - Web Servis - İnşaat Demiri İzleme Sistemi (IDIS) Faturası Oluşturulup Gönderilmesi</t>
  </si>
  <si>
    <t>e-Fatura - Web Portal - İnşaat Demiri İzleme Sistemi (IDIS) Faturası Oluşturulup Gönderilmesi</t>
  </si>
  <si>
    <t>e-Fatura - Konektör - İnşaat Demiri İzleme Sistemi (IDIS) Faturası Oluşturulup Gönderilmesi</t>
  </si>
  <si>
    <t>MYS-837</t>
  </si>
  <si>
    <t>MU-193</t>
  </si>
  <si>
    <t>MU-192</t>
  </si>
  <si>
    <t>MU-190</t>
  </si>
  <si>
    <t>KA-1579</t>
  </si>
  <si>
    <t>KA-1578</t>
  </si>
  <si>
    <t>Toplu İmzalama İşleminde Buton İsim Kontrolünün Kaldırılması ve Akışın İyileştirilmesi</t>
  </si>
  <si>
    <t>Web üzerinden Çöp Kutusundan Gelen Kutusuna geri taşınan iletiler Mobil uygulamada listelenmiyor</t>
  </si>
  <si>
    <t>İK e-postalarındaki HTML yönlendirme ("Sayfaya Git") butonu görüntülenmiyo</t>
  </si>
  <si>
    <t>KEP İletisi Silme Yetkisi ve Onay Akışı</t>
  </si>
  <si>
    <t>Deliller Ekranı/ KEP İşlemleri Sütunu İçeriğinin Güncellenmesi</t>
  </si>
  <si>
    <t>API v2.4 POC'un İncelemesi ve Olası Değişiklik Senaryolarının Değerlendirilmesi</t>
  </si>
  <si>
    <t>IEU-299</t>
  </si>
  <si>
    <t>MU-198</t>
  </si>
  <si>
    <t>MU-197</t>
  </si>
  <si>
    <t>MU-200</t>
  </si>
  <si>
    <t>Uzaktan Kimlik Doğrulama Deeplink Akış Güncellemesi</t>
  </si>
  <si>
    <t>Mobil ve Web Mail Geçmiş İleti Senkronizasyonu Kontrolü</t>
  </si>
  <si>
    <t>Araştırma- Mobil Uygulamada KEP İletisin Çöp Kutusu Taşınması</t>
  </si>
  <si>
    <t>CRM-775</t>
  </si>
  <si>
    <t>MA3 API Güncelleme - CRM</t>
  </si>
  <si>
    <t>Halkbank Projesi - Servis Statü Tetikleme</t>
  </si>
  <si>
    <t>KİDOS - Hesap Durum Bildirimi</t>
  </si>
  <si>
    <t>e-Defter</t>
  </si>
  <si>
    <t>EDF-797</t>
  </si>
  <si>
    <t xml:space="preserve">Araştırma-Büyük Boyutlu Defterlerin Şematron Kontrollerinin Hızlanması Hakkında </t>
  </si>
  <si>
    <t>Log Work_6</t>
  </si>
  <si>
    <t>SonarQube Kod Analizi</t>
  </si>
  <si>
    <t>YZCK-33</t>
  </si>
  <si>
    <t>Gönderi Durum Raporu Tarih Aralığı Görüntülenmesi</t>
  </si>
  <si>
    <t>WIK-785</t>
  </si>
  <si>
    <t>Çalışan Grubu Excel yükleme Adımı</t>
  </si>
  <si>
    <t>WIK-784</t>
  </si>
  <si>
    <t>WIK-783</t>
  </si>
  <si>
    <t>*Amaç:*_x000D_
_x000D_
TÜBİTAK ücretli sürümü kapsamında sunulan API v2.4 POC’nin mevcut durumunun detaylı olarak analiz edilmesi ve olası bir paket değişikliğinin sistemimiz üzerindeki etkilerinin değerlendirilmesi amaçlanmaktadır._x000D_
_x000D_
Bu kapsamda;_x000D_
 * Olası versiyon değişikliklerinin sistemin üzerindeki etkilerinin belirlenmesi,_x000D_
_x000D_
 * Sistemimiz açısından riskli alanların ve bağımlılıkların tespit edilmesi,_x000D_
_x000D_
 * İlgili API v2.4 POC paketinin teknik açıdan test edilmesi,_x000D_
_x000D_
 * Canlı geçişinde ortaya çıkabilecek potansiyel sorunların önceden öngörülmesi,_x000D_
_x000D_
 * TÜBİTAK kaynaklı olarak daha önce karşılaşılan veya karşılaşılması muhtemel durumların  tespit edilmesi_x000D_
_x000D_
hedeflenmektedir._x000D_
_x000D_
 _x000D_
_x000D_
JAVA için; +[https://safirdepo.b3lab.org/baglanti-paylasimi/PuZ9v3tf3gFnKqspiITEJbs9W9Tqavkh]+_x000D_
.NET için; +[https://safirdepo.b3lab.org/baglanti-paylasimi/FJa2kpVHvWiEMBk4tw1n5fLE0RIK8Zqc]+</t>
  </si>
  <si>
    <t>KEP-314</t>
  </si>
  <si>
    <t>Gönderi Durum Raporu Sayfasında Tamamlanan Raporların Listenin Başına Taşınması</t>
  </si>
  <si>
    <t>WIK-782</t>
  </si>
  <si>
    <t>Gönderi Durumu Raporu Buton Başlığının Güncellenmesi</t>
  </si>
  <si>
    <t>WIK-781</t>
  </si>
  <si>
    <t>Çoklu PDF Yükle Butonu Tooltip Ekleme</t>
  </si>
  <si>
    <t>WIK-780</t>
  </si>
  <si>
    <t>Araştırma/ Ön Yüz Problemlerinin İncelenmesi</t>
  </si>
  <si>
    <t>WIK-779</t>
  </si>
  <si>
    <t>Arama Alanı İngilizce Terim Düzenlemesi ve Gönder Tuşunun Pasif Edilmesi</t>
  </si>
  <si>
    <t>WIK-778</t>
  </si>
  <si>
    <t>Toplu PDF Parçalama İçerisinde Kontrol Adımı-Önyüz</t>
  </si>
  <si>
    <t>WIK-777</t>
  </si>
  <si>
    <t>Backend -Duyuru Raporlama Ekranında Filtreleme Alanlarının Düzenlenmesi</t>
  </si>
  <si>
    <t>WIK-776</t>
  </si>
  <si>
    <t>Frontend- Duyuru Raporlama Ekranında Filtreleme Alanlarının Düzenlenmesi</t>
  </si>
  <si>
    <t>WIK-775</t>
  </si>
  <si>
    <t>Arama Fonksiyonu Performansı</t>
  </si>
  <si>
    <t>WIK-774</t>
  </si>
  <si>
    <t>WIK-773</t>
  </si>
  <si>
    <t xml:space="preserve"> Kullanıcı Bildirim Stratejisinin Analizi ve Uygulama Bazında Dokümantasyonu</t>
  </si>
  <si>
    <t>WIK-726</t>
  </si>
  <si>
    <t>Mobil İmza Adımında Sürecin Tamamlanmaması</t>
  </si>
  <si>
    <t>UKDS-211</t>
  </si>
  <si>
    <t>Başvuru adımında Mobil İmza ve Başvuru Sahibi TCKN Kontrolü</t>
  </si>
  <si>
    <t>UKDS-210</t>
  </si>
  <si>
    <t>Analiz- Müşterek Senaryolarda UKDS Süreçlerinin Dijitalleştirilmesi</t>
  </si>
  <si>
    <t>UKDS-209</t>
  </si>
  <si>
    <t>UKDS HSM İmza Kuyruk Yapısında Düzenleme</t>
  </si>
  <si>
    <t>UKDS-208</t>
  </si>
  <si>
    <t>Yeni satış/yenileme işlem kaydının iptali</t>
  </si>
  <si>
    <t>UEP-14</t>
  </si>
  <si>
    <t>TIM-456</t>
  </si>
  <si>
    <t>Admin Controller Altına SMS Detay Durum Sorgulama Metodu Eklenmesi</t>
  </si>
  <si>
    <t>SMSGW-13</t>
  </si>
  <si>
    <t>Ortak sms servisi için kuyruk yapısı</t>
  </si>
  <si>
    <t>SMSGW-5</t>
  </si>
  <si>
    <t>MYS-836</t>
  </si>
  <si>
    <t>MUL-213</t>
  </si>
  <si>
    <t>Geçici Şifre Senkronizasyon ve Statü Kontrolü Test</t>
  </si>
  <si>
    <t>MU-196</t>
  </si>
  <si>
    <t>Geçici Şifre Senkronizasyon Hatası</t>
  </si>
  <si>
    <t>MU-195</t>
  </si>
  <si>
    <t>Geçmiş İletilerin Listelenmemesi</t>
  </si>
  <si>
    <t>MU-194</t>
  </si>
  <si>
    <t>Çöp Kutusu Klasörü Eklenmesi</t>
  </si>
  <si>
    <t>MU-191</t>
  </si>
  <si>
    <t>BE - Paket Seçimi Sonrasında Kullanıcının Ödeme Alanına Yönlendirilmesi ve Ödeme Tamamlanmadan Sürece Devam Edilmemesi</t>
  </si>
  <si>
    <t>KEP-315</t>
  </si>
  <si>
    <t>09/Jan/26 12:14 AM;gulnur.aka;TURKKEP.zip;http://192.168.124.186:8080/secure/attachment/15821/TURKKEP.zip</t>
  </si>
  <si>
    <t>KEP Sprint 2025/48-49</t>
  </si>
  <si>
    <t>Sub-Task Kolon Düzenlemesi ve Controller Yapısı Hk.</t>
  </si>
  <si>
    <t>KA-1580</t>
  </si>
  <si>
    <t>EFT Sprint 2026/3-4</t>
  </si>
  <si>
    <t>EFT-2351</t>
  </si>
  <si>
    <t>EDF Sprint 2026/3-4</t>
  </si>
  <si>
    <t>EDF-796</t>
  </si>
  <si>
    <t>Gri Liste - Ek Geliştirme</t>
  </si>
  <si>
    <t>CRM-777</t>
  </si>
  <si>
    <t>Cep Telefonu Alanında +90 Ülke Kodu Tanımlanması</t>
  </si>
  <si>
    <t>CRM-776</t>
  </si>
  <si>
    <t>Datassist &amp; CRM Entegrasyon Özlük Numarası</t>
  </si>
  <si>
    <t>CRM-759</t>
  </si>
  <si>
    <t>Kurumsal KEP - Ek İşlem Yetkilisi</t>
  </si>
  <si>
    <t>CRM-758</t>
  </si>
  <si>
    <t>Kurumsal çözüm ürünlerinde (Ent. Suit) modüllerin bitiş süresi ile ana ürün sözleşme bitiş süresi eşitlenmelidir.</t>
  </si>
  <si>
    <t>;30/Dec/25 12:45 PM;gurkan.guney;3600</t>
  </si>
  <si>
    <t>Talep edilen güncellemeler yapıldı_x000D_
 ;08/Jan/26 7:19 AM;baris.tunc;7200</t>
  </si>
  <si>
    <t>Modül ekle işleminden sonra başlangıç tarihi güncellemesi tespit edilmiş olup gerekli işlemler yapılmıştır.;08/Jan/26 7:20 AM;baris.tunc;3600</t>
  </si>
  <si>
    <t>Sonradan eklenen Ent. Suit modülün başlangıç tarihi de ana ürünün başlangıç tarihiyle eşitlenmiş durumda. Sonradan eklenen modül, hangi tarihte eklendiyse başlangıç tarihine o yansı sağlanmıştır;08/Jan/26 7:21 AM;baris.tunc;3600</t>
  </si>
  <si>
    <t>08/Jan/26 7:41 AM;baris.tunc;image-2026-01-08-08-41-44-635.png;http://192.168.124.186:8080/secure/attachment/15816/image-2026-01-08-08-41-44-635.png</t>
  </si>
  <si>
    <t>29/Dec/25 1:17 PM;baris.tunc;İlgili düzenleme yapılmıştır tekrar deneyiniz</t>
  </si>
  <si>
    <t>30/Dec/25 12:45 PM;gurkan.guney;Sonradan eklenen ent. suit modülünün başlangıç tarihi eklenme tarihi olarak değil, ana ürünün başlangıç tarihi olarak geliyor. Hangi tarihte eklendiyse başlangıç tarihi de o olması gerekiyor.</t>
  </si>
  <si>
    <t>08/Jan/26 7:42 AM;baris.tunc;!image-2026-01-08-08-41-44-635.png!_x000D_
_x000D_
 _x000D_
_x000D_
Modül eklendikten sonra Kullanım başlangıç tarihinin eklenen tarih olarak göründüğü tespit edilmiştir</t>
  </si>
  <si>
    <t>CRM-783</t>
  </si>
  <si>
    <t>Halkbank Projesi - Firma Cep No Alanı</t>
  </si>
  <si>
    <t>CRM-784</t>
  </si>
  <si>
    <t>Ent. Suit Modül Ekleme - İşlem Kaydı Sözleşme Zorunluluğu</t>
  </si>
  <si>
    <t>CRM-786</t>
  </si>
  <si>
    <t>Üretim Modülü Ek Geliştirme - Tip Alanı</t>
  </si>
  <si>
    <t>CRM-787</t>
  </si>
  <si>
    <t>Kısmi İade Fatura - Ek Düzenleme</t>
  </si>
  <si>
    <t>CRM-780</t>
  </si>
  <si>
    <t>E-Güven Servis - İmza Yenileme Tarihi</t>
  </si>
  <si>
    <t>CRM-789</t>
  </si>
  <si>
    <t>CRM&amp;MultiKEP Ent. - Ek Geliştirme</t>
  </si>
  <si>
    <t>CRM-788</t>
  </si>
  <si>
    <t>Sipariş İptal - KEP Adresinin Boşa Çıkarılması</t>
  </si>
  <si>
    <t>CRM-782</t>
  </si>
  <si>
    <t>14 Gün İçerisinde E-Devlet Onayı Verilmeyen Kayıtlar</t>
  </si>
  <si>
    <t>CRM-785</t>
  </si>
  <si>
    <t>İK Entegrasyon Ürünleri - Ent. Suit Entegrasyonu</t>
  </si>
  <si>
    <t>CRM-790</t>
  </si>
  <si>
    <t>Toplu Açılış - Ek Düzenleme</t>
  </si>
  <si>
    <t>WIK-790</t>
  </si>
  <si>
    <t>Kullanıcı Yetkilendirme Modülü Kullanan Yetkisi Kısıtlı Müşterilerde Aynı Aya Ait Dönemlerin Birden Fazla Gözükmesi</t>
  </si>
  <si>
    <t>EDF-803</t>
  </si>
  <si>
    <t>Envanter Defteri Sekmelerinin Eklenmesi</t>
  </si>
  <si>
    <t>EDF-802</t>
  </si>
  <si>
    <t>e-Defter Paketi Güncellemesi</t>
  </si>
  <si>
    <t>EDF-801</t>
  </si>
  <si>
    <t>e-Defter Alanına Envanter Defteri Alanı</t>
  </si>
  <si>
    <t>EDF-799</t>
  </si>
  <si>
    <t>Muvafakatnamede İmza Hatası Düzeltilmesi</t>
  </si>
  <si>
    <t>EFT-2362</t>
  </si>
  <si>
    <t>Konnektörde Hata Bildir&gt;Hızlı Test Butonu Kaldırma</t>
  </si>
  <si>
    <t>EFT-2361</t>
  </si>
  <si>
    <t>Portal - Excele Döviz Kuru Sütununun Eklenmesi</t>
  </si>
  <si>
    <t>EFT-2360</t>
  </si>
  <si>
    <t>Web Servis - e-Fatura ve e-Arşiv Fatura Yatırım Teşvik Senaryosu ve Tiplerin Eklenmesi</t>
  </si>
  <si>
    <t>EFT-2359</t>
  </si>
  <si>
    <t>Konektör - e-Fatura ve e-Arşiv Fatura Yatırım Teşvik Senaryosu ve Tiplerin Eklenmesi</t>
  </si>
  <si>
    <t>EFT-2358</t>
  </si>
  <si>
    <t>YTB - XSLT Dosyalarının Güncellenmesi</t>
  </si>
  <si>
    <t>EFT-2357</t>
  </si>
  <si>
    <t>EFT-2356</t>
  </si>
  <si>
    <t>GİB - e-Arşiv Paket Güncellemesi (v1.1_7)</t>
  </si>
  <si>
    <t>WIK Sprint 2026/ 3-4</t>
  </si>
  <si>
    <t>KEP Arama-Filtreleme/ Sonuç Listesine Sağ Scroll Eklenmesi</t>
  </si>
  <si>
    <t>MU-207</t>
  </si>
  <si>
    <t>KEP Gönderme Ekranında Eklenen Eklerin İçeriklerinin İndirilmesi</t>
  </si>
  <si>
    <t>MU-205</t>
  </si>
  <si>
    <t>Şifremi Unuttum Akışında UI/UX Düzenlemeleri ve Veri Tutarlılığı İyileştirmeleri</t>
  </si>
  <si>
    <t>MU-204</t>
  </si>
  <si>
    <t>Şifre Değişikliği Ekranında “Güncelle” Butonunun Tüm Cihaz ve Versiyonlarda Doğru Görüntülenmesi</t>
  </si>
  <si>
    <t>MU-203</t>
  </si>
  <si>
    <t>İleti/ Metin Sayfaya Sığmadığında Yatay Scroll Yapılabilir Alanın Kullanıcıya Gösterilmesi</t>
  </si>
  <si>
    <t>MU-202</t>
  </si>
  <si>
    <t>KEP İletisi Detay, Yanıtla ve İlet Akışlarında Eklerin Tıklanabilir, Görüntülenebilir ve Kaldırılabilir Olması</t>
  </si>
  <si>
    <t>MU-201</t>
  </si>
  <si>
    <t>KEP Sprint 2026/3-4</t>
  </si>
  <si>
    <t>Bilgilendirme Mailinde Alıcı Kurum Adı #to Alanının Boş Gelmesi Testleri</t>
  </si>
  <si>
    <t>KA-1585</t>
  </si>
  <si>
    <t>HSM Advanced Metodunda Yanlış Parametre İsmi ve Argument Type Hatası</t>
  </si>
  <si>
    <t>IEU-311</t>
  </si>
  <si>
    <t>IEU Sprint 2026/3-4</t>
  </si>
  <si>
    <t>Çoklu İmzalama Süreçlerinde PAdES ve XAdES Format Hataları / 500 Internal Error</t>
  </si>
  <si>
    <t>IEU-310</t>
  </si>
  <si>
    <t>HSM Sign Metotlarında Parametreden Bağımsız Sabit "CAdES-BES" İmza Atılması</t>
  </si>
  <si>
    <t>IEU-309</t>
  </si>
  <si>
    <t>Entegrasyon Testleri</t>
  </si>
  <si>
    <t>IEU-308</t>
  </si>
  <si>
    <t>IEU-307</t>
  </si>
  <si>
    <t>/api/v1/sign/base64 Metodunda Çoklu E-İmza Seçim Sorunu</t>
  </si>
  <si>
    <t>IEU-306</t>
  </si>
  <si>
    <t>cardType Parametresinin Eklenmesi (Çoklu E-İmza Desteği)</t>
  </si>
  <si>
    <t>IEU-305</t>
  </si>
  <si>
    <t>MA3 API imza-client-2.1.0.jar Entegrasyon Testleri</t>
  </si>
  <si>
    <t>IEU-304</t>
  </si>
  <si>
    <t>Mobil İmza: İmza Tipinin "Tümleşik"ten "Ayrık İmza"ya Dönüştürülmesi</t>
  </si>
  <si>
    <t>IEU-303</t>
  </si>
  <si>
    <t>Müşteri Ticari Sicil No Alanı</t>
  </si>
  <si>
    <t>CRM-791</t>
  </si>
  <si>
    <t>E-İmzanın "*yenileme tarih/saat*" bilgisi E-Güven tarafından beslenecektir, dolayısıyla E-Güven tarafına verilmek üzere bir servis hazırlanması gerekmektedir._x000D_
_x000D_
Servis ile alınan yenileme tarih/saat bilgisi, CRM sisteminde teklife bağlı oluşan "*yenileme*" ekranında yeni bir alan açılarak yazılmalıdır._x000D_
_x000D_
Mevcutta yenileme ekranında uygula butonuna basıldığı zaman teklife bağlı olarak 1-3 yıl olacak şekilde mevcut sipariş detayı ve sözleşme ekranlarında yer alan bitiş süresi alanı otomatik olarak uzar. E-İmza yenileme tarih/saat bilgisi alanına, tarih/saat bilgisi yazıldıktan sonra mevcut sipariş detayı ve mevcut sözleşme ekranlarında servis bitiş süresi güncellenmelidir._x000D_
_x000D_
Yenileme kayıtlarının ayrımını yapabilmek için E-Güven tarafından yenileme kayıtları için uniq bir değer bilgisi beklenmektedir._x000D_
_x000D_
*E-İmza Yenileme Tarihi:* Müşterinin 45 günlük yenileme süresi içerisinde yenileme işlemini gerçekleştirdiği tarih/saat bilgisidir.</t>
  </si>
  <si>
    <t>Soap servisleri yazıldı;19/Jan/26 2:43 PM;baris.tunc;14400</t>
  </si>
  <si>
    <t>Soap servisleri tamamlandı;19/Jan/26 2:43 PM;baris.tunc;18000</t>
  </si>
  <si>
    <t>19/Jan/26 2:42 PM;baris.tunc;Yenileme Modülü "Tarih-Saat" tipinde "renewal_date" isimli yeni bir alan açılmalıdır</t>
  </si>
  <si>
    <t>E-Güven Servis - İmza Üretim Tarihi &amp; İmza Güncel Durumu</t>
  </si>
  <si>
    <t>E-Güven E-İmza kayıtları için "E-İmza Üretim Tarihi ve İmzanın güncel durum" bilgileri E-Güven tarafından beslenecektir, dolayısıyla E-Güven tarafına verilmek üzere bir servis hazırlanması gerekmektedir._x000D_
_x000D_
 _x000D_
_x000D_
*E-İmza Üretim Tarih/Saati:* Sipariş detayı ekranında yer alan "*Servis Başlangıç Tarihi*" alanına yazılmalıdır. (Servis bitiş tarihi alanı ise servis başlangıcından itibaren teklif süresine göre 1-3 yıl olarak yazılmalıdır.)_x000D_
_x000D_
*İmzanın Güncel Durumu:* Aktif, Askıda ve İptal statüleri güncel duruma göre sipariş detayı ekranında "*Entegrasyon Durum*" alanına yazılmalıdır._x000D_
_x000D_
 _x000D_
_x000D_
*Mevcutta sipariş detayı ekranında bulunan bulunan Servis Başlangıç Tarihi alanının tipi tarih/saat olarak değiştirilmelidir.*_x000D_
_x000D_
 _x000D_
_x000D_
Sipariş detayı ekranında yer alan "E-İmza Üretim Tarihi" alanı farklı alanlarda kullanılmamaktadır. Sertifikanın üretildiği tarih servis başlangıç alanına yazılacağı için e-imza üretim tarihi alanı boşa çıkacaktır._x000D_
_x000D_
 _x000D_
_x000D_
E-İmza Üretim Tarihi: Sertifikanın tokena yüklendiği (üretildiği) tarih/saat bilgisidir._x000D_
_x000D_
E-İmza Yenileme Tarihi: Müşterinin 45 günlük yenileme süresi içerisinde yenileme işlemini gerçekleştirdiği tarih/saat bilgisidir.</t>
  </si>
  <si>
    <t>İlgili alanların eklene bilmesi için servis tarafında çalışmalar yapıldı;09/Jan/26 4:29 PM;baris.tunc;25200</t>
  </si>
  <si>
    <t>09/Jan/26 9:10 AM;baris.tunc;Canlı ortam Yenileme modülünde "adv_servis_yenileme_tarihi =&gt; Servis Yenileme Tarihi" alanı oluşturulması gerekmektedir.</t>
  </si>
  <si>
    <t>tamamlandı;21/Jan/26 4:39 PM;ahmet.hekim;48600</t>
  </si>
  <si>
    <t>21/Jan/26 4:37 PM;ahmet.hekim;Müşteri ilgi seviyesi yanlış olan kayıtlar_x000D_
499624 - 484306 - 507053_x000D_
_x000D_
* müşteri ilgi seviyesi: müsterinin, fatura tarihlerinin 365 günden büyük mü kuralına bakıyor, incelediğimde 2025 den önceki müşteriler yeni 2025 den sonraki müşteriler mevcut gözükmektedir. _x000D_
_x000D_
Müşteri ilgi seviyesi "yeni müşteri" fakat satış tipi çapraz ve ilave satış olan kayıtlar_x000D_
477171 - 483148 - 500840_x000D_
* müşterini geçmiş faturları oldugu için  çapraz ve ilave satış durumlarını almıştır."_x000D_
_x000D_
Ürün adında yenileme yok fakat satış tipi yenileme olan kayıtlar_x000D_
497839, 495955, 495966_x000D_
* eski kurala dolan kayıt, düzeltildi_x000D_
_x000D_
Müşteri ilgi seviyesi "mevcut müşteri" olan fakat satış tipi yeni satış olan kayıtlar_x000D_
499624_x000D_
 * ilgi seviyesi :yeni müşteri , ürün kalemleri yeni satıştır._x000D_
500193,486502_x000D_
* eski kurala dolan kayıt, düzeltildi_x000D_
_x000D_
Satış tipi yenileme olması gerekirken, çapraz ve ilave satış olan kayıtlar_x000D_
489641,489968_x000D_
aynı müşteriye ait faturalardır, bir ürün kalemi düzeltilmiştir._x000D_
491061_x000D_
* müşteri ürün kalemleri düzeltilmiştir._x000D_
_x000D_
479097_x000D_
* düzeltdilicek bir kayıt bulunamadı._x000D_
_x000D_
Satış tipi yeni satış olması gerekirken, çapraz ve ilave satış olan kayıtlar_x000D_
509091 - 509090 - 483148 - 484306_x000D_
* müşterini geçmiş faturları oldugu için  çapraz ve ilave satış durumlarını almıştır."_x000D_
_x000D_
_x000D_
Satış tipi yerinde hizmet olması gerekirken, yenileme olan kayıtlar_x000D_
505677_x000D_
* düzeltildi_x000D_
483148_x000D_
* yerinde hizmet ürün kalemi yoktur._x000D_
_x000D_
İlave stok kodu ile gelen fakat satış tipi ilave satış olarak gelmeyen kayıtlar_x000D_
509311 - 484749_x000D_
* düzeltildi._x000D_
492813_x000D_
ilave ürün kalemi yoktur.</t>
  </si>
  <si>
    <t>İlgili sipariş detayı ekranlarına tarihlerin eşitlenebilmesi için buton eklendi ve arka tarafta eşitleme işlemleri sürdürüldü;14/Jan/26 1:45 PM;baris.tunc;18000</t>
  </si>
  <si>
    <t>Sipariş detayı ekranlarındaki butona basıldığında ilgili sözleşme ve sipariş detaylari tarihleri güncellenmesi sağlandı;14/Jan/26 1:45 PM;baris.tunc;10800</t>
  </si>
  <si>
    <t>;11/Jan/26 2:15 PM;gurkan.guney;3600</t>
  </si>
  <si>
    <t>11/Jan/26 2:15 PM;gurkan.guney;Daha önceden bir Suit teklifi varsa ve ek modül teklifi girildiyse, yeni girilen teklifin başlangıç tarihi ilk girilen teklifin tarihi ile eşitleniyor. Aşağıdaki işlem 11.01.2026 tarihinde yapılmış olmasına rağmen Kullanım Başlangıç Tarihi: 17/12/2025 olarak görünüyor. Kullanım Başlangıç Tarihi: 11/01/2026 olarak görünmesi lazım._x000D_
_x000D_
[http://10.1.20.180/index.php?module=adv_Transactions&amp;action=DetailView&amp;record=c8221a06-0499-e2dd-84b8-696391bd9e31]_x000D_
_x000D_
 _x000D_
_x000D_
Bu müşteriye girilen ilk suit teklif işlemi aşağıdadır. Başlangıç tarihini oradan almış._x000D_
_x000D_
http://10.1.20.180/index.php?module=adv_Transactions&amp;action=DetailView&amp;record=a5da092b-8f90-ae5f-3820-6942c8b175e4</t>
  </si>
  <si>
    <t>IEU-320</t>
  </si>
  <si>
    <t>İmzalama Metotlarında Farklı Formatlı Ardışık İmza Hatası</t>
  </si>
  <si>
    <t>HSM Merkezi İmza Servisi: Linux Sunucu Kurulumu ve imza-client Uygulama Çalışması</t>
  </si>
  <si>
    <t>Akbank Haciz Gönderim Servisi Performans Sorunu ve Süre İyileştirmesi Talebi</t>
  </si>
  <si>
    <t>MU-209</t>
  </si>
  <si>
    <t>Doğrulama Kodu Süresi Dolduğunda “Tekrar Kod Gönder” Akışının Eklenmesi</t>
  </si>
  <si>
    <t>IEU-321</t>
  </si>
  <si>
    <t>KA-1587</t>
  </si>
  <si>
    <t>KA-1586</t>
  </si>
  <si>
    <t>MU-211</t>
  </si>
  <si>
    <t>MU-210</t>
  </si>
  <si>
    <t>MYS-843</t>
  </si>
  <si>
    <t>MYS-844</t>
  </si>
  <si>
    <t>MYS-846</t>
  </si>
  <si>
    <t>IEU-322</t>
  </si>
  <si>
    <t>MYS-848</t>
  </si>
  <si>
    <t>Client ve PDF Dönüşüm Sunucusu Arasındaki İletişimin Şifrelenmesi</t>
  </si>
  <si>
    <t>Bilgilendirme Mailinde Alıcı Kurum Adı (#to) Parametresinin Boş Gelmesi</t>
  </si>
  <si>
    <t>Desteklenmeyen Ekleri Görüntülenememesiyle ilgili Kullanıcılara Uyarı Gösterilmesi</t>
  </si>
  <si>
    <t>Mobil İmzalama Akışında Seçim Yapılan Operatörün Tutulması</t>
  </si>
  <si>
    <t>Posta Kutuları- Excel Aktarım Hatası (Tarih Filtresi ve JS TypeError)</t>
  </si>
  <si>
    <t>Ekli Gönderimlerde "500 Internal Server Error" Hatası</t>
  </si>
  <si>
    <t>Ana Sayfa Görevlerimin Yetki Bazlı Kaldırılması</t>
  </si>
  <si>
    <t>EYP 1.3 Parser Controller: download/ek Metodunda 401 Unauthorized Hatası</t>
  </si>
  <si>
    <t>Giden Kutusu EYP Eklerini İndirme Hatası</t>
  </si>
  <si>
    <t>IEU-316</t>
  </si>
  <si>
    <t>IEU-317</t>
  </si>
  <si>
    <t>IEU-318</t>
  </si>
  <si>
    <t>IEU-324</t>
  </si>
  <si>
    <t>KA-1588</t>
  </si>
  <si>
    <t>Klasör İsim Güncelleme Sorunu</t>
  </si>
  <si>
    <t>Türkçe Karakter ve UID Getirme Hatası</t>
  </si>
  <si>
    <t>Silinen Klasör Verisinin API Üzerinden Erişilebilir Olması</t>
  </si>
  <si>
    <t>Analiz- On-Prem Uygulama Otomatik Deploy Edilebilmesi</t>
  </si>
  <si>
    <t>Prod ortamda Türkçe olmayan kelimelerin tespit edilmesi ve Türkçeleştirilmesi</t>
  </si>
  <si>
    <t>CRM-799</t>
  </si>
  <si>
    <t>UKDS ve MU için Geliştirilen Ödeme Servisi - Hata Mesajları</t>
  </si>
  <si>
    <t>CRM-801</t>
  </si>
  <si>
    <t>CRM-800</t>
  </si>
  <si>
    <t>CRM-798</t>
  </si>
  <si>
    <t>CRM-795</t>
  </si>
  <si>
    <t>CRM-762</t>
  </si>
  <si>
    <t>Password Alanı Güncelleme</t>
  </si>
  <si>
    <t>İK Entegrasyon Ürünleri - Ent. Suit Entegrasyonu Yenileme</t>
  </si>
  <si>
    <t>RezervKEP Metoduna Order ID Parametresinin Eklenmesi</t>
  </si>
  <si>
    <t>E-Ödeme Servisi - Ek Geliştirme</t>
  </si>
  <si>
    <t>CRM Satış Raporu – Müşteri İlgi Seviyesi Tanımlama Kuralları</t>
  </si>
  <si>
    <t>WIK Sprint 2026/ 5-6</t>
  </si>
  <si>
    <t>Kullanıcı Yetkilendirme Modül İsimlerinin İngilizce Gözükmesi</t>
  </si>
  <si>
    <t>WIK-795</t>
  </si>
  <si>
    <t>Duyuru Modülü Sayfası Düzenleme</t>
  </si>
  <si>
    <t>WIK-794</t>
  </si>
  <si>
    <t>WIK-792</t>
  </si>
  <si>
    <t>KEPSprint 2026/5-6</t>
  </si>
  <si>
    <t>IEU Sprint 2026/5-6</t>
  </si>
  <si>
    <t>05/Feb/26 9:17 AM;gulnur.aka;[~Remzi.Sefer] Selam, _x000D_
_x000D_
Dokümanlarda yer alan kısımlarda  /integration/crm (POST) metotunu entegrasyon yapan müşterilerimiz kullanmayacak onun kontrolünü yapabilir misin. _x000D_
_x000D_
Mevcut dokümana ekleme aşamasında ilerlemeden sonra wordingler için tekrar bakmak isterim.</t>
  </si>
  <si>
    <t>EFT Sprint 2026/5-6</t>
  </si>
  <si>
    <t>CRM Sprint 2026/5-6</t>
  </si>
  <si>
    <t>CRM&amp;MultiKEP Entegrasyonu kapsamında CRM sistemi üzerinden MultiKEP aktarımı yapılırken işlem yetkilileri de aktarılmaktadır. Mevcutta firma altında kaç adet işlem yetkilisi varsa hepsini aktarmaktadır. _x000D_
_x000D_
İşlem yetkilisi aktarımı yapılırken kaç adet işlem yetkilisi var ise MultiKEP aktar butonuna tıklandığında pop-up ekranda işlem yetkililieri listelenmeli ve seçilebilmelidir. Seçilen işlem yetkilileri MultiKEP tarafına aktarılmalıdır._x000D_
_x000D_
Aktarımı yapılmayan işlem yetkilileri de sonrasında işlem yetkilisi ekranından MultiKEP Aktar butonu ile aktarılabilmelidir. </t>
  </si>
  <si>
    <t>Multikep aktar butonuna basıldıktan sonra sözleşmeye bağlı işlem yetkililerinin selectbox ile listelenebilmesi için önyüz çalışması yapıldı;30/Jan/26 8:38 AM;baris.tunc;18000</t>
  </si>
  <si>
    <t>Multikep aktar butonuna basıldıktan sonra sözleşmeye bağlı işlem yetkililerinin selectbox ile listelenebilmesi için önyüz geliştirmeleri tamamlandı;30/Jan/26 8:39 AM;baris.tunc;18000</t>
  </si>
  <si>
    <t>Sözleşmeye daha sonra eklenen işlem yetkililerinin, işlem yetkilileri detay sayfasından aktar butonu ile entegrasyonu yapıldı;30/Jan/26 8:40 AM;baris.tunc;18000</t>
  </si>
  <si>
    <t>* *Gri Listedeki Bir Müşteri Teklif Oluşturursa;*_x000D_
_x000D_
Oluşturulan teklif ve teklife bağlı işlemler onay süreci tamamlanmadan ilerletilemez. Onay süreci sırası ile ilerletilmelidir. Onay süreci tamamlanır ise süreç ilerletilebilir._x000D_
_x000D_
Teklif onayının üzerinden *45 gün* geçtikten sonra mevcut teklife bağlı herhangi bir işlem yapılmak istenirse ilk yapılmak istenilen işlem kaydında onay süreci işletilmelidir. Onay süreci tamamlandıktan sonra mevcut teklife bağlı kalan kayıtlar onay süreci gerektirmeden yapılabilmelidir._x000D_
 * *Mevcutta Kayıtlı Uygulanmamış İşlemleri Varken Sonradan Gri Listeye Alınan Müşteri Kaydı İçin;***_x000D_
_x000D_
Mevcuttaki teklife bağlı uygulanmamış bir işlem ekranında kaydet butonuna tıklandığında onay süreci işletilmelidir. Onay süreci sırası ile ilerlemelidir. Onay süreci tamamlanır ise süreç ilerletilebilir. Onay süreci tamamlandıktan sonra mevcut teklife bağlı kalan diğer kayıtlar onay süreci gerektirmeden yapılabilmelidir._x000D_
_x000D_
Onay üzerinden *45 gün* geçtikten sonra mevcut teklife bağlı herhangi bir işlem yapılmak istenirse yine ilk yapılmak istenilen işlem kaydında onay süreci işletilmelidir. Onay süreci tamamlandıktan sonra mevcut teklife bağlı kalan kayıtlar onay süreci gerektirmeden yapılabilmelidir._x000D_
_x000D_
İşlem ekranında kaydet butonuna tıklanması ile bir uyarı mesajı gösterilmelidir. Sonrasında onay süreci mevcut teklif ekranından tekrar onaya gönder butonu ile başlatılabilmelidir._x000D_
_x000D_
Uyarı Mesajı: Teklif onayı üzerinden 45 gün geçtiği için işlemler tekrardan onay sürecine tabidir. Mevcut teklif ekranından tekrar onaya gönder butonu ile süreci ilerletebilirsiniz._x000D_
_x000D_
 _x000D_
_x000D_
Her teklife bağlı onay tamamlandıktan sonra 45 gün geçerse onay süreci tekrar işletilmelidir._x000D_
_x000D_
 </t>
  </si>
  <si>
    <t>21/Jan/26 10:26 AM;kemal.gur;Gri Liste Onay Süreci.jpg;http://192.168.124.186:8080/secure/attachment/15850/Gri+Liste+Onay+S%C3%BCreci.jpg</t>
  </si>
  <si>
    <t>e-Envanter Defteri - Client İmzalama İşlemleri</t>
  </si>
  <si>
    <t>EDF-815</t>
  </si>
  <si>
    <t>e-Defter Sözleşme Ekranında Link Güncellenmesi</t>
  </si>
  <si>
    <t>EDF-814</t>
  </si>
  <si>
    <t>e-Envanter Defteri - Şematron Kontrolü Alanı</t>
  </si>
  <si>
    <t>EDF-813</t>
  </si>
  <si>
    <t>Anasayfa - Envanter Defteri Berat Widget Alanı</t>
  </si>
  <si>
    <t>EDF-812</t>
  </si>
  <si>
    <t>EDF-808</t>
  </si>
  <si>
    <t>e-Envanter Defteri - Envanter İşlemleri</t>
  </si>
  <si>
    <t>EDF-811</t>
  </si>
  <si>
    <t>Rapor - Envanter Berat Durum Alanının Eklenmesi</t>
  </si>
  <si>
    <t>EDF-809</t>
  </si>
  <si>
    <t>Anasayfa - Envanter Defteri Widget Alanı</t>
  </si>
  <si>
    <t>EFT-2367</t>
  </si>
  <si>
    <t>Giden Fatura Kalemleri Raporu Benzeri Bir e-Arşiv Fatura Alanı Açılması</t>
  </si>
  <si>
    <t>EFT-2368</t>
  </si>
  <si>
    <t>GİB Şematron Paketi Birleştirme Sistemi</t>
  </si>
  <si>
    <t>WIK-796</t>
  </si>
  <si>
    <t>E imzalıdır Logosu Bulanık Gelmesi</t>
  </si>
  <si>
    <t>WIK-793</t>
  </si>
  <si>
    <t>Belge Üzerine Eklenen Doğrulama Kodu için Ölçeklendirme</t>
  </si>
  <si>
    <t>UKDS-214</t>
  </si>
  <si>
    <t>Ana Servis Sunucusunda DB Performans Çalışması</t>
  </si>
  <si>
    <t>UKDS-215</t>
  </si>
  <si>
    <t>Servis Katmanı Refactor Çalışması</t>
  </si>
  <si>
    <t>WIK-803</t>
  </si>
  <si>
    <t>Belirli Filtre Seçimlerinde “Tekrar Gönder” Butonunun Gösterilmemesi</t>
  </si>
  <si>
    <t>WIK-800</t>
  </si>
  <si>
    <t>Çalışan Gönderim Detaylarında 3 aydan Eski Kayıtlar için Bilgilendirme Uyarısı Eklenmesi</t>
  </si>
  <si>
    <t>WIK-791</t>
  </si>
  <si>
    <t>Duyuru Modülünde Çoklu Grup Seçimi ve Grup Dışı Çalışanları Ekleme Özelliği</t>
  </si>
  <si>
    <t>MU-215</t>
  </si>
  <si>
    <t>KA-1591</t>
  </si>
  <si>
    <t>Mobil Uygulama UKDS Süreç ve Ödeme Akış Event'lerinin Entegrasyonu</t>
  </si>
  <si>
    <t>Kullanıcı Tanımlamalarının Log İnceleme Talebi</t>
  </si>
  <si>
    <t>MU-217</t>
  </si>
  <si>
    <t>MU-216</t>
  </si>
  <si>
    <t>MU-218</t>
  </si>
  <si>
    <t>IEU-323</t>
  </si>
  <si>
    <t>KA-1595</t>
  </si>
  <si>
    <t>KA-1594</t>
  </si>
  <si>
    <t>Mailbox Menü Geçişlerinde Index Hatası</t>
  </si>
  <si>
    <t>Bildirim İzni Fonksiyonunun Çift Tetiklenmesi</t>
  </si>
  <si>
    <t>Şifremi Unuttum Ekranı "Devam Et" Butonu Null Hatası</t>
  </si>
  <si>
    <t>Araştırma- KEP Gönderim Metotlarında İstek Seviyelerinin Tanımlanabilir Olması</t>
  </si>
  <si>
    <t>UETS İletilerinin “Görevlerim” Ekranına Düşmeden Otomatik Olarak Tamamlanması</t>
  </si>
  <si>
    <t>KEP İletilerinin “Görevlerim” Ekranına Düşmeden Otomatik Olarak Tamamlanması</t>
  </si>
  <si>
    <t>CRM-807</t>
  </si>
  <si>
    <t>KEP İK - Toplu PDF Parçalama Modül Tanımı</t>
  </si>
  <si>
    <t>CRM-806</t>
  </si>
  <si>
    <t>CRM-810</t>
  </si>
  <si>
    <t>CRM-813</t>
  </si>
  <si>
    <t>CRM-815</t>
  </si>
  <si>
    <t>CRM-774</t>
  </si>
  <si>
    <t>CRM-812</t>
  </si>
  <si>
    <t>ENTEGRASYONBIREYSEL ve ENTEGRASYONKURUMSAL - UKDS Sistemine Ödeme Bilgisinin Gönderilmesi</t>
  </si>
  <si>
    <t>Yeni Ödeme Servisi Kayıt Tipleri – Fatura ve Tahsilat Otomasyon Entegrasyonu</t>
  </si>
  <si>
    <t>UKDS Modülü Uygulama Öncesi Ödeme Tipi Seçim Kontrolü</t>
  </si>
  <si>
    <t>ENTEGRASYONBIREYSEL ve ENTEGRASYONKURUMSAL - Ent. Suit Akışı</t>
  </si>
  <si>
    <t>SMM ve MM Sözleşmeleri Uzatma</t>
  </si>
  <si>
    <t>E-Fatura - Aynı VKN İçin Aktivasyon Etiketi Tekilleştirme</t>
  </si>
  <si>
    <t>UKDS-217</t>
  </si>
  <si>
    <t>Entegrasyon Servisi Süresi Geçen Başvuruları Sürece Dahil Edilmesi</t>
  </si>
  <si>
    <t>UKDS-223</t>
  </si>
  <si>
    <t>UKDS-219</t>
  </si>
  <si>
    <t>UKDS-221</t>
  </si>
  <si>
    <t>UKDS-220</t>
  </si>
  <si>
    <t>UKDS-222</t>
  </si>
  <si>
    <t>WIK-815</t>
  </si>
  <si>
    <t>WIK-810</t>
  </si>
  <si>
    <t>WIK-812</t>
  </si>
  <si>
    <t>KEP-317</t>
  </si>
  <si>
    <t>KEP-318</t>
  </si>
  <si>
    <t>Özel Müşteri Seçiminde CRM rezerv metotuna id gönderilmemesi</t>
  </si>
  <si>
    <t>Sonradan sisteme dahil olan müşterilerin CRM’den UKDS’ye gelmesi için metot geliştirilmesi</t>
  </si>
  <si>
    <t>Yeni başvuru ekleme adımına ‘’Özel Müşteri’’ parametresinin eklemesi.</t>
  </si>
  <si>
    <t>Ön ödemeli/Müşteri Ödemeli seçimleri için metot güncellenmesi</t>
  </si>
  <si>
    <t>Varsayılan olarak ‘’Ön Ödemeli’’ seçeneği tanımının gelmesi</t>
  </si>
  <si>
    <t>Çalışanlar Modülünün Kullanıcı Yetkilendirme Adımında Sayfanın Açılmaması</t>
  </si>
  <si>
    <t>Çalışan Ekle Sayfası – Örnek Excel Formatındaki e-Posta Alanlarının Düzenlenmesi</t>
  </si>
  <si>
    <t>Çalışanlar Ekranı – Çalışan Grubu Alanında “i” Bilgi İkonu Gösterim Kuralı</t>
  </si>
  <si>
    <t>Webmail Erişim Yetkisi Kısıtlı Kullanıcılarda Şifre Değiştirme Adımı</t>
  </si>
  <si>
    <t>Şifremi Unuttum Akışı – TCKN ve Cep Telefonu ile Adres Listeleme Servisi Geliştirilmesi</t>
  </si>
  <si>
    <t>WIK Sprint 2026/ 7-8</t>
  </si>
  <si>
    <t>12/Feb/26 1:33 PM;ceren.sertkaya;tekrar test eder misin?</t>
  </si>
  <si>
    <t>UKDS-218</t>
  </si>
  <si>
    <t>ghx-label-2</t>
  </si>
  <si>
    <t>UKDS Sprint 2026/7-8</t>
  </si>
  <si>
    <t>event</t>
  </si>
  <si>
    <t>Event entegrasyon çalışmalarına başlandı. ;12/Feb/26 4:57 PM;melih.cesur;18000</t>
  </si>
  <si>
    <t>Firebase event entegrasyonlarına devam edildi.;13/Feb/26 4:07 PM;melih.cesur;21600</t>
  </si>
  <si>
    <t>Event entegrasyonları tamamlandı.;16/Feb/26 7:22 PM;melih.cesur;32400</t>
  </si>
  <si>
    <t>11/Feb/26 3:12 PM;gulnur.aka;image-2026-02-11-16-12-50-538.png;http://192.168.124.186:8080/secure/attachment/15886/image-2026-02-11-16-12-50-538.png</t>
  </si>
  <si>
    <t>11/Feb/26 3:13 PM;gulnur.aka;image-2026-02-11-16-13-10-214.png;http://192.168.124.186:8080/secure/attachment/15887/image-2026-02-11-16-13-10-214.png</t>
  </si>
  <si>
    <t>11/Feb/26 3:14 PM;gulnur.aka;image-2026-02-11-16-14-32-129.png;http://192.168.124.186:8080/secure/attachment/15888/image-2026-02-11-16-14-32-129.png</t>
  </si>
  <si>
    <t>11/Feb/26 3:15 PM;gulnur.aka;image-2026-02-11-16-15-31-666.png;http://192.168.124.186:8080/secure/attachment/15889/image-2026-02-11-16-15-31-666.png</t>
  </si>
  <si>
    <t>11/Feb/26 3:15 PM;gulnur.aka;image-2026-02-11-16-15-55-340.png;http://192.168.124.186:8080/secure/attachment/15890/image-2026-02-11-16-15-55-340.png</t>
  </si>
  <si>
    <t>11/Feb/26 3:16 PM;gulnur.aka;image-2026-02-11-16-16-45-805.png;http://192.168.124.186:8080/secure/attachment/15891/image-2026-02-11-16-16-45-805.png</t>
  </si>
  <si>
    <t>11/Feb/26 3:17 PM;gulnur.aka;image-2026-02-11-16-17-03-432.png;http://192.168.124.186:8080/secure/attachment/15892/image-2026-02-11-16-17-03-432.png</t>
  </si>
  <si>
    <t>11/Feb/26 3:19 PM;gulnur.aka;image-2026-02-11-16-19-45-522.png;http://192.168.124.186:8080/secure/attachment/15893/image-2026-02-11-16-19-45-522.png</t>
  </si>
  <si>
    <t>11/Feb/26 3:21 PM;gulnur.aka;image-2026-02-11-16-21-02-828.png;http://192.168.124.186:8080/secure/attachment/15894/image-2026-02-11-16-21-02-828.png</t>
  </si>
  <si>
    <t>11/Feb/26 3:21 PM;gulnur.aka;image-2026-02-11-16-21-48-678.png;http://192.168.124.186:8080/secure/attachment/15895/image-2026-02-11-16-21-48-678.png</t>
  </si>
  <si>
    <t>0|hzzzvm:y</t>
  </si>
  <si>
    <t>MU Sprint 2026/5-7</t>
  </si>
  <si>
    <t>Teste başlamadan önce hesabın mevcut durumunu kaydedin._x000D_
 * *İşlem:* {{Turkkep.test@hs03.kep.tr}} hesabının sistem üzerindeki mevcut statüsünü sorgula._x000D_
_x000D_
 * *Not Edilecek:* Başlangıç Statüsü (Örn: Aktif, Pasif, Kilitli)._x000D_
_x000D_
h3. 2. Test Adımları ve Statü Takibi_x000D_
|*Sıra*|*İşlem Adımı*|*Kontrol Noktası*|*Statü Notu (Her adımda yazılacak)*|_x000D_
|*1*| _x000D_
 *IVR Şifre Talebi:* 0850 Türkkep Çağrı Merkezi üzerinden "Şifremi Unuttum" menüsüyle SMS şifresi talep edilir._x000D_
  _x000D_
  |SMS telefona ulaştığında kullanıcının statüsünde bir değişim oldu mu?| |_x000D_
|*2*| | | |_x000D_
|*3*| _x000D_
 *Mobil Uygulama Girişi:* Mobil uygulama açılır, aynı KEP adresi ve SMS şifresi girilerek "Giriş" butonuna basılır._x000D_
  _x000D_
  | _x000D_
 *Kritik Adım:* Uygulama hata veriyor mu yoksa şifre yenileme ekranını açıyor mu?  Bu aşamada statü değişti mi?_x000D_
  _x000D_
  | |_x000D_
|*4*|*Şifre Güncelleme:* Web Mail veya Mobil üzerinden (hangisi izin verirse) yeni kalıcı şifre oluşturulur.|Yeni şifre tanımlandıktan sonra sistemdeki nihai statü nedir?| |_x000D_
h3. 3. Beklenen ve Gerçekleşen Sonuçlar_x000D_
 *  _x000D_
_x000D_
*Beklenen Sonuç:* Mobil uygulamanın Web Mail ile senkronize çalışarak geçici şifreyi kabul etmesi ve kullanıcıyı "Yeni Şifre Oluşturma" ekranına yönlendirmesidir. Her işlem adımında kullanıcı statüsünün tutarlı şekilde (beklenen akışa göre) güncellenmesi gerekir._x000D_
  _x000D_
  _x000D_
 *  *Gerçekleşen Sonuç (Hata):* Mevcut durumda mobil uygulama IVR şifresi ile giriş yapamamakta ve hata döndürmektedir. Kullanıcı şifre yenileme adımına geçemediği için uygulama içinde kalmaktadır._x000D_
  _x000D_
  _x000D_
_x000D_
 </t>
  </si>
  <si>
    <t>0|i01a52:3zz3jjg</t>
  </si>
  <si>
    <t>18/Feb/26 1:41 PM;Remzi.Sefer;CRM tarafında ilgili güncellenme sağlanmıştır.</t>
  </si>
  <si>
    <t>KEPSprint 2026/7-8</t>
  </si>
  <si>
    <t>IEU Sprint 2026/6-7</t>
  </si>
  <si>
    <t>aysenur.bilgic</t>
  </si>
  <si>
    <t>EFT Sprint 2026/7-8</t>
  </si>
  <si>
    <t>batikan.ozturk</t>
  </si>
  <si>
    <t>UKDS Entegrasyonu Kapsamında Mevcut Müşteri Verilerinin CRM Üzerinden Aktarımı</t>
  </si>
  <si>
    <t>CRM-817</t>
  </si>
  <si>
    <t>KEPIK Entegrasyon Sözleşme Tipli ERP Alanı</t>
  </si>
  <si>
    <t>CRM-814</t>
  </si>
  <si>
    <t>CRM Sprint 2026/7-8</t>
  </si>
  <si>
    <t>UKDS Otomasyonu - Bireysel Otomasyon Ek Kurallar</t>
  </si>
  <si>
    <t>CRM-805</t>
  </si>
  <si>
    <t>Kurumsal KEP siparişlerinde ana işlem yetkilisi eklendikten sonra ilgili hesap açılana kadar "ek işlem yetkilisi" kaydı eklenememelidir._x000D_
_x000D_
Sipariş detayında doküman onay tipi e-devlet ise 1 tane işlem yetkilisi olmalıdır. Eğer aynı kayıt için ikinci bir işlem yetkilisi eklenmek istediğinde hesap açılana kadar izin verilmemelidir._x000D_
_x000D_
Sipariş detayı ekranında doküman onay tipi ıslak imza olup, e-devlet olarak güncellenmek istenirse işlem yetkilisi adedi 1 olmalıdır. Birden fazla ise doküman onay tipinin e-devlet olarak güncellenmesi engellenmelidir._x000D_
_x000D_
İşlem yetkilisi kaydı teklif ve sipariş detayı ekranlarındaki alt panelden oluştur butonu ile eklenmektedir.</t>
  </si>
  <si>
    <t>19/Feb/26 2:12 PM;ahmet.hekim;[~kemal.gur]_x000D_
işlem yetkilisi ekleme alanı devcrmde teklif ve sipariş modüllerinin altında, alt panelden olustur diyerek eklenmektedir._x000D_
Canlıda da bu şekilde mi, yoksa baska bir alan veya buttondan eklenebiliniyor mu kontrolünü rica ederim ? </t>
  </si>
  <si>
    <t>19/Feb/26 2:54 PM;kemal.gur;İşlem yetkilisi ekleme canlı da da teklif ve sipariş modüllerinin altındaki panelden eklenmektedir. [~ahmet.hekim]</t>
  </si>
  <si>
    <t>EFT-2381</t>
  </si>
  <si>
    <t>Konnektör YTBISTISNA Faturalarda İstisna Kodu Yazmaması</t>
  </si>
  <si>
    <t>EFT-2380</t>
  </si>
  <si>
    <t>Konnektör İrsaliye Oluşturma Sayfası Kalem Kopyalama Özelliği</t>
  </si>
  <si>
    <t>EFT-2379</t>
  </si>
  <si>
    <t>Konnektör IDIS Fatura Taslaklara Kopyalama</t>
  </si>
  <si>
    <t>EFT-2378</t>
  </si>
  <si>
    <t>Portalda İhraç Kayıtlı Faturada Muafiyet Nedeni Hatası Hk.</t>
  </si>
  <si>
    <t>EFT-2377</t>
  </si>
  <si>
    <t>İrsaliye oluşturma sayfası adres alanları mapping ve kopyalama hatası</t>
  </si>
  <si>
    <t>EFT-2376</t>
  </si>
  <si>
    <t>Tevkifatlı fatura tipinde satır bazlı tevkifat zorunluluğu hatası</t>
  </si>
  <si>
    <t>Tamamlandı</t>
  </si>
  <si>
    <t>KA-1596</t>
  </si>
  <si>
    <t>UETS ve KEP Alım Servislerinin Ayrıştırılması</t>
  </si>
  <si>
    <t>KA-1597</t>
  </si>
  <si>
    <t>KA-1602</t>
  </si>
  <si>
    <t>İleti Raporu Sayfasında 500 Internal Server Error</t>
  </si>
  <si>
    <t>KA-1603</t>
  </si>
  <si>
    <t>Miat" Alanı Boş Olduğunda Oluşan Log Şişmesi</t>
  </si>
  <si>
    <t>IMC-1</t>
  </si>
  <si>
    <t>İmza Client Jar Test Bulguları</t>
  </si>
  <si>
    <t>İmza Client JAR</t>
  </si>
  <si>
    <t>Başvuru ve Ödeme Adımının Parametrik Yönetimi</t>
  </si>
  <si>
    <t xml:space="preserve"> 2FA uygulama içi araştırma- Geliştirme öncesi madde</t>
  </si>
  <si>
    <t>CRM-809</t>
  </si>
  <si>
    <t>Halkbank Projesi - Statü Tetikleme Ek Geliştirme</t>
  </si>
  <si>
    <t>CRM-821</t>
  </si>
  <si>
    <t>Halkbank Projesi - Productlist Ürün Tanımları</t>
  </si>
  <si>
    <t>CRM-811</t>
  </si>
  <si>
    <t>KEPIK Hesap Açılışında Mükerrerlik ve Sipariş Durumu Kontrolleri</t>
  </si>
  <si>
    <t>CRM-822</t>
  </si>
  <si>
    <t>CRM Sistemine Chat Bot Eklenmesi</t>
  </si>
  <si>
    <t>MU-223</t>
  </si>
  <si>
    <t>ES-306</t>
  </si>
  <si>
    <t>In progress</t>
  </si>
  <si>
    <t>e-Saklama Code Refactoring</t>
  </si>
  <si>
    <t>EDF-824</t>
  </si>
  <si>
    <t>e-Defter Code Refactoring</t>
  </si>
  <si>
    <t>ES-305</t>
  </si>
  <si>
    <t>2FA Fonksiyonun Güncellenmesi</t>
  </si>
  <si>
    <t>EDF-822</t>
  </si>
  <si>
    <t>Defter Ürünü için 2FA Fonksiyonun Güncellenmesi</t>
  </si>
  <si>
    <t>EDF-821</t>
  </si>
  <si>
    <t>Defter Ürünü için 2FA Fonksiyonun Aktifleştirilmesi</t>
  </si>
  <si>
    <t>EFT 4.1</t>
  </si>
  <si>
    <t>EFT-2389</t>
  </si>
  <si>
    <t>Fatura Ürünü için 2FA Fonksiyonun Aktifleştirilmesi</t>
  </si>
  <si>
    <t>Task</t>
  </si>
  <si>
    <t>EFT-2388</t>
  </si>
  <si>
    <t>Araştırma - Fatura Ürünü için 2FA Fonksiyonunun Araştırılması</t>
  </si>
  <si>
    <t>EFT-2390</t>
  </si>
  <si>
    <t>INVOICEHISTORYID Kolon Kapasite İyileştirme Çalışması</t>
  </si>
  <si>
    <t>y</t>
  </si>
  <si>
    <t>Component/s</t>
  </si>
  <si>
    <t>Comment_60</t>
  </si>
  <si>
    <t>Comment_61</t>
  </si>
  <si>
    <t>Comment_62</t>
  </si>
  <si>
    <t>Comment_63</t>
  </si>
  <si>
    <t>CRM Genel Müdürlük Chatbot Analiz Raporu Workflow</t>
  </si>
  <si>
    <t>YZCK-42</t>
  </si>
  <si>
    <t>CRM genel müdürlük için yapılan chatbotun cevaplanmayan soruların iletildiği excelin günlük olarak iletilmesi ve performans analizi workflowu haftalık iletilecek  şekilde geliştirme yapılmalıdır.</t>
  </si>
  <si>
    <t>0|i01ef6:c</t>
  </si>
  <si>
    <t>YZCK Sprint 4</t>
  </si>
  <si>
    <t>YZCK-35</t>
  </si>
  <si>
    <t>Faz-2 test sonuçları üzerinde detaylı analiz ve kapsamlı inceleme çalışmaları gerçekleştirilmiştir. Bulgular doğrultusunda aktarılması gereken veriler veri tabanına (qdrant DB) işlenmiştir. Ar-Ge teknik danışmanından alınan geri bildirimler çerçevesinde Ar-Ge proje kartı revize edilerek doküman nihai versiyonuna ulaştırılmıştır.;20/Feb/26 4:56 PM;basak.ayverdi;25200</t>
  </si>
  <si>
    <t>Mac Mini üzerinde development ortamı hazırlanarak OpenCrawl kurulumu ve temel konfigürasyonları tamamlandı, OpenAI API key tanımlanarak servis entegrasyonu ve ilk test çağrıları başarıyla gerçekleştirildi. Ayrıca lokal LLM çalışmaları için Ollama kurulup servis ayağa kaldırıldı ve temel model çalıştırma doğrulamaları yapıldı.;23/Feb/26 4:41 PM;basak.ayverdi;25200</t>
  </si>
  <si>
    <t>OpenClaw araştırması kapsamında iki teknik toplantı gerçekleştirildi. Araştırma ve teknik değerlendirme süreci devam etmektedir.;25/Feb/26 5:07 PM;basak.ayverdi;10800</t>
  </si>
  <si>
    <t>Sprint toplantısına katılım sağlandı. Toplantı sonrasında Ürün Yönetimi tarafından paylaşılan doküman detaylı şekilde incelendi ve doküman içerisinde yer alan Agentic AI proje fikirleri teknik açıdan analiz edildi. Projede kullanılması planlanan Google AI Studio, Gemini GEMS ve Google OPAL çözümleri hakkında ön araştırma yapılarak bu teknolojilerin yetkinlikleri, entegrasyon kabiliyetleri ve olası kullanım senaryoları değerlendirildi. Araştırma ve PoC talep edilen proje kapsamında teknik fizibilite analizi gerçekleştirildi, olası sistem mimarisi ve entegrasyon yaklaşımı üzerine teknik strateji çalışması yapıldı ve PoC sürecinde izlenecek yol haritasına ilişkin ön çerçeve oluşturuldu.;26/Feb/26 5:08 PM;basak.ayverdi;25200</t>
  </si>
  <si>
    <t>agentic ai araştırmaları arge çalışması öncesi devam ediyor;27/Feb/26 4:14 PM;basak.ayverdi;10800</t>
  </si>
  <si>
    <t>Agentic AI ve Copilot agent kullanımı /API entegrasyonu nasıl yapılı üzerindeki çalışmalar hala devam ediliyor .  Python Kodlarına nasıl entegre edilir ve llm nasıl kullanılır hakkında denemeler yapılıyor . N8N değerlendirme analizin sonuçlarının iletilecek ilgili mailler değiştirildi ve çoklu mail gönderme işlemi yapıldı . Chat-bot CRM değerlendirme toplantısına katılım gösterildi ._x000D_
;02/Mar/26 5:06 PM;basak.ayverdi;18000</t>
  </si>
  <si>
    <t>koordinasyon toplantısına katılım sağlandı.;04/Mar/26 6:01 PM;basak.ayverdi;7200</t>
  </si>
  <si>
    <t>CERTI Toplantı Follow-Up - TURKKEP ve Chatbot Yaygınlaştırma, Orbina Yapay Zeka Uygulamaları ve POC İhtiyacı toplantılarına katılım sağlandı._x000D_
 ;05/Mar/26 5:31 PM;basak.ayverdi;10800</t>
  </si>
  <si>
    <t>0|i01ef6:r</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</si>
  <si>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</si>
  <si>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EDF-820</t>
  </si>
  <si>
    <t>WIK Sprint 2026/ 9-10</t>
  </si>
  <si>
    <t>WIK-819</t>
  </si>
  <si>
    <t>can ile webik test ortamı sunucuya görsel yükleme log görme toplantısı;23/Feb/26 4:35 PM;dogukan.oncuer;2400</t>
  </si>
  <si>
    <t>backlog;03/Mar/26 6:41 PM;dogukan.oncuer;5820</t>
  </si>
  <si>
    <t>0|i00vra:zsyzgzliigb91zw</t>
  </si>
  <si>
    <t>WIK-818</t>
  </si>
  <si>
    <t>0|i00vra:zsyzgzliigb91zr</t>
  </si>
  <si>
    <t>WIK-817</t>
  </si>
  <si>
    <t>0|i00vra:zsyzgzliigb91zi</t>
  </si>
  <si>
    <t>WIK-816</t>
  </si>
  <si>
    <t>0|i00vra:zsyzgzliigb91z</t>
  </si>
  <si>
    <t>Duyurunun Birden Fazla Çalışana Bağlanabilmesi</t>
  </si>
  <si>
    <t>*Açıklama:*_x000D_
_x000D_
Bu geliştirmeyle beraber fuyurular, çalışan grupları üzerinden ilişkilendirilmelidir._x000D_
_x000D_
Yeni geliştirilen duyuru gönderim ekranı ile birlikte kullanıcı;_x000D_
 * Bir veya birden fazla çalışan grubunu seçebilmelidir,_x000D_
_x000D_
 * Seçilen gruplara ek olarak, bu gruplarda yer almayan çalışanları da manuel olarak seçebilmelidir._x000D_
_x000D_
*Bu kapsamda;*_x000D_
 * Bir duyurunun tek bir çalışana değil, birden fazla çalışana doğrudan bağlanabilmesi gerekmektedir._x000D_
_x000D_
 * Grup seçimi yapılmadan yalnızca çalışan seçimiyle de duyuru gönderilebilmelidir._x000D_
_x000D_
 * Grup seçimi + manuel çalışan seçimi birlikte kullanılabilmelidir._x000D_
_x000D_
 * Aynı çalışanın hem grup hem manuel seçim yoluyla eklenmesi durumunda mükerrer kayıt oluşmamalıdır._x000D_
_x000D_
 </t>
  </si>
  <si>
    <t>09/Feb/26 2:55 PM;gulnur.aka;Task içeriği güncellenmiştir. [~ceren.sertkaya] [~mehmetcan.olgun]</t>
  </si>
  <si>
    <t>*Amaç:*_x000D_
_x000D_
TÜBİTAK ücretli sürümü kapsamında sunulan API v2.4 POC’nin mevcut durumunun detaylı olarak analiz edilmesi ve olası bir paket değişikliğinin sistemimiz üzerindeki etkilerinin değerlendirilmesi amaçlanmaktadır._x000D_
_x000D_
Bu kapsamda;_x000D_
 * Olası versiyon değişikliklerinin sistemin üzerindeki etkilerinin belirlenmesi,_x000D_
_x000D_
 * Sistemimiz açısından riskli alanların ve bağımlılıkların tespit edilmesi,_x000D_
_x000D_
 * İlgili API v2.4 POC paketinin teknik açıdan test edilmesi,_x000D_
_x000D_
 * Canlı geçişinde ortaya çıkabilecek potansiyel sorunların önceden öngörülmesi,_x000D_
_x000D_
 * TÜBİTAK kaynaklı olarak daha önce karşılaşılan veya karşılaşılması muhtemel durumların  tespit edilmesi_x000D_
_x000D_
hedeflenmektedir._x000D_
 * Türkkep _x000D_
_x000D_
 _x000D_
_x000D_
JAVA için; +[https://safirdepo.b3lab.org/baglanti-paylasimi/PuZ9v3tf3gFnKqspiITEJbs9W9Tqavkh]+_x000D_
 .NET için; +[https://safirdepo.b3lab.org/baglanti-paylasimi/FJa2kpVHvWiEMBk4tw1n5fLE0RIK8Zqc]+</t>
  </si>
  <si>
    <t>09/Jan/26 12:10 AM;gulnur.aka;TURKKEP.zip;http://192.168.124.186:8080/secure/attachment/15817/TURKKEP.zip</t>
  </si>
  <si>
    <t>09/Jan/26 1:30 PM;gulnur.aka;Çalışma sprint dışında yer alan işlerde uygunluk kaldığında bakılarak ilerlenecektir. Bundan dolayı birden fazla sprintte tamamlanması beklenmektedir.</t>
  </si>
  <si>
    <t>UKDS-224</t>
  </si>
  <si>
    <t>-Rutin uygulama logları takip edildi._x000D_
_x000D_
-Daily toplantısına katılım sağlandı._x000D_
_x000D_
 ;23/Feb/26 4:28 PM;can.macit;3600</t>
  </si>
  <si>
    <t>-Rutin uygulama logları takip edildi._x000D_
_x000D_
-Daily toplantısına katılım sağlandı._x000D_
_x000D_
-UKDS tarafında sunucu kaynak kullanım takibi yapıldı. Yoğun sorgular tekrar incelendi.;24/Feb/26 4:38 PM;can.macit;7200</t>
  </si>
  <si>
    <t>-Rutin uygulama logları takip edildi._x000D_
_x000D_
-Daily toplantısına katılım sağlandı.;25/Feb/26 4:40 PM;can.macit;3600</t>
  </si>
  <si>
    <t>-Rutin uygulama logları takip edildi.;02/Mar/26 10:51 AM;can.macit;1800</t>
  </si>
  <si>
    <t>0|i01brq:xi</t>
  </si>
  <si>
    <t>UKDS Sprint 2026/9-10</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</si>
  <si>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</si>
  <si>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MYS-855</t>
  </si>
  <si>
    <t>0|i01fho:</t>
  </si>
  <si>
    <t>MYS Sprint 2026/9-11</t>
  </si>
  <si>
    <t>MYS-854</t>
  </si>
  <si>
    <t>0|i01fhg:</t>
  </si>
  <si>
    <t>MYS-852</t>
  </si>
  <si>
    <t>0|i01f7o:</t>
  </si>
  <si>
    <t>MYS Sprint 2026/9-10</t>
  </si>
  <si>
    <t>MUL</t>
  </si>
  <si>
    <t>MU-221</t>
  </si>
  <si>
    <t>0|i01ffo:</t>
  </si>
  <si>
    <t>MU Sprint 2026/9-11</t>
  </si>
  <si>
    <t>MU-220</t>
  </si>
  <si>
    <t>0|i01a52:3zz3jjcuci</t>
  </si>
  <si>
    <t>Şifremi unuttum ekranında "Devam Et" butonuna tıklandığında, tetiklenen fonksiyon içerisindeki bir değişken veya nesne null döndüğü için işlem tamamlanamıyor._x000D_
 * Beklenen Davranış: Butona basıldığında ilgili doğrulama fonksiyonunun başarılı şekilde çalışması._x000D_
_x000D_
 * Mevcut Durum: Fonksiyon içerisindeki bir değerin null olması sebebiyle akış kesiliyor._x000D_
_x000D_
 * Firebase Notu: Loglarda "null reference" veya "calling function on a null object" hatası görünüyor; ilgili fonksiyonun kontrol edilmesi gerekiyor.</t>
  </si>
  <si>
    <t>state tarafında gerekli kontrol kodları eklenerek null hatası çözüldü.;24/Feb/26 4:23 PM;melih.cesur;32400</t>
  </si>
  <si>
    <t>1.0.18 (25) test paketinde yapılan kontroller başarılı.;02/Mar/26 4:49 PM;gurkan.guney;600</t>
  </si>
  <si>
    <t>0|i01f6m:</t>
  </si>
  <si>
    <t>MU Sprint 2026/9-10</t>
  </si>
  <si>
    <t>02/Mar/26 4:49 PM;gurkan.guney;1.0.18 (25) test paketinde yapılan kontroller başarılı.</t>
  </si>
  <si>
    <t>Mailbox (Gelen Kutusu / Giden Kutusu) menüleri arasında hızlı geçiş yapıldığında veya tıklama esnasında arkaplanda bir index hatası  alınıyor._x000D_
 * Beklenen Davranış: Menüler arası geçişin akıcı olması ve liste verisinin hatasız yüklenmesi._x000D_
_x000D_
 * Mevcut Durum: Geçişlerde arkaplanda index temelli crash/hata oluşuyor._x000D_
_x000D_
 * Firebase Notu: Firebase üzerindeki loglarda, liste elemanı eşleşmelerinde geçersiz index numarası döndüğü tespit edildi.</t>
  </si>
  <si>
    <t>Hatanın sebebini tespit etmek için kodda araştırma yapıldı.;23/Feb/26 4:13 PM;melih.cesur;32400</t>
  </si>
  <si>
    <t>Hata kaynağını tespit için araştırma yapıldı.;25/Feb/26 9:04 PM;melih.cesur;7200</t>
  </si>
  <si>
    <t>Posta kutuları arasındaki geçişteki hata tespit edildi ve giderildi.;26/Feb/26 7:13 PM;melih.cesur;32400</t>
  </si>
  <si>
    <t>1.0.18 (25) test paketinde yapılan kontroller başarılı.;02/Mar/26 4:47 PM;gurkan.guney;600</t>
  </si>
  <si>
    <t>0|i01f6q:</t>
  </si>
  <si>
    <t>02/Mar/26 4:47 PM;gurkan.guney;1.0.18 (25) test paketinde yapılan kontroller başarılı.</t>
  </si>
  <si>
    <t>Uygulama açılışında bildirim izni isteme fonksiyonu ardışık olarak iki kez tetikleniyor. İlk fonksiyon hala aktifken ikincisi çağrıldığı için arkaplanda çakışma yaşanıyor ve hata dönüyor._x000D_
 * *Beklenen Davranış:* İzin penceresinin yalnızca bir kez açılması ve işlemin tamamlanması._x000D_
_x000D_
 * *Mevcut Durum:* Fonksiyonun iki kez çağrılması sonucu oluşan log hatası._x000D_
_x000D_
 * *Firebase Notu:* Firebase loglarında "permission already in progress" benzeri çakışma hataları gözlemlendi.</t>
  </si>
  <si>
    <t>Hata kaynağı tespit edildi. Kodda ilgili izin isteğinin çağırıldığı kısma sadece bir kez tetiklenmesi için kontrol eklendi.;25/Feb/26 2:39 PM;melih.cesur;25200</t>
  </si>
  <si>
    <t>;02/Mar/26 4:12 PM;gurkan.guney;900</t>
  </si>
  <si>
    <t>Hata sebebi araştırıldı.;02/Mar/26 5:48 PM;melih.cesur;7200</t>
  </si>
  <si>
    <t>Android cihazlarda bildirim izni reddedildiği senaryoda her açılışta izin isteme hatası giderildi.;03/Mar/26 11:57 AM;melih.cesur;14400</t>
  </si>
  <si>
    <t>1.0.18 (26) test paketinde yapılan kontroller başarılı.;03/Mar/26 1:07 PM;gurkan.guney;900</t>
  </si>
  <si>
    <t>0|i01f6o:</t>
  </si>
  <si>
    <t>02/Mar/26 4:12 PM;gurkan.guney;Android cihazda bildirime ait izin fonksiyonu iki kere geldi. Uygulama yüklendi. Bildirime izin verilsin mi şekilde izin istedi. İzin verme dendi. Uygulamayı kapatıp tekrar açınca aynı soruyu tekrar sordu.</t>
  </si>
  <si>
    <t>03/Mar/26 1:07 PM;gurkan.guney;1.0.18 (26) test paketinde yapılan kontroller başarılı.</t>
  </si>
  <si>
    <t>*Amaç:*_x000D_
 Mobil uygulama içerisindeki kullanıcı davranışlarını daha iyi anlamak, kullanıcı yolculuklarını analiz etmek ve uygulama performansını ölçümlemek amacıyla analitik event'lerinin entegre edilmesi gerekmektedir. _x000D_
_x000D_
UKDS akışlarının ölçeklendirilmesi_x000D_
_x000D_
Trendyol ödeme adımın ölçeklendirilmesi_x000D_
_x000D_
*Gereksinimler:*_x000D_
 Aşağıdaki tabloda tanımlanan event'lerin, belirtilen tetikleyici olaylar (triggering events) gerçekleştiğinde ilgili analitik servisine gönderilmesi sağlanacaktır._x000D_
_x000D_
 _x000D_
_x000D_
*Event Listesi:*_x000D_
|Event Name|Stage|Triggering event|_x000D_
|{color:#ff0000}{color:#333333}kullanici_dashboard_date{color} {color}|Kullanıcı dashboard|Kullanıcı uygulamayı ilk açtığında|_x000D_
|{color:#ff0000}{color:#333333}kullanici_log_out_date{color} {color}|Kullanıcı uygulama geçirilen sürenin tespiti_x000D_
  _x000D_
 Logout Event: Kullanıcıları sistemden çıkış yaptığı noktayı izlemek. Kullanıcıların hangi noktada paneli terk ettiğini anlamaya yardımcı olur.|Kullanıcı uygulamadan ayrıldığında|_x000D_
|login_sms_dogrulama|Kullanıcı ID Bazlı Login Event tamamlama|Doğrulama kodunu doğrulama butonuna tıkladığında|_x000D_
|{color:#333333}Kullanıcı ID Bazlı Login Event{color}|Login olup çıktığındaki geçirlen süre için| |_x000D_
|{color:#ff0000}{color:#333333}ukds_dashboard{color} {color}|Online Başvuru İşlemlerine Başlangıç Sayısı|Henüz Kep Adresim Açılmadı. Ancak Başvurum Var tıklanmalı.|_x000D_
|{color:#333333}ukds_aydinlatma_metni{color}|Aydınlatma metni seçimi|Aydınlatma Metni Devam et butonuna tıklandığında|_x000D_
|ukds_aydinlatma_metni_geri |aydınlatma metninden dashboard geri dönüş|Aydınlatma metninden geri tuşuna tıklandığında|_x000D_
|{color:#ff0000}{color:#333333}ukds_basladi{color} {color}|Online başvurda geçen süre_x000D_
 !image-2026-02-11-16-12-50-538.png!|Online işlemlere başladığında gönderir|_x000D_
|{color:#ff0000}{color:#333333}ukds_basvuru_bitti{color} {color}|Online başvurda geçen süre_x000D_
 !image-2026-02-11-16-13-10-214.png!_x000D_
 Burda ansayfa ve e-devlet ile onay için ayrı tanımlama yapılabilir.|Online işlemlere bitirdiğinde gönderilir.|_x000D_
|{color:#ff0000}{color:#333333}kullanici_kep_ileti_detay{color} {color}| |İleti detay açıklamasına tıklandığında|_x000D_
|{color:#333333}ukds_kampanya_basladi{color}|!image-2026-02-11-16-14-32-129.png!| |_x000D_
|{color:#333333}ukds_sms_dogrulama{color} |!image-2026-02-11-16-15-31-666.png!| |_x000D_
|{color:#333333}basarili_paket_secimi{color}|!image-2026-02-11-16-16-45-805.png!| |_x000D_
|{color:#333333}firma_calisaniyim {color}_x000D_
{color:#333333}  {color}_x000D_
{color:#333333} firma_calisani_degilim{color}|!image-2026-02-11-16-17-03-432.png!| |_x000D_
|{color:#333333}odeme_devam, odeme_basarili,odeme_basarisiz{color}|!image-2026-02-11-16-19-45-522.png!| |_x000D_
|{color:#333333}odeme_geri{color}|!image-2026-02-11-16-21-02-828.png!| |_x000D_
|{color:#333333}kullanici_online_basvuru_onay {color}_x000D_
{color:#333333}  {color}_x000D_
{color:#333333} kullanici_online_basvuru_geri_dön {color}|!image-2026-02-11-16-21-48-678.png!| |_x000D_
_x000D_
 _x000D_
_x000D_
*Kabul Kriterleri (Acceptance Criteria):*_x000D_
 * Tablodaki tüm event'ler, ilgili tetikleyici olaylar gerçekleştiğinde başarılı bir şekilde gönderilmelidir._x000D_
 * Her bir event'in tetiklendiği, analitik panelinin doğrulanmalıdır._x000D_
 * Süre ölçümü gerektiren event'ler (log_out_date, Login Event, basladi, bitirdi) ilgili süre verisini parametre olarak göndermelidir.</t>
  </si>
  <si>
    <t>Firebase event testleri için DebugView kurulumu yapıldı. Test çalışmalarına başlandı.;27/Feb/26 4:46 PM;melih.cesur;32400</t>
  </si>
  <si>
    <t>Test sürecinde tespit edilen eksiklikler üzerine geliştirmeler yapıldı. Tüm eventler test edilerek task tamamlandı.;02/Mar/26 3:03 PM;melih.cesur;25200</t>
  </si>
  <si>
    <t>Yapılan kontroller başarılı. Maddede belirtilen aşağıdaki eventlerin tetiklendiği görülmüştür._x000D_
_x000D_
- kullanici_dashboard_date-ok_x000D_
- kullanici_log_out_date-ok_x000D_
- kullanici_numara_dogrulama-ok_x000D_
- Kullanıcı ID Bazlı Login Event-ok _x000D_
- ukds_dashboard-ok_x000D_
- ukds_aydinlatma_metni-ok_x000D_
- ukds_aydinlatma_metni_geri-ok_x000D_
- ukds_basladi-ok_x000D_
- ukds_basvuru_bitti-ok_x000D_
- ukds_sms_dogrulama-ok_x000D_
- firma_calisaniyim-ok_x000D_
- firma_calisani_degilim-ok_x000D_
- kullanici_kep_ileti_detay-ok_x000D_
- ukds_kampanya_basladi-ok_x000D_
- basarili_paket_secimi-ok_x000D_
- kullanici_online_basvuru_onay-ok_x000D_
- kullanici_online_basvuru_geri_dön-ok_x000D_
- odeme_devam-ok_x000D_
- odeme_basarili-ok_x000D_
- odeme_basarisiz-ok_x000D_
- odeme_geri-ok;02/Mar/26 3:48 PM;gurkan.guney;21600</t>
  </si>
  <si>
    <t>02/Mar/26 3:48 PM;gurkan.guney;Yapılan kontroller başarılı. Maddede belirtilen aşağıdaki eventlerin tetiklendiği görülmüştür._x000D_
_x000D_
- kullanici_dashboard_date-ok_x000D_
- kullanici_log_out_date-ok_x000D_
- kullanici_numara_dogrulama-ok_x000D_
- Kullanıcı ID Bazlı Login Event-ok _x000D_
- ukds_dashboard-ok_x000D_
- ukds_aydinlatma_metni-ok_x000D_
- ukds_aydinlatma_metni_geri-ok_x000D_
- ukds_basladi-ok_x000D_
- ukds_basvuru_bitti-ok_x000D_
- ukds_sms_dogrulama-ok_x000D_
- firma_calisaniyim-ok_x000D_
- firma_calisani_degilim-ok_x000D_
- kullanici_kep_ileti_detay-ok_x000D_
- ukds_kampanya_basladi-ok_x000D_
- basarili_paket_secimi-ok_x000D_
- kullanici_online_basvuru_onay-ok_x000D_
- kullanici_online_basvuru_geri_dön-ok_x000D_
- odeme_devam-ok_x000D_
- odeme_basarili-ok_x000D_
- odeme_basarisiz-ok_x000D_
- odeme_geri-ok</t>
  </si>
  <si>
    <t>1.0.18 (25) test paketinde yapılan kontroller başarılı.;02/Mar/26 4:30 PM;gurkan.guney;10800</t>
  </si>
  <si>
    <t>02/Mar/26 4:30 PM;gurkan.guney;1.0.18 (25) test paketinde yapılan kontroller başarılı.</t>
  </si>
  <si>
    <t>*Açıklama:*_x000D_
_x000D_
Cihazlara push bildirim gönderebilmek için uygulama açıldığında Firebase Cloud Messaging (FCM) token’ı alınması gerekmektedir._x000D_
 Ancak bazı Android kullanıcılarında nadiren de olsa token alma sürecinde hata oluşmakta ve bu durum bildirim gönderilememesine yol açmaktadır._x000D_
_x000D_
iOS tarafında da benzer bir hata olup olmadığı Crashlytics üzerinden kontrol edilmelidir._x000D_
_x000D_
Bu task, FCM token alma işleminin neden zaman zaman başarısız olduğunu belirlemek ve gerekiyorsa ilgili iyileştirmeleri planlamak amacıyla araştırma taskı olarak açılmıştır.</t>
  </si>
  <si>
    <t>Gerekli araştırma tamamlandı. Firebase bağlantısındaki FCM token alma kısmı guncellenmesi gerektiği belirlendi. Güncellenen Firebase servisinde böyle bir durumla karşılaşılması mümkün olmayacaktır. ;04/Mar/26 12:59 PM;melih.cesur;7200</t>
  </si>
  <si>
    <t>0|i01f6q:i</t>
  </si>
  <si>
    <t>Cihazlara anlık bildirim gönderebilmek için, uygulama ilk açıldığında *Firebase Cloud Messaging (FCM) token*’ının başarılı bir şekilde alınması gerekmektedir._x000D_
_x000D_
Ancak bazı Android kullanıcılarında, nadir de olsa, bu token alma işlemi sırasında hata oluştuğu gözlemlenmiştir. Bu durum, ilgili cihazlara bildirim gönderilememesine neden olabilmektedir._x000D_
_x000D_
Hata, *Crashlytics* üzerinden hem Android hem de iOS loglarında yer almakta olup, özellikle Android tarafında daha sık gözlemlenmektedir._x000D_
h3. *Beklenen Davranış:*_x000D_
_x000D_
Uygulama açıldığında FCM token'ı istisnasız tüm cihazlarda güvenli ve hatasız şekilde alınmalıdır. Hata senaryoları ele alınarak, token alınamaması durumunda tekrar deneme mekanizması gibi önlemler değerlendirilmelidir. Crashlytics logları detaylı incelenerek root cause analizinin yapılması gerekmektedir.</t>
  </si>
  <si>
    <t>Firebase servisi güncellendi. FCM token alınması aşamasındaki fonksiyonlar güncellenerek daha guvenli hale getirildi. Hem iOS hem android cihazlarda sonraki süreçte hata gözlenmeyecektir.;04/Mar/26 1:01 PM;melih.cesur;7200</t>
  </si>
  <si>
    <t>0|i01f6r:</t>
  </si>
  <si>
    <t>2FA Fonksiyonun Geliştirilmesi</t>
  </si>
  <si>
    <t>KEPSprint 2026/9-10</t>
  </si>
  <si>
    <t>KA-1601</t>
  </si>
  <si>
    <t>0|i01fh8:</t>
  </si>
  <si>
    <t>KA Sprint 2026/9-11</t>
  </si>
  <si>
    <t>Ek işler Hk</t>
  </si>
  <si>
    <t>KA-1600</t>
  </si>
  <si>
    <t>0|i01fh0:</t>
  </si>
  <si>
    <t>KA-1599</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</si>
  <si>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Mevcuttaki login linkleri kontrolü yapılmalıdır.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</si>
  <si>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KA Sprint 2026/9-10</t>
  </si>
  <si>
    <t>K.A. 2.0</t>
  </si>
  <si>
    <t>*KA 2.0* versiyonu kapsamında, ilgili düzeltmeleri ve son geliştirmeleri içeren güncelleme paketi hazırlanması.</t>
  </si>
  <si>
    <t>25/Feb/26 12:41 PM;gulnur.aka;[http://192.168.124.186:8080/projects/KA/versions/10746] release paketi oluşturulmuşlar. İlgili geliştirmeler fix versiyona ekleme yapılacaktır. [~Remzi.Sefer]_x000D_
_x000D_
 </t>
  </si>
  <si>
    <t>Mevcut yapımızda KEP ve UETS  alım süreçleri, "Collector" adını verdiğimiz tek bir Windows servisi üzerinden ortak bir mimariyle yönetilmektedir._x000D_
_x000D_
Ancak son dönemde yüksek hacimli/spesifik hesaplarda alınan  Örnek HTTP 500 hataları, bu birleşik yapının limitlerini zorlamakta ve sistemin genel sağlığını etkilemektedir._x000D_
_x000D_
Mevcut Sorunlar:_x000D_
 * Single Point of Failure (Tek Noktadan Hata): UETS veya KEP tarafında yaşanan bir tıkanıklık veya alınan bir hata (500 hatası vb.), aynı servis üzerinde çalışan diğer tüm süreçleri olumsuz etkilemektedir._x000D_
 * Performans Darboğazı: Yoğun istek geldiğinde tek bir collector üzerinden yapılan işlemler, kuyrukta beklemelere ve timeout hatalarına yol açmaktadır._x000D_
_x000D_
Sistemin daha esnek ve ölçeklenebilir bir yapıya kavuşması için:_x000D_
 # Servislerin Ayrıştırılması: KEP Alım ve UETS Alım süreçlerinin birbirinden bağımsız iki farklı servis/collector haline getirilmesi._x000D_
 # Hata İzolasyonu: Bir tarafta yaşanan 500 hatasının veya yoğunluğun, diğer servisin operasyonunu durdurmamasının sağlanması._x000D_
_x000D_
 _x000D_
_x000D_
 </t>
  </si>
  <si>
    <t>Kep ve Uets hesaplarının tek bir servis üzerinden ileti alım senaryosu ile ilgili Kep için ayrı Uets için ayrı bir şekilde hesapları sorgulayan yapı oluşturulmaya başlandı. Çalışmalar devam etmektedir._x000D_
_x000D_
İlgili işlem akışları incelendi._x000D_
_x000D_
Veritabanı üzerinde sorgular hazırlandı.;25/Feb/26 5:01 PM;batuhan.tufan;21600</t>
  </si>
  <si>
    <t>İlgili servis sınıfları oluşturuldu._x000D_
_x000D_
İlgili senaryolar için test işlemleri yapıldı. Yeni oluşturulan serviste alınan hata ile ilgili gerekli config düzenlemesi yapıldı._x000D_
_x000D_
Servislerin kullandığı Sp'ler üzerinde düzenleme sağlandı._x000D_
_x000D_
Akış kontrolleri sağlandı._x000D_
_x000D_
Test ortama ilgili servis kuruldu.;26/Feb/26 4:59 PM;batuhan.tufan;25200</t>
  </si>
  <si>
    <t>0|i01f79:</t>
  </si>
  <si>
    <t>25/Feb/26 12:37 PM;gulnur.aka;23 Şubat 2026 saat 14:10–14:20 itibarıyla webmail sistemine istek gönderilemediği tespit edilmiştir. Bu nedenle hiçbir KEP hesabı için ileti içeri çekilememiştir. Yapılan incelemeler sonucunda bu soruna yönelik geliştirme ihtiyacı tespit edilmiştir._x000D_
_x000D_
Geliştirme taskının içeriği [~Remzi.Sefer] yönlendirilmesiyle açılmıştır. </t>
  </si>
  <si>
    <t>27/Feb/26 8:58 AM;batuhan.tufan;Kep ve Uets için servis ayrıştırılması yapıldı. Test ortamda iki adet windows servis üzerinden işlemler yapılmaktadır. Gerekli senaryolar detaylıca test edilmelidir.</t>
  </si>
  <si>
    <t>27/Feb/26 12:54 PM;Remzi.Sefer;Organizasyonel Tanımlamalar: Farklı organizasyonlar için yeni KEP hesapları tanımlanmalı ve yapılandırmanın sorunsuz çalıştığı teyit edilmelidir._x000D_
_x000D_
 İleti Gönderim Akışı: Farklı organizasyonlar üzerinden giden ileti süreçleri uçtan uca test edilmelidir._x000D_
_x000D_
Delil Yönetimi: İletilere istinaden oluşan delillerin sisteme doğru ve eksiksiz bir şekilde çekilip çekilmediği kontrol edilmelidir._x000D_
_x000D_
Alım  Süreçleri: Ayrıştırılan yeni mimaride, hem KEP hem de UETS alım süreçlerinin birbirini etkilemeden çalıştığı doğrulanmalıdır._x000D_
_x000D_
Hata Testi: Bir serviste yaşanabilecek olası bir aksaklığın (veya yoğunluğun) diğer servisi etkileyip etkilemediği gözlemlenmelidir._x000D_
 _x000D_
 Test senaryolarında yukarıdaki konular dikkate alınarak test edilmesi gerekmektedir._x000D_
_x000D_
 </t>
  </si>
  <si>
    <t>27/Feb/26 12:57 PM;Remzi.Sefer;Yapılan değişiklikler sebebiyle görüş ve öneri almak için DB ekibine 2 SP iletildi, gelecek sonuca göre test süreçleri başlatılacaktır._x000D_
_x000D_
 </t>
  </si>
  <si>
    <t>02/Mar/26 10:02 AM;Remzi.Sefer; 2 Sp de değişiklik sağladı, Testler sırasında [~muratcan.egri] ile iletişime geçilerek gerekli kontrollerin yapılması daha sağlıklı olacaktır._x000D_
[~gurkan.guney]</t>
  </si>
  <si>
    <t>*Açıklama:*_x000D_
_x000D_
Prod ortamda kullanıcıya gösterilen ekranlar ve metinlerde Türkçe olmayan  ifadeler bulunmaktadır._x000D_
 Bu durum kullanıcı deneyimini olumsuz etkilemekte ve dil bütünlüğünü bozmaktadır._x000D_
_x000D_
Bu çalışma kapsamında:_x000D_
 * Prod ortamda yer alan Türkçe olmayan kelimelerin tespit edilmesi_x000D_
_x000D_
 * İlgili metinlerin uygun ve tutarlı Türkçe karşılıklarıyla güncellenmesi</t>
  </si>
  <si>
    <t>0|i01f7b:</t>
  </si>
  <si>
    <t>IMC</t>
  </si>
  <si>
    <t>Imza Client</t>
  </si>
  <si>
    <t>İmza Client Jar dosyası üzerinde Ayşenur tarafından gerçekleştirilen kapsamlı testler sonucunda çeşitli hata ve iyileştirme noktaları tespit edilmiştir._x000D_
_x000D_
*Detaylar:* Tespit edilen tüm bulgular, adımları  ile birlikte detaylı bir şekilde ekteki Excel dosyasında listelenmiştir.Bu listedeki maddeleri inceleyerek gerekli düzeltmeleri yapılması beklenmektedir._x000D_
_x000D_
*Beklenen Aksiyon:* Ekteki Excel dosyasında yer alan maddelerin sırasıyla kontrol edilmesi ve çözüm sağlandıktan sonra statünün güncellenmesini rica ederiz.</t>
  </si>
  <si>
    <t>03/Mar/26 1:04 PM;Remzi.Sefer;Bulgular 1.xlsx;http://192.168.124.186:8080/secure/attachment/15954/Bulgular+1.xlsx</t>
  </si>
  <si>
    <t>0|i01fhw:</t>
  </si>
  <si>
    <t>IMC Sprint 2026/9-11</t>
  </si>
  <si>
    <t>IEU-336</t>
  </si>
  <si>
    <t>0|i01fgs:</t>
  </si>
  <si>
    <t>IEU Sprint 2026/9-11</t>
  </si>
  <si>
    <t>IEU-335</t>
  </si>
  <si>
    <t>0|i01fgk:</t>
  </si>
  <si>
    <t>IEU-334</t>
  </si>
  <si>
    <t>0|i01fgc:</t>
  </si>
  <si>
    <t>IEU-333</t>
  </si>
  <si>
    <t>0|i01fg4:</t>
  </si>
  <si>
    <t>IEU-332</t>
  </si>
  <si>
    <t>-Daily'ye katıldım._x000D_
_x000D_
-2.1.1 jar testleri yaptım. _x000D_
_x000D_
 ;27/Feb/26 4:53 PM;aysenur.bilgic;14400</t>
  </si>
  <si>
    <t>-Daily'ye katıldım._x000D_
_x000D_
-2.1.1 yeni jar testlerini yaptım. ;27/Feb/26 4:55 PM;aysenur.bilgic;27000</t>
  </si>
  <si>
    <t>-Daily'ye katıldım._x000D_
_x000D_
-Ent suit yerinde kurulum için gerekli testlere bakıldı. _x000D_
_x000D_
 ;27/Feb/26 5:24 PM;aysenur.bilgic;14400</t>
  </si>
  <si>
    <t>-Daily'ye katıldım._x000D_
_x000D_
-Ent Suit yerinde kurulumu yapıldı ve testlerin nasıl gerçekleşeceği hakkında bilgiler aldım.;27/Feb/26 5:25 PM;aysenur.bilgic;28800</t>
  </si>
  <si>
    <t>-Daily ye katıldım._x000D_
_x000D_
-İster Sahibi bilgilendirme toplantısına katıldım._x000D_
_x000D_
-ent suit yerinde kurulum ve 2.1.1 imza client testlerine baktım.;27/Feb/26 5:29 PM;aysenur.bilgic;25200</t>
  </si>
  <si>
    <t>daily ve daily sonrası toplantı yapıldı.;03/Mar/26 11:11 AM;aysenur.bilgic;3600</t>
  </si>
  <si>
    <t>daily ve backlog a katıldım;03/Mar/26 5:29 PM;aysenur.bilgic;3600</t>
  </si>
  <si>
    <t>0|i01f6g:</t>
  </si>
  <si>
    <t>IEU Sprint 2026/9-10</t>
  </si>
  <si>
    <t>IEU-330</t>
  </si>
  <si>
    <t>0|i01f6k:</t>
  </si>
  <si>
    <t>IEU-329</t>
  </si>
  <si>
    <t>0|i01f6c:</t>
  </si>
  <si>
    <t>IEU-328</t>
  </si>
  <si>
    <t>Chatbot sprint planlama toplantısına katılındı._x000D_
_x000D_
Katılım emeklilik firması için log kontrolü yapıldı.;26/Feb/26 4:50 PM;berrin.akan;3600</t>
  </si>
  <si>
    <t>0|i01f64:</t>
  </si>
  <si>
    <t>25/Feb/26 3:46 PM;Remzi.Sefer;Entegrasyon Suit Web Servis Kılavuzu s.01.00.docx;http://192.168.124.186:8080/secure/attachment/15940/Entegrasyon+Suit+Web+Servis+K%C4%B1lavuzu+s.01.00.docx</t>
  </si>
  <si>
    <t>25/Feb/26 3:47 PM;Remzi.Sefer;İlgili Dokümanın güncel hali ekte yüklenmiştir._x000D_
_x000D_
Entegrasyon Suit Web Servis Kılavuzu s.01.00</t>
  </si>
  <si>
    <t>ES</t>
  </si>
  <si>
    <t>High</t>
  </si>
  <si>
    <t>EFT Sprint 2026/9-10</t>
  </si>
  <si>
    <t>EFT Sprint 2026/11-12</t>
  </si>
  <si>
    <t xml:space="preserve">2FA Fonksiyonun Aktifleştirilmesi </t>
  </si>
  <si>
    <t>h3. *Amaç:*_x000D_
_x000D_
Tüm ilgili ürünlerde kullanıcı güvenliğini artırmak amacıyla 2FA (Two-Factor Authentication) doğrulama mekanizmasının devreye alınması._x000D_
_x000D_
*Kapsam:*_x000D_
 * Sistemlerinizde yer alan parola politikasının, kullanıcıya ait son 3 parolanın kullanılamayacağı şekilde güncellenmesi_x000D_
 * Bünyenizde kullanılan kritik uygulamalarda, çok faktörlü kimlik doğrulama (MFA) sistemlerinin kullanıcılar tarafından devre dışı bırakılamayacak şekilde zorunlu hale getirilmesi_x000D_
 * Kişisel verilerin (T.C. kimlik bilgileri, adres, telefon numarası vb.) sorgulanabildiği tüm uygulamalara, istek sayısı sınırlandırması (rate limit) ve her işlem için güvenlik kodu doğrulaması (CAPTCHA) eklenmesi_x000D_
 * Birden fazla üründe 2FA altyapısının uygulanması_x000D_
 * Login akışına 2FA adımının eklenmesi_x000D_
 * SMS / E-posta uygulama desteği_x000D_
 * 2FA aktivasyon &amp; deaktivasyon yönetimi_x000D_
 * Hata ve edge-case senaryolarının ele alınması_x000D_
_x000D_
 </t>
  </si>
  <si>
    <t>ghx-label-6</t>
  </si>
  <si>
    <t>0|i01fbo:</t>
  </si>
  <si>
    <t>e-Saklama Servisi Defter Entegrasyonu</t>
  </si>
  <si>
    <t>EDF-819</t>
  </si>
  <si>
    <t>*Kullanıcı Hikayesi*_x000D_
_x000D_
Bir sistem yöneticisi olarak, Defter verilerinin aylık olarak otomatik biçimde e-Saklama sistemine aktarılmasını istiyorum, böylece yasal saklama yükümlülükleri düzenli ve hatasız şekilde yerine getirebilirim._x000D_
_x000D_
*Açıklama*_x000D_
_x000D_
eSaklama ürününde Defter modülü için ayrı bir entegrasyon servisi geliştirilmiştir. Defter kısmı servisi bağlanması gerekmektedir. Servis linki aşağıdadır;_x000D_
_x000D_
[https://192.168.126.190/webjars/swagger-ui/index.html?urls.primaryName=doc-operation-service#/]_x000D_
_x000D_
*Kabul Kriterleri*_x000D_
 # Aktarım aylık periyotta otomatik olarak çalışmalıdır.(3 aylık olan dönemler için ayrıca bir parametre olmalıdır)_x000D_
 # Aktarım ay kapanışı sonrası tetiklenmelidir._x000D_
 # Manuel tetikleme imkanı bulunmalıdır._x000D_
 # Başarılı ve başarısız işlemler loglanmalıdır._x000D_
 # Hata durumlarında retry mekanizması bulunmalıdır._x000D_
 # Aynı defter kaydı tekrar saklanmamalıdır._x000D_
 # Veri bütünlüğü korunmalıdır._x000D_
_x000D_
 _x000D_
_x000D_
 _x000D_
_x000D_
 </t>
  </si>
  <si>
    <t>DAVS-179</t>
  </si>
  <si>
    <t>e-Defter sözleşme ekranında müşteri başarılı imza sağlamadığı durumlarda kurulum için sign_application'a yönlendirmektedir. Linkte yönlendirilecek adres depo.turkkep.com.tr/imzaclient olması gerekmektedir.</t>
  </si>
  <si>
    <t>EDF Sprint 2026/7-8</t>
  </si>
  <si>
    <t>Bir e-envanter defteri mükellefi olarak kullandığım portalin Anasayfası üzerinden tüm envanter defterlerimin beratlarının sayısını görebilmeliyim. Böylece tüm envater beratlarıma tek bir tıklama ile hızlıca ulaşabilirim. _x000D_
_x000D_
*Kabul Kriterleri:*_x000D_
 * Anasayfada e-Envanter başlığı içinde Envanter Defter Berat Sayısı dinamik olarak gösterilmelidir:_x000D_
_x000D_
 * Widget üzerinde hızlı aksiyon butonu olarak "Detaylar" butonu bulunmalıdır._x000D_
_x000D_
 * Widget içerisinde yüklenen envanter defterleri, tarih, durum(gib onaylandı, imza bekliyor, hata, reddedildi vb) bilgisiyle listelenmelidir._x000D_
_x000D_
 * Eğer kullanıcının hiç envanter beratı yoksa, widget üzerinde "Henüz bir envanter defteri beratınız bulunmamaktadır" uyarısı gösterilir</t>
  </si>
  <si>
    <t>EDF-800</t>
  </si>
  <si>
    <t>Bir e-envanter defteri mükellefi olarak kullandığım portalin Anasayfası üzerinden tüm envanter defterlerimi görebilmeliyim. Böylece tüm envaterlerime tek bir tıklama ile hızlıca ulaşabilirim. _x000D_
_x000D_
*Kabul Kriterleri:*_x000D_
 * Anasayfada e-Envanter başlığı içinde Toplam Envanter Defter Sayısı dinamik olarak gösterilmelidir:_x000D_
_x000D_
 * Widget üzerinde hızlı aksiyon butonu olarak "Detaylar" butonu bulunmalıdır._x000D_
_x000D_
 * Widget içerisinde yüklenen envanter defterleri, tarih, durum(gib onaylandı, imza bekliyor, hata, reddedildi vb) bilgisiyle listelenmelidir._x000D_
_x000D_
 * Eğer kullanıcı henüz hiç defter yüklememişse, widget üzerinde "Henüz bir envanter defteri yüklemediniz" uyarısı ve bir "Yeni Defter Yükle" butonu çıkmalıdır.</t>
  </si>
  <si>
    <t>Envanter Defteri kapsamında eDefter Uygulaması altına yeni bir tab açılacak_x000D_
_x000D_
Açılış envanter yükleme alanı_x000D_
_x000D_
Kapanış envanter yükleme alanı_x000D_
_x000D_
Açılış envanter 1.deftere, kapanış envanteri 12.defter ile bağlantılı olacak_x000D_
Envanter defterleri, defterlerin açılış-kapanış durumlarını kontrol ve takip edecek_x000D_
_x000D_
Açılış defteri onayı sonrası envanter defteri yüklenebilecek, benzer şekilde Kapanış defteri onayı sonrası envanter defteri yüklenebilecek</t>
  </si>
  <si>
    <t>Oluşturulan classlar:_x000D_
ST_ENVANTER_MAIN_TMP_x000D_
ST_ENVANTER_ISLEM_x000D_
ST_ENTRY_HEADER_ENVANTER_x000D_
ST_ENTRY_HEADER_ENVANTER_TMP_x000D_
ST_ENTRY_DETAIL_ENVANTER_TMP_x000D_
ST_ENTRY_DETAIL_ENVANTER_x000D_
DefterKaydetEnvanter_x000D_
_x000D_
_x000D_
Oluşturulan spler:_x000D_
sp_DeleteTmpSubeliEnvanter_x000D_
sp_GetFirmHatasizEnvanterByDate_x000D_
_x000D_
örnek yüklenecek xml hazırlandı._x000D_
envanter defteri yükleme için gerekli olan classlar metotlar spler yazıldı._x000D_
E-Envanter -&gt; Yükleme Araçları -&gt; Xml ile Yükleme Envanter sayfası oluşturuldu._x000D_
eDefterCrmServisine CreateEnvanterTmpTable metotu eklenerek idFirma bilgisiyle tmp tablolarının oluşturulması sağlandı._x000D_
Örnek xml yüklendi ve verilerin doğru bir şekilde tmp tablolara akışı kontrol edildi.;23/Jan/26 9:03 PM;batikan.ozturk;32400</t>
  </si>
  <si>
    <t>Eklenen spler:_x000D_
_x000D_
sp_AnalizIslemEnvanter_x000D_
sp_DefterOlusturmaEnvanter_x000D_
sp_SematronKontroluEnvanter_x000D_
sp_EnvanterParcadakiSonSatirinMaddeNumarasi_x000D_
sp_EnvanterParcadakiSonSatirinMaddeNumarasi2_x000D_
_x000D_
Eklenen tablolar:_x000D_
_x000D_
GN_BIRIM_KOD_x000D_
GN_ANALIZ_SORU_ENVANTER_x000D_
ST_ENVANTER_ISLEM_DETAY_x000D_
ST_ENVANTER_ISLEM_TARIH_x000D_
ST_ENVANTER_ISLEM_DETAY_TARIH_x000D_
_x000D_
_x000D_
_x000D_
 ;24/Jan/26 9:08 PM;batikan.ozturk;32400</t>
  </si>
  <si>
    <t>Silme işlemleri sayfası eklendi, metotlar eklendi.;24/Jan/26 11:20 PM;batikan.ozturk;10800</t>
  </si>
  <si>
    <t>Veri Analizi ve Envanter İşlemleri sayfaları oluşturuldu, metotları yazıldı, spleri eklendi, scriptleri eklendi._x000D_
_x000D_
Envanter işlemleri için Scheduler servis oluşturuldu._x000D_
EnvanterXml oluşturmak için metot eklendi alanların kontrolleri sağlandı._x000D_
_x000D_
Oluşturulan spler:_x000D_
_x000D_
sp_MaxUniqueNumberEnvanter_x000D_
sp_BeratDonemKontroluEnvanter_x000D_
sp_GetEnvanterIslemleriGridByIdFirma_x000D_
sp_EnvanterHesapla_x000D_
_x000D_
 _x000D_
_x000D_
 ;25/Jan/26 10:12 PM;batikan.ozturk;32400</t>
  </si>
  <si>
    <t>SchedulerEnvanterService windows servis oluşturuldu ve test ortama kurulumu yapıldı._x000D_
_x000D_
EnvanterAnalizTrigger_x000D_
EnvanterXbrlIslemleriTrigger_x000D_
EnvanterSematronKontrolTrigger jobları yazıldı._x000D_
_x000D_
Envanter_Scheduler_Create metotuyla Envanter Defteri ve Envanter Beratı xbrl oluşturma işlemleri eklendi._x000D_
_x000D_
ST_ENTRY_DETAIL_ENVANTER_Model_x000D_
ST_ENTRY_HEADER_ENVANTER_Model_x000D_
ST_ENVANTER_MAIN_Model_x000D_
Modelleri eklendi._x000D_
_x000D_
Örnek xmle uygun şekilde içeri aktarılan envanter defterinin, analiz, xbrl oluşturma ve şema/şematron kontrollerinden geçerek imzalanabilir aşamaya gelmesi sağlandı.;27/Jan/26 2:30 PM;batikan.ozturk;64800</t>
  </si>
  <si>
    <t>Gib-testmatik için Elvan Gürler ile birlikte örnek 5 adet xbrl dosyası imzalanmaya uygun şekilde hazırlandı.;27/Jan/26 5:25 PM;batikan.ozturk;10800</t>
  </si>
  <si>
    <t>Berat işlemleri ve onay işlemleri sayfaları oluşturuldu, scriptler eklendi metotlar eklendi.;06/Feb/26 2:47 PM;batikan.ozturk;64800</t>
  </si>
  <si>
    <t>Eklenen spler:_x000D_
_x000D_
sp_MoveEnvanterIslemToTarihByIdEnvanterMain_x000D_
 sp_GetEnvanterBeratIslemleriGridByIdFirma_x000D_
_x000D_
Envanter Listeleme sayfası eklendi, listeleme, görüntüleme, xml ve zip indirme, hatalı işaretleme, GİB 'den envanter defterinin silinme kontrolü eklendi, dosya taşıma işlemleri eklendi. Scriptler eklendi.;11/Feb/26 5:41 PM;batikan.ozturk;32400</t>
  </si>
  <si>
    <t>27/Jan/26 2:31 PM;batikan.ozturk;Envanter_Islemleri.png;http://192.168.124.186:8080/secure/attachment/15861/Envanter_Islemleri.png</t>
  </si>
  <si>
    <t>27/Jan/26 2:31 PM;batikan.ozturk;Silme_Islemleri.png;http://192.168.124.186:8080/secure/attachment/15862/Silme_Islemleri.png</t>
  </si>
  <si>
    <t>27/Jan/26 2:31 PM;batikan.ozturk;SolMenü.png;http://192.168.124.186:8080/secure/attachment/15863/SolMen%C3%BC.png</t>
  </si>
  <si>
    <t>27/Jan/26 2:31 PM;batikan.ozturk;Veri_Analizi.png;http://192.168.124.186:8080/secure/attachment/15864/Veri_Analizi.png</t>
  </si>
  <si>
    <t>27/Jan/26 2:31 PM;batikan.ozturk;Xml_Yukleme.png;http://192.168.124.186:8080/secure/attachment/15865/Xml_Yukleme.png</t>
  </si>
  <si>
    <t>0|i01bwk:qk</t>
  </si>
  <si>
    <t>24/Jan/26 9:11 PM;batikan.ozturk;Veri analizinde sorulacak sorular aşağıdaki gibidir, 10 ve 11. soruların isimlerinde değişiklik yapılacaktır._x000D_
_x000D_
1- Envanter madde numaraları kendi içinde benzersiz mi?_x000D_
2- Envanter madde numaraları bir önceki deftere göre ve kendi içinde sıralı mı?_x000D_
3- Fiş satırlarındaki sıra numaraları benzersiz mi?_x000D_
4- Fiş satırlarındaki sıra numaraları bir önceki deftere göre ve kendi içinde sıralı mı?_x000D_
5- Geçici tablodaki dönem daha önce Asıl Tabloya atılmış mı?_x000D_
6- Geçici tablodaki envanter madde numaraları Asıl Tabloda var mı?_x000D_
7- Aktarılacak dönem sıralı mı?_x000D_
8- Son Döneme ait tüm işlemler tamamlandı mı? (GİB Onaylı Beratlar yüklendi mi?)_x000D_
9- Bugünden ileri tarihli kayıt var mı?_x000D_
10- MEASURABLE_ID olması durumunda MEASURABLE_QUANTITY ve MEASURABLE_UNIT_OF_MEASURE olmalıdır._x000D_
11- AMOUNT_ORIGINAL_AMOUNT olması durumunda AMOUNT_ORIGINAL_CURRENCY, AMOUNT_ORIGINAL_EXCHANGE_RATE ve AMOUNT_ORIGINAL_EXCHANGE_RATE_DATE olmalıdır._x000D_
12- Birim Kodları Geçerli mi?_x000D_
13- Geçici Tablodaki Dönemin Finans Yılı ile Aktif Finans Yılı tutarlı mı?_x000D_
14- Dönemin ilk defterindeki Envanter Kayıt Numarası ve Fiş Satır Sayısı 1 ile başlamalıdır._x000D_
15- Diğer veri kontrolleri.</t>
  </si>
  <si>
    <t>27/Jan/26 2:31 PM;batikan.ozturk;Oluşturulan ekranların görselleri ekte paylaşılmıştır.</t>
  </si>
  <si>
    <t>DAVS</t>
  </si>
  <si>
    <t>0|i01cf3:8zzzzzzzzz9</t>
  </si>
  <si>
    <t>Hızlı Erişim Alt Menüsü Oluşturma ve Yönetimi</t>
  </si>
  <si>
    <t>DAVS-184</t>
  </si>
  <si>
    <t>27/Feb/26 4:43 PM;gulnur.aka;image-2026-02-27-17-43-23-040.png;http://192.168.124.186:8080/secure/attachment/15947/image-2026-02-27-17-43-23-040.png</t>
  </si>
  <si>
    <t>27/Feb/26 4:43 PM;gulnur.aka;image-2026-02-27-17-43-43-366.png;http://192.168.124.186:8080/secure/attachment/15948/image-2026-02-27-17-43-43-366.png</t>
  </si>
  <si>
    <t>27/Feb/26 4:44 PM;gulnur.aka;image-2026-02-27-17-44-01-955.png;http://192.168.124.186:8080/secure/attachment/15949/image-2026-02-27-17-44-01-955.png</t>
  </si>
  <si>
    <t>DAVS-7</t>
  </si>
  <si>
    <t>27/Feb/26 4:44 PM;gulnur.aka;İsterler düzenlenmiştir. Gelecek hafta refirementta konuşulması planlanmaktadır. İlgili teknik analiz süreci başlatılabilir. [~ceren.sertkaya] [~zeynep.oran] _x000D_
_x000D_
Proje yöneticisini süreç takibi için ekliyorum. [~hasan.coskun]</t>
  </si>
  <si>
    <t>Favorilerim Menüsüne Doküman/Dosya/Klasör Ekleme</t>
  </si>
  <si>
    <t>DAVS-183</t>
  </si>
  <si>
    <t>27/Feb/26 3:42 PM;gulnur.aka;image-2026-02-27-16-42-24-392.png;http://192.168.124.186:8080/secure/attachment/15946/image-2026-02-27-16-42-24-392.png</t>
  </si>
  <si>
    <t>27/Feb/26 4:04 PM;gulnur.aka;İsterler düzenlenmiştir. Gelecek hafta refirementta konuşulması planlanmaktadır. İlgili teknik analiz süreci başlatılabilir. [~ceren.sertkaya] [~zeynep.oran] _x000D_
_x000D_
Proje yöneticisini süreç takibi için ekliyorum. [~hasan.coskun]</t>
  </si>
  <si>
    <t>Anımsatıcı Bildirim Mekanizması</t>
  </si>
  <si>
    <t>DAVS-182</t>
  </si>
  <si>
    <t>DAVS-18</t>
  </si>
  <si>
    <t>27/Feb/26 3:24 PM;gulnur.aka;İsterler düzenlenmiştir. Gelecek hafta refirementta konuşulması planlanmaktadır. İlgili teknik analiz süreci başlatılabilir. [~ceren.sertkaya] [~zeynep.oran] _x000D_
_x000D_
Proje yöneticisini süreç takibi için ekliyorum. [~hasan.coskun]</t>
  </si>
  <si>
    <t>Anımsatıcı Listeleme</t>
  </si>
  <si>
    <t>DAVS-181</t>
  </si>
  <si>
    <t>0|i01cf3:8zzzzzzzz9</t>
  </si>
  <si>
    <t>Anımsatıcı Oluşturma</t>
  </si>
  <si>
    <t>DAVS-180</t>
  </si>
  <si>
    <t>0|i01cf3:8zzzzzzzz4</t>
  </si>
  <si>
    <t>27/Feb/26 3:23 PM;gulnur.aka;İsterler düzenlenmiştir. Gelecek hafta refirementta konuşulması planlanmaktadır. İlgili teknik analiz süreci başlatılabilir. [~ceren.sertkaya] [~zeynep.oran] _x000D_
_x000D_
Proje yöneticisini süreç takibi için ekliyorum. [~hasan.coskun]</t>
  </si>
  <si>
    <t>Parola Sıfırlama</t>
  </si>
  <si>
    <t>DAVS-111</t>
  </si>
  <si>
    <t>*Description:*_x000D_
_x000D_
Kullanıcı, giriş ekranındaki *“Parolamı Unuttum”* bağlantısını tıklayarak parola sıfırlama sürecini başlatabilmelidir. Süreç, e-posta adresi ve SMS doğrulaması üzerinden çok aşamalı şekilde ilerlemeli ve kullanıcıdan hem kimlik teyidi hem de OTP doğrulaması istenmelidir._x000D_
_x000D_
Süreç boyunca, her adımdaki kullanıcı girişi sistem tarafından doğrulanmalı ve gerekli validasyonlar yapılmalıdır. Kullanıcı başarılı şekilde doğrulandıktan sonra, yeni bir şifre oluşturmasına izin verilmelidir._x000D_
_x000D_
 _x000D_
_x000D_
*Gereksinimler:*_x000D_
_x000D_
*Giriş ekranında, kullanıcı “Parolamı unuttum” bağlantısını tıklayarak süreci başlatır.*_x000D_
 * Kullanıcıdan e-posta adresi istenir._x000D_
_x000D_
 * E-posta alanı yalnızca geçerli formatta veri girildiğinde işleme alınmalıdır._x000D_
_x000D_
 * Hatalı e-posta formatları (örnek: {{abc@}}, {{test.com}}) sistem tarafından reddedilmeli ve kullanıcı uyarılmalıdır._x000D_
_x000D_
*e-Posta Doğrulama* *ve Sıfırlama Linki*_x000D_
_x000D_
Girilen e-posta sistemde kayıtlıysa:_x000D_
 * Parola sıfırlama bağlantısı kullanıcıya gönderilir._x000D_
 * Bağlantı geçerlilik süresi varsayılan olarak *15 dakika* olmalı ve bu süre parametrik olarak Türkkep sistemi tarafından ayarlanabilir olmalıdır._x000D_
 * E-posta kayıtlı değilse kullanıcıya bilgilendirme yapılmalıdır (güvenlik politikalarına uygun şekilde)._x000D_
_x000D_
*Kullanıcı gönderilen bağlantıya tıkladığında:*_x000D_
 * Kayıtlı telefon numarasının son 4 hanesi istenir._x000D_
 * Giriş, sistemdeki veriyle eşleşiyorsa OTP gönderilir._x000D_
 * Yanlış giriş durumunda kullanıcı bilgilendirilmelidir._x000D_
_x000D_
*SMS Doğrulama*_x000D_
 * Sistem, SMS ile OTP gönderir._x000D_
_x000D_
 * OTP süresi: *5 dakika* (parametrik olarak ayarlanabilir)._x000D_
_x000D_
 * Süre aşımında oturum sonlandırılmalı, kullanıcı süreci yeniden başlatmalıdır._x000D_
_x000D_
 * Maksimum deneme hakkı: *3* kez. Sonrasında işlem kilitlenmelidir._x000D_
_x000D_
*Yeni Parola Belirleme*_x000D_
 * OTP doğrulaması başarılıysa kullanıcıya yeni parola oluşturma ekranı sunulmalıdır._x000D_
_x000D_
 * Yeni parola, sistemdeki parola belirleme kriterlerine uygun olmalıdır._x000D_
_x000D_
 * Parola başarıyla değiştirildiğinde kullanıcıya bilgi mesajı gösterilmeli ve tekrar giriş yapması sağlanmalıdır.</t>
  </si>
  <si>
    <t>DAVS-5</t>
  </si>
  <si>
    <t>KEP Modülü</t>
  </si>
  <si>
    <t>17/Jul/25 3:35 PM;gulnur.aka;image-2025-07-17-15-35-46-329.png;http://192.168.124.186:8080/secure/attachment/15411/image-2025-07-17-15-35-46-329.png</t>
  </si>
  <si>
    <t>DAVS-8</t>
  </si>
  <si>
    <t>18/Jul/25 4:40 PM;ceren.sertkaya;*Açıklama:*_x000D_
_x000D_
KEP Entegrasyon ekranında bulunan Gelen İletiler, Giden İletiler ve Deliller sekmelerinde kullanıcılar listelenen kayıtlar üzerinde kolay arama yapabilmeli, detaylı sorgulama gerçekleştirebilmelidir. Kullanıcı deneyimini iyileştirmek adına tüm sekmeler için *ortak bir filtreleme alanı* olacak, ancak *sekme bazlı dinamik filtreler* yüklenecektir._x000D_
 • Ortak bir filtre bileşeni kullanılacak ama sekme değiştikçe ilgili filtreler ekrana dinamik olarak yüklenecektir._x000D_
 • Örneğin, “Gelen İletiler” sekmesinde “Kimden (From)” filtresi olurken, “Giden İletiler” sekmesinde “Kime (To)” filtresi görünecektir._x000D_
 • Kullanıcı isterse varsayılan filtre dışında kriter ekleyerek aramasını detaylandırabilecektir._x000D_
_x000D_
*Filtreleme Alanları:*_x000D_
_x000D_
*Tüm Sekmelerde Ortak Alanlar:*_x000D_
 • *Tarih Aralığı* (tek gün veya tarih aralığı seçimi yapılabilir)_x000D_
 • *MessageID Byremmd*_x000D_
 • *orjinal Message ID (orgimsgid)*_x000D_
 • *Ek Dosya Adı (Eklentiler - Dosya Adı)*_x000D_
_x000D_
*Gelen İletiler Sekmesi Özel Alanlar:*_x000D_
 • Kimden (From)_x000D_
 • Konu (Subject)_x000D_
 • İleti Detay (X-TR-REM-iletiDetay)_x000D_
 • İleti Tipi (X-TR-REM-iletiTipi)_x000D_
_x000D_
*Giden İletiler Sekmesi Özel Alanlar:*_x000D_
 • Kime (To)_x000D_
 • Konu (Subject)_x000D_
 • İleti Detay (X-TR-REM-iletiDetay)_x000D_
 • İleti Tipi (X-TR-REM-iletiTipi)_x000D_
_x000D_
*Deliller Sekmesi Özel Alanlar:*_x000D_
 • Delil Tipi (X-REM-EvidenceType)_x000D_
 • Delil Açıklaması (X-REM-EventCode)_x000D_
 • Kimden / HS Bilgisi (From)_x000D_
_x000D_
*Ek notlar:*_x000D_
_x000D_
 Sekme bazlı varsayılan filtreler yüklensin ancak kullanıcı tüm kriterlere erişebilsin._x000D_
  Filtreler “anlık sorgu” (search as you type) veya “Filtrele” butonuyla çalıştırılabilir opsiyonlu olsun._x000D_
  *Tüm Filtreleri Sıfırla* butonu her zaman erişilebilir olmalı._x000D_
 Tarih filtreleri *gün*, *aralık* ve *bugün/dün* gibi hızlı filtrelerle desteklenebilir._x000D_
  Filtre değişimi sonrası arka planda temiz bir API çağrısı ile sadece filtrelenen veriler gelsin (pagination ve sayfalama destekli)._x000D_
 Gelişmiş filtreler *responsive* olarak mobilde de uyumlu çalışmalıdır._x000D_
_x000D_
*Kabul Kriterleri:*_x000D_
 1. Filtre bileşeni tüm sekmelerde ortak yapıdadır, sekmeye göre uygun filtre alanları dinamik yüklenir._x000D_
 2. Birden fazla filtreleme kriteri aynı anda kullanılabilir._x000D_
 3. Boş filtre ile arama yapıldığında tüm kayıtlar getirilir._x000D_
 4. Tarih filtresi hem tek gün hem de tarih aralığı olarak çalışır._x000D_
 5. Arama sonuçları “Filtrele” butonu veya anlık sorgu ile gösterilir._x000D_
 6. “Tüm filtreleri sıfırla” butonu filtreleri ilk duruma döndürür._x000D_
 7. Filtreleme sonucunda yükleme süresi kullanıcı deneyimi açısından hızlı olmalıdır._x000D_
 8. Mobil cihazlarda filtre bileşeni düzgün çalışmalıdır._x000D_
 9. Sekme değişiminde filtreler otomatik temizlenmeli, yeni sekmeye göre varsayılan filtre yüklenmelidir._x000D_
 10. Filtrelenen sonuçlar paging ile getirilmelidir._x000D_
_x000D_
 _x000D_
_x000D_
 *Kullanılabilirlik (UX) Gereksinimleri*_x000D_
_x000D_
• Filtre alanları kullanıcı dostu olmalı; label’lar açıklayıcı ve sade olmalıdır._x000D_
 • Tarih filtreleri için takvim bileşeni kullanılmalı, manuel girişte format kontrolü yapılmalıdır._x000D_
 • Mobil görünümde filtre alanları aşağıya açılan (accordion) yapı şeklinde optimize edilmelidir._x000D_
 • Boş arama sonucu için “Kayıt bulunamadı” mesajı gösterilmeli, varsa filtre ipuçları sunulmalıdır._x000D_
 • Her filtre alanında placeholder örnekler (örneğin: örn. hs03.kep.tr gibi) bulunmalıdır._x000D_
_x000D_
 *Teknik Entegrasyon ve Performans Gereksinimleri*_x000D_
_x000D_
• Filtre uygulandığında arka uçta filtre kriterleri ile API çağrısı yapılmalı; response süresi max 2 sn altında olmalıdır._x000D_
 • Backend filtreleme işlemi *sunucu taraflı* yapılmalı; istemciye yük bindirilmemelidir._x000D_
 • Arama kriterleri GET yerine POST methodu ile gönderilerek karakter sınırlaması aşılmalıdır. (Daha büyük dataların alınabilmesi için)_x000D_
 • “Sayfalama” (pagination) desteği ile birlikte filtre sonuçları limitli gönderilmeli (örnek: ilk 50 kayıt)._x000D_
_x000D_
*Güvenlik Gereksinimleri*_x000D_
 • Filtre alanları injection’a karşı korunmalı, özel karakter kontrolleri yapılmalı (örn. ', &lt;, &gt;, % gibi)._x000D_
_x000D_
*Test Senaryoları*_x000D_
 # Kullanıcı herhangi bir sekmeye geldiğinde → İlgili sekmeye özel filtreler ön tanımlı gelir._x000D_
 2. Kullanıcı birden fazla filtre ile arama yapar → Tüm filtreler beraber çalışır, arama sonucu doğru döner._x000D_
 3. Tarih filtresi ile yalnızca belirli bir tarih aralığı seçilir → Listelenen iletiler sadece bu aralığa göre gelir._x000D_
 4. “Tüm filtreleri sıfırla” butonuna basılır → Tüm filtreler sıfırlanır, tüm kayıtlar listelenir._x000D_
 5. Anlık sorgu etkinse → Kullanıcı yazarken sonuçlar anlık güncellenir._x000D_
 6. “Filtrele” butonlu kullanımda → Kullanıcı kriterleri belirleyip “Filtrele” dediğinde veri doğru gelir._x000D_
 7. Sekme değiştirildiğinde → Filtreler temizlenir, yeni sekmeye ait filtreler otomatik yüklenir._x000D_
 8. Mobil cihazda giriş yapılır → Tüm filtre alanları mobil uyumlu görünür ve çalışır._x000D_
 9. Kullanıcı çok sayıda veri sorguladığında → Sonuçlar sayfalama ile gösterilir, performans düşmez._x000D_
 10. API loglarında filtre sorguları kayıt altına alınır → Backend loglar kontrol edildiğinde filtre değerleri görünür._x000D_
_x000D_
 </t>
  </si>
  <si>
    <t>27/Feb/26 5:13 PM;gulnur.aka;Burdaki isterlerden farklılık bulunmamaktadır. Gelecek hafta refirementta konuşulması planlanmaktadır. İlgili teknik analiz süreci tekrardan gözden geçirilebilir.. [~ceren.sertkaya] [~zeynep.oran] _x000D_
_x000D_
Proje yöneticisini süreç takibi için ekliyorum. [~hasan.coskun]</t>
  </si>
  <si>
    <t>Anımsatıcı Fonksiyonu</t>
  </si>
  <si>
    <t>Fonksiyonel</t>
  </si>
  <si>
    <t>* Kullanıcılar, herhangi bir klasör veya dosya için anımsatıcı oluşturabilmelidir._x000D_
 * Anımsatıcıya açıklama alanı eklenerek, kullanıcı neden bu hatırlatmayı koyduğunu kısa bir notla belirtebilmelidir._x000D_
 * Anımsatıcı tanımlama sırasında kullanıcı, tarih ve saat seçimi yapabilmelidir._x000D_
 * Seçim arayüzü kullanıcı dostu bir takvim/saat seçici ile sunulmalıdır._x000D_
 * Sistem, tanımlanan anımsatıcı zamanından önce, kullanıcıya bilgilendirici bir e-postave uygulama içi bildirim göndermelidir._x000D_
 * Bu ön bilgilendirme süresi (örneğin: 1 gün, 1 saat öncesi) kullanıcı tarafından belirlenebilir olmalıdır._x000D_
 * Sistem, anımsatıcı zamanına kadar belli aralıklarla tekrarlayan hatırlatmalar yapabilmelidir (örn. haftalık, günlük, saatlik gibi)._x000D_
 * Belirlenen anımsatıcı zamanı geldiğinde, sistem kullanıcıya uygulama içinden bir bildirim göstermelidir.</t>
  </si>
  <si>
    <t>27/Feb/26 12:38 PM;gulnur.aka;screenshot-1.png;http://192.168.124.186:8080/secure/attachment/15943/screenshot-1.png</t>
  </si>
  <si>
    <t>27/Feb/26 12:38 PM;gulnur.aka;screenshot-2.png;http://192.168.124.186:8080/secure/attachment/15944/screenshot-2.png</t>
  </si>
  <si>
    <t>27/Feb/26 12:38 PM;gulnur.aka;screenshot-3.png;http://192.168.124.186:8080/secure/attachment/15945/screenshot-3.png</t>
  </si>
  <si>
    <t>0|i01cce:</t>
  </si>
  <si>
    <t>Dashboard Ekranı</t>
  </si>
  <si>
    <t>* Kullanıcı sisteme ilk kez giriş yaptığında, sistemin temel işlevlerini tanıtan bir sihirbaz (kılavuz) fonksiyonu devreye girmelidir._x000D_
 * Kullanıcı, entegrasyonlarla gelen klasörler ve kendi oluşturduğu klasörlere ana ekran üzerinden erişebilmelidir._x000D_
 * Klasörlere ait ad, değişiklik tarihi, boyut gibi bilgiler kullanıcıya sunulmalıdır._x000D_
 * Klasör ve içerikler, kullanıcıya liste veya grid (kutu) görünümü şeklinde sunulabilmelidir._x000D_
 * Kullanıcı, ana ekran üzerinden doküman oluşturma, klasör oluşturma, transfer işlemleri gerçekleştirebilmelidir._x000D_
 * Kullanıcıya, sahip olduğu ve kullandığı depolama alanı ile ilgili detaylı bilgi sunulmalıdır._x000D_
 * Kullanıcıya gelişmiş filtreleme işlevi sunulmalı. Belge tipi, değişiklik tarihi, doküman sahibi, klasör adı, etiket bilgisi gibi parametrelere göre filtreleme yapabilmelidir._x000D_
 * Kullanıcı, doküman içeriklerinde tam metin arama fonksiyonu ile arama yapabilmelidir._x000D_
 * Ana kullanıcı, sistemde tanımlı bazı iş akışlarına ait geçmiş aktiviteleri görebilmelidir._x000D_
 * Kullanıcı, ana ekran üzerinden anımsatıcı fonksiyonuna erişim sağlayabilmelidir.</t>
  </si>
  <si>
    <t>ghx-label-7</t>
  </si>
  <si>
    <t>0|i01c9y:</t>
  </si>
  <si>
    <t>CRM Sprint 2026/9-10</t>
  </si>
  <si>
    <t>CRM-819</t>
  </si>
  <si>
    <t>0|i01fa4:</t>
  </si>
  <si>
    <t>CRM-818</t>
  </si>
  <si>
    <t>0|i01f9w:</t>
  </si>
  <si>
    <t>E-Fatura tarafı için firma aktivasyon etiketleri CRM tarafından üretilmektedir. Mevcutta var olan bir firmanın altına açılan şubenin aktivasyon etiketleri farklı olarak açılmalıdır._x000D_
_x000D_
Mevcutta aynı VKN altında açılan yeni şube için aktivasyon etiketi aynı olarak açılmaktadır. Aynı aktivasyon etiketi de hataya yol açmaktadır. Bu nedenle aynı VKN altına bir şube açılırken farklı aktivasyon etiketi ile açılmalıdır. Mevcut aktivasyon etiketinin sonuna numeric olarak ekleme yapılabilir._x000D_
_x000D_
Farklı VKN'ler ile aynı etiketler olabilir, aynı VKN ile aynı etiketler olamaz.</t>
  </si>
  <si>
    <t>İlgili geliştirme yapıldı;04/Mar/26 11:06 AM;baris.tunc;7200</t>
  </si>
  <si>
    <t>Halkbank projesi için statü servisinde gönderilen statü kodlarında 12 (Türkkep Onayı Bekleniyor) ve 13 (KEP Hesabı Açıldı) statüleri arasında, mevcutta statü 12 olarak tetiklendikten sonra 13 ile tetiklenip hesap açılışı gerçekleşiyordu._x000D_
_x000D_
Halkbank tarafından istenen ise 12 olarak tetiklendikten sonra, halkbank tarafından "success" olarak dönüş sonrasında 13 olarak tetiklenip hesap açılışının gerçekleşmesidir._x000D_
_x000D_
Halkbank tarafı response de success olarak dönüş yapacak, gelen requeste karşılık responseyi bekleyip tahsilat sonrası success olarak response gönderecekler fakat bizim ilettiğimiz request timeout, error veya farklı bir hataya düşebilir. Bunun için dönüş gelmeyen request için 2. veya 3. bir tetikleme belirli aralıklarla olmalıdır._x000D_
_x000D_
Not: 12 gönderildiği zaman Halkbank tarafına, Halkbank tarafından da success geldiğinde CRM tarafında kayıtlar oluşacaktır. Yani mevcutta 12 statüsünde CRM de kayıtlar oluşurken Halkbank tarafından success geldiği zaman kayıtlar oluşacaktır.</t>
  </si>
  <si>
    <t>Test ortamda yapılan kontroller başarılı. Statüler 10, 11, 12 olarak otomatik ilerliyor. Bu aşamada sipariş detayı CRM'e düşmüyor. Durum 'başarılı' olduktan sonra sipariş detayı CRM'e düşüyor ve Kep adresi açıldıktan sonra statü 13 oluyor._x000D_
_x000D_
Bireysel ve kurumsal için test edilmiştir.;05/Mar/26 4:17 PM;gurkan.guney;7200</t>
  </si>
  <si>
    <t>0|i00u53:yfwhzscl400009006</t>
  </si>
  <si>
    <t>03/Mar/26 4:18 PM;ahmet.hekim;kayıtlar edevlet onayı geldikten sonra , crmde açılmadan önce , halkbankdan 12 statusu başarılı bir şekilde gönderildiği zaman açılcak sekilde düzenlendi._x000D_
test ederken durum tablosunda bir kaydı başarılı yapıp test edebiliriz "Halkbank servisi basvuru id ordan gelmediği için hata veriyor, manuel başarılı yaparız"_x000D_
_x000D_
[~gurkan.guney]</t>
  </si>
  <si>
    <t>CRM Update 52</t>
  </si>
  <si>
    <t>CRM entegrasyonu ile beraber operasyon tarafından teklife göre sözleşme süreleri uzatılarak müşterilerin işlemleri yapılabilmektedir. Sözleşme süresi uzatılacak müşterinin herhangi bir sebepten ötürü (soy ad değişikliği, yanlış ürün açma, ünvan değişikliği) iptal olan bir sözleşmesi var ise operasyon tarafından işlem sağlandığından aktif olan değil, iptal durumunda olan sözleşmenin süresi uzamaktadır. _x000D_
_x000D_
Dolayısıyla müşterinin iptal durumda olan sözleşmesi değil, "aktif" durumda olan sözleşmesi uzatılmalıdır.</t>
  </si>
  <si>
    <t>Servis incelenerek kodda düzenleme yapılmıştır.;25/Feb/26 9:32 AM;baris.tunc;14400</t>
  </si>
  <si>
    <t>Servisten dönen sözleşmeler kontrol edilerek aktif olan sözleşmenin güncellenmesi sağlanmıştır;25/Feb/26 9:33 AM;baris.tunc;7200</t>
  </si>
  <si>
    <t>CRM Sprint 2026/3-4</t>
  </si>
  <si>
    <t>KİDOS üzerinden açılan kayıtlar için hesap ilk açıldığında, kapatıldığında ve tekrar açılırsa (tekrar açılışta yeni kayıt olmalı) durum bilgisinin UKDS sistemine gönderilmesi gerekmektedir._x000D_
_x000D_
Ek olarak hesap aktif durumu 1 olduğunda UKDS sistemine gönderilmelidir.</t>
  </si>
  <si>
    <t>tamamlandı;14/Jan/26 2:55 PM;ahmet.hekim;32400</t>
  </si>
  <si>
    <t>;30/Jan/26 5:18 PM;gurkan.guney;14400</t>
  </si>
  <si>
    <t>;04/Feb/26 4:34 PM;gurkan.guney;10800</t>
  </si>
  <si>
    <t>14/Jan/26 2:47 PM;ahmet.hekim;UKDS  statusChange servisine bağlı yeni servis verilecek bekleniyor._x000D_
[~gurkan.guney]</t>
  </si>
  <si>
    <t>21/Jan/26 2:12 PM;ahmet.hekim;ukds changeRemAddressStatusCRM_x000D_
servisi bağlanmıştır , hesap kapat, hesap tekrar aktive et buttonlarına._x000D_
[~gurkan.guney]</t>
  </si>
  <si>
    <t>30/Jan/26 3:34 PM;gurkan.guney;remAddressStatus : Kep adresi durumları _x000D_
-ACTIVE (Aktif),_x000D_
-PASSIVE (Askıda/Aktivasyon Bekliyor),_x000D_
-INACTIVE(Hesap kapatıldı) enum değerleri kullanılacaktır._x000D_
_x000D_
- KEP İK bireysel hesapları ilk açıldığında ACTIVE (Aktif) olacak, kapatılıp tekrar açılırsa yine ACTIVE (Aktif) olacak, hesap kapatılırsa INACTIVE(Hesap kapatıldı) olacak._x000D_
- KEP İK olmayan bireysel hesaplar ilk açıldığında PASSIVE (Askıda/Aktivasyon Bekliyor) olacak, kapatılıp tekrar açılırsa yine PASSIVE (Askıda/Aktivasyon Bekliyor) olacak, kapatılırsa INACTIVE(Hesap kapatıldı) olacak._x000D_
- Tüm kurumsal hesaplar ilk açıldığında PASSIVE (Askıda/Aktivasyon Bekliyor) olacak, kapatılıp tekrar açılırsa yine PASSIVE (Askıda/Aktivasyon Bekliyor) olacak, kapatılırsa INACTIVE(Hesap kapatıldı) olacak.</t>
  </si>
  <si>
    <t>30/Jan/26 5:18 PM;gurkan.guney;Aktif bir hesabı kapatınca bu bilgiyi UKDS tarafına iletiyor. -ok_x000D_
_x000D_
Kapalı bir hesabı tekrar aktif edince bu bilgiyi UKDS tarafına iletiyor. Eğer bireysel bir KEP İK hesabı ise aktif olarak iletiyor, değil ise askıda/aktivasyon bekliyor olarak iletiyor.-ok_x000D_
_x000D_
Fakat sıfırdan bir KEP İK hesabı açılırsa bunu da askıda/aktivasyon bekliyor olarak açıyor ve UKDS ye aktif bilgisini iletmiyor. Sıfırdan açılan ik bireysel hesapları aktif olarak açılmalı ve aktif bilgisi UKDS'ye iletilmeli._x000D_
_x000D_
Bir diğer konu da bireysel ik hesabı haricindeki hesaplar askıda/aktivasyon bekliyor olarak açılıyor. Webmail'e girip hesap aktivasyonunu yapınca aktif bilgisini UKDS'ye iletmiyor._x000D_
_x000D_
[~kemal.gur] selam, bu iki konu için işleyişin nasıl olacağına dair UKDS tarafı ile bir planlama yapmak gerekecek sanırım. </t>
  </si>
  <si>
    <t>04/Feb/26 8:46 AM;kemal.gur;Mevcut canlı süreçte KEP İK hesapları sıfırdan açıldığında direk açılıyor. Bireysel KEP hesapları ise askıda/aktivasyon bekliyor olarak açılıyor._x000D_
_x000D_
KEP İK hesapları için ilk açılışta, bireysel KEP hesapları için ise aktivasyon tamamlanınca (hesap aktif durumu 1 olunca) UKDS sistemine bildirim yapılmalıdır._x000D_
_x000D_
Sıfırdan açılan bir KEP İK hesabının aktif olarak değil askıda olarak açılması test ortamda düzeltilmeli, bireysel ve kurumsal KEP hesapları ise aktivasyon tamamlanınca UKDS'ye bildirim gönderilmeli. [~ahmet.hekim]</t>
  </si>
  <si>
    <t>04/Feb/26 2:53 PM;ahmet.hekim;crmden oluşan siparişlerde hesapaktif alanı 1 olması gerekmektedir default 0 geliyor, değiştirilse aktif olarak açılcaktır._x000D_
[~kemal.gur]_x000D_
_x000D_
 </t>
  </si>
  <si>
    <t>04/Feb/26 3:04 PM;kemal.gur;Hesap aktif alanı 1 olduğu zaman UKDS'ye bildirim sağlayabiliriz. [~ahmet.hekim]</t>
  </si>
  <si>
    <t>04/Feb/26 4:34 PM;gurkan.guney;Bireysel KEP İK hesabı ilk açıldığında aktif olarak açılıyor. CRM'de hesap durum aktif görünüyor. Fakat UKDS tarafında bu bilgi güncellenmiyor. Askıda/aktivasyon bekliyor şeklinde kalıyor. Bir diğer konu ise; bireysel ik hesapları haricindeki diğer hesaplar (bireysel ve kurumsal) askıda olarak açılıyor. Kullanıcı Webmail'e girip aktivasyonunu yaptığında hesap durum aktif oluyor. Fakat bu güncel bilgi de UKDS tarafına şu an iletilmiyor. Kullanıcı Webmail'e girip aktif olduğunda da aktif olduğu bilgisinin UKDS tarafına iletilmesi isteniyor. Özetle UKDS ile açılan herhangi bir hesabın hesap durum statüsü her güncellendiğinde güncel bilginin UKDS tarafına iletilmesi isteniyor._x000D_
_x000D_
-ACTIVE (Aktif),_x000D_
-PASSIVE (Askıda/Aktivasyon Bekliyor),_x000D_
-INACTIVE(Hesap kapatıldı)</t>
  </si>
  <si>
    <t>06/Feb/26 1:56 PM;ahmet.hekim;Hesap aktif alanı 1 olduğu zaman UKDS'ye bildirim sağlayabiliriz._x000D_
_x000D_
hesap açılmadan önce zaten bu bilgi ile geliyor ,hesap açıldığında ukds bildirim servisi çalışıyor._x000D_
_x000D_
[~kemal.gur]</t>
  </si>
  <si>
    <t>06/Feb/26 1:58 PM;kemal.gur;Hesap aktif alanı 1 olduğu zaman UKDS tarafına bildirim sağlayalım.</t>
  </si>
  <si>
    <t>06/Feb/26 2:03 PM;ahmet.hekim;hesap açılmadan nasıl sağlayacağız ?_x000D_
_x000D_
süreç bu şekilde değildir</t>
  </si>
  <si>
    <t>06/Feb/26 3:58 PM;kemal.gur;UKDS tarafından istenen hesap açıldığı zaman bir bildirim, açılan hesabın hesap aktif durumu 1 olduğunda yine bir bildirim daha gönderilmesidir. (Ceren Hanım ile teyitleştik.)</t>
  </si>
  <si>
    <t>06/Feb/26 4:08 PM;ahmet.hekim;sanırım başka bişi ile karıştırıyorsun , ukds gitmeden kep hesabını açmadan önce zaten hesap aktif durumu değerini veriyoruz.._x000D_
_x000D_
ara servisden  sipariş olusturulurken  kepik siparişi ise , sipariş detayında hesap aktif durumu alanını 1 olarak işaretliyoruz._x000D_
_x000D_
crm de, kep hesabı olustur butonuna bastıktan sonra zaten ukds bildirim gidiyor.</t>
  </si>
  <si>
    <t>23/Feb/26 1:47 PM;ahmet.hekim;[~gurkan.guney]_x000D_
açılış tarafındaki joba eklenmiştir, _x000D_
_x000D_
kep_accounts tablosunda hesapaktif durumu '1' ise ukds servisine active bilgisi gönderilmiştir.</t>
  </si>
  <si>
    <t>CRM Satış Raporunda;_x000D_
_x000D_
İlk fatura tarihi üzerinden 365 gün geçen kayıtlar için ilgi seviyesi "mevcut müşteri", 365 günden az olan kayıtlar için "yeni müşteri" olarak yazılmalıdır._x000D_
_x000D_
İlgi seviyesi "yeni müşteri" olan bir müşteri herhangi bir "yenileme" ürünü satın aldıysa, rapora "mevcut müşteri" olarak yazılmalıdır.</t>
  </si>
  <si>
    <t>20/Feb/26 4:18 PM;ahmet.hekim;[~gurkan.guney]_x000D_
aşağıdaki koşula uyan bir kayıt var ise jobı çalıştırabilirsin._x000D_
_x000D_
_x000D_
_x000D_
müşteri : yeni_müşteri ise_x000D_
netsis fatura numarası boş değil ise_x000D_
netsis entegrasyon durumu : gönderildi ise_x000D_
fatura tarihi boş değil ise_x000D_
faturada ürün kaleminde ekli ürün tipi :yenileme ise _x000D_
_x000D_
bu şekilde filtre edilmiştir, eksik yada fazla var ise cıkartabiliriz _x000D_
[~kemal.gur]</t>
  </si>
  <si>
    <t>24/Feb/26 3:13 PM;ahmet.hekim;mevutta ana işlem yetkilisi için bir kural vardı, tüm kayıtlar özelinde bakılcak şekilde düzenlendi._x000D_
_x000D_
İşlem kaydı eklendikten sonra mevcutta işlem kaydı var ve edevlet onay aşamasında ise , sipariş detayına yönlendiriiliğ uyarı mesajı çıkarılmıştır._x000D_
_x000D_
[~gurkan.guney]</t>
  </si>
  <si>
    <t>Müşterinin birden fazla KEP adresi olması senaryosunda, müşteri KEP adreslerinin sözleşme bitiş süresinin eşitlenmesini isteyebilir._x000D_
_x000D_
Müşterinin Kurumsal KEP ve KEP IK ürünü olması durumunda, müşteri Kurumsal KEP sözleşmesi ile KEP IK sözleşmesinin eşitlenmesini isteyebilir._x000D_
_x000D_
 _x000D_
_x000D_
Dolayısıyla "eşitle" butonu koyulmalıdır. Eşitle butonu ile KEP adreslerinin sözleşme bitiş süresi eşitlenir. Aktif durumda olan ilk KEP hesabının bitiş süresine eşitlenmelidir._x000D_
_x000D_
Eşitle butonu ile sonradan alınan ürünlerin sözleşme bitiş tarihleri "*ilk alınan*" ürünün sözleşme bitiş tarihine eşitlenir._x000D_
_x000D_
Eşitle butonunun KEP Sipariş Detayı ekranında yer alacaktır. Buton satış ekibine açık olacaktır._x000D_
_x000D_
Kurumsal KEP ve Bireysel KEP hesaplarında opsiyonel eşitle butonu olmalıdır. </t>
  </si>
  <si>
    <t>Kurumsal Kep adresleri için testler başarılı. Bireysel hesaplar için de geliştirme talep ediliyor.;24/Feb/26 1:07 PM;gurkan.guney;10800</t>
  </si>
  <si>
    <t>04/Mar/26 11:20 AM;baris.tunc;Hizmet başlangıç tarihi uygulama tarihi olarak güncellenecek şekilde düzenlenmiştir.</t>
  </si>
  <si>
    <t>EFT-2395</t>
  </si>
  <si>
    <t>EFT-2396</t>
  </si>
  <si>
    <t>DP-292</t>
  </si>
  <si>
    <t>IIS Sunucularında Gereksiz Dosya ve Dizinlerin Kontrolü ve Temizlenmesi</t>
  </si>
  <si>
    <t>Web Servis FaturaGönder / UBLFaturaGönder – KDV %0 Faturalar İçin İstisna Kodu Kontrolü</t>
  </si>
  <si>
    <t>Günlük e-Belge Hata Loglarının Excel Raporu Olarak e-mail ile Gönderilmesi</t>
  </si>
  <si>
    <t>EFT-2397</t>
  </si>
  <si>
    <t>GİB - e-Fatura Paketi Güncelleme(V 1.42)</t>
  </si>
  <si>
    <t>EFT-2398</t>
  </si>
  <si>
    <t>Portal - Nace Kodu - 555 İstisna</t>
  </si>
  <si>
    <t>EFT-2399</t>
  </si>
  <si>
    <t>WebServis - Nace Kodu - 555 İstisna</t>
  </si>
  <si>
    <t>EFT-2400</t>
  </si>
  <si>
    <t>Nace Kodu - Veritabanına Yeni Mükellef Detay Tablosu Eklenmesi</t>
  </si>
  <si>
    <t>EFT-2401</t>
  </si>
  <si>
    <t>Konnektör - Nace Kodu - 555 İstisna</t>
  </si>
  <si>
    <t>CRM-825</t>
  </si>
  <si>
    <t>Üretim Modülü Veri Yükleme</t>
  </si>
  <si>
    <t>CRM-828</t>
  </si>
  <si>
    <t>Halkbank Projesi - Prod Ortam Bağlantısı</t>
  </si>
  <si>
    <t>CRM-826</t>
  </si>
  <si>
    <t>CRM-827</t>
  </si>
  <si>
    <t>ENTEGRASYONBIREYSEL ve ENTEGRASYONKURUMSAL - ProductType</t>
  </si>
  <si>
    <t>Halkbank Projesi - Statü Kodu Senaryo</t>
  </si>
  <si>
    <t>Devam Ediyor</t>
  </si>
  <si>
    <t>Test</t>
  </si>
  <si>
    <t>Devan Ediyor</t>
  </si>
  <si>
    <t>WIK-823</t>
  </si>
  <si>
    <t>Yeni Dönem/Ay Açılışında Ayın Başında Mükerrer Dönem Oluşması</t>
  </si>
  <si>
    <t>Devam ediyor</t>
  </si>
  <si>
    <t>WIK-824</t>
  </si>
  <si>
    <t>E imza Logosunun PDF Dosyası İçerisinde Taşma Sorunu</t>
  </si>
  <si>
    <t>WIK-825</t>
  </si>
  <si>
    <t>KEP İK Dönem Servisi Metotunda Mükerer Çalışan Yüklenmesi</t>
  </si>
  <si>
    <t>WIK-826</t>
  </si>
  <si>
    <t>Kep Delil Raporu/ Pasif Kullanıcıların Listelenmesi ve Rapor Oluşturulabilmesi</t>
  </si>
  <si>
    <t>WIK-827</t>
  </si>
  <si>
    <t>Analiz-Çalışan Ekranı Liste Sayfasında Duyuru Detayının Pop-up Olarak Gösterilmesi</t>
  </si>
  <si>
    <t>MUL-215</t>
  </si>
  <si>
    <t>WIK-832</t>
  </si>
  <si>
    <t>Çalışan Ekle- Tek Başvuru Ekleme Adımı Karakter ve Parametre Kontrolü</t>
  </si>
  <si>
    <t>WIK-834</t>
  </si>
  <si>
    <t>KEP Delil Raporlarının Sıralanması</t>
  </si>
  <si>
    <t>WIK-833</t>
  </si>
  <si>
    <t>Sistem Ayarları Sayfasında ''Kaydet'' Aşamasının Uyarısı</t>
  </si>
  <si>
    <t>UKDS-228</t>
  </si>
  <si>
    <t>Kampanya Başvuru Sayfası Cep Telefonu Numarası Girişi</t>
  </si>
  <si>
    <t>UKDS-229</t>
  </si>
  <si>
    <t>IKENTEGRATORBIREYSEL- Ön Başvuru Süreç Linkinde Firma Bilgilerinin Gösterimi</t>
  </si>
  <si>
    <t>(boş)</t>
  </si>
  <si>
    <t>KA-1604</t>
  </si>
  <si>
    <t>MYS-856</t>
  </si>
  <si>
    <t>KA-1605</t>
  </si>
  <si>
    <t>MU-224</t>
  </si>
  <si>
    <t>MU-225</t>
  </si>
  <si>
    <t>MU-226</t>
  </si>
  <si>
    <t>IMC-2</t>
  </si>
  <si>
    <t>MYS-853</t>
  </si>
  <si>
    <t>KA-1608</t>
  </si>
  <si>
    <t>Teknik Analiz- On-Prem Uygulama Otomatik Deploy Edilebilmesi</t>
  </si>
  <si>
    <t>Araştırma- Giriş Süreçlerinde Güvenlik Artırımı için SMS, Captcha ve Parametrik Yönetim Araştırması</t>
  </si>
  <si>
    <t>İleti Raporu Sayısal Veri Uyuşmazlığı</t>
  </si>
  <si>
    <t>Biometrik Giriş Sırasında İnternet Bağlantı Hatası</t>
  </si>
  <si>
    <t>Mobil Şifremi unuttum ekranları</t>
  </si>
  <si>
    <t>Login / OTP Geri Sayım Sayacının Hatalı Çalışması</t>
  </si>
  <si>
    <t>İmza Clientdaki bulguların sebeplerinin netleştirilmesi- Araştırma</t>
  </si>
  <si>
    <t>IEU-342</t>
  </si>
  <si>
    <t>IEU-343</t>
  </si>
  <si>
    <t>MU-230</t>
  </si>
  <si>
    <t>MU-229</t>
  </si>
  <si>
    <t>MU-228</t>
  </si>
  <si>
    <t>MU-227</t>
  </si>
  <si>
    <t>Utify Servisi: Tebligat Dönüşleri Detaylı KEP Adresi Raporu ve Adetleri (Başarısız Olanlar) Eklenmesi</t>
  </si>
  <si>
    <t>Versiyon Sisteminin İncelenmesi</t>
  </si>
  <si>
    <t>Mobil Uygulama için Widget ve Unit Testlerin Yazılması (UI ve API Kapsamlı) </t>
  </si>
  <si>
    <t>MU-Merkezi KEP Rehberi Sorgulamasının Yapılması</t>
  </si>
  <si>
    <t>BE- Merkezi KEP Rehberi Sorgulamasının Yapılması</t>
  </si>
  <si>
    <t>MU- Giden Kutusunda “Teslim Edilemedi” ve “Reddedildi” Delil Türleri İçin Sebep Açıklaması Gösterimi</t>
  </si>
  <si>
    <t>BE- Giden Kutusunda “Teslim Edilemedi” ve “Reddedildi” Delil Türleri İçin Sebep Açıklaması Gösterimi</t>
  </si>
  <si>
    <t>Yüksek Boyutlu İleti Açılış Performans Analizi</t>
  </si>
  <si>
    <t>Watchers_1</t>
  </si>
  <si>
    <t>Log Work_5</t>
  </si>
  <si>
    <t>Log Work_19</t>
  </si>
  <si>
    <t>Log Work_20</t>
  </si>
  <si>
    <t>Log Work_21</t>
  </si>
  <si>
    <t>Log Work_22</t>
  </si>
  <si>
    <t>Log Work_23</t>
  </si>
  <si>
    <t>Log Work_24</t>
  </si>
  <si>
    <t>Log Work_25</t>
  </si>
  <si>
    <t>Log Work_26</t>
  </si>
  <si>
    <t>Log Work_27</t>
  </si>
  <si>
    <t>Log Work_28</t>
  </si>
  <si>
    <t>Log Work_29</t>
  </si>
  <si>
    <t>Log Work_30</t>
  </si>
  <si>
    <t>Log Work_31</t>
  </si>
  <si>
    <t>Log Work_32</t>
  </si>
  <si>
    <t>Log Work_33</t>
  </si>
  <si>
    <t>Log Work_34</t>
  </si>
  <si>
    <t>Log Work_35</t>
  </si>
  <si>
    <t>Log Work_36</t>
  </si>
  <si>
    <t>Log Work_37</t>
  </si>
  <si>
    <t>Attachment_38</t>
  </si>
  <si>
    <t>Attachment_39</t>
  </si>
  <si>
    <t>Attachment_40</t>
  </si>
  <si>
    <t>Attachment_41</t>
  </si>
  <si>
    <t>Attachment_42</t>
  </si>
  <si>
    <t>Attachment_43</t>
  </si>
  <si>
    <t>Attachment_44</t>
  </si>
  <si>
    <t>Attachment_45</t>
  </si>
  <si>
    <t>Attachment_46</t>
  </si>
  <si>
    <t>Sprint_47</t>
  </si>
  <si>
    <t>Sprint_48</t>
  </si>
  <si>
    <t>Sprint_49</t>
  </si>
  <si>
    <t>Sprint_50</t>
  </si>
  <si>
    <t>Sprint_51</t>
  </si>
  <si>
    <t>Sprint_52</t>
  </si>
  <si>
    <t>Sprint_53</t>
  </si>
  <si>
    <t>Sprint_54</t>
  </si>
  <si>
    <t>Sprint_55</t>
  </si>
  <si>
    <t>Sprint_56</t>
  </si>
  <si>
    <t>Sprint_57</t>
  </si>
  <si>
    <t>Sprint_58</t>
  </si>
  <si>
    <t>Sprint_59</t>
  </si>
  <si>
    <t>Comment_64</t>
  </si>
  <si>
    <t>Comment_65</t>
  </si>
  <si>
    <t>Comment_66</t>
  </si>
  <si>
    <t>Comment_67</t>
  </si>
  <si>
    <t>Comment_68</t>
  </si>
  <si>
    <t>Comment_69</t>
  </si>
  <si>
    <t>Comment_70</t>
  </si>
  <si>
    <t>Comment_71</t>
  </si>
  <si>
    <t>Comment_72</t>
  </si>
  <si>
    <t>Comment_73</t>
  </si>
  <si>
    <t>Comment_74</t>
  </si>
  <si>
    <t>Comment_75</t>
  </si>
  <si>
    <t>Comment_76</t>
  </si>
  <si>
    <t>Comment_77</t>
  </si>
  <si>
    <t>Comment_78</t>
  </si>
  <si>
    <t>Comment_79</t>
  </si>
  <si>
    <t>Comment_80</t>
  </si>
  <si>
    <t>Comment_81</t>
  </si>
  <si>
    <t>n8n ile HTML/XML Parse (BeautifulSoup Benzeri) Yetkinlik Araştırması</t>
  </si>
  <si>
    <t>YZCK-46</t>
  </si>
  <si>
    <t>n8n platformunda web sayfalarından veri çekme ve HTML/XML parse işlemlerinin yapılabilirliği araştırılacaktır. Bu kapsamda Python kütüphanesi olan Beautiful Soup ile yapılan işlemlerin n8n üzerinde  ** benzeri yöntemlerle gerçekleştirilip gerçekleştirilemeyeceği incelenecektir._x000D_
_x000D_
Araştırma kapsamında:_x000D_
 * Web sayfasından veri çekme (HTTP Request)_x000D_
_x000D_
 * HTML içinden veri parse etme (selector kullanımı)_x000D_
_x000D_
 * Karmaşık HTML yapılarının işlenebilirliği_x000D_
_x000D_
 * Gerekirse JavaScript veya harici servis kullanımı_x000D_
_x000D_
konuları değerlendirilerek teknik yapılabilirlik analizi yapılacaktır.</t>
  </si>
  <si>
    <t>n8n platformunda web sayfalarından veri çekme ve HTML/XML parse işlemlerinin yapılabilirliği araştırıldı._x000D_
HTTP Request kullanarak sayfa içeriğinin alınması, CSS selector ile veri çıkarılması ve karmaşık HTML yapılarını işleme yöntemleri incelendi._x000D_
Dinamik web sayfaları için harici scraping servislerinin (Browserless, ScrapingBee vb.) kullanım senaryoları değerlendirildi._x000D_
Elde edilen bulgular doğrultusunda teknik değerlendirme raporu hazırlanarak dokümante edildi.;09/Mar/26 4:42 PM;basak.ayverdi;21600</t>
  </si>
  <si>
    <t>n8n kullanılarak rakip ürün takip sistemi kurulmasının teknik fizibilitesi araştırıldı ve sistem mimarisi ile önerilen workflow’u içeren teknik dokümantasyon hazırlandı.;10/Mar/26 5:08 PM;basak.ayverdi;21600</t>
  </si>
  <si>
    <t>09/Mar/26 4:40 PM;basak.ayverdi;bsoup_n8n değerlendirme.docx;http://192.168.124.186:8080/secure/attachment/15990/bsoup_n8n+de%C4%9Ferlendirme.docx</t>
  </si>
  <si>
    <t>10/Mar/26 5:09 PM;basak.ayverdi;rakip_urun_takip_sistemi.docx;http://192.168.124.186:8080/secure/attachment/16018/rakip_urun_takip_sistemi.docx</t>
  </si>
  <si>
    <t>0|i01ef0:w</t>
  </si>
  <si>
    <t>Değerlendirme ve Cevap Alınmayan Soruların İletildiği Workflow İncelenmesi</t>
  </si>
  <si>
    <t>YZCK-45</t>
  </si>
  <si>
    <t>Değerlendirme ve cevap alınmayan soruların iletildiği workflowda cevaplandığı halde sorular cevaplanmamış gibi dönüyor. Tekrar düzenleme yapılması gerekmektedir. </t>
  </si>
  <si>
    <t>Bota gelen unanswered questions workflow’unda tespit edilen hata doğrultusunda gerekli güncelleme yapılmış ve testleri gerçekleştirilmiştir.;06/Mar/26 4:29 PM;basak.ayverdi;10800</t>
  </si>
  <si>
    <t>Unanswerdquestion wf da sorular cevaplanmasına rağmen cevaplanmadı şeklinde excel verilerine eklenmiş bu hata üzerinde çalışmalar yapıldı ve giderildi .Test aşamasına kadar getirildi ;06/Mar/26 4:33 PM;omer.saritoy;10800</t>
  </si>
  <si>
    <t>İlgili Bug Tespit edilip sorun giderildi ;10/Mar/26 3:30 PM;omer.saritoy;10800</t>
  </si>
  <si>
    <t>0|i01ef6:5i</t>
  </si>
  <si>
    <t>İK AI Asistanı – Araştırma ve Kapsam Belirleme</t>
  </si>
  <si>
    <t>YZCK-44</t>
  </si>
  <si>
    <t>Dün yapılan YK toplantısında İK süreçlerini destekleyecek bir AI asistan geliştirilmesi ihtiyacı gündeme gelmiştir. Bu kapsamda, İK için geliştirilebilecek AI asistanın fonksiyonları ve MVP kapsamında hangi modüllerin önceliklendirileceği konusunda ön araştırma yapılacaktır._x000D_
_x000D_
Araştırma kapsamında:_x000D_
 * İK AI asistanı kullanım senaryolarının incelenmesi (Recruitment AI, Employee Experience, People Analytics)_x000D_
_x000D_
 * Piyasadaki benzer çözümlerin (ATS, HR AI araçları vb.) analiz edilmesi_x000D_
_x000D_
 * MVP için önerilen modüllerin belirlenmesi (İşe alım ön eleme ve çalışan SSS asistanı)_x000D_
_x000D_
 * Kurum içi sistemlerle olası entegrasyonların değerlendirilmesi (ERP, Teams vb.)</t>
  </si>
  <si>
    <t>Agent araştırma taskı kapsamında geliştirilebilecek feature’ların değerlendirilmesi amacıyla toplantı öncesinde dokümantasyon hazırlanmış ve ilgili toplantıya katılım sağlanmıştır.;06/Mar/26 4:27 PM;basak.ayverdi;10800</t>
  </si>
  <si>
    <t>IK agent üzeirne araştırmalar yapıldı . Bir IK nelere ihtiyaç duyar ve ai ile nasıl işleri hafifler üzerine araştırmalar yapıldı ;06/Mar/26 4:34 PM;omer.saritoy;7200</t>
  </si>
  <si>
    <t>türk pazarındaki ürünler incelendi;09/Mar/26 8:54 AM;basak.ayverdi;3600</t>
  </si>
  <si>
    <t>06/Mar/26 4:28 PM;basak.ayverdi;HR AI Agent – Capability Overview.pdf;http://192.168.124.186:8080/secure/attachment/15979/HR+AI+Agent+%E2%80%93+Capability+Overview.pdf</t>
  </si>
  <si>
    <t>0|i01ef6:5</t>
  </si>
  <si>
    <t xml:space="preserve">09/Mar/26 8:53 AM;basak.ayverdi;https://www.hiri.ai/https://www.hiri.ai/_x000D_
https://ikai.com.tr/_x000D_
https://www.layersup.com/tr_x000D_
https://www.cbot.ai/_x000D_
 </t>
  </si>
  <si>
    <t>CRM Bayi Chatbot Analiz Raporu Worflowu</t>
  </si>
  <si>
    <t>YZCK-43</t>
  </si>
  <si>
    <t>CRM genel müdürlük için yapılan chatbotun cevaplanmayan soruların iletildiği excelin günlük olarak iletilmesi ve performans analizi workflowu haftalık iletilecek  şekilde geliştirme yapılmalıdır</t>
  </si>
  <si>
    <t>İlgili Workflow için database tablosu oluşturuldu ve AI AGENT toolsu eklenerek openai model bağlantıları sağlandı  ;09/Mar/26 4:49 PM;omer.saritoy;7200</t>
  </si>
  <si>
    <t>Cevaplanmayan sorular iş akışı oluşturdu ;11/Mar/26 4:23 PM;omer.saritoy;7200</t>
  </si>
  <si>
    <t>cevaplanmayan sorular iş akışı testi yapıldı;12/Mar/26 5:16 PM;omer.saritoy;7200</t>
  </si>
  <si>
    <t>Workflow toolarına javascript kodları eklendi ve databaseden gelen veriler cevaplanmayan soruları çekecek kodlama yapısı eklendi ;13/Mar/26 4:29 PM;omer.saritoy;7200</t>
  </si>
  <si>
    <t>0|i01ef6:6</t>
  </si>
  <si>
    <t>Cevaplanmayan sorular iş akışı oluşturuldu ;11/Mar/26 4:22 PM;omer.saritoy;10800</t>
  </si>
  <si>
    <t>Cevaplanmayan sorular iş akışı test edildi ;12/Mar/26 5:17 PM;omer.saritoy;3600</t>
  </si>
  <si>
    <t>CRM Genel Müdürlük Chatbot Entegrasyonu / Workflow Tasarımı</t>
  </si>
  <si>
    <t>YZCK-41</t>
  </si>
  <si>
    <t>CRM içerisinde Genel Müdürlük kullanımı için chatbot entegrasyonu yapılacak. Bu kapsamda:Chatbot ile etkileşim sırasında gerekli aksiyonları tetikleyecek *workflow* tasarımı.</t>
  </si>
  <si>
    <t>ilgili iş akışı için toplantıya katılım sağlandı, promptu ve düzeni için görüşüldü;02/Mar/26 5:07 PM;basak.ayverdi;7200</t>
  </si>
  <si>
    <t>workflow tasarımı oluşturuldu ve ilgili postgresql tablosu oluşturuldu.;05/Mar/26 5:32 PM;basak.ayverdi;10800</t>
  </si>
  <si>
    <t>unanswered question workflowundaki javascript tool kodlaması yazıldı;13/Mar/26 5:16 PM;basak.ayverdi;7200</t>
  </si>
  <si>
    <t>0|i01ef6:4</t>
  </si>
  <si>
    <t>CRM Bayi Chatbot Entegrasyonu / Workflow Tasarımı</t>
  </si>
  <si>
    <t>YZCK-40</t>
  </si>
  <si>
    <t>*Açıklama:*_x000D_
 CRM içerisinde bayi kullanımı için chatbot entegrasyonu yapılacak. Bu kapsamda Chatbot ile etkileşim sırasında gerekli aksiyonları tetikleyecek *workflow* tasarımı.</t>
  </si>
  <si>
    <t>n8n üzerinde workflow araştırma ve deneme çalışması yapılıyor;27/Feb/26 5:16 PM;omer.saritoy;3600</t>
  </si>
  <si>
    <t>ilgili iş akışı için toplantıya katılım sağlandı, promptu  ,düzeni ,Database için görüşme yapıldı ;02/Mar/26 4:43 PM;omer.saritoy;7200</t>
  </si>
  <si>
    <t>workflow tasarımı üzerinde çalışıldı gerekli postgresql tablosu oluşturuldu ve ilk deneme yapıldı ;05/Mar/26 5:30 PM;omer.saritoy;14400</t>
  </si>
  <si>
    <t>Database bağlandıktan sonra iş akışları oluşturuldu openai modelleri bağlandı ve qdrant bağlantısı yapıldı ;09/Mar/26 4:48 PM;omer.saritoy;10800</t>
  </si>
  <si>
    <t>n8n bayiworkflow ai agent ve moddeler bağlandıktan sonra hata kontrolu error response toolsları eklendi ve kısmen iş akışı tamamlandı .;10/Mar/26 4:26 PM;omer.saritoy;7200</t>
  </si>
  <si>
    <t>Bayi workflowu için prompt hazırlığı yapıldı ;12/Mar/26 5:18 PM;omer.saritoy;7200</t>
  </si>
  <si>
    <t>Qdranta verilerin yüklenemesi için gerekli python kodları oluşturuldu ve embedded modeli ve qdrant api keyleri eklendi ve hali hazırda düzenenlenen veriler eklendi ;13/Mar/26 4:31 PM;omer.saritoy;3600</t>
  </si>
  <si>
    <t>Bayi için gelen veriler düzenlenip veri tabanına yüklendi;16/Mar/26 4:48 PM;omer.saritoy;7200</t>
  </si>
  <si>
    <t>Bayi kullanıcılarına özel CRM destek chatbotu için system prompt tasarlandı. Prompt; yalnızca CRM kullanım senaryolarını kapsayacak şekilde daraltıldı, hallucination ve yetki bypass risklerini önleyen kurallar eklendi, database-first ve clarification akışı optimize edildi;17/Mar/26 4:30 PM;basak.ayverdi;14400</t>
  </si>
  <si>
    <t>Bu chatbot için system pomptu tasarlanıp agent tooluna eklendi ;17/Mar/26 10:48 PM;omer.saritoy;10800</t>
  </si>
  <si>
    <t>CRM süreçlerine ait soru-cevap verileri vektörel veritabanı için ayrıştırılıp düzenlendi;18/Mar/26 5:22 PM;basak.ayverdi;21600</t>
  </si>
  <si>
    <t>güncel prompt için test yapılıyor;18/Mar/26 5:22 PM;basak.ayverdi;3600</t>
  </si>
  <si>
    <t>Soru-Cevap  datalarını qdrant vektör db için ayrıştırılıp düzenlendi . Güncel prompt üzerinden denemeler yapılıyor. ;18/Mar/26 7:52 PM;omer.saritoy;21600</t>
  </si>
  <si>
    <t>0|i01ef0:r</t>
  </si>
  <si>
    <t>YZCK-36</t>
  </si>
  <si>
    <t>Orbina ile toplantıya katılındı.;06/Mar/26 5:55 PM;berrin.akan;3600</t>
  </si>
  <si>
    <t>Chatbot crm toplantısına katılındı._x000D_
_x000D_
 ;06/Mar/26 6:22 PM;berrin.akan;1800</t>
  </si>
  <si>
    <t>Chatbot değerlendirme toplantısına katılındı.;13/Mar/26 6:01 PM;berrin.akan;1800</t>
  </si>
  <si>
    <t>0|i01ef6:w</t>
  </si>
  <si>
    <t>Prompta e-Devlet üzerinden KEP hesabı oluşturma/onaylama gibi yanlış kullanıcı varsayımlarını tespit edip nazikçe doğru süreci açıklayan “misconception correction” ve e-Devlet bağlamı kuralları eklendi._x000D_
“Bordro” kelimesinin sık yapılan yazım hatalarını (bodro, bordo, bordru vb.) kapsayacak şekilde payroll prompt scope’u güncellendi ve botun bordro taleplerini doğru algılaması sağlandı._x000D_
satış ve operasyon birimiyle ister toplama amacıyla görüşme yapıldı;11/Mar/26 4:23 PM;basak.ayverdi;21600</t>
  </si>
  <si>
    <t>Sprint ve Orbina ekipleri ile proje toplantısına katılım sağlandı, mevcut ilerleme ve sonraki adımlar değerlendirildi._x000D_
Bayiler için geliştirilen botun veri yapısı üzerinde çalışma yapıldı ve bot promptunun ilk versiyonu hazırlandı._x000D_
Beautiful Soup ile hazırlanan rapor çalışmasına yönelik PoC workflow inşası gerçekleştirildi._x000D_
Workflow içerisinde kullanılabilecek scraper API alternatifleri araştırıldı ve iki servis üzerinde karar verildi.;12/Mar/26 5:06 PM;basak.ayverdi;21600</t>
  </si>
  <si>
    <t>Daily ve Yazılım ekibi toplantılarına katılım sağlandı ve n8n chatbot executions takibi yapıldı. bordro ile ilgili olan prompt güncellemesine v2 yazıldı._x000D_
 ;13/Mar/26 5:15 PM;basak.ayverdi;14400</t>
  </si>
  <si>
    <t>Satış Direktörü ile ihtiyaçların toplanması amacıyla bir toplantı gerçekleştirildi. Bayii workflow’u kapsamında kullanılan soru–cevap çiftlerinin embedding hashing skorunu artırmak amacıyla veri formatlarında düzenlemeler yapıldı. Yapılan güncellemelerin ardından ilgili veri seti Qdrant vektörel veritabanına yüklendi.;16/Mar/26 5:06 PM;basak.ayverdi;21600</t>
  </si>
  <si>
    <t>idenfit ve callie şirketleri toplantılarına katılım sağlandı;17/Mar/26 4:31 PM;basak.ayverdi;7200</t>
  </si>
  <si>
    <t>YZCK-34</t>
  </si>
  <si>
    <t>Co-One test çıktılarının detaylı veri inceleme ve doğrulama çalışmaları yapıldı._x000D_
_x000D_
Soru–cevap yapısının format ve içerik standardizasyonu sağlandı._x000D_
_x000D_
Qdrant aktarım sürecinde veri kontrol ve validasyon işlemleri gerçekleştirildi._x000D_
_x000D_
Proje Kartı Form önerisi üzerinde revize ve iyileştirme çalışmaları yapıldı.;20/Feb/26 4:50 PM;omer.saritoy;14400</t>
  </si>
  <si>
    <t>Mac Mini üzerinde development ortamı hazırlanarak OpenCrawl kurulumu ve temel konfigürasyonları tamamlandı, OpenAI API key tanımlanarak servis entegrasyonu ve ilk test çağrıları başarıyla gerçekleştirildi. Ayrıca lokal LLM çalışmaları için Ollama kurulup servis ayağa kaldırıldı ve temel model çalıştırma doğrulamaları yapıldı.;23/Feb/26 4:41 PM;omer.saritoy;25200</t>
  </si>
  <si>
    <t>Araştırma ve inceleme kapsamında istenilen Openclaw kurlumu yapıldı . Openclaw için ollama modelleri indirildi  ve openclaw entegrasyonu üzerine çalışlıyor . Ayrıca openai doğrudan entegre edilerek bağlantısı sağlandı . ;24/Feb/26 5:32 PM;omer.saritoy;28800</t>
  </si>
  <si>
    <t>Openclaw kurulumu yapıldı  ardından ollama kurulumu başarılı ile gerçekleştirildi . Agent için gerekli araştırmalar yapıldı_x000D_
;25/Feb/26 5:52 PM;omer.saritoy;18000</t>
  </si>
  <si>
    <t>Sprint toplantısına katılım sağlandı. Toplantı sonrası Ürün Yönetimi’nin paylaştığı doküman incelenerek Agentic AI proje fikirleri teknik açıdan değerlendirildi. Google AI Studio, Gemini GEMS ve Google OPAL için ön araştırma yapılarak yetkinlikleri ve entegrasyon opsiyonları analiz edildi. Talep edilen PoC kapsamında teknik fizibilite çalışması yapıldı, olası mimari ve entegrasyon yaklaşımı netleştirildi, PoC için başlangıç yol haritası oluşturuldu.;26/Feb/26 9:51 PM;omer.saritoy;25200</t>
  </si>
  <si>
    <t>N8N değerlendirme analizin sonuçlarının iletilecek ilgili mailler değiştirildi ve çoklu mail gönderme işlemi yapıldı . Chat-bot CRM değerlendirme toplantısına katılım gösterildi .;02/Mar/26 4:45 PM;omer.saritoy;10800</t>
  </si>
  <si>
    <t xml:space="preserve">	_x000D_
koordinasyon toplantısına katılım sağlandı;05/Mar/26 2:29 PM;omer.saritoy;7200</t>
  </si>
  <si>
    <t>Günlük cevaplanmayan sorular toplantısı yapıldı CERTI Toplantı Follow-Up - TURKKEP ve Chatbot Yaygınlaştırma, Orbina Yapay Zeka Uygulamaları ve POC İhtiyacı toplantılarına katılım sağlandı . ;05/Mar/26 5:29 PM;omer.saritoy;10800</t>
  </si>
  <si>
    <t>Cevaplanmayan sorular üzerine daily toplantısına katılım sağlandı ve IK agent üzerine ik dahil olmak üzere toplantıya katılım sağlandı ;06/Mar/26 4:35 PM;omer.saritoy;3600</t>
  </si>
  <si>
    <t>Günlük Cevaplanmayan sorular toplantısına katılım sağlandı ve Beautiful Soup üzerine araştırma yapıldı ;09/Mar/26 4:47 PM;omer.saritoy;7200</t>
  </si>
  <si>
    <t>Cevaplanmayan sorula daily toplantısına katılım sağlandı. IK Agent için neler yapılabilir üzerine araştırma yapıldı ;10/Mar/26 3:33 PM;omer.saritoy;7200</t>
  </si>
  <si>
    <t>Cevaplanmayan sorular üzerine daily  toplantısı yapıldı .İsterleri üzerine Finans ve Opearasyon birimleri ile toplantı yapıldı ;11/Mar/26 4:24 PM;omer.saritoy;7200</t>
  </si>
  <si>
    <t>Sprint ve Orbina ekipleri ile proje toplantısına katılım sağlandı, mevcut ilerleme ve sonraki adımlar değerlendirildi.;12/Mar/26 5:16 PM;omer.saritoy;7200</t>
  </si>
  <si>
    <t>Cevaplanmayan sorular üzerine ayrıca Yazılım Ekibi Toplantısına katılım sağlandı . Executions takibi n8n de yapıldı ;13/Mar/26 4:32 PM;omer.saritoy;14400</t>
  </si>
  <si>
    <t>Cevaplanmayan sorular toplantısına katılım sağlandı ve executions takibi yapıldı . CRM chatbot için ayrıca görüşme yapıldı .;16/Mar/26 4:48 PM;omer.saritoy;10800</t>
  </si>
  <si>
    <t>Cevaplanmayan sorular daily,idenfit ve callie toplantılarına katılım sağlandı ve genel chatbot execution takibi yapıldı ;17/Mar/26 10:50 PM;omer.saritoy;14400</t>
  </si>
  <si>
    <t>0|i01ef6:i</t>
  </si>
  <si>
    <t>Vectorel veri tabanında Q&amp;A verilerinin artırılmasına yönelik dokümanlardan elde edilerek yeni veriler eklenmesi gerekmektedir. </t>
  </si>
  <si>
    <t>TÜRKKEP ürünleri için chatbot eğitim verisi oluşturma kapsamında, TÜRKKEP’in resmi web sitesindeki ürün açıklamaları ile paylaşılan ürün kılavuzları (PDF/PPTX) detaylı şekilde incelenmiş; tüm içerikler doğrultusunda e-Fatura Portalı, KEP, e-İmza, token yazılımları, sürücü güncellemeleri, PIN işlemleri, entegrasyon modülleri ve diğer destek dokümanları için kapsamlı, benzersiz ve arama motoru uyumlu soru–cevap (Q&amp;A) setleri hazırlanmıştır. Tüm bilgiler sadeleştirilerek chatbot kullanımına uygun formata dönüştürülmüş, terimler standardize edilmiş ve ürünler arasındaki karışıklığı önlemek için her soru ilgili ürün adıyla birlikte yeniden yazılmıştır. Hazırlanan tüm Q&amp;A içerikleri Excel formatında yapılandırılarak teslim edilmiş olup, süreç yeni dokümanlar ve ürün güncellemeleri geldikçe gelişmeye ve genişlemeye açık olacak şekilde tasarlanmıştır.;17/Nov/25 4:53 PM;basak.ayverdi;25200</t>
  </si>
  <si>
    <t>TÜRKKEP ürünleri için chatbot eğitim verisi oluşturma kapsamında resmi site ve ürün kılavuzları incelenerek e-Fatura Portalı, KEP, e-İmza, token yazılımları, sürücü güncellemeleri, PIN işlemleri ve entegrasyon modülleri için kapsamlı ve standart Q&amp;A setleri hazırlanmıştır. Tüm içerikler sadeleştirilip chatbot formatına uygun hale getirilerek Excel dosyası olarak yapılandırılmış ve teslim edilmiştir.;17/Nov/25 5:04 PM;omer.saritoy;18000</t>
  </si>
  <si>
    <t>Düzeltilmiş olan soru–cevap içeriklerini Qdrant’a yükledim; ancak tüm linklerin ve içeriklerin temizlenmesi henüz tamamlanmadığı için kalan kayıtların düzenlenmesi ve yüklenmesi süreci devam ediyor.;19/Nov/25 4:55 PM;basak.ayverdi;7200</t>
  </si>
  <si>
    <t>Excel verilerindeki sıkıntıların bir kısmı giderildi ve vector veritabanına pyhton kodu ile aktarıldı .;19/Nov/25 4:59 PM;omer.saritoy;7200</t>
  </si>
  <si>
    <t>Çağrı merkezi biriminden iletilen soru–cevap dokümanları Excel formatında düzenlendi. Düzenlenen veriler Python scriptleri kullanılarak vektör veri tabanına aktarılacak yapıya uygun hale getirildi.Excel dosyalarındaki soru–cevap içerikleri temizlendi, normalize edildi.Gereksiz sütunlar kaldırıldı, format uyumsuzlukları giderildi.;24/Nov/25 4:39 PM;omer.saritoy;7200</t>
  </si>
  <si>
    <t>Çağrı merkezinden gelen revizeleri düzenledikten sonra vektörel veritabanı için optimize edip verileri Qdrant’a yükledim. Ardından bota farklı senaryolarla test soruları yönelterek input kontrolü yaptım, karşılaştığım hataları tespit edip Orbinaya ilettim ve geri dönüşleri aldıktan sonra izlenecek yol konusunda karar verdik.;24/Nov/25 5:12 PM;basak.ayverdi;10800</t>
  </si>
  <si>
    <t>Çağrı merkezinden gelen QA verilerinin düzenlenmesi gerçekleştirildi ve düzenlenen veriler main excele aktarılıp ordanda qdrant vector veritabanına işlendi.;01/Dec/25 5:00 PM;omer.saritoy;9000</t>
  </si>
  <si>
    <t>Yeni gelen SSS içeriklerini optimize edip Qdrant veri tabanına yükledim. İçerikleri düzenleyip temizledikten sonra chatbot üzerinde farklı soru türleriyle test ettim. Yükleme sırasında ortaya çıkan Python SSL hatasını analiz edip üstüne çalıştık çözdük ve veri aktarımını başarıyla tamamladık.;01/Dec/25 5:19 PM;basak.ayverdi;9000</t>
  </si>
  <si>
    <t>İş birlikleri ve entegrasyon ile ilgili iletilen tablo veri işleme süreçlerine uygun şekilde modellenmiştir. Kontrollerin tamamlanmasının ardından veritabanına aktarım gerçekleştirilecektir. Aynı zamanda çağrı merkezinden gelen yeni soru cevap çiftleri değerlendirilmiştir.;08/Dec/25 5:15 PM;basak.ayverdi;14400</t>
  </si>
  <si>
    <t>Çağrı merkezinden gelen sorular eklendi ve soru cevap artırımı yapıldı ;08/Dec/25 5:16 PM;omer.saritoy;7200</t>
  </si>
  <si>
    <t>Excel verileri üzerine düzenlemeler yapıldı ;09/Dec/25 5:10 PM;omer.saritoy;3600</t>
  </si>
  <si>
    <t>çağrı merkezinin yeni gönderdiği soru cevap setleri üzerinde vektorel veritabanında verimli olması adına düzenlemeler yapıldı ve veritabanına yüklendi. input checkleri yapıldı.;09/Dec/25 5:11 PM;basak.ayverdi;3600</t>
  </si>
  <si>
    <t>Şirketler vs. hakkında gelen soru cevap setleri excele aktarıldı oradan da  qdrant vector dbye aktarıldı ;10/Dec/25 5:00 PM;omer.saritoy;7200</t>
  </si>
  <si>
    <t>Şirketler ve benzeri konulardaki soru–cevap setleri Excel’e aktarıldı, ardından Qdrant vector DB’ye yüklendi. Input kontrolleri yapılarak hatalar tespit edildi.;10/Dec/25 5:02 PM;basak.ayverdi;7200</t>
  </si>
  <si>
    <t>Ürün tarafından yeni gelen veriler üzerine çalışıp qdranta eklendi. Müşteri destek botunu test etmek amacıyla verilen içerikten yararlanarak doğal sohbet dilinde ek soru setleri ürettim. testleri yapıldı doğal dilde;11/Dec/25 5:20 PM;basak.ayverdi;10800</t>
  </si>
  <si>
    <t>gelen excel verileri düzenlenip qdranta aktarıldı _x000D_
;11/Dec/25 5:21 PM;omer.saritoy;10800</t>
  </si>
  <si>
    <t>bazı soru cevap çiftlerinde mail kısmı eksikti onlar eklendi ve pushlandı. gün içinde qdranta erişim sorunu yaşandı. ;15/Dec/25 5:05 PM;basak.ayverdi;3600</t>
  </si>
  <si>
    <t>excel verilerinde gerekli mail adresleri eklendi ve qdrant vector db'sine aktarıldı ;15/Dec/25 5:05 PM;omer.saritoy;7200</t>
  </si>
  <si>
    <t>Yapay zekâ tabanlı chatbotta mevcut SSS cevaplarını test ederek, yönlendirici ve akış bağımlı içeriklerin AI kullanımına uygunluğunu değerlendirildi.;18/Dec/25 5:16 PM;basak.ayverdi;14400</t>
  </si>
  <si>
    <t xml:space="preserve">	_x000D_
Yapay zekâ tabanlı chatbotta mevcut SSS cevaplarını düzenleme ,yönlendirme ve qdranta yükleme;18/Dec/25 5:20 PM;omer.saritoy;14400</t>
  </si>
  <si>
    <t>revize edilmiş veriler düzenlendi ve qdrant'a aktarılması için yeni bir python kodu yazıldı ve qdranta başarılı bir şekilde eklendi ;22/Dec/25 4:44 PM;omer.saritoy;10800</t>
  </si>
  <si>
    <t>Çağrı merkezinden yeni gelen verilerin düzenlenmesi için yeni bir Python kodu yazıldı ve veriler Qdrant veritabanına aktarıldı. Qdrant’a aktarılan yeni verilerin testleri yapıldı.;22/Dec/25 5:10 PM;basak.ayverdi;18000</t>
  </si>
  <si>
    <t>Cevaplanmayan sorular düzenlendi  çağrı merkezine yönlendirilecek ;21/Jan/26 5:09 PM;omer.saritoy;3600</t>
  </si>
  <si>
    <t>dilekçe örnekleriyle ilgili websitesindeki bilgiler önce rag yaptığımız q&amp;a'e eklendi daha sonra qdrant veritabanına eklendi. testi sonucunda bir frontend hatası tespit edildi.;28/Jan/26 5:04 PM;basak.ayverdi;7200</t>
  </si>
  <si>
    <t>TürkKEP sitesinde bulunan Dilekçe örneklerini excel'e soru cevap olarak eklendi ve qdrant veri tabanına yüklendi ;28/Jan/26 5:06 PM;omer.saritoy;10800</t>
  </si>
  <si>
    <t>Uyumluluk tarafından gelen yeni sorular sisteme eklendi, opsiyonel sorular üretildi.  Aynı soruya farklı execution’larda farklı RAG sonuçları dönmesi problemi testler sırasında tespit edildi. Orbina tarafına iletildi._x000D_
_x000D_
;29/Jan/26 5:03 PM;basak.ayverdi;10800</t>
  </si>
  <si>
    <t>Uyumluluk ekibinden gelen yeni soru seti sisteme entegre edildi. Bu kapsamda opsiyonel soru üretimi tarafında gerekli güncellemeler tamamlandı. Test senaryoları çalıştırılırken, aynı input için farklı execution’larda tutarsız RAG çıktıları üretildiği gözlemlendi. İlgili problem analiz edilerek Orbina ekibine detaylarıyla birlikte raporlandı.;29/Jan/26 5:12 PM;omer.saritoy;10800</t>
  </si>
  <si>
    <t>qdranta veri yüklerken aldığımız eksik soru yükleme hatası yükleme yaptığımız py kodunu düzelterek düzeltildi. ;30/Jan/26 5:01 PM;basak.ayverdi;7200</t>
  </si>
  <si>
    <t>verilerimizde duplicate olan soruların tespiti yapıldı ve py kodunda düzeltmeler yapıldı;30/Jan/26 5:03 PM;omer.saritoy;7200</t>
  </si>
  <si>
    <t>Co-One test sonuçları analiz edilerek ayrıştırılan veriler soru–cevap setine eklendi._x000D_
_x000D_
Mevcut soru–cevap setlerinde hatalı ve eksik sorular revize edildi._x000D_
_x000D_
Güncellenen veri seti Python kodları ile Qdrant vektör veritabanına işlendi.;20/Feb/26 4:50 PM;omer.saritoy;10800</t>
  </si>
  <si>
    <t>Veri setlerinde bazı sorular üzerinde düzenlemeler yapıldı ve executions yola çıkarak yeni soru ve cevaplar eklendi;27/Feb/26 5:14 PM;omer.saritoy;7200</t>
  </si>
  <si>
    <t xml:space="preserve"> yeni gelen operasyon verileri değerlendirilip qdrant veritabanına eklenmiştir;06/Mar/26 4:31 PM;basak.ayverdi;7200</t>
  </si>
  <si>
    <t>Çağrı merkezinden gelen veriler incelenerek qdrant verilerine eklendi ;06/Mar/26 4:34 PM;omer.saritoy;7200</t>
  </si>
  <si>
    <t>Uyum tarafından gelen veriler qdrant veri tabanına düzenlenerek yüklendi;16/Mar/26 4:49 PM;omer.saritoy;7200</t>
  </si>
  <si>
    <t>0|i01ef0:</t>
  </si>
  <si>
    <t>YZCK Sprint 1</t>
  </si>
  <si>
    <t>YZCK Sprint 3</t>
  </si>
  <si>
    <t xml:space="preserve">Duyuru Modülünde Onay/Ret Akışı ile Çoklu Doküman Gönderimi </t>
  </si>
  <si>
    <t>WIK-839</t>
  </si>
  <si>
    <t>*Açıklama:*_x000D_
_x000D_
Duyuru modülünde kullanıcı birden fazla doküman ekleyip onay-ret akışyıla gönderim  kullanıcılara sunulmalıdır._x000D_
_x000D_
*Amaç:* _x000D_
_x000D_
Kullanıcının birden fazla doküman eklediği durumlarda onay/ret sürecini doğru ve anlaşılır şekilde kullanabilmesini sağlamak._x000D_
_x000D_
Kullanıcı gönderim sağladıktan sonra mevcuttaki onay-ret akışıyla devam edebilmelidir. </t>
  </si>
  <si>
    <t>17/Mar/26 11:11 AM;gulnur.aka;image-2026-03-17-12-11-02-599.png;http://192.168.124.186:8080/secure/attachment/16062/image-2026-03-17-12-11-02-599.png</t>
  </si>
  <si>
    <t>0|i00vra:zsyzgznqmf9</t>
  </si>
  <si>
    <t>Analiz-Onay/Ret Ekranında Ek Dosyaların Gösterimi ve Kontrolü</t>
  </si>
  <si>
    <t>WIK-838</t>
  </si>
  <si>
    <t>*Açıklama:*_x000D_
_x000D_
Duyuru modülünde kullanıcı herhangi bir duyuruya Word, onay/ret ekranında bu dosyanın olduğu kullanıcı tarafından net şekilde anlaşılmalıdır._x000D_
_x000D_
PDF önizlemesi olmadığı durumlarda, kullanıcı ekli bir dosya olduğunu görebilmelidir._x000D_
_x000D_
*Amaç:*_x000D_
_x000D_
Kullanıcıya ek dosya olduğunu açıkça göstermek ve herhangi bir dosya türünde dosyanın görünürlüğünü sağlamak._x000D_
_x000D_
 </t>
  </si>
  <si>
    <t>17/Mar/26 11:04 AM;gulnur.aka;image-2026-03-17-12-04-10-389.png;http://192.168.124.186:8080/secure/attachment/16061/image-2026-03-17-12-04-10-389.png</t>
  </si>
  <si>
    <t>0|i00vra:zsyzgznqmezy</t>
  </si>
  <si>
    <t>Duyuru Metni için Karakter Limiti ve Canlı Sayaç Gösterimi</t>
  </si>
  <si>
    <t>WIK-837</t>
  </si>
  <si>
    <t>*Açıklama:*_x000D_
_x000D_
Duyuru oluşturma ekranında yer alan “duyuru metni” (body) alanı için maksimum karakter sınırı 1800'dır. Kullanıcı yazım sırasında mevcut karakter sayısını anlık olarak görebilmeli ve limit aşıldığında gönderim engellenmelidir._x000D_
_x000D_
Amaç, kullanıcıyı yazım sırasında bilgilendirmek ve hatalı gönderimleri önlemektir._x000D_
_x000D_
Mevcut durumda kullanıcı iletiyi gönderdiği aşamada sistem uyarı vermektedir. </t>
  </si>
  <si>
    <t>17/Mar/26 10:57 AM;gulnur.aka;image-2026-03-17-11-57-28-923.png;http://192.168.124.186:8080/secure/attachment/16060/image-2026-03-17-11-57-28-923.png</t>
  </si>
  <si>
    <t>0|i00vra:zsyzgznqmfi</t>
  </si>
  <si>
    <t>Onay Ret Login Ekranında Zorunlu Alanların Belirtilmesi</t>
  </si>
  <si>
    <t>WIK-836</t>
  </si>
  <si>
    <t>*Amaç:*_x000D_
_x000D_
Kullanıcının hangi alanları doldurması gerektiğini net şekilde anlamasını sağlamak ve hatalı/eksik girişleri azaltmak._x000D_
_x000D_
Kullanıcı olara, giriş yaparken hangi alanların zorunlu olduğunu açıkca gösterilmelidir. _x000D_
_x000D_
*Kapsam:*_x000D_
_x000D_
Zorunlu alanların yanına *işareti eklenmelidir._x000D_
_x000D_
Kep Hesabı (Zorunlu)_x000D_
_x000D_
Yetkili Kodu_x000D_
_x000D_
Şifre (Zorunlu)</t>
  </si>
  <si>
    <t>17/Mar/26 10:51 AM;gulnur.aka;image-2026-03-17-11-51-01-312.png;http://192.168.124.186:8080/secure/attachment/16059/image-2026-03-17-11-51-01-312.png</t>
  </si>
  <si>
    <t>0|i00vra:zsyzgznqmezs</t>
  </si>
  <si>
    <t>Analiz-Onay/Ret Akışında Süresi İçinde İşlem Yapılan Linkin Tekrar Kullanımının Engellenmesi</t>
  </si>
  <si>
    <t>WIK-835</t>
  </si>
  <si>
    <t>*Açıklama:*_x000D_
_x000D_
Kullanıcıya gönderilen İK onay/ret linki belirli bir süre  için geçerlidir. Kullanıcı bu süre içerisinde onay veya ret işlemini gerçekleştirdiğinde, ilgili linkin tekrar kullanılması engellenmelidir._x000D_
_x000D_
Mevcut durumda kullanıcı işlem yaptıktan sonra aynı linke tekrar erişim sağlayabilmektedir; onayla ret akışını tamamladıktan sonra uyarıyla karşılaşmaktadır. Bu durumun önüne geçilmesi gerekmektedir._x000D_
_x000D_
Kullanıcı kep adresinin içersinde yer alan onay link git dediğinde kullanıcıya yönlendirme yapmaması beklenmektedir. </t>
  </si>
  <si>
    <t>17/Mar/26 10:42 AM;gulnur.aka;screenshot-1.png;http://192.168.124.186:8080/secure/attachment/16058/screenshot-1.png</t>
  </si>
  <si>
    <t>0|i00vra:zsyzgznqmezw</t>
  </si>
  <si>
    <t xml:space="preserve">KEP Delil Raporlarının Sıralanması </t>
  </si>
  <si>
    <t>KEP delil raporları en yeniden eskiye şekilde düzenli şekilde ''oluşturma tarihine'' baz alarak sıralanmalıdır</t>
  </si>
  <si>
    <t>0|i00vra:zsyzgznqmezk</t>
  </si>
  <si>
    <t>WIK Sprint 2026/ 13-14</t>
  </si>
  <si>
    <t>Sistem ayarlarında firma bilgileri kaydet adımına basıldığında uyarı aşağıdaki revize edebiliriz. _x000D_
_x000D_
Yeni uyarı metini '' Sistem ayarları başarı ile kaydedilmiştir.''</t>
  </si>
  <si>
    <t>0|i00vra:zsyzgznqmezr</t>
  </si>
  <si>
    <t>*E posta Hatası*_x000D_
_x000D_
Başvuru eklerken aşağıdaki ekran görüntüsündeki gibi e posta adresi eklerken Türkçe karakter kabul edilmektedir. Karakter kontrolü bulunmamaktadır._x000D_
_x000D_
Müşteri  E posta adresi el ile yazması ve kopyala-yapıştır fonksiyonunu kullanarak eklemesi halinde format uygun değilse başvuru kayıt bilgisi oluşmamalı. _x000D_
_x000D_
Müşteriye hatalı giriş yaptığına dair uyarı verilmelidir._x000D_
_x000D_
*Uyarı mesajı '' Geçersiz e‑posta adresi. Lütfen doğru formatta giriniz''*_x000D_
_x000D_
*Doğum Tarihi hatası*_x000D_
_x000D_
Doğum tarihi eğer el ile yazılırsa ve 18/03/1992aşlsjdl gibi sayılar ve karakterler harici bu şekilde ekleme sağlanabilmektedir. _x000D_
_x000D_
Başvuruyu eklediğinde ''default'' bir değerle gelmektedir._x000D_
_x000D_
Doğum tarihi alanı eğer el ile girilecekse uygun şekilde giriş sağlanmalıdır. _x000D_
_x000D_
Kabul edilen tarih formatı haricinde bir karakter girişi yapılmamalıdır. _x000D_
_x000D_
Giriş yapılırken eğer kullanıcı uygun formatta giriş sağlamaz ise_x000D_
_x000D_
Müşteriye uyarı verilmelidir._x000D_
_x000D_
*Uyarı metini ''"Lütfen doğum tarihinizi geçerli formatta (GG/AA/YYYY) giriniz."*_x000D_
_x000D_
 _x000D_
_x000D_
*!image-2026-03-10-15-37-19-469.png!*_x000D_
_x000D_
 _x000D_
_x000D_
*Oluşan başvurudaki değerler*_x000D_
_x000D_
*!image-2026-03-10-15-38-03-883.png!*</t>
  </si>
  <si>
    <t>10/Mar/26 2:37 PM;ceren.sertkaya;image-2026-03-10-15-37-19-469.png;http://192.168.124.186:8080/secure/attachment/16016/image-2026-03-10-15-37-19-469.png</t>
  </si>
  <si>
    <t>10/Mar/26 2:38 PM;ceren.sertkaya;image-2026-03-10-15-38-03-883.png;http://192.168.124.186:8080/secure/attachment/16015/image-2026-03-10-15-38-03-883.png</t>
  </si>
  <si>
    <t>0|i00vra:zsyzgznqmez</t>
  </si>
  <si>
    <t>WIK-831</t>
  </si>
  <si>
    <t>retrospektif;09/Mar/26 2:48 PM;dogukan.oncuer;5820</t>
  </si>
  <si>
    <t>popup backdrop kapanmama sorunu fix ve cerenle hata tespiti ve duyuru modülü readonly dizaynı;10/Mar/26 5:07 PM;dogukan.oncuer;2700</t>
  </si>
  <si>
    <t>beytullahla webik pipeline hatası;16/Mar/26 11:33 AM;dogukan.oncuer;5400</t>
  </si>
  <si>
    <t>;18/Mar/26 5:05 PM;dogukan.oncuer;7200</t>
  </si>
  <si>
    <t>0|i00vra:zsyzgznqmex</t>
  </si>
  <si>
    <t>WIK Sprint 2026/ 11-12</t>
  </si>
  <si>
    <t>WIK-830</t>
  </si>
  <si>
    <t>0|i00vra:zsyzgznqmewi</t>
  </si>
  <si>
    <t>WIK-829</t>
  </si>
  <si>
    <t>0|i00vra:zsyzgznqmey</t>
  </si>
  <si>
    <t>WIK-828</t>
  </si>
  <si>
    <t>-Rutin uygulama logları takip edildi._x000D_
_x000D_
-Sprint planlama toplantısına katılım sağlandı.;17/Mar/26 3:00 PM;can.macit;7200</t>
  </si>
  <si>
    <t>0|i00vra:zsyzgznqmew</t>
  </si>
  <si>
    <t>*Açıklama:*_x000D_
 Çalışan ekranında yer alan liste sayfasındaki Duyuru modülüne tıklanarak gönderilen duyurular görüntülenebilmektedir._x000D_
_x000D_
Mevcut yapıda kullanıcı, gönderilen bir duyurunun detayını görmek istediğinde sistem kullanıcıyı doğrudan Duyuru modülünün detay ekranına yönlendirmektedir._x000D_
_x000D_
Yapılacak geliştirme ile birlikte kullanıcı deneyimini iyileştirmek amacıyla, gönderilen duyurunun detayının yeni bir sayfaya yönlendirme yerine İK Gönderiminde yer alan “Gönderilen İleti” yapısına benzer şekilde pop-up ekran içerisinde gösterilmesi hedeflenmektedir._x000D_
_x000D_
Bu sayede kullanıcı liste ekranından ayrılmadan duyuru içeriğini görüntüleyebilecektir._x000D_
_x000D_
*Gereksinimler:*_x000D_
_x000D_
Çalışan ekranındaki liste sayfasında yer alan Duyuru modülünde gönderilen duyuruların listelenmesi mevcut şekilde devam edecektir._x000D_
_x000D_
Kullanıcının listede yer alan herhangi bir duyuruya tıklaması durumunda:_x000D_
_x000D_
Yeni sayfaya yönlendirme yapılmamalıdır._x000D_
_x000D_
Duyuru detayı pop-up ekran içerisinde açılmalıdır._x000D_
_x000D_
Pop-up ekran tasarımı İK Gönderimindeki ileti gösterimiyle uyumlu olacak şekilde tasarlanmalıdır._x000D_
_x000D_
Pop-up içerisinde duyurunun tüm detay bilgileri görüntülenmelidir. (Attach kısmında görsel yer almaktadır.)_x000D_
_x000D_
*Kabul Kriterleri:*_x000D_
 # Çalışan ekranı liste sayfasındaki duyuru listesinde bir duyuruya tıklandığında yeni sayfa yönlendirmesi yapılmamalıdır._x000D_
 # Duyuru detayı pop-up ekran içerisinde açılmalıdır._x000D_
 # Pop-up tasarımı İK Gönderim ileti pop-up yapısı ile tutarlı olmalıdır._x000D_
 # Kullanıcı pop-up ekranı kapattığında tekrar duyuru listesine dönmelidir._x000D_
 # Mevcut duyuru görüntüleme varsa yetkileri ve veri yapısı korunmalıdır._x000D_
_x000D_
 Dosya ekinin görüntüleme aşamasında indirilmesi ve görüntülenmesi sağlanmalıdır.</t>
  </si>
  <si>
    <t>görsel popup tasarım örnekleri oluşturulması;06/Mar/26 6:18 PM;dogukan.oncuer;4200</t>
  </si>
  <si>
    <t>;12/Mar/26 2:01 PM;dogukan.oncuer;15600</t>
  </si>
  <si>
    <t>;15/Mar/26 5:55 PM;gurkan.guney;1800</t>
  </si>
  <si>
    <t>;16/Mar/26 2:01 PM;dogukan.oncuer;600</t>
  </si>
  <si>
    <t>Test ortamda yapılan kontroller başarılı.;16/Mar/26 2:27 PM;gurkan.guney;600</t>
  </si>
  <si>
    <t>06/Mar/26 12:23 PM;gulnur.aka;image-2026-03-06-13-23-34-883.png;http://192.168.124.186:8080/secure/attachment/15973/image-2026-03-06-13-23-34-883.png</t>
  </si>
  <si>
    <t>12/Mar/26 2:47 PM;ceren.sertkaya;kep ik duyuru görüntüleme.png;http://192.168.124.186:8080/secure/attachment/16046/kep+ik+duyuru+g%C3%B6r%C3%BCnt%C3%BCleme.png</t>
  </si>
  <si>
    <t>0|i00vra:zsyzgznqmc</t>
  </si>
  <si>
    <t>12/Mar/26 1:56 PM;gitlab.dev;[Dogukan Oncuer|https://git-lab.turkkep.com.tr/dogukan.oncuer] mentioned this issue in [commit b4c5ac8d|https://git-lab.turkkep.com.tr/kepappteam/kep-ik/webik-frontend-v2/-/commit/b4c5ac8d4d8c86291338add55252403ae6e8e393] of [KEPAPPTEAM / KEP IK / Webik Frontend V2|https://git-lab.turkkep.com.tr/kepappteam/kep-ik/webik-frontend-v2] on branch [WIK-827|https://git-lab.turkkep.com.tr/kepappteam/kep-ik/webik-frontend-v2/-/tree/WIK-827]:{quote}WIK-827 duyuru popup
{quote}</t>
  </si>
  <si>
    <t>12/Mar/26 1:58 PM;gitlab.dev;[Dogukan Oncuer|https://git-lab.turkkep.com.tr/dogukan.oncuer] mentioned this issue in [commit 3ef1ed70|https://git-lab.turkkep.com.tr/kepappteam/kep-ik/webik-frontend-v2/-/commit/3ef1ed707b95e533745aae5093703437530023f6] of [KEPAPPTEAM / KEP IK / Webik Frontend V2|https://git-lab.turkkep.com.tr/kepappteam/kep-ik/webik-frontend-v2] on branch [dev|https://git-lab.turkkep.com.tr/kepappteam/kep-ik/webik-frontend-v2/-/tree/dev]:{quote}Merge branch 'WIK-827' into 'dev'
WIK-827 duyuru popup
Closes WIK-827
See merge request kepappteam/kep-ik/webik-frontend-v2!215{quote}</t>
  </si>
  <si>
    <t>12/Mar/26 1:58 PM;gitlab.dev;[Dogukan Oncuer|https://git-lab.turkkep.com.tr/dogukan.oncuer] mentioned this issue in [commit 4a2bf457|https://git-lab.turkkep.com.tr/kepappteam/kep-ik/webik-frontend-v2/-/commit/4a2bf4572638e8ff4cbacfcafaf52c4c6200bc25] of [KEPAPPTEAM / KEP IK / Webik Frontend V2|https://git-lab.turkkep.com.tr/kepappteam/kep-ik/webik-frontend-v2] on branch [test|https://git-lab.turkkep.com.tr/kepappteam/kep-ik/webik-frontend-v2/-/tree/test]:{quote}Merge branch 'dev' into 'test'
WIK-827 duyuru popup
See merge request kepappteam/kep-ik/webik-frontend-v2!216{quote}</t>
  </si>
  <si>
    <t>12/Mar/26 2:04 PM;gitlab.dev;✅ Pipeline başarılı, WIK-827 maddesi test ortamına aktarıldı.</t>
  </si>
  <si>
    <t>15/Mar/26 5:55 PM;gurkan.guney;1- Gönderimlerde CC olmadığı için pop-up'daki CC alanı kaldırılmalıdır. _x000D_
_x000D_
2- İletiye ait konu hem 'Konu' başlığı altında hem de 'KEP İleti Detayı' başlığı altında gösterilmiş. İki defa göstermeye gerek yoktur. Sadece 'Konu' başlığı altında gösterilmesi yeterli olur. 'KEP İleti Detayı' nın altındaki kaldırılabilir. </t>
  </si>
  <si>
    <t>16/Mar/26 9:46 AM;gitlab.dev;[Dogukan Oncuer|https://git-lab.turkkep.com.tr/dogukan.oncuer] mentioned this issue in [commit 2a779cc0|https://git-lab.turkkep.com.tr/kepappteam/kep-ik/webik-frontend-v2/-/commit/2a779cc04b4bd319527e59c1484480d7200447c9] of [KEPAPPTEAM / KEP IK / Webik Frontend V2|https://git-lab.turkkep.com.tr/kepappteam/kep-ik/webik-frontend-v2] on branch [dev|https://git-lab.turkkep.com.tr/kepappteam/kep-ik/webik-frontend-v2/-/tree/dev]:{quote}Merge branch 'WIK-827' into 'dev'
wik 827 duyuru gönderi popupu cc kaldırıldı
Closes WIK-827
See merge request kepappteam/kep-ik/webik-frontend-v2!217{quote}</t>
  </si>
  <si>
    <t>16/Mar/26 10:32 AM;gitlab.dev;[Dogukan Oncuer|https://git-lab.turkkep.com.tr/dogukan.oncuer] mentioned this issue in [commit a1bc7eff|https://git-lab.turkkep.com.tr/kepappteam/kep-ik/webik-frontend-v2/-/commit/a1bc7eff79897bf2238a5c068726911fb1608b10] of [KEPAPPTEAM / KEP IK / Webik Frontend V2|https://git-lab.turkkep.com.tr/kepappteam/kep-ik/webik-frontend-v2] on branch [dev|https://git-lab.turkkep.com.tr/kepappteam/kep-ik/webik-frontend-v2/-/tree/dev]:{quote}Merge branch 'WIK-827' into 'dev'
wik 827 duyuru gönderi popupu cc kaldırıldı v2
Closes WIK-827
See merge request kepappteam/kep-ik/webik-frontend-v2!220{quote}</t>
  </si>
  <si>
    <t>16/Mar/26 2:27 PM;gurkan.guney;Test ortamda yapılan kontroller başarılı.</t>
  </si>
  <si>
    <t>*Açıklama:*_x000D_
_x000D_
Mevcut durumda Kep Delil Raporu ekranında kullanıcı “Rapor Talebi Oluştur” seçeneğini kullandığında, çalışan listesinde yalnızca aktif kullanıcılar listelenmektedir. Pasif kullanıcılar için delil raporu oluşturulamamaktadır._x000D_
_x000D_
Geliştirme yapılması beklenen ekran: [https://testik.turkkep.com.tr/archive/evidence]_x000D_
_x000D_
*Beklenen Durum:*_x000D_
 * Çalışan listesinde pasif kullanıcılar da görüntülenmelidir._x000D_
_x000D_
 * Pasif kullanıcılar seçilebilir olmalıdır._x000D_
_x000D_
 * Pasif kullanıcılara ait delil raporu sistem tarafından oluşturulabilmelidir._x000D_
_x000D_
Kabul Kriteleri:_x000D_
 # Çalışan listesinde pasif kullanıcılar görüntülenmelidir._x000D_
 # Pasif kullanıcı seçilerek rapor talebi oluşturulabilmelidir._x000D_
 # Pasif kullanıcı için delil raporu başarıyla oluşturulmalıdır._x000D_
 # Mevcut aktif kullanıcı akışında herhangi bir davranış farklılığı olmamalıdır._x000D_
_x000D_
 </t>
  </si>
  <si>
    <t>;09/Mar/26 12:55 PM;dogukan.oncuer;1200</t>
  </si>
  <si>
    <t>Test ortamda yapılan kontroller başarılı.;09/Mar/26 1:33 PM;gurkan.guney;300</t>
  </si>
  <si>
    <t>04/Mar/26 11:32 AM;gulnur.aka;screenshot-1.png;http://192.168.124.186:8080/secure/attachment/15964/screenshot-1.png</t>
  </si>
  <si>
    <t>0|i00vra:zsyzgznqma</t>
  </si>
  <si>
    <t>04/Mar/26 11:35 AM;gulnur.aka;Geliştirmenin isterleri tamamlanmıştır. Teknik analize başlanabilir. [~ceren.sertkaya]_x000D_
_x000D_
 </t>
  </si>
  <si>
    <t>09/Mar/26 12:40 PM;gitlab.dev;[Dogukan Oncuer|https://git-lab.turkkep.com.tr/dogukan.oncuer] mentioned this issue in [commit d79fd607|https://git-lab.turkkep.com.tr/kepappteam/kep-ik/webik-frontend-v2/-/commit/d79fd607a74dd475d6fe92613b7423d531c256ac] of [KEPAPPTEAM / KEP IK / Webik Frontend V2|https://git-lab.turkkep.com.tr/kepappteam/kep-ik/webik-frontend-v2] on branch [WIK-826|https://git-lab.turkkep.com.tr/kepappteam/kep-ik/webik-frontend-v2/-/tree/WIK-826]:{quote}WIK-826 kep delil raporu olusturmada tüm statudeki calısanlar getirildi
{quote}</t>
  </si>
  <si>
    <t>09/Mar/26 12:44 PM;gitlab.dev;[Dogukan Oncuer|https://git-lab.turkkep.com.tr/dogukan.oncuer] mentioned this issue in [commit 62e45e67|https://git-lab.turkkep.com.tr/kepappteam/kep-ik/webik-frontend-v2/-/commit/62e45e6761b68f35b73b80c91890eb3de675fb45] of [KEPAPPTEAM / KEP IK / Webik Frontend V2|https://git-lab.turkkep.com.tr/kepappteam/kep-ik/webik-frontend-v2] on branch [dev|https://git-lab.turkkep.com.tr/kepappteam/kep-ik/webik-frontend-v2/-/tree/dev]:{quote}Merge branch 'WIK-826' into 'dev'
WIK-826 kep delil raporu olusturmada tüm statudeki calısanlar getirildi
See merge request kepappteam/kep-ik/webik-frontend-v2!210{quote}</t>
  </si>
  <si>
    <t>09/Mar/26 12:48 PM;gitlab.dev;[Dogukan Oncuer|https://git-lab.turkkep.com.tr/dogukan.oncuer] mentioned this issue in [commit aef38740|https://git-lab.turkkep.com.tr/kepappteam/kep-ik/webik-frontend-v2/-/commit/aef38740e67a5905641cc901189e41bc15af87ae] of [KEPAPPTEAM / KEP IK / Webik Frontend V2|https://git-lab.turkkep.com.tr/kepappteam/kep-ik/webik-frontend-v2] on branch [WIK-826|https://git-lab.turkkep.com.tr/kepappteam/kep-ik/webik-frontend-v2/-/tree/WIK-826]:{quote}WIK-826 kep delil raporu olusturmada  calısanlar statu fix
{quote}</t>
  </si>
  <si>
    <t>09/Mar/26 12:48 PM;gitlab.dev;[Dogukan Oncuer|https://git-lab.turkkep.com.tr/dogukan.oncuer] mentioned this issue in [commit 17c3178e|https://git-lab.turkkep.com.tr/kepappteam/kep-ik/webik-frontend-v2/-/commit/17c3178e24da2c3abd0da5b7b8e525d64f409e10] of [KEPAPPTEAM / KEP IK / Webik Frontend V2|https://git-lab.turkkep.com.tr/kepappteam/kep-ik/webik-frontend-v2] on branch [dev|https://git-lab.turkkep.com.tr/kepappteam/kep-ik/webik-frontend-v2/-/tree/dev]:{quote}Merge branch 'WIK-826' into 'dev'
WIK-826 kep delil raporu olusturmada  calısanlar statu fix
Closes WIK-826
See merge request kepappteam/kep-ik/webik-frontend-v2!211{quote}</t>
  </si>
  <si>
    <t>09/Mar/26 12:50 PM;gitlab.dev;[Dogukan Oncuer|https://git-lab.turkkep.com.tr/dogukan.oncuer] mentioned this issue in [commit ba16639b|https://git-lab.turkkep.com.tr/kepappteam/kep-ik/webik-frontend-v2/-/commit/ba16639b96aa6f5f059680be0851ce9d05a60657] of [KEPAPPTEAM / KEP IK / Webik Frontend V2|https://git-lab.turkkep.com.tr/kepappteam/kep-ik/webik-frontend-v2] on branch [test|https://git-lab.turkkep.com.tr/kepappteam/kep-ik/webik-frontend-v2/-/tree/test]:{quote}Merge branch 'dev' into 'test'
WIK-826 kep delil raporu olusturmada  calısanlar statu fix
See merge request kepappteam/kep-ik/webik-frontend-v2!212{quote}</t>
  </si>
  <si>
    <t>09/Mar/26 12:53 PM;gitlab.dev;✅ Pipeline başarılı, WIK-826 maddesi test ortamına aktarıldı.</t>
  </si>
  <si>
    <t>09/Mar/26 1:33 PM;gurkan.guney;Test ortamda yapılan kontroller başarılı.</t>
  </si>
  <si>
    <t>10/Mar/26 4:47 PM;gitlab.dev;[Dogukan Oncuer|https://git-lab.turkkep.com.tr/dogukan.oncuer] mentioned this issue in [commit 35c4d664|https://git-lab.turkkep.com.tr/kepappteam/kep-ik/webik-frontend-v2/-/commit/35c4d664b1645da20440637cf3882e900a8ba221] of [KEPAPPTEAM / KEP IK / Webik Frontend V2|https://git-lab.turkkep.com.tr/kepappteam/kep-ik/webik-frontend-v2] on branch [dev|https://git-lab.turkkep.com.tr/kepappteam/kep-ik/webik-frontend-v2/-/tree/dev]:{quote}Merge branch 'WIK-826' into 'dev'
(wik-826) popup backdrop closing fix
See merge request kepappteam/kep-ik/webik-frontend-v2!213{quote}</t>
  </si>
  <si>
    <t>[support-desk-controller|https://webik.turkkep.com.tr:8080/swagger-ui/index.html#/support-desk-controller] modülünde post missing desk metotunda aynı aya ait dönem açılışı birden fazla yapılırsa, yüklenenler listesinde çalışanlar mükerer olarak gelmektedir._x000D_
_x000D_
İşlem bir kere yapılmalıdır. Gerekli kontrol servise eklenmelidir._x000D_
_x000D_
Sadece kullanıcı yetkilendirme açık olan organizasyonlarda yaşanmaktadır. Normal organizasyonlarda çalışanı güncelleme gözükmemiştir._x000D_
_x000D_
!image-2026-03-03-17-50-10-552.png!</t>
  </si>
  <si>
    <t>-Support Desk controllerda ki dönem güncelleme metodunda ki mükerrer kayıt oluşturma hatası, kullanıcı yönetimi olan firmalar için düzeltildi.;17/Mar/26 2:59 PM;can.macit;21600</t>
  </si>
  <si>
    <t>03/Mar/26 4:50 PM;ceren.sertkaya;image-2026-03-03-17-50-10-552.png;http://192.168.124.186:8080/secure/attachment/15955/image-2026-03-03-17-50-10-552.png</t>
  </si>
  <si>
    <t>0|i00vra:zsyzgznqm9</t>
  </si>
  <si>
    <t>17/Mar/26 2:54 PM;gitlab.dev;[Can Macit|https://git-lab.turkkep.com.tr/can.macit] mentioned this issue in [commit 1b2bbe63|https://git-lab.turkkep.com.tr/kepappteam/kep-ik/webik-backend-v2/-/commit/1b2bbe633631d6bd7ab12f4305ca31194e294568] of [KEPAPPTEAM / KEP IK / Webik Backend V2|https://git-lab.turkkep.com.tr/kepappteam/kep-ik/webik-backend-v2] on branch [dev|https://git-lab.turkkep.com.tr/kepappteam/kep-ik/webik-backend-v2/-/tree/dev]:{quote}(WIK-825) KEP IK Support Desk Dönem güncelleme metodunda ki bug düzeltildi.
{quote}</t>
  </si>
  <si>
    <t>17/Mar/26 2:55 PM;gitlab.dev;[Can Macit|https://git-lab.turkkep.com.tr/can.macit] mentioned this issue in [merge request !137|https://git-lab.turkkep.com.tr/kepappteam/kep-ik/webik-backend-v2/-/merge_requests/137] of [KEPAPPTEAM / KEP IK / Webik Backend V2|https://git-lab.turkkep.com.tr/kepappteam/kep-ik/webik-backend-v2] on branch [dev|https://git-lab.turkkep.com.tr/kepappteam/kep-ik/webik-backend-v2/-/tree/dev]:{quote}(WIK-825) Test branch merge request{quote}</t>
  </si>
  <si>
    <t>17/Mar/26 2:55 PM;gitlab.dev;[Can Macit|https://git-lab.turkkep.com.tr/can.macit] mentioned this issue in [commit 339f03e9|https://git-lab.turkkep.com.tr/kepappteam/kep-ik/webik-backend-v2/-/commit/339f03e9ea9d577611da660368f244fd36091072] of [KEPAPPTEAM / KEP IK / Webik Backend V2|https://git-lab.turkkep.com.tr/kepappteam/kep-ik/webik-backend-v2] on branch [test|https://git-lab.turkkep.com.tr/kepappteam/kep-ik/webik-backend-v2/-/tree/test]:{quote}Merge branch 'dev' into 'test'
(WIK-825) Test branch merge request
See merge request kepappteam/kep-ik/webik-backend-v2!137{quote}</t>
  </si>
  <si>
    <t>17/Mar/26 2:56 PM;gitlab.dev;✅ Pipeline başarılı, WIK-825 maddesi test ortamına aktarıldı.</t>
  </si>
  <si>
    <t> job saati gece 00:00 saatinde çalışmaktadır. İlgili ay açılışını sağlayan jobın gece 03:00 olarak değiştirilmesi gerekmektedir._x000D_
_x000D_
Aynı şekilde test ortamının düzenlenmesi gerekmektedir. _x000D_
_x000D_
(Şubat ayı döneminin mükerrer kayıdının test ortamından kaldırılması ve Mart ayının açılması gerekmektedir.)</t>
  </si>
  <si>
    <t>;12/Mar/26 4:38 PM;mehmetcan.olgun;7200</t>
  </si>
  <si>
    <t>0|i00vra:zsyzgznqk</t>
  </si>
  <si>
    <t>gün değerlendirme;06/Mar/26 6:16 PM;dogukan.oncuer;1020</t>
  </si>
  <si>
    <t>sprint toplantısı;06/Mar/26 6:17 PM;dogukan.oncuer;4500</t>
  </si>
  <si>
    <t>*Açıklama:*_x000D_
_x000D_
Sistem ayarlarında yer alan “Belge Üzerine Doğrulama Kodu Eklensin” seçeneği işaretlendiğinde, belge üzerine eklenen doğrulama kodunun sabit boyutta oluşturulduğu görülmektedir._x000D_
_x000D_
*Bu task kapsamında;*_x000D_
_x000D_
Doğrulama kodunun belge üzerine eklenmesi sırasında ölçeklendirme (boyutlandırma) yapılabilmesi gerekmektedir. Kullanıcı tarafından belirlenen oranlara göre (ör. 0.75x, 0.50x gibi) doğrulama kodunun belge üzerindeki boyutu ayarlanabilir olmalıdır._x000D_
 * Doğrulama kodu görselinin belge üzerine eklenmesi sırasında ölçeklendirme desteği_x000D_
_x000D_
 * Mevcuttaki gibi 0.75x ve 0.50x oranlarının desteklenmesi_x000D_
_x000D_
 * Ölçeklendirme sonrası belge yerleşiminin bozulmaması_x000D_
_x000D_
 * Mevcut doğrulama kodu ekleme akışıyla uyumlu çalışması_x000D_
_x000D_
*Kabul Kriterleri:*_x000D_
 * Belge Üzerine Doğrulama Kodu Eklensin” checkbox’ı işaretlendiğinde doğrulama kodu belgeye eklenmelidir._x000D_
_x000D_
 * Doğrulama kodu için ölçeklendirme yapılabilmelidir (0.75x, 0.50x vb.)._x000D_
_x000D_
 * Ölçeklendirme sonrası doğrulama kodu okunabilirliğini korumalıdır._x000D_
_x000D_
 * Belge formatı ve içeriği bozulmamalıdır._x000D_
_x000D_
Geliştirme yapılırken doğrulama adresini de değerlendirerek sürec planlanmalıdır. </t>
  </si>
  <si>
    <t>;12/Feb/26 1:28 PM;gurkan.guney;3600</t>
  </si>
  <si>
    <t>;20/Feb/26 3:40 PM;gurkan.guney;3600</t>
  </si>
  <si>
    <t>;05/Mar/26 5:47 PM;gurkan.guney;1800</t>
  </si>
  <si>
    <t>05/Mar/26 5:46 PM;gurkan.guney;0.5.pdf;http://192.168.124.186:8080/secure/attachment/15965/0.5.pdf</t>
  </si>
  <si>
    <t>05/Mar/26 5:46 PM;gurkan.guney;0.75.pdf;http://192.168.124.186:8080/secure/attachment/15969/0.75.pdf</t>
  </si>
  <si>
    <t>05/Mar/26 5:46 PM;gurkan.guney;1.1.pdf;http://192.168.124.186:8080/secure/attachment/15967/1.1.pdf</t>
  </si>
  <si>
    <t>05/Mar/26 5:46 PM;gurkan.guney;1.25.pdf;http://192.168.124.186:8080/secure/attachment/15966/1.25.pdf</t>
  </si>
  <si>
    <t>05/Mar/26 5:46 PM;gurkan.guney;1.pdf;http://192.168.124.186:8080/secure/attachment/15968/1.pdf</t>
  </si>
  <si>
    <t>06/Mar/26 3:12 PM;gurkan.guney;yukarda 1.pdf;http://192.168.124.186:8080/secure/attachment/15974/yukarda+1.pdf</t>
  </si>
  <si>
    <t>06/Mar/26 3:12 PM;gurkan.guney;yukarda 2.pdf;http://192.168.124.186:8080/secure/attachment/15975/yukarda+2.pdf</t>
  </si>
  <si>
    <t>0|i00vra:zsyzgznqmd</t>
  </si>
  <si>
    <t>06/Feb/26 5:05 PM;gitlab.dev;[Sevket Onder Bar|https://git-lab.turkkep.com.tr/onder.bar] mentioned this issue in [commit c882d06d|https://git-lab.turkkep.com.tr/kepappteam/kep-ik/webik-backend-v2/-/commit/c882d06da33011551cb84d0fedcb73da92ae076b] of [KEPAPPTEAM / KEP IK / Webik Backend V2|https://git-lab.turkkep.com.tr/kepappteam/kep-ik/webik-backend-v2] on branch [dev|https://git-lab.turkkep.com.tr/kepappteam/kep-ik/webik-backend-v2/-/tree/dev]:{quote}(WIK-793) Belge üzerinde doğrulama kodu servis geliştirmesi tamamlandı.
{quote}</t>
  </si>
  <si>
    <t>06/Feb/26 5:09 PM;gitlab.dev;[Sevket Onder Bar|https://git-lab.turkkep.com.tr/onder.bar] mentioned this issue in [merge request !129|https://git-lab.turkkep.com.tr/kepappteam/kep-ik/webik-backend-v2/-/merge_requests/129] of [KEPAPPTEAM / KEP IK / Webik Backend V2|https://git-lab.turkkep.com.tr/kepappteam/kep-ik/webik-backend-v2] on branch [dev|https://git-lab.turkkep.com.tr/kepappteam/kep-ik/webik-backend-v2/-/tree/dev]:{quote}(WIK-793) Test branch merge request{quote}</t>
  </si>
  <si>
    <t>06/Feb/26 5:10 PM;gitlab.dev;[Sevket Onder Bar|https://git-lab.turkkep.com.tr/onder.bar] mentioned this issue in [commit b8139c62|https://git-lab.turkkep.com.tr/kepappteam/kep-ik/webik-backend-v2/-/commit/b8139c6203402c7094368ee21c269f222755b6f1] of [KEPAPPTEAM / KEP IK / Webik Backend V2|https://git-lab.turkkep.com.tr/kepappteam/kep-ik/webik-backend-v2] on branch [test|https://git-lab.turkkep.com.tr/kepappteam/kep-ik/webik-backend-v2/-/tree/test]:{quote}Merge branch 'dev' into 'test'
(WIK-793) Test branch merge request
See merge request kepappteam/kep-ik/webik-backend-v2!129{quote}</t>
  </si>
  <si>
    <t>06/Feb/26 5:11 PM;gitlab.dev;✅ Pipeline başarılı, WIK-793 maddesi test ortamına aktarıldı.</t>
  </si>
  <si>
    <t>12/Feb/26 1:27 PM;gurkan.guney;Doğrulama Kodunun boyutlara göre pdf çıktıları ektedir._x000D_
_x000D_
1- 0.5x olduğunda "Doğrulama Adresi : https://testik.turkkep.com.tr/Verification" metni tam ortalanmıyor. Sol tarafa yakın kalıyor. Ve bu yazı çok küçük kalıyor. Okunamıyor._x000D_
_x000D_
2- 0.75x olduğunda "Doğrulama Adresi : https://testik.turkkep.com.tr/Verification" metni tam ortalanmıyor. Sol tarafa yakın kalıyor._x000D_
_x000D_
3- 1.1x olduğunda "Bu Belge, 5070 Sayılı Elektronik İmza Kanunu'na Göre Güvenli Elektronik İmza İle İmzalanmıştır." metni pdf'e sığmıyor. İmzalanmıştı olarak görünüyor. Sistem ayarları sayfasında doğru görünmesine rağmen imzalı pdf'te bir kısmı görünmüyor._x000D_
_x000D_
4- 1.25x olduğunda "Bu Belge, 5070 Sayılı Elektronik İmza Kanunu'na Göre Güvenli Elektronik İmza İle İmzalanmıştır." metni ve Doğrulama Adresi pdf'e sığmıyor. Sistem ayarları sayfasında doğru görünmesine rağmen imzalı pdf'te bir kısmı görünmüyor.</t>
  </si>
  <si>
    <t>19/Feb/26 9:34 AM;gitlab.dev;[Sevket Onder Bar|https://git-lab.turkkep.com.tr/onder.bar] mentioned this issue in [commit 007c6535|https://git-lab.turkkep.com.tr/kepappteam/kep-ik/webik-backend-v2/-/commit/007c6535f31ef97e6d04de110a360358a9b58251] of [KEPAPPTEAM / KEP IK / Webik Backend V2|https://git-lab.turkkep.com.tr/kepappteam/kep-ik/webik-backend-v2] on branch [dev|https://git-lab.turkkep.com.tr/kepappteam/kep-ik/webik-backend-v2/-/tree/dev]:{quote}(WIK-793) Doğrulama kodu hotfix
{quote}</t>
  </si>
  <si>
    <t>19/Feb/26 9:40 AM;gitlab.dev;[Sevket Onder Bar|https://git-lab.turkkep.com.tr/onder.bar] mentioned this issue in [merge request !132|https://git-lab.turkkep.com.tr/kepappteam/kep-ik/webik-backend-v2/-/merge_requests/132] of [KEPAPPTEAM / KEP IK / Webik Backend V2|https://git-lab.turkkep.com.tr/kepappteam/kep-ik/webik-backend-v2] on branch [dev|https://git-lab.turkkep.com.tr/kepappteam/kep-ik/webik-backend-v2/-/tree/dev]:{quote}(WIK-793) Test branch merge request{quote}</t>
  </si>
  <si>
    <t>19/Feb/26 9:40 AM;gitlab.dev;[Sevket Onder Bar|https://git-lab.turkkep.com.tr/onder.bar] mentioned this issue in [commit 59a3ebed|https://git-lab.turkkep.com.tr/kepappteam/kep-ik/webik-backend-v2/-/commit/59a3ebed8a4194cc546f3d04e926e0ee334085c4] of [KEPAPPTEAM / KEP IK / Webik Backend V2|https://git-lab.turkkep.com.tr/kepappteam/kep-ik/webik-backend-v2] on branch [test|https://git-lab.turkkep.com.tr/kepappteam/kep-ik/webik-backend-v2/-/tree/test]:{quote}Merge branch 'dev' into 'test'
(WIK-793) Test branch merge request
See merge request kepappteam/kep-ik/webik-backend-v2!132{quote}</t>
  </si>
  <si>
    <t>19/Feb/26 9:41 AM;gitlab.dev;✅ Pipeline başarılı, WIK-793 maddesi test ortamına aktarıldı.</t>
  </si>
  <si>
    <t>19/Feb/26 3:32 PM;gitlab.dev;[Sevket Onder Bar|https://git-lab.turkkep.com.tr/onder.bar] mentioned this issue in [commit 52ca620a|https://git-lab.turkkep.com.tr/kepappteam/kep-ik/webik-backend-v2/-/commit/52ca620a002f7135661c8f7dffc96267a4163bb5] of [KEPAPPTEAM / KEP IK / Webik Backend V2|https://git-lab.turkkep.com.tr/kepappteam/kep-ik/webik-backend-v2] on branch [dev|https://git-lab.turkkep.com.tr/kepappteam/kep-ik/webik-backend-v2/-/tree/dev]:{quote}(WIK-793) Doğrulama kodu hotfix v2
{quote}</t>
  </si>
  <si>
    <t>19/Feb/26 3:34 PM;gitlab.dev;[Sevket Onder Bar|https://git-lab.turkkep.com.tr/onder.bar] mentioned this issue in [merge request !133|https://git-lab.turkkep.com.tr/kepappteam/kep-ik/webik-backend-v2/-/merge_requests/133] of [KEPAPPTEAM / KEP IK / Webik Backend V2|https://git-lab.turkkep.com.tr/kepappteam/kep-ik/webik-backend-v2] on branch [dev|https://git-lab.turkkep.com.tr/kepappteam/kep-ik/webik-backend-v2/-/tree/dev]:{quote}(WIK-793) Sign text hotfix v2{quote}</t>
  </si>
  <si>
    <t>19/Feb/26 3:34 PM;gitlab.dev;[Sevket Onder Bar|https://git-lab.turkkep.com.tr/onder.bar] mentioned this issue in [commit c6dc9a8c|https://git-lab.turkkep.com.tr/kepappteam/kep-ik/webik-backend-v2/-/commit/c6dc9a8c6032ad8015d6793f33e3faf2abe55ad7] of [KEPAPPTEAM / KEP IK / Webik Backend V2|https://git-lab.turkkep.com.tr/kepappteam/kep-ik/webik-backend-v2] on branch [test|https://git-lab.turkkep.com.tr/kepappteam/kep-ik/webik-backend-v2/-/tree/test]:{quote}Merge branch 'dev' into 'test'
(WIK-793) Sign text hotfix v2
See merge request kepappteam/kep-ik/webik-backend-v2!133{quote}</t>
  </si>
  <si>
    <t>19/Feb/26 3:35 PM;gitlab.dev;✅ Pipeline başarılı, WIK-793 maddesi test ortamına aktarıldı.</t>
  </si>
  <si>
    <t>20/Feb/26 3:40 PM;gurkan.guney;0.75x, 1x ve 1.1x boyutundaki doğrulama kodları pdf'de sol tarafa daha yakın duruyor. İlgili belgeler ektedir.</t>
  </si>
  <si>
    <t>04/Mar/26 2:34 PM;gitlab.dev;[Sevket Onder Bar|https://git-lab.turkkep.com.tr/onder.bar] mentioned this issue in [commit 3fa7e5cf|https://git-lab.turkkep.com.tr/kepappteam/kep-ik/webik-backend-v2/-/commit/3fa7e5cf8cd1a150efe99f1e70def496e93ede65] of [KEPAPPTEAM / KEP IK / Webik Backend V2|https://git-lab.turkkep.com.tr/kepappteam/kep-ik/webik-backend-v2] on branch [dev|https://git-lab.turkkep.com.tr/kepappteam/kep-ik/webik-backend-v2/-/tree/dev]:{quote}(WIK-793) Doğrulama kodu X konumu dinamikleştirildi.
{quote}</t>
  </si>
  <si>
    <t>04/Mar/26 2:39 PM;gitlab.dev;[Sevket Onder Bar|https://git-lab.turkkep.com.tr/onder.bar] mentioned this issue in [merge request !135|https://git-lab.turkkep.com.tr/kepappteam/kep-ik/webik-backend-v2/-/merge_requests/135] of [KEPAPPTEAM / KEP IK / Webik Backend V2|https://git-lab.turkkep.com.tr/kepappteam/kep-ik/webik-backend-v2] on branch [dev|https://git-lab.turkkep.com.tr/kepappteam/kep-ik/webik-backend-v2/-/tree/dev]:{quote}(WIK-793) Verification text has been made dynamic{quote}</t>
  </si>
  <si>
    <t>04/Mar/26 2:39 PM;gitlab.dev;[Sevket Onder Bar|https://git-lab.turkkep.com.tr/onder.bar] mentioned this issue in [commit 90a0503a|https://git-lab.turkkep.com.tr/kepappteam/kep-ik/webik-backend-v2/-/commit/90a0503a67b159bca58e9aaf5c01aaccc64c0729] of [KEPAPPTEAM / KEP IK / Webik Backend V2|https://git-lab.turkkep.com.tr/kepappteam/kep-ik/webik-backend-v2] on branch [test|https://git-lab.turkkep.com.tr/kepappteam/kep-ik/webik-backend-v2/-/tree/test]:{quote}Merge branch 'dev' into 'test'
(WIK-793) Verification text has been made dynamic
See merge request kepappteam/kep-ik/webik-backend-v2!135{quote}</t>
  </si>
  <si>
    <t>04/Mar/26 2:40 PM;gitlab.dev;✅ Pipeline başarılı, WIK-793 maddesi test ortamına aktarıldı.</t>
  </si>
  <si>
    <t>05/Mar/26 3:13 PM;gitlab.dev;[Sevket Onder Bar|https://git-lab.turkkep.com.tr/onder.bar] mentioned this issue in [commit 04a192a4|https://git-lab.turkkep.com.tr/kepappteam/kep-ik/webik-backend-v2/-/commit/04a192a490aaed5aea536d812883010b77fb60b0] of [KEPAPPTEAM / KEP IK / Webik Backend V2|https://git-lab.turkkep.com.tr/kepappteam/kep-ik/webik-backend-v2] on branch [dev|https://git-lab.turkkep.com.tr/kepappteam/kep-ik/webik-backend-v2/-/tree/dev]:{quote}(WIK-793) Doğrula metni v3
{quote}</t>
  </si>
  <si>
    <t>05/Mar/26 3:16 PM;gitlab.dev;[Sevket Onder Bar|https://git-lab.turkkep.com.tr/onder.bar] mentioned this issue in [merge request !136|https://git-lab.turkkep.com.tr/kepappteam/kep-ik/webik-backend-v2/-/merge_requests/136] of [KEPAPPTEAM / KEP IK / Webik Backend V2|https://git-lab.turkkep.com.tr/kepappteam/kep-ik/webik-backend-v2] on branch [dev|https://git-lab.turkkep.com.tr/kepappteam/kep-ik/webik-backend-v2/-/tree/dev]:{quote}(WIK-793) Verification text has been made static{quote}</t>
  </si>
  <si>
    <t>05/Mar/26 3:16 PM;gitlab.dev;[Sevket Onder Bar|https://git-lab.turkkep.com.tr/onder.bar] mentioned this issue in [commit b2058f2a|https://git-lab.turkkep.com.tr/kepappteam/kep-ik/webik-backend-v2/-/commit/b2058f2a9ca786b891e5300f0ec8adaf4ebd8259] of [KEPAPPTEAM / KEP IK / Webik Backend V2|https://git-lab.turkkep.com.tr/kepappteam/kep-ik/webik-backend-v2] on branch [test|https://git-lab.turkkep.com.tr/kepappteam/kep-ik/webik-backend-v2/-/tree/test]:{quote}Merge branch 'dev' into 'test'
(WIK-793) Verification text has been made static
See merge request kepappteam/kep-ik/webik-backend-v2!136{quote}</t>
  </si>
  <si>
    <t>05/Mar/26 3:17 PM;gitlab.dev;✅ Pipeline başarılı, WIK-793 maddesi test ortamına aktarıldı.</t>
  </si>
  <si>
    <t>05/Mar/26 5:47 PM;gurkan.guney;Test ortamda imzalı belgelerdeki doğrulama kodu ölçeklendirme ve konumlandırma örnekleri son halleri ekteki gibidir. _x000D_
_x000D_
Sistem ayarları sayfasında doğrulama kodu en üstte konulduğunda imzalı belgelerde görsel kesik görünüyor. Ekte örnekler mevcuttur. (yukarda 1, yukarda 2)_x000D_
_x000D_
[~ceren.sertkaya] kabul edilebilirliğini teyitleşebilir misiniz?</t>
  </si>
  <si>
    <t>0|i00vra:zsyzgznqmer</t>
  </si>
  <si>
    <t>*Açıklama:*_x000D_
_x000D_
Duyuru modülünde gönderim aşamasında mevcutta tekil grup seçimi yapılabilmektedir. Bu yapı, kullanıcıların duyuruları daha esnek bir yapı kurulması amaçlanmıştır. _x000D_
 * Kullanıcı, duyuru gönderim ekranında birden fazla grup seçimi yapabilmelidir._x000D_
_x000D_
 * Kullanıcı bir veya birden fazla grup seçmiş olsa dahi, sistem seçilen gruplarda yer almayan çalışanları da çalışan listesinde göstermelidir ve seçim yapılabilmelidir. _x000D_
_x000D_
*Gereksinim:*_x000D_
_x000D_
           _*Çoklu Grup Seçimi*_ _x000D_
 * Kullanıcı duyuru gönderiminde birde fazla grup seçimi yapabilmelidir. _x000D_
 * Seçilen gruplar arayüzde gösterilmelidir. _x000D_
 * Grup ekleme/çıkarma işlemleri mevcutta gibi yapılabilir olmalıdır. _x000D_
_x000D_
           _*Grup Dışı Kullanıcı Seçimi*__x000D_
 * Bir veya birden fazla grup seçildikten sonra, sistem otomatik olarak *seçilen gruplarda yer almayan çalışanları* çalışanlar listesinde listelemelidir._x000D_
 * Kullanıcı bu listeden ek alıcılar seçebilmelidir_x000D_
 * Hem grup üyeleri hem de manuel seçilen kullanıcılar duyuruyu almalıdır._x000D_
_x000D_
Bu sayede duyurular hem grup bazlı hem de çalışan listesinden kullanıcılar eklenerek gönderilebilecektir._x000D_
_x000D_
*Kullanım Senaryosu:*_x000D_
 * Kullanıcı "Satış Departmanı" ve "Pazarlama Departmanı" grubunu seçer. _x000D_
 * Sistem, seç butonuna tıklayarak açılan çalışan listesinde, bu iki grupta olmayan tüm çalışanları listeler. _x000D_
 * Kullanıcı listeden Ali ve Ayşeyi seçer. (Ali IT çalışan grubunda, Ayse ise herhangi bir çalışan grubuna bağlı değildir.)_x000D_
 * Duyuru, satış pazarlama ve Ali ve Ayşe'ye gönderilir. _x000D_
_x000D_
*Kabul Kriterleri:*_x000D_
 *  Duyuru gönderim ekranında birden fazla grup seçimi yapılabilmelidir._x000D_
_x000D_
 * Grup seçimi yapıldığında çalışan listesi sadece grup üyeleriyle kısıtlanmamalıdır._x000D_
_x000D_
 * Grup dışı çalışanlar listede görünmeli ve seçilebilir olmalıdır._x000D_
_x000D_
 * Seçilen grup ve çalışanlar duyuruya doğru şekilde dahil edilmelidir._x000D_
_x000D_
 * Mevcut duyuru gönderim akışı bozulmamalıdır._x000D_
_x000D_
*ANALİZ*_x000D_
_x000D_
Grup seçimi yapan kullanıcı grup seç adımında birden fazla grup seçtiğinde_x000D_
_x000D_
Bu fonksiyon standart seçimde şu şekilde ilerlemektedir. Kişi seçip, daha sonra grup seçilebilmektedir. Ancak ilk seçtiğim kişi grup seçtiğimde geçersiz kılınmaktadır._x000D_
 Sadece grup seçtiğimde kişi seçim tuşu seçilememektedir._x000D_
_x000D_
Fonksiyon iki aşamalı çalışabilmelidir. Kişi seçimi önce veya sonra yapabilir. Grup seçimi önce veya sonra yapışabilmektedir._x000D_
_x000D_
Mükerer Seçimler Engellenmelidir._x000D_
 - Seçilen gruplarda aynı kişiler olabilir. Bu noktada aynı kişiler gelmemelidir._x000D_
 - Grup seçilip çalışanlar sekmesine gelirse çalışanlar sekmesindeki kişi seçili olduğu için pasif olmalıdır._x000D_
_x000D_
Seçilen grup ve kişiler listesi ayrı ayrı gösterilmelidir. _x000D_
 Kişi grup bilgisini sildiği zaman çalışan listesinden aynı çalışanlar tekrar seçilebilmelidir._x000D_
_x000D_
 _x000D_
_x000D_
Çalışan grubu seçimi sağlanarak,çalışan seçimine gelindiğinde ek-1 deki görseldeki gibi grup içinde çalışanlar pasif görülmeli. Kişi çalışanın üzerine geldiğinde görseldeki şekilde  tooltip açılmalıdır._x000D_
_x000D_
 </t>
  </si>
  <si>
    <t>12/Mar/26 11:29 AM;ceren.sertkaya;Çalışan grubu secimi ek-1.jfif;http://192.168.124.186:8080/secure/attachment/16042/%C3%87al%C4%B1%C5%9Fan+grubu+secimi+ek-1.jfif</t>
  </si>
  <si>
    <t>0|i00vra:zsyzgznqmei</t>
  </si>
  <si>
    <t>0|i00vra:zsyzgznqme</t>
  </si>
  <si>
    <t>*Açıklama:*_x000D_
_x000D_
İK modülünde bireysel ve kurumsal entegratör tiplerinde, çalışana giden ön başvuru süreç linki içeriklerinde, başvuruyu oluşturan firmanın bilgileri Türkkep İK süreçlerindeki uygulama gibi kullanıcıya görünür olmalıdır._x000D_
_x000D_
Geliştirme sadece mail kısmında yapılması beklenmektedir._x000D_
_x000D_
*Amaç:* Çalışanın, başvuru sırasında hangi firma tarafından süreç başlatıldığını net şekilde görebilmesini sağlamak._x000D_
_x000D_
*Mevcut İk Gönderimlerindeki İçerik:*_x000D_
_x000D_
Firmanız TÜRKKEP KAYITLI ELEKTRONİK POSTA HİZMETLERİ SANAYİ VE TİCARET ANONİM ŞİRKETİ tarafından adınıza yapılan KEP hesap başvurusu sistemimize tanımlanmıştır._x000D_
 Aşağıdaki link üzerinden ön başvurunuzu tamamlayabilirsiniz._x000D_
_x000D_
[https://basvuruonay.turkkep.com.tr/login/oC3CoZI40Qtnbmk37yEgMA==]_x000D_
_x000D_
Detaylı bilgi için firmanızın idari işler ya da insan kaynakları birimleriyle iletişime geçebilirsiniz. _x000D_
_x000D_
Ekler kısmında dataassist gibi IKENTEGRATORBIREYSEL tipdeki çalışanlara giden içerik yer almaktadır. _x000D_
_x000D_
 </t>
  </si>
  <si>
    <t>17/Mar/26 11:38 AM;gulnur.aka;image-2026-03-17-12-38-21-042.png;http://192.168.124.186:8080/secure/attachment/16063/image-2026-03-17-12-38-21-042.png</t>
  </si>
  <si>
    <t>0|i01brq:xqw</t>
  </si>
  <si>
    <t>UKDS Sprint 2026/13-14</t>
  </si>
  <si>
    <t>Cep numarası parametresi alanına el ile sayı hariç bir karakter girişi sağlanmıyor._x000D_
_x000D_
Ancak kopyala yapıştır ile harflerden oluşan karaktere giriş izin verilmektedir._x000D_
_x000D_
Yapıştırma sonrası alanın değerini kontrol edip, rakam dışındaki karakterleri otomatik olarak temizlenebilir._x000D_
_x000D_
 _x000D_
_x000D_
_x000D_
_x000D_
Bu tür harflerden oluşan veya harf sayı karışık bir veri yapıştırılırsa yapıştırılan veri sonucunda kullanıcıya ''Cep telefonu numaranızı başında 0 olmadan girmeniz gerekmektedir. Lütfen girdiğiniz bilgileri kontrol ediniz.'' şeklinde uyarı verebiliriz._x000D_
_x000D_
 _x000D_
_x000D_
!image-2026-03-10-15-18-10-005.png!_x000D_
_x000D_
 </t>
  </si>
  <si>
    <t>10/Mar/26 2:18 PM;ceren.sertkaya;image-2026-03-10-15-18-10-005.png;http://192.168.124.186:8080/secure/attachment/16014/image-2026-03-10-15-18-10-005.png</t>
  </si>
  <si>
    <t>0|i01brq:xqr</t>
  </si>
  <si>
    <t>UKDS-227</t>
  </si>
  <si>
    <t>0|i00vra:zsyzgzno9y</t>
  </si>
  <si>
    <t>UKDS Sprint 2026/10-11</t>
  </si>
  <si>
    <t>Paket Seçimi için Paket Bilgisinin Çağrılacağı Get Metotu</t>
  </si>
  <si>
    <t>UKDS-226</t>
  </si>
  <si>
    <t>UKDS 02.05</t>
  </si>
  <si>
    <t>Müşteri paket seçimi yapabilmesi için,paket bilgilerini edinme ihtiyacı bulunmaktadır._x000D_
_x000D_
Paket bilgileri seçmeden önce hangi paketlerini seçeceğinin bilgisini çağıracağı metot eklenecektir._x000D_
_x000D_
Eğer paket bilgisi seçilmezse paket bilgisi ''HEPSİ'' olarak değerlendirilecektir.</t>
  </si>
  <si>
    <t>-Paket listesi getirme için gerekli metod UKDS Entegrasyon servisine eklendi.;06/Mar/26 1:07 PM;can.macit;18000</t>
  </si>
  <si>
    <t>Test ortamda yapılan kontroller başarılı.;09/Mar/26 5:40 PM;gurkan.guney;7200</t>
  </si>
  <si>
    <t>0|i00vra:zsyzgzno9v</t>
  </si>
  <si>
    <t>06/Mar/26 1:05 PM;gitlab.dev;[Can Macit|https://git-lab.turkkep.com.tr/can.macit] mentioned this issue in [commit 4828f9bb|https://git-lab.turkkep.com.tr/kepappteam/ukds/Turkkep-UKDS/-/commit/4828f9bbb0b3ec2e3c099382dfdd8c260614c1c7] of [KEPAPPTEAM / UKDS / Turkkep UKDS|https://git-lab.turkkep.com.tr/kepappteam/ukds/Turkkep-UKDS] on branch [dev|https://git-lab.turkkep.com.tr/kepappteam/ukds/Turkkep-UKDS/-/tree/dev]:{quote}(UKDS-226) Paket listesi getirme için gerekli metod geliştirmesi ana serviste tamamlandı.
{quote}</t>
  </si>
  <si>
    <t>06/Mar/26 1:05 PM;gitlab.dev;[Can Macit|https://git-lab.turkkep.com.tr/can.macit] mentioned this issue in [commit 50ccd975|https://git-lab.turkkep.com.tr/kepappteam/ukds/turkkep-ukds-integration-service/-/commit/50ccd97582130285d893437909b07ab5ace9d3b4] of [KEPAPPTEAM / UKDS / TURKKEP UKDS Integration Service|https://git-lab.turkkep.com.tr/kepappteam/ukds/turkkep-ukds-integration-service] on branch [dev|https://git-lab.turkkep.com.tr/kepappteam/ukds/turkkep-ukds-integration-service/-/tree/dev]:{quote}(UKDS-226) Paket listesi getirme için gerekli metod geliştirmesi entegrasyon serviste tamamlandı.
{quote}</t>
  </si>
  <si>
    <t>06/Mar/26 2:13 PM;gitlab.dev;[Can Macit|https://git-lab.turkkep.com.tr/can.macit] mentioned this issue in [merge request !120|https://git-lab.turkkep.com.tr/kepappteam/ukds/Turkkep-UKDS/-/merge_requests/120] of [KEPAPPTEAM / UKDS / Turkkep UKDS|https://git-lab.turkkep.com.tr/kepappteam/ukds/Turkkep-UKDS] on branch [dev|https://git-lab.turkkep.com.tr/kepappteam/ukds/Turkkep-UKDS/-/tree/dev]:{quote}(UKDS-215)(UKDS-220)(UKDS-223)(UKDS-226) Test branch merge request{quote}</t>
  </si>
  <si>
    <t>06/Mar/26 2:13 PM;gitlab.dev;[Can Macit|https://git-lab.turkkep.com.tr/can.macit] mentioned this issue in [commit 35528aff|https://git-lab.turkkep.com.tr/kepappteam/ukds/Turkkep-UKDS/-/commit/35528affde1b56a70b2846fcee2b6661a8678c8b] of [KEPAPPTEAM / UKDS / Turkkep UKDS|https://git-lab.turkkep.com.tr/kepappteam/ukds/Turkkep-UKDS] on branch [test|https://git-lab.turkkep.com.tr/kepappteam/ukds/Turkkep-UKDS/-/tree/test]:{quote}Merge branch 'dev' into 'test'
(UKDS-215)(UKDS-220)(UKDS-223)(UKDS-226) Test branch merge request
See merge request kepappteam/ukds/Turkkep-UKDS!120{quote}</t>
  </si>
  <si>
    <t>09/Mar/26 5:40 PM;gurkan.guney;Test ortamda yapılan kontroller başarılı.</t>
  </si>
  <si>
    <t>Özel müşteri seçimi sağlanması halinde CRM'e id gönderilmeyecektir. Ayırım iki uygulama arasında bu şekilde sağlanacaktır. (Payment order id gönderilmezse)</t>
  </si>
  <si>
    <t>-Müşteri ödemesi/Ön Ödemeli tercihine göre CRM servisine gönderilen _x000D_
eodeme_siparis_id parametresi, başvuru özelinde de parametrik hale getirildi._x000D_
 ;24/Feb/26 4:37 PM;can.macit;18000</t>
  </si>
  <si>
    <t>Test UKDS servisi üzerinden yapılan kontroller başarılı.;13/Mar/26 1:08 PM;gurkan.guney;7200</t>
  </si>
  <si>
    <t>0|i00vra:zsyzgzno9ri</t>
  </si>
  <si>
    <t>05/Mar/26 9:51 AM;gitlab.dev;[Can Macit|https://git-lab.turkkep.com.tr/can.macit] mentioned this issue in [commit e879ec7d|https://git-lab.turkkep.com.tr/kepappteam/ukds/Turkkep-UKDS/-/commit/e879ec7d211bafc1dd06a4bc1b10fb80eba100a3] of [KEPAPPTEAM / UKDS / Turkkep UKDS|https://git-lab.turkkep.com.tr/kepappteam/ukds/Turkkep-UKDS] on branch [dev|https://git-lab.turkkep.com.tr/kepappteam/ukds/Turkkep-UKDS/-/tree/dev]:{quote}(UKDS-223) Başvuru tipleri ve bazı parametrik değerlere göre eodeme_siparis_id değerinin rezerve metodunda gönderilmesine dair geliştirme tamamlandı.
{quote}</t>
  </si>
  <si>
    <t>13/Mar/26 1:08 PM;gurkan.guney;Test UKDS servisi üzerinden yapılan kontroller başarılı.</t>
  </si>
  <si>
    <t>Müşteri Ödemeli olması için  müşterinin serviste ''müşteri ödemeli'' seçimini seçmesi gerekmektedir. Bu adım seçilmemesi halinde varsayılan parametre ''ön ödemelidir''</t>
  </si>
  <si>
    <t>-Default değer için servisler çalışmalar yapıldı.;06/Mar/26 1:06 PM;can.macit;7200</t>
  </si>
  <si>
    <t>Test UKDS servisi üzerinden yapılan kontroller başarılı._x000D_
_x000D_
Başvuru yaparken payment3d parametresi boş gönderilirse ya da hiç gönderilmezse ön ödemeli kabul ediyor. Ön başvuru sayfasında ödeme ekranı gelmiyor._x000D_
_x000D_
UKDS Raporlama servisinde "odemeDurumu": "Bu başvuru tipi için müşteri ödemesi mevcut değil", şeklinde belirtiyor.;10/Mar/26 9:38 AM;gurkan.guney;1800</t>
  </si>
  <si>
    <t>0|i00vra:zsyzgzno9u</t>
  </si>
  <si>
    <t>10/Mar/26 9:38 AM;gurkan.guney;Test UKDS servisi üzerinden yapılan kontroller başarılı._x000D_
_x000D_
Başvuru yaparken payment3d parametresi boş gönderilirse ya da hiç gönderilmezse ön ödemeli kabul ediyor. Ön başvuru sayfasında ödeme ekranı gelmiyor._x000D_
_x000D_
UKDS Raporlama servisinde "odemeDurumu": "Bu başvuru tipi için müşteri ödemesi mevcut değil", şeklinde belirtiyor.</t>
  </si>
  <si>
    <t>Servis içerisinde ilgili müşteri özel müşteri parametresi seçebilecektir._x000D_
_x000D_
Özel müşteri müşterinin başvuru adımını gönderdiğinde ödeme alıp alamayacağını ve buna ilişkin parametreleri ayarlayabileceği bir seçenektir._x000D_
_x000D_
Özel müşteri seçilmediği sürece ilgili kural müşteriye yansımıyıcaktır._x000D_
_x000D_
 _x000D_
_x000D_
!image-2026-02-20-16-05-03-570.png!</t>
  </si>
  <si>
    <t>-UKDS Entegrasyon servisinde ki yeni başvuru ekleme metoduna ödemeli/ödemesiz parametresi eklendi, bu tip başvurular için başvuru özelinde tanımlamalar yapıldı ve geliştirmeleri yapıldı.;25/Feb/26 4:40 PM;can.macit;21600</t>
  </si>
  <si>
    <t>-Özel müşteri parametresinin yönetime dair geliştirmeler yapıldı._x000D_
_x000D_
-Ön yüz tarafında bu parametreye göre düzenlemeler yapıldı.;02/Mar/26 10:51 AM;can.macit;28800</t>
  </si>
  <si>
    <t>Test UKDS servisi üzerinden yapılan kontroller başarılı._x000D_
_x000D_
Başvuru yaparken payment3d parametresi true ise müşteri ödeme yapıyor. Ön başvuru formu ekranlarında da ödeme yapacağı sayfa geliyor. _x000D_
 _x000D_
 _x000D_
payment3d parametresi false ise müşteri ödeme yapmıyor. Ön başvuru formu ekranlarında da ödeme yapacağı alan görünmüyor._x000D_
UKDS raporlama servisinde de odemeDurumu parametresinde ödeme yapılıp yapılmayacağı, ödemesinin yapıldığı ya da henüz yapılmadığı bilgileri dönmektedir.;10/Mar/26 9:06 AM;gurkan.guney;7200</t>
  </si>
  <si>
    <t>20/Feb/26 3:05 PM;ceren.sertkaya;image-2026-02-20-16-05-03-570.png;http://192.168.124.186:8080/secure/attachment/15917/image-2026-02-20-16-05-03-570.png</t>
  </si>
  <si>
    <t>0|i00vra:zsyzgzno9w</t>
  </si>
  <si>
    <t>05/Mar/26 9:49 AM;gitlab.dev;[Can Macit|https://git-lab.turkkep.com.tr/can.macit] mentioned this issue in [commit 645caf35|https://git-lab.turkkep.com.tr/kepappteam/ukds/turkkep-ukds-integration-service/-/commit/645caf35b91ed964f699e4e2946fda3f90f2aacd] of [KEPAPPTEAM / UKDS / TURKKEP UKDS Integration Service|https://git-lab.turkkep.com.tr/kepappteam/ukds/turkkep-ukds-integration-service] on branch [dev|https://git-lab.turkkep.com.tr/kepappteam/ukds/turkkep-ukds-integration-service/-/tree/dev]:{quote}(UKDS-221) Başvuru bazında ödemeli/ödemesiz geliştirmesi tamamlandıç
{quote}</t>
  </si>
  <si>
    <t>10/Mar/26 9:06 AM;gurkan.guney;Test UKDS servisi üzerinden yapılan kontroller başarılı._x000D_
_x000D_
Başvuru yaparken payment3d parametresi true ise müşteri ödeme yapıyor. Ön başvuru formu ekranlarında da ödeme yapacağı sayfa geliyor. _x000D_
 _x000D_
 _x000D_
payment3d parametresi false ise müşteri ödeme yapmıyor. Ön başvuru formu ekranlarında da ödeme yapacağı alan görünmüyor._x000D_
UKDS raporlama servisinde de odemeDurumu parametresinde ödeme yapılıp yapılmayacağı, ödemesinin yapıldığı ya da henüz yapılmadığı bilgileri dönmektedir.</t>
  </si>
  <si>
    <t>Müşterinin Ön ödemeli veya Müşteri ödemeli olduğunun ayırımının sağlanacağı metotların geliştirilmesi gerekmektedir._x000D_
_x000D_
Ön ödemeli müşteri: Teklif ile gelen müşteri adımı_x000D_
_x000D_
Müşteri ödemeli gelen: Ödeme ekranlarını sunduğumuz adımdır. _x000D_
_x000D_
Bu adımların servisten seçilmesi ve tanımı için ilgili metot geliştirilecektir.</t>
  </si>
  <si>
    <t>-UKDS Entegratör aktarma metoduna paymentType parametresi eklendi._x000D_
_x000D_
-Bu parametreye göre ödeme sayfasının yönetimi ile ilgili düzenleme geliştirmeleri yapıldı.;23/Feb/26 4:28 PM;can.macit;25200</t>
  </si>
  <si>
    <t>Test ortamda yapılan kontroller başarılı.;09/Mar/26 6:17 PM;gurkan.guney;7200</t>
  </si>
  <si>
    <t>0|i00vra:zsyzgzno9r</t>
  </si>
  <si>
    <t>05/Mar/26 9:52 AM;gitlab.dev;[Can Macit|https://git-lab.turkkep.com.tr/can.macit] mentioned this issue in [commit 8f0ea606|https://git-lab.turkkep.com.tr/kepappteam/ukds/Turkkep-UKDS/-/commit/8f0ea60691b9c793a14d5a37da369e4b05c0a276] of [KEPAPPTEAM / UKDS / Turkkep UKDS|https://git-lab.turkkep.com.tr/kepappteam/ukds/Turkkep-UKDS] on branch [dev|https://git-lab.turkkep.com.tr/kepappteam/ukds/Turkkep-UKDS/-/tree/dev]:{quote}(UKDS-220) Payment type parametre eklemesi tamamlandı.
{quote}</t>
  </si>
  <si>
    <t>09/Mar/26 6:17 PM;gurkan.guney;Test ortamda yapılan kontroller başarılı.</t>
  </si>
  <si>
    <t>Mevcut yapıda tanımlı olan müşterilerin kurumsal KEP Adresi bilgileri, bireysel KEP Adresi bilgileri ve idleri bu KEP Adresini onaylanan kullanıcı bilgilsi (Ad Soyad),TCKN/VKN,cep telefonu, e posta adresi,bu işlemlerin tarihleri ile birlikte aktarılması gerekmektedir._x000D_
_x000D_
İlgili bilgilerin CRM'den aktarılması için metot eklenecektir._x000D_
_x000D_
--&gt; Api Token mevcut müşteri için_x000D_
_x000D_
+Kurumsal için+_x000D_
_x000D_
Müşteri id_x000D_
_x000D_
Müşteri adı_x000D_
_x000D_
Müşterinin tarih bilgileri başlangıç/bitiş_x000D_
_x000D_
KEP Adresi Bilgisi_x000D_
_x000D_
İşlem yetkilisi bilgisi_x000D_
_x000D_
TCKN _x000D_
_x000D_
Ad_x000D_
_x000D_
Soyad _x000D_
_x000D_
Telefon no _x000D_
_x000D_
Parametreler_x000D_
_x000D_
private String kepId;_x000D_
_x000D_
private Boolean payment3d;_x000D_
private String productValue;_x000D_
private String kepAddress;_x000D_
private ApplicationType applicationType;_x000D_
private ServiceType serviceType;_x000D_
private String name;_x000D_
private String surname;_x000D_
private String tckn;_x000D_
private String dateOfBirth;_x000D_
private String phoneNumber;_x000D_
private String email;_x000D_
private String institutionalMail;_x000D_
private String vkn;_x000D_
_x000D_
 </t>
  </si>
  <si>
    <t>-Sisteme sonradan dahil olacak müşteriler için gerekli metodun geliştirmesi için çalışma yapıldı.;11/Mar/26 9:36 AM;can.macit;28800</t>
  </si>
  <si>
    <t>-Sisteme sonradan dahil olacak müşteriler için gerekli metodun geliştirmesi tamamlandı.;11/Mar/26 9:37 AM;can.macit;7200</t>
  </si>
  <si>
    <t>;12/Mar/26 5:09 PM;gurkan.guney;64800</t>
  </si>
  <si>
    <t>0|i00vra:zsyzgzno9wi</t>
  </si>
  <si>
    <t>11/Mar/26 9:34 AM;gitlab.dev;[Can Macit|https://git-lab.turkkep.com.tr/can.macit] mentioned this issue in [commit 52a7da39|https://git-lab.turkkep.com.tr/kepappteam/ukds/turkkep-ukds-integration-service/-/commit/52a7da39b4c886af4e9c646b21104e068c1a9b05] of [KEPAPPTEAM / UKDS / TURKKEP UKDS Integration Service|https://git-lab.turkkep.com.tr/kepappteam/ukds/turkkep-ukds-integration-service] on branch [dev|https://git-lab.turkkep.com.tr/kepappteam/ukds/turkkep-ukds-integration-service/-/tree/dev]:{quote}(UKDS-219) Sonradan sisteme dahil olan müşteriler için gerekli CRM entegrasyon metodu tamamlandı.
{quote}</t>
  </si>
  <si>
    <t>11/Mar/26 9:35 AM;gitlab.dev;[Can Macit|https://git-lab.turkkep.com.tr/can.macit] mentioned this issue in [merge request !49|https://git-lab.turkkep.com.tr/kepappteam/ukds/turkkep-ukds-integration-service/-/merge_requests/49] of [KEPAPPTEAM / UKDS / TURKKEP UKDS Integration Service|https://git-lab.turkkep.com.tr/kepappteam/ukds/turkkep-ukds-integration-service] on branch [dev|https://git-lab.turkkep.com.tr/kepappteam/ukds/turkkep-ukds-integration-service/-/tree/dev]:{quote}(UKDS-219) Test branch merge request{quote}</t>
  </si>
  <si>
    <t>11/Mar/26 9:35 AM;gitlab.dev;[Can Macit|https://git-lab.turkkep.com.tr/can.macit] mentioned this issue in [commit 0663afb0|https://git-lab.turkkep.com.tr/kepappteam/ukds/turkkep-ukds-integration-service/-/commit/0663afb0d47c497b27651d819ee52e598a63f22c] of [KEPAPPTEAM / UKDS / TURKKEP UKDS Integration Service|https://git-lab.turkkep.com.tr/kepappteam/ukds/turkkep-ukds-integration-service] on branch [test|https://git-lab.turkkep.com.tr/kepappteam/ukds/turkkep-ukds-integration-service/-/tree/test]:{quote}Merge branch 'dev' into 'test'
(UKDS-219) Test branch merge request
See merge request kepappteam/ukds/turkkep-ukds-integration-service!49{quote}</t>
  </si>
  <si>
    <t>12/Mar/26 5:09 PM;gurkan.guney;1- Aynı api-access-token ile aynı kepId'nin kaydedilmesine izin vermiyor. Burası doğru. Fakat farklı bir api-access-token ile aynı aynı kepId'nin kaydedilmesine izin veriyor. Bu durumda UKDS veritabanında aynı kepId'den birden fazla kayıt oluyor. Bu şekilde olması doğru mu? Buraya da bir kontrol etmek gerekir mi? Karar verilmesi gerekiyor._x000D_
_x000D_
2- Diyelim ki bir vkn'ye ait devam eden/henüz tamamlanmamış bir başvuru var. O vkn ye ait mevcutta açılmış olan başka kep hesaplarının aktarılmasına integration/crm/exist/institutional metodu izin vermiyor. "Devam eden başvurunuz var..." gibi bir uyarı geliyor. O vkn'ye ait devam eden bir başvurunun olması mevcutta açılmış olan diğer Kep hesaplarını UKDS sistemine aktarmak engel olmalı mıdır? Aktarılmasına izin verilip, yine o vkn ile tekrar başvuru yapmak istenirse, o adımda "Devam eden başvurunuz var..." deyip başvuru yapması engellenirse daha doğru olur gibi._x000D_
_x000D_
3- Mevcut bir kurumsal Kep hesabı integration/crm/exist/institutional metodu ile UKDS sistemine aktarıldı. O kurumsal Kep hesabına bağlı olacak iekilde IKENTEGRATORBIREYSEL tipinde başvuru yapıldı. Başvuru onaylandı ve sipariş detayı CRM'e aktı. Fakat CRM'de "Ürün Bulunamadı" sebebiyle bireysel Kep hesabı oluşturulamadı. Daha önce açılmış olan mevcut kurumsal Kep adresi hangi teklif ile açıldı? (KEP İk teklifi mi yoksa standart kurumsal Kep hesabı gibi mi?) Önceden açılmış olan kurumsal Kep hesabı hangi sözleşleyme açıldı, o da önemli. Bu şekilde açılan bireysel ik hesaplarının sözleşmesi CRM tarafında neye bağlancak? Teklifi neye bağlanacak? Faturası kime bağlanacak? Ent. Suite'in UKDS modülünü satın almış olan müşteriye mi bağlı olacak, yoksa kurumsal ik hesabının sahibi olan kurumsal firmaya mı bağlı olacak? Bu konuların netleştirilmesi ve ona göre çalışma yapılması gerekir._x000D_
_x000D_
Bu konular dışında bu yeni metot ile mevcut kurumsal Kep hesaplarının UKDS sistemine aktarılmasıyla ilgili sorun görünmüyor.</t>
  </si>
  <si>
    <t>Başvuru Tipi, Ödeme ve İş Akışlarının Parametrik ve Müşteri Bazlı Yönetimi</t>
  </si>
  <si>
    <t>*Açıklama:*_x000D_
_x000D_
UKDS süreçlerinde başvuru tiplerine bağlı olarak sistemlerde tanımlanan iş akışlarının daha esnek, parametrik ve müşteri bazlı yönetilebilir hale getirilmesi; yeni senaryolar için ek başvuru tipi açma ihtiyacının azaltılması amaçlanmaktadır. _x000D_
_x000D_
*Kapsam:*_x000D_
_x000D_
1. Başvuru tiplerinde yönetilebilir hale gelmesi. (Parametrik bir yapı)_x000D_
 * Mevcut tüm başvuru tiplerinin analiz edilmesi_x000D_
_x000D_
 * Tanımlı akışların müşteri bazlı kullanılabilirliğinin çıkarılması_x000D_
_x000D_
 * Aynı başvuru tipini kullanan farklı müşteriler için ayrı iş akışı tanımlanabilmesi_x000D_
_x000D_
 * Yeni senaryolar için her seferinde yeni başvuru tipi oluşturma ihtiyacının azaltılması_x000D_
_x000D_
2. Başvuru ve Ödeme Adımının Parametrik Yönetimi_x000D_
 * Başvuru ekranlarında ödeme adımının gösterilip gösterilmeyeceğinin parametrik hale getirilmesi_x000D_
_x000D_
 * Ödeme linki gönderim sürecinin belirlenebilmesi_x000D_
_x000D_
3. Müşteri bazlı paket bilgilerin gelmesi._x000D_
 * Kampanya kodlarının müşteri bazlı dinamik yönetilmesi_x000D_
_x000D_
 * Paket bilgisinin CRM- UKDS servisleri arasında aktarılması_x000D_
_x000D_
 * Müşteri, teklif, sipariş detayı, ürün kalemleri ve fiyatlandırma alanlarının müşteri bazlı yapılandırılabilmesi_x000D_
_x000D_
 * Başvuru tipleri dışında kalan müşteriler için mevcut iş akışlarının devam edilebilmesi</t>
  </si>
  <si>
    <t>0|i01f5w:</t>
  </si>
  <si>
    <t>Entegrasyon servisinde süresi geçen başvuruların tekrar sürece dahil edilmesi için gereken kontrol sorgusunun düzenlemesi ile süresi geçen başvurular servis üzerinden tekrar gönderilecektir._x000D_
_x000D_
Datasist kapsamında müşterinin süresi geçen bir başvuru için tekrar başvuru gönderemediği tespit edilmiştir. Bu sürece istinaden gerekli düzenlemelerin sağlanması gerekmektedir.</t>
  </si>
  <si>
    <t>-Süresi geçen entegrasyon tipli başvuruların, tekrar sürece dahil edilebilmesi için gerekli kontrol sorgularının düzenlenmesi sağlandı.;09/Feb/26 5:09 PM;can.macit;3600</t>
  </si>
  <si>
    <t>Test ortamda yapılan kontroller başarılı._x000D_
_x000D_
ENTEGRASYONKURUMSAL, ENTEGRASYONBIREYSEL, IKENTEGRATORKURUMSAL ve IKENTEGRATORBIREYSEL tipinde başvuruların statüsü SURESIGECTI ise aynı bilgilerle (TCKN, VKN) tekrar başvuru yapılmasına izin veriyor.;17/Feb/26 4:13 PM;gurkan.guney;1800</t>
  </si>
  <si>
    <t>0|i00vra:zsyzgzno9i</t>
  </si>
  <si>
    <t>09/Feb/26 4:58 PM;gitlab.dev;[Can Macit|https://git-lab.turkkep.com.tr/can.macit] mentioned this issue in [commit 58b04014|https://git-lab.turkkep.com.tr/kepappteam/ukds/turkkep-ukds-integration-service/-/commit/58b040142038bb775c1bdc08e6a6b683fc0a1af3] of [KEPAPPTEAM / UKDS / TURKKEP UKDS Integration Service|https://git-lab.turkkep.com.tr/kepappteam/ukds/turkkep-ukds-integration-service] on branch [dev|https://git-lab.turkkep.com.tr/kepappteam/ukds/turkkep-ukds-integration-service/-/tree/dev]:{quote}(UKDS-217) Süresi geçen başvuruların sürece dahil edilmesi için gereken kontrol sorgusu düzenlendi.
{quote}</t>
  </si>
  <si>
    <t>09/Feb/26 4:59 PM;gitlab.dev;[Can Macit|https://git-lab.turkkep.com.tr/can.macit] mentioned this issue in [merge request !46|https://git-lab.turkkep.com.tr/kepappteam/ukds/turkkep-ukds-integration-service/-/merge_requests/46] of [KEPAPPTEAM / UKDS / TURKKEP UKDS Integration Service|https://git-lab.turkkep.com.tr/kepappteam/ukds/turkkep-ukds-integration-service] on branch [dev|https://git-lab.turkkep.com.tr/kepappteam/ukds/turkkep-ukds-integration-service/-/tree/dev]:{quote}(UKDS-217) Test branch merge request{quote}</t>
  </si>
  <si>
    <t>09/Feb/26 4:59 PM;gitlab.dev;[Can Macit|https://git-lab.turkkep.com.tr/can.macit] mentioned this issue in [commit 0a381f32|https://git-lab.turkkep.com.tr/kepappteam/ukds/turkkep-ukds-integration-service/-/commit/0a381f32b03cb8484ec156043ff343462f1285c5] of [KEPAPPTEAM / UKDS / TURKKEP UKDS Integration Service|https://git-lab.turkkep.com.tr/kepappteam/ukds/turkkep-ukds-integration-service] on branch [test|https://git-lab.turkkep.com.tr/kepappteam/ukds/turkkep-ukds-integration-service/-/tree/test]:{quote}Merge branch 'dev' into 'test'
(UKDS-217) Test branch merge request
See merge request kepappteam/ukds/turkkep-ukds-integration-service!46{quote}</t>
  </si>
  <si>
    <t>09/Feb/26 5:04 PM;ceren.sertkaya;Entegrasyon tipli başvurularda kurumsal veya bireysel bir başvurunun süresi geçti olarak düzenleyerek tekrar aynı bilgilerle başvuru gönderebiliyor muyuz? Test edilmesi gerekmektedir.</t>
  </si>
  <si>
    <t>17/Feb/26 4:13 PM;gurkan.guney;Test ortamda yapılan kontroller başarılı._x000D_
_x000D_
ENTEGRASYONKURUMSAL, ENTEGRASYONBIREYSEL, IKENTEGRATORKURUMSAL ve IKENTEGRATORBIREYSEL tipinde başvuruların statüsü SURESIGECTI ise aynı bilgilerle (TCKN, VKN) tekrar başvuru yapılmasına izin veriyor.</t>
  </si>
  <si>
    <t>Reopened</t>
  </si>
  <si>
    <t>-Başvuru formunun olduğu katman için servis katmanında başvuru validasyonu ve otp işlemlerine hizmet eden sendNotification metodunda code refactor çalışmaları yapıldı.;10/Feb/26 3:32 PM;can.macit;23400</t>
  </si>
  <si>
    <t>-Başvuru formunun olduğu katman için servis katmanında NVI, MERSIS,  KEP adresi tavsiye ve paket listesini yürüten checkNotification metodunda code refactor çalışmaları yapıldı.;10/Feb/26 5:17 PM;can.macit;27000</t>
  </si>
  <si>
    <t>-Ön başvurunun onayını veren ve KEP rezerve metodunu işleten submitApplicationData metodu için code refactor çalışması yapıldı.;11/Feb/26 6:27 PM;can.macit;25200</t>
  </si>
  <si>
    <t>-CRM servis katmanında code refactor çalışması yapıldı.;13/Feb/26 5:01 PM;can.macit;27000</t>
  </si>
  <si>
    <t>-BTK entegrasyon servis katmanında code refactor çalışması yapıldı.;16/Feb/26 5:24 PM;can.macit;16200</t>
  </si>
  <si>
    <t>-CRUD ve logic işlemlerin yürütüldüğü application service katmanı code refactor çalışması yapıldı.;17/Feb/26 5:58 PM;can.macit;21600</t>
  </si>
  <si>
    <t>-Ön yüz ile ilgili işlemlerin yapıldığı frontend katmanında code refactor işlemi yapıldı.;19/Feb/26 5:18 PM;can.macit;19800</t>
  </si>
  <si>
    <t>-Konfigürasyon dosyaları için code refactor çalışması yapıldı._x000D_
_x000D_
-Eksik kalan kısımlar için ilaveler yapıldı._x000D_
_x000D_
-Rapor servisinde eksik kısımlar için düzenleme yapıldı.;19/Feb/26 5:20 PM;can.macit;27000</t>
  </si>
  <si>
    <t>-Controller katmanlarında code refactor çalışması yapıldı._x000D_
_x000D_
-Madde kapsamında ki işlem tamamlandı.;20/Feb/26 5:15 PM;can.macit;21600</t>
  </si>
  <si>
    <t>-Rapor servisinde ödeme durumu için bazı düzenlemeler yapıldı.;24/Feb/26 4:39 PM;can.macit;3600</t>
  </si>
  <si>
    <t>0|i00vra:zsyzgzno9x</t>
  </si>
  <si>
    <t>05/Mar/26 9:35 AM;gitlab.dev;[Can Macit|https://git-lab.turkkep.com.tr/can.macit] mentioned this issue in [commit 19fc9c57|https://git-lab.turkkep.com.tr/kepappteam/ukds/Turkkep-UKDS/-/commit/19fc9c57f01fd02f89426c199d9ad30bcca2dead] of [KEPAPPTEAM / UKDS / Turkkep UKDS|https://git-lab.turkkep.com.tr/kepappteam/ukds/Turkkep-UKDS] on branch [dev|https://git-lab.turkkep.com.tr/kepappteam/ukds/Turkkep-UKDS/-/tree/dev]:{quote}(UKDS-215) Code refactor çalışması tamamlandı.
{quote}</t>
  </si>
  <si>
    <t>05/Mar/26 9:53 AM;gitlab.dev;[Can Macit|https://git-lab.turkkep.com.tr/can.macit] mentioned this issue in [commit e18c5b23|https://git-lab.turkkep.com.tr/kepappteam/ukds/Turkkep-UKDS/-/commit/e18c5b2323161a7403c05ec23476c6ff79c58e74] of [KEPAPPTEAM / UKDS / Turkkep UKDS|https://git-lab.turkkep.com.tr/kepappteam/ukds/Turkkep-UKDS] on branch [dev|https://git-lab.turkkep.com.tr/kepappteam/ukds/Turkkep-UKDS/-/tree/dev]:{quote}(UKDS-215) Code refactor çalışması ana serviste tamamlandı.
{quote}</t>
  </si>
  <si>
    <t>05/Mar/26 9:54 AM;gitlab.dev;[Can Macit|https://git-lab.turkkep.com.tr/can.macit] mentioned this issue in [commit 3c4eacb1|https://git-lab.turkkep.com.tr/kepappteam/ukds/Turkkep-UKDS-Portal/-/commit/3c4eacb112a12ffb5fff3cc7139cb4edb0eef899] of [KEPAPPTEAM / UKDS / Turkkep UKDS Portal|https://git-lab.turkkep.com.tr/kepappteam/ukds/Turkkep-UKDS-Portal] on branch [dev|https://git-lab.turkkep.com.tr/kepappteam/ukds/Turkkep-UKDS-Portal/-/tree/dev]:{quote}(UKDS-215) Code refactor çalışması ara serviste tamamlandı.
{quote}</t>
  </si>
  <si>
    <t>05/Mar/26 9:54 AM;gitlab.dev;[Can Macit|https://git-lab.turkkep.com.tr/can.macit] mentioned this issue in [commit 04f1ec70|https://git-lab.turkkep.com.tr/kepappteam/ukds/Turkkep-UKDS-Frontend/-/commit/04f1ec708616072fd3f16e82ac2ed775074e6878] of [KEPAPPTEAM / UKDS / Turkkep UKDS Frontend|https://git-lab.turkkep.com.tr/kepappteam/ukds/Turkkep-UKDS-Frontend] on branch [dev|https://git-lab.turkkep.com.tr/kepappteam/ukds/Turkkep-UKDS-Frontend/-/tree/dev]:{quote}(UKDS-215) Code refactor çalışması önyüzde tamamlandı.
{quote}</t>
  </si>
  <si>
    <t>05/Mar/26 10:01 AM;gitlab.dev;[Can Macit|https://git-lab.turkkep.com.tr/can.macit] mentioned this issue in [commit 7e077a78|https://git-lab.turkkep.com.tr/kepappteam/ukds/turkkep-ukds-integration-service/-/commit/7e077a78d2b6e0b52642f2357c20ee81ca573f19] of [KEPAPPTEAM / UKDS / TURKKEP UKDS Integration Service|https://git-lab.turkkep.com.tr/kepappteam/ukds/turkkep-ukds-integration-service] on branch [dev|https://git-lab.turkkep.com.tr/kepappteam/ukds/turkkep-ukds-integration-service/-/tree/dev]:{quote}(UKDS-215) hotfix
{quote}</t>
  </si>
  <si>
    <t>06/Mar/26 2:20 PM;gitlab.dev;[Can Macit|https://git-lab.turkkep.com.tr/can.macit] mentioned this issue in [merge request !54|https://git-lab.turkkep.com.tr/kepappteam/ukds/Turkkep-UKDS-Frontend/-/merge_requests/54] of [KEPAPPTEAM / UKDS / Turkkep UKDS Frontend|https://git-lab.turkkep.com.tr/kepappteam/ukds/Turkkep-UKDS-Frontend] on branch [dev|https://git-lab.turkkep.com.tr/kepappteam/ukds/Turkkep-UKDS-Frontend/-/tree/dev]:{quote}(UKDS-215) Code refactor çalışması önyüzde tamamlandı.{quote}</t>
  </si>
  <si>
    <t>06/Mar/26 2:21 PM;gitlab.dev;[Can Macit|https://git-lab.turkkep.com.tr/can.macit] mentioned this issue in [commit 421f4232|https://git-lab.turkkep.com.tr/kepappteam/ukds/Turkkep-UKDS-Frontend/-/commit/421f4232ec84ca23da04039c39f4df86cf1449fa] of [KEPAPPTEAM / UKDS / Turkkep UKDS Frontend|https://git-lab.turkkep.com.tr/kepappteam/ukds/Turkkep-UKDS-Frontend] on branch [test|https://git-lab.turkkep.com.tr/kepappteam/ukds/Turkkep-UKDS-Frontend/-/tree/test]:{quote}Merge branch 'dev' into 'test'
(UKDS-215) Code refactor çalışması önyüzde tamamlandı.
See merge request kepappteam/ukds/Turkkep-UKDS-Frontend!54{quote}</t>
  </si>
  <si>
    <t>09/Mar/26 10:52 AM;ceren.sertkaya;Genel olarak UKDS tarafında ve işleyişinde sorun  var mı? Bu şekilde test edilebilinir.</t>
  </si>
  <si>
    <t>*Açıklama:*_x000D_
_x000D_
UKDS sunucularında yapılan incelemelerde CPU ve RAM kullanımında yüksek değerler gözlemlenmiştir. Bu kapsamda performans analizi ve iyileştirme çalışması yapılması gerekmektedir.</t>
  </si>
  <si>
    <t>-Zabbix üzerinden UKDS Ana sunucu ve Portal sunucular haftalık olarak gözlemlendi._x000D_
_x000D_
-UKDS Ana sunucusunda öğle vakitleri CPU kullanımında peak gözlemlendi._x000D_
_x000D_
-DB indexleri ve repository gözden geçirildi._x000D_
_x000D_
-Eksik tablo ixdexleri not alındı.;30/Jan/26 5:24 PM;can.macit;18000</t>
  </si>
  <si>
    <t>-UKDS DB tarafında sorgu analizleri ve indexlemeler için pg_trgm eklentisi kuruldu._x000D_
_x000D_
-Total süre/sorgu adedi (mean_exec_time), yoğun saatlerde 100ms'yi  olan sorgular için indexleme çalışması yapıldı._x000D_
_x000D_
-İlgili sorgular ile ilgili repository katmanında sorgular gözden geçirildi._x000D_
_x000D_
-Servis katmanında IK metotları için kısmi değişiklikler yapıldı.;02/Feb/26 5:53 PM;can.macit;28800</t>
  </si>
  <si>
    <t>-Kalan tablolarda indexleme çalışması yapıldı._x000D_
_x000D_
-Kalan servis metotlarında ki sorgular için analiz yapıldı.;03/Feb/26 6:08 PM;can.macit;23400</t>
  </si>
  <si>
    <t>-İndexleme çalışması bitirildi._x000D_
_x000D_
-Servis katmanında bir kaç metotta değişiklik yapıldı.;04/Feb/26 5:39 PM;can.macit;21600</t>
  </si>
  <si>
    <t>-Servis katmanında ki değişiklikler tamamlandı._x000D_
_x000D_
 ;05/Feb/26 5:07 PM;can.macit;18000</t>
  </si>
  <si>
    <t>Test İK çalışan ekle sayfasında ve kidos test ortamlarında ekranlar arası geçişlerde herhangi bir performans sorunu gözlemlenmemiştir. _x000D_
_x000D_
[https://testpaydas.turkkep.com.tr/application-list] sayfasında excel ile yapılan toplu işlemlerde diğer sayfalara oranla yavaşlık gözlemlenmiştir. Aşağıda istatistikler mevcuttur._x000D_
_x000D_
https://testpaydas.turkkep.com.tr/application-list sayfasında 7 bin satırlık excel toplu yükleme 11 dk. 45 sn. sürdü (ikinci denemede 14 dk. 40 sn. sürdü)_x000D_
_x000D_
https://testpaydas.turkkep.com.tr/application-list sayfasında 7 bin satırlık excel toplu silme 1 dk. 40 sn. sürdü (ikinci denemede 1 dk. 37 sn. sürdü)_x000D_
_x000D_
https://testik.turkkep.com.tr/ çalışan ekle sayfasında 7300 satırlık excel toplu yükleme 20 sn. sürdü_x000D_
_x000D_
[https://testik.turkkep.com.tr/] çalışan ekle sayfasında  7 bin satırlık excel toplu silme 6 sn. sürdü_x000D_
_x000D_
https://testpaydas.turkkep.com.tr/integration-application-list 7 bin satırlık excel toplu yükle 21 sn. sürdü;16/Feb/26 2:27 PM;gurkan.guney;3600</t>
  </si>
  <si>
    <t>;16/Feb/26 3:39 PM;gurkan.guney;900</t>
  </si>
  <si>
    <t>-Kidos ürününde test ortamı için toplu kayıt alma ve silme işlemleri için code refactor çalışması yapıldı.;16/Feb/26 5:20 PM;can.macit;7200</t>
  </si>
  <si>
    <t>06/Feb/26 1:02 PM;can.macit;Ekran Resmi 2026-02-06 11.51.11.png;http://192.168.124.186:8080/secure/attachment/15877/Ekran+Resmi+2026-02-06+11.51.11.png</t>
  </si>
  <si>
    <t>0|i00vra:zsyzgznocr</t>
  </si>
  <si>
    <t>UKDS Sprint 2026/5-6</t>
  </si>
  <si>
    <t>05/Feb/26 3:05 PM;gitlab.dev;[Can Macit|https://git-lab.turkkep.com.tr/can.macit] mentioned this issue in [commit e6476b9e|https://git-lab.turkkep.com.tr/kepappteam/ukds/Turkkep-UKDS/-/commit/e6476b9efd2f5d8b3b96dcf4dddd7934e6df8b78] of [KEPAPPTEAM / UKDS / Turkkep UKDS|https://git-lab.turkkep.com.tr/kepappteam/ukds/Turkkep-UKDS] on branch [dev|https://git-lab.turkkep.com.tr/kepappteam/ukds/Turkkep-UKDS/-/tree/dev]:{quote}(UKDS-214) Servis ve repository güncellemesi tamamlandı.
{quote}</t>
  </si>
  <si>
    <t>05/Feb/26 3:07 PM;gitlab.dev;[Can Macit|https://git-lab.turkkep.com.tr/can.macit] mentioned this issue in [merge request !117|https://git-lab.turkkep.com.tr/kepappteam/ukds/Turkkep-UKDS/-/merge_requests/117] of [KEPAPPTEAM / UKDS / Turkkep UKDS|https://git-lab.turkkep.com.tr/kepappteam/ukds/Turkkep-UKDS] on branch [dev|https://git-lab.turkkep.com.tr/kepappteam/ukds/Turkkep-UKDS/-/tree/dev]:{quote}(UKDS-214) Servis ve repository güncellemesi tamamlandı.{quote}</t>
  </si>
  <si>
    <t>05/Feb/26 3:07 PM;gitlab.dev;[Can Macit|https://git-lab.turkkep.com.tr/can.macit] mentioned this issue in [commit d8e9becc|https://git-lab.turkkep.com.tr/kepappteam/ukds/Turkkep-UKDS/-/commit/d8e9becc21bf788827336eaae7d833eb96ce3103] of [KEPAPPTEAM / UKDS / Turkkep UKDS|https://git-lab.turkkep.com.tr/kepappteam/ukds/Turkkep-UKDS] on branch [test|https://git-lab.turkkep.com.tr/kepappteam/ukds/Turkkep-UKDS/-/tree/test]:{quote}Merge branch 'dev' into 'test'
(UKDS-214) Servis ve repository güncellemesi tamamlandı.
See merge request kepappteam/ukds/Turkkep-UKDS!117{quote}</t>
  </si>
  <si>
    <t>05/Feb/26 3:09 PM;gitlab.dev;✅ Pipeline başarılı, UKDS-214 maddesi test ortamına aktarıldı.</t>
  </si>
  <si>
    <t>05/Feb/26 3:30 PM;gitlab.dev;[Can Macit|https://git-lab.turkkep.com.tr/can.macit] mentioned this issue in [commit 7b928530|https://git-lab.turkkep.com.tr/kepappteam/ukds/Turkkep-UKDS/-/commit/7b9285305d60490e128e1795aa673a7aeec36696] of [KEPAPPTEAM / UKDS / Turkkep UKDS|https://git-lab.turkkep.com.tr/kepappteam/ukds/Turkkep-UKDS] on branch [dev|https://git-lab.turkkep.com.tr/kepappteam/ukds/Turkkep-UKDS/-/tree/dev]:{quote}(UKDS-214) Servis ve repository güncellemesi tamamlandı v2.
{quote}</t>
  </si>
  <si>
    <t>05/Feb/26 3:30 PM;gitlab.dev;[Can Macit|https://git-lab.turkkep.com.tr/can.macit] mentioned this issue in [merge request !118|https://git-lab.turkkep.com.tr/kepappteam/ukds/Turkkep-UKDS/-/merge_requests/118] of [KEPAPPTEAM / UKDS / Turkkep UKDS|https://git-lab.turkkep.com.tr/kepappteam/ukds/Turkkep-UKDS] on branch [dev|https://git-lab.turkkep.com.tr/kepappteam/ukds/Turkkep-UKDS/-/tree/dev]:{quote}(UKDS-214) Servis ve repository güncellemesi tamamlandı v2.{quote}</t>
  </si>
  <si>
    <t>05/Feb/26 3:30 PM;gitlab.dev;[Can Macit|https://git-lab.turkkep.com.tr/can.macit] mentioned this issue in [commit b5fcd4b0|https://git-lab.turkkep.com.tr/kepappteam/ukds/Turkkep-UKDS/-/commit/b5fcd4b0e2cfa54c1da1582a7075e420fe2e5e07] of [KEPAPPTEAM / UKDS / Turkkep UKDS|https://git-lab.turkkep.com.tr/kepappteam/ukds/Turkkep-UKDS] on branch [test|https://git-lab.turkkep.com.tr/kepappteam/ukds/Turkkep-UKDS/-/tree/test]:{quote}Merge branch 'dev' into 'test'
(UKDS-214) Servis ve repository güncellemesi tamamlandı v2.
See merge request kepappteam/ukds/Turkkep-UKDS!118{quote}</t>
  </si>
  <si>
    <t>05/Feb/26 3:34 PM;gitlab.dev;✅ Pipeline başarılı, UKDS-214 maddesi test ortamına aktarıldı.</t>
  </si>
  <si>
    <t>05/Feb/26 3:35 PM;gitlab.dev;[Can Macit|https://git-lab.turkkep.com.tr/can.macit] mentioned this issue in [commit 81af19fe|https://git-lab.turkkep.com.tr/kepappteam/ukds/Turkkep-UKDS/-/commit/81af19fe505ca4b7924978f4464129ee84254857] of [KEPAPPTEAM / UKDS / Turkkep UKDS|https://git-lab.turkkep.com.tr/kepappteam/ukds/Turkkep-UKDS] on branch [dev|https://git-lab.turkkep.com.tr/kepappteam/ukds/Turkkep-UKDS/-/tree/dev]:{quote}(UKDS-214) Servis ve repository güncellemesi tamamlandı v3.
{quote}</t>
  </si>
  <si>
    <t>05/Feb/26 3:35 PM;gitlab.dev;[Can Macit|https://git-lab.turkkep.com.tr/can.macit] mentioned this issue in [merge request !119|https://git-lab.turkkep.com.tr/kepappteam/ukds/Turkkep-UKDS/-/merge_requests/119] of [KEPAPPTEAM / UKDS / Turkkep UKDS|https://git-lab.turkkep.com.tr/kepappteam/ukds/Turkkep-UKDS] on branch [dev|https://git-lab.turkkep.com.tr/kepappteam/ukds/Turkkep-UKDS/-/tree/dev]:{quote}(UKDS-214) Servis ve repository güncellemesi tamamlandı v3.{quote}</t>
  </si>
  <si>
    <t>05/Feb/26 3:35 PM;gitlab.dev;[Can Macit|https://git-lab.turkkep.com.tr/can.macit] mentioned this issue in [commit 1dd04cf4|https://git-lab.turkkep.com.tr/kepappteam/ukds/Turkkep-UKDS/-/commit/1dd04cf4b8fe4ae8f6417fac4fed4b8525abcdf7] of [KEPAPPTEAM / UKDS / Turkkep UKDS|https://git-lab.turkkep.com.tr/kepappteam/ukds/Turkkep-UKDS] on branch [test|https://git-lab.turkkep.com.tr/kepappteam/ukds/Turkkep-UKDS/-/tree/test]:{quote}Merge branch 'dev' into 'test'
(UKDS-214) Servis ve repository güncellemesi tamamlandı v3.
See merge request kepappteam/ukds/Turkkep-UKDS!119{quote}</t>
  </si>
  <si>
    <t>05/Feb/26 3:40 PM;gitlab.dev;✅ Pipeline başarılı, UKDS-214 maddesi test ortamına aktarıldı.</t>
  </si>
  <si>
    <t>05/Feb/26 3:40 PM;can.macit;Yapılan haftalık incelemede yoğun trafiği olan sorguların 400-500ms olan mean_exec süresinin 100ms altına indiği gözlemlendi.</t>
  </si>
  <si>
    <t>06/Feb/26 1:58 PM;ceren.sertkaya;İk çalışan ekle,kidos ik,kidos başvuru sayfası gibi alanlarda yavaşlık süreçlerinin olup olmadığı, hız ile ilgili bekleme sürelerinin olup olmadığının kontrol edilmesi gerekmektedir.</t>
  </si>
  <si>
    <t>16/Feb/26 2:27 PM;gurkan.guney;Test İK çalışan ekle sayfasında ve kidos test ortamlarında ekranlar arası geçişlerde herhangi bir performans sorunu gözlemlenmemiştir. _x000D_
_x000D_
[https://testpaydas.turkkep.com.tr/application-list] sayfasında excel ile yapılan toplu işlemlerde diğer sayfalara oranla yavaşlık gözlemlenmiştir. Aşağıda istatistikler mevcuttur._x000D_
_x000D_
https://testpaydas.turkkep.com.tr/application-list sayfasında 7 bin satırlık excel toplu yükleme 11 dk. 45 sn. sürdü (ikinci denemede 14 dk. 40 sn. sürdü)_x000D_
_x000D_
https://testpaydas.turkkep.com.tr/application-list sayfasında 7 bin satırlık excel toplu silme 1 dk. 40 sn. sürdü (ikinci denemede 1 dk. 37 sn. sürdü)_x000D_
_x000D_
https://testik.turkkep.com.tr/ çalışan ekle sayfasında 7300 satırlık excel toplu yükleme 20 sn. sürdü_x000D_
_x000D_
[https://testik.turkkep.com.tr/] çalışan ekle sayfasında  7 bin satırlık excel toplu silme 6 sn. sürdü_x000D_
_x000D_
https://testpaydas.turkkep.com.tr/integration-application-list 7 bin satırlık excel toplu yükle 21 sn. sürdü</t>
  </si>
  <si>
    <t>16/Feb/26 2:33 PM;can.macit;[~gurkan.guney] selamlar. Maddenin kapsamı canlı taraf içindir. Test ortamında gerekli indexlemeler mevcut değildir. Canlı tarafta bu testler yapılırsa daha sağlıklı olur.</t>
  </si>
  <si>
    <t>16/Feb/26 3:38 PM;gurkan.guney;https://kep-ik.turkkep.com.tr/ çalışan ekle sayfası 7300 satırlık excel toplu yükleme 7 sn. sürdü_x000D_
_x000D_
https://kep-ik.turkkep.com.tr/ çalışan ekle sayfası 7300 satırlık excel toplu 3 sn. sürdü_x000D_
_x000D_
https://kidos.turkkep.com.tr/integration-application-list 7 bin satırlık excel toplu yükle 7 sn. sürdü_x000D_
_x000D_
https://kidos.turkkep.com.tr/application-list 7 bin satırlık excel toplu yükle 9 dk. sürdü_x000D_
_x000D_
https://kidos.turkkep.com.tr/application-list sayfasında 7 bin satırlık excel toplu silme 1 dk. 40 sn. sürdü</t>
  </si>
  <si>
    <t>16/Feb/26 4:47 PM;gitlab.dev;[Can Macit|https://git-lab.turkkep.com.tr/can.macit] mentioned this issue in [commit af87f73d|https://git-lab.turkkep.com.tr/kepappteam/ukds/TURKKEP-UKDS-Interagency-Service/-/commit/af87f73dc0010e8251ac0faab29357f851a72e0e] of [KEPAPPTEAM / UKDS / TURKKEP UKDS Interagency Service|https://git-lab.turkkep.com.tr/kepappteam/ukds/TURKKEP-UKDS-Interagency-Service] on branch [dev|https://git-lab.turkkep.com.tr/kepappteam/ukds/TURKKEP-UKDS-Interagency-Service/-/tree/dev]:{quote}(UKDS-214) Kidos ürününde performansa yönelik düzenleme sağlandı.
{quote}</t>
  </si>
  <si>
    <t>16/Feb/26 4:47 PM;gitlab.dev;[Can Macit|https://git-lab.turkkep.com.tr/can.macit] mentioned this issue in [commit 9a41e988|https://git-lab.turkkep.com.tr/kepappteam/ukds/TURKKEP-UKDS-Interagency-Service/-/commit/9a41e988a2387862bc79b571d3c2ba5ca8bee8f9] of [KEPAPPTEAM / UKDS / TURKKEP UKDS Interagency Service|https://git-lab.turkkep.com.tr/kepappteam/ukds/TURKKEP-UKDS-Interagency-Service] on branch [test|https://git-lab.turkkep.com.tr/kepappteam/ukds/TURKKEP-UKDS-Interagency-Service/-/tree/test]:{quote}Merge branch 'dev' into 'test'
(UKDS-214) Test branch merge request
See merge request kepappteam/ukds/TURKKEP-UKDS-Interagency-Service!24{quote}</t>
  </si>
  <si>
    <t>Trendyol- Başvuru Sürecinin Kurgulanması</t>
  </si>
  <si>
    <t>UKDS-168</t>
  </si>
  <si>
    <t>zeynep.oran</t>
  </si>
  <si>
    <t>UKDS 02.02</t>
  </si>
  <si>
    <t>Trendyol- Başvuru Süreciniin Kurgulanması</t>
  </si>
  <si>
    <t>0|i01brq:v9</t>
  </si>
  <si>
    <t>MYS-860</t>
  </si>
  <si>
    <t>IIS sunucularında bulunan uygulama dizinleri içerisinde zamanla oluşan ve uygulama tarafından kullanılmayan dosya veya klasörler disk kullanımını artırmakta ve yönetimsel karmaşıklığa neden olabilmektedir._x000D_
_x000D_
Bu kapsamda ilgili sunucularda aşağıdaki kontrollerin yapılması gerekmektedir._x000D_
_x000D_
*Beklenen Durum:*_x000D_
_x000D_
IIS üzerinde çalışan uygulamaların dizinleri kontrol edilmelidir._x000D_
_x000D_
Uygulama tarafından kullanılmayan gereksiz dosya ve klasörler tespit edilmelidir._x000D_
_x000D_
Tespit edilen dosyalar:_x000D_
_x000D_
Uygulamadan bağımsız bir arşiv/backup dizinine taşınmalı veya_x000D_
_x000D_
Kullanımda olmadığı doğrulanması halinde silinmelidir._x000D_
_x000D_
Silme veya taşıma işlemi öncesinde gerekli yedekleme kontrolleri yapılmalıdır.</t>
  </si>
  <si>
    <t>Gerekli IIS dizin kontrolleri yapıldı._x000D_
_x000D_
IIS üzerinden bulunan uygulama site'lerine ait Log dosyaları IIS dışında bir dizine yazdırılması sağlandı._x000D_
_x000D_
Gereksiz görülen dosyalar silindi.;18/Mar/26 9:51 AM;batuhan.tufan;3600</t>
  </si>
  <si>
    <t>0|i01fhq:</t>
  </si>
  <si>
    <t>18/Mar/26 9:54 AM;batuhan.tufan;Gerekli incelemeler yapıldı ve bu doğrultuda gerekli olan aksiyonlar alındı. Uygulamalara ait Log dosyaları D:\MysAppLogs içerisine yazdırılması için gerekli config düzenlemeleri yapıldı.</t>
  </si>
  <si>
    <t>18/Mar/26 1:37 PM;Remzi.Sefer;Bilgi güvenliği ve altyapı ekibine ilgili bilgilendirme yapılmıştır.</t>
  </si>
  <si>
    <t>MYS-859</t>
  </si>
  <si>
    <t>0|i01fn0:</t>
  </si>
  <si>
    <t>MYS Sprint 2026/9-12</t>
  </si>
  <si>
    <t>MYS-858</t>
  </si>
  <si>
    <t>0|i01fms:</t>
  </si>
  <si>
    <t>Sub-Task 2FA Araştırma Hk.</t>
  </si>
  <si>
    <t>MYS-857</t>
  </si>
  <si>
    <t>Varolan yapı üzerinde incelemeler yapıldı._x000D_
_x000D_
Mevcut akış içerisinde ilgili senaryolar için neler yapılabilir diye araştırma yapıldı._x000D_
_x000D_
Kod üzerinde denemeler yapıldı._x000D_
_x000D_
Önyüz tarafıyla ilgili incelemeler devam etmektedir.;10/Mar/26 5:05 PM;mert.tanel;18000</t>
  </si>
  <si>
    <t>Kod üzerinde yapılan bazı denemeler ile OTP kısmı için yapılabilecek entegrasyon için çalışma yapıldı. Konu ile ilgili notlar ana maddedeki eklere durum yazıldı.;11/Mar/26 5:16 PM;mert.tanel;10800</t>
  </si>
  <si>
    <t>Chapcha ile OTP yapabilme üzerine kod incelemeleri yapıldı. Dokümanda son durum paylaşıldı.;16/Mar/26 5:05 PM;mert.tanel;3600</t>
  </si>
  <si>
    <t>0|i01flw:</t>
  </si>
  <si>
    <t>*Açıklama:*_x000D_
_x000D_
Sisteme giriş süreçlerinde güvenlik seviyesinin artırılması amacıyla bazı akışların revize edilmesi ihtiyacı ortaya çıkmıştır. Bu kapsamda kullanıcı doğrulama ve login aşamasının değerlendirilmesi planlanmaktadır._x000D_
_x000D_
Yapılacak araştırma kapsamında aşağıdaki konuların incelenmesi beklenmektedir:_x000D_
 * Doğrulama kodu sms ile kullanıcıya sunulması için yapılması gereken çalışmanın belirlnemesi. _x000D_
_x000D_
SMS ile doğrulama kodu gönderimi için alternatif bir kanalın nasıl konumlandırılabileceğinin araştırılması._x000D_
_x000D_
Doğrulama kodunun mail yönetemiyle kullanıcıya sunulması ile ilgili sürecinde kontrol edilmelidir. _x000D_
_x000D_
Bu süreci de parametrik olarak kullanıcıya sunmakta teknik anlamda süreç değerlendirilmelidir._x000D_
 * Belirlenecek olan parola sisteme giriş politikalarında yer alacak Captcha servislerinin süreçlerinin belirlenmesinin sağlanması. _x000D_
 * Giriş akışlarının ne ölçüde parametrik olarak yönetilebileceğinin yapıya uygunluğu araştırılmalıdır. _x000D_
_x000D_
Araştırma sonucuna göre geliştirme süreçlerine başlanılacaktır. </t>
  </si>
  <si>
    <t>Varolan yapı üzerinde incelemeler yapıldı._x000D_
_x000D_
Mevcut akış içerisinde ilgili senaryolar için neler yapılabilir diye araştırma yapıldı._x000D_
_x000D_
Kod üzerinde denemeler yapıldı._x000D_
_x000D_
Önyüz tarafıyla ilgili incelemeler devam etmektedir.;10/Mar/26 5:03 PM;batuhan.tufan;18000</t>
  </si>
  <si>
    <t>Önyüz tarafında otp işlemleri için incelemeler yapıldı. Bu doğrultuda kod üzerinde denemeler yapıldı._x000D_
_x000D_
Captcha için inceleme çalışması yapılacaktır._x000D_
_x000D_
Doküman hazırlandı.;11/Mar/26 5:13 PM;batuhan.tufan;14400</t>
  </si>
  <si>
    <t>Captcha işlemleri ve senaryoları hakkında inceleme yapıldı._x000D_
_x000D_
İlgili senaryolar için denemeler yapıldı._x000D_
_x000D_
Doküman güncellemesi yapıldı.;16/Mar/26 4:09 PM;batuhan.tufan;25200</t>
  </si>
  <si>
    <t>11/Mar/26 5:13 PM;batuhan.tufan;MYS_Login.docx;http://192.168.124.186:8080/secure/attachment/16030/MYS_Login.docx</t>
  </si>
  <si>
    <t>16/Mar/26 4:08 PM;batuhan.tufan;MYS_Login_v2.docx;http://192.168.124.186:8080/secure/attachment/16054/MYS_Login_v2.docx</t>
  </si>
  <si>
    <t>0|i01fkk:</t>
  </si>
  <si>
    <t>16/Mar/26 4:10 PM;batuhan.tufan;Mevcut yapı ve yeni yapılacak yapı ile ilgili bilgileri içeren bir doküman hazırladım. İlgili doküman ektedir.</t>
  </si>
  <si>
    <t>Müşterimizin ortamında yaşanan durum ile ilgili inceleme yapıldı. Bu doğrultuda bilgilendirme ve yönlendirme yapıldı.;09/Mar/26 4:47 PM;batuhan.tufan;1800</t>
  </si>
  <si>
    <t>Kep Assist + MYS Backlog Refinement toplantısı yapıldı.;17/Mar/26 5:24 PM;mert.tanel;2700</t>
  </si>
  <si>
    <t>*Açıklama:*_x000D_
 İki faktörlü kimlik doğrulama (2FA) özelliğinin aktif edilmesi ve mevcut altyapının güvenlik açısından iyileştirilmesi._x000D_
_x000D_
*Gereksinimleri:*_x000D_
_x000D_
Sistemlerinizde yer alan parola politikasının, şifre değiştirme aşamasında kullanıcıya ait son 3 parolanın kullanılamayacağı şekilde güncellenmesi_x000D_
 * *Şifre Kuralları (Türkkep Şartlarına Uygun)*_x000D_
 * En az 8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2 başarısız işlemden sonra 3. adımda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</si>
  <si>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0|i01fmq:</t>
  </si>
  <si>
    <t>Ek işler hk.</t>
  </si>
  <si>
    <t>MYS-851</t>
  </si>
  <si>
    <t>Kep ve Uets alım servisi ile ilgili incelemeler yapıldı._x000D_
_x000D_
Ayrım yapılması için ön araştırma yapıldı._x000D_
_x000D_
Kod üzerinde incelemeler yapıldı.;24/Feb/26 5:00 PM;mert.tanel;25200</t>
  </si>
  <si>
    <t>Kep Assist + MYS Backlog Refinement toplantısına girildi._x000D_
_x000D_
Ekip içi görüşme ve hata kontrolleri sağlandı.;03/Mar/26 5:01 PM;mert.tanel;9000</t>
  </si>
  <si>
    <t>Daliy ve Sprint Planlama- MYS-Assist toplantısı yapıldı.;06/Mar/26 4:57 PM;mert.tanel;5400</t>
  </si>
  <si>
    <t>0|i01f7g:</t>
  </si>
  <si>
    <t>MUL-216</t>
  </si>
  <si>
    <t>0|i01fdk:</t>
  </si>
  <si>
    <t>MUL Sprint 2026/11-12</t>
  </si>
  <si>
    <t>*Açıklama:*_x000D_
 İki faktörlü kimlik doğrulama (2FA) özelliğinin aktif edilmesi ve mevcut altyapının güvenlik açısından iyileştirilmesi._x000D_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</si>
  <si>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0|i01fdg:</t>
  </si>
  <si>
    <t>06/Mar/26 2:29 PM;ceren.sertkaya;İlk adım olarak Multikep içerisinde SMS ekranlarının sağlanması. _x000D_
_x000D_
Müşterilerin cep telefonunu alacağı servisin alınması gerekmektedir.</t>
  </si>
  <si>
    <t xml:space="preserve">Mobil Uygulama için Widget ve Unit Testlerin Yazılması (UI ve API Kapsamlı) </t>
  </si>
  <si>
    <t>melih.cesur</t>
  </si>
  <si>
    <t>Uygulamadaki tüm UI bileşenleri (widgetlar) ve API bağlantılarının test kapsamına alınması gerekmektedir. Bu task kapsamında hem kullanıcı arayüzü doğrulamalarını içeren widget testleri hem de servis katmanına ait unit testler yazılacaktır._x000D_
_x000D_
*Kapsam:*_x000D_
 * Tüm ekranlarda kullanılan widgetlar için test yazılması_x000D_
 ** Görünürlük ve render kontrolleri_x000D_
 ** Kullanıcı etkileşimleri (tap, input, navigation)_x000D_
 ** State değişimlerinin doğrulanması_x000D_
 * Ortak/reusable widgetların ayrı ayrı test edilmesi_x000D_
 * API servis katmanının tamamen test edilmesi_x000D_
 ** Başarılı response senaryoları_x000D_
 ** Hata ve exception durumları_x000D_
 ** Edge-case senaryoları_x000D_
 * Repository ve service katmanlarında mock kullanımı_x000D_
 * Network bağımlılıklarının izole edilmesi_x000D_
_x000D_
*Teknik Detaylar:*_x000D_
 * {{flutter_test}} ile widget ve unit testlerin yazılması_x000D_
 * Gerekli durumlarda {{integration_test}} kullanımı_x000D_
 * Mocking için {{mockito}} veya {{mocktail}} kullanımı_x000D_
 * HTTP client ve dış bağımlılıkların mocklanması_x000D_
 * Testlerin bağımsız ve deterministik olması_x000D_
_x000D_
*Acceptance Criteria:*_x000D_
 *  Tüm UI widgetları için testler yazılmış olmalı_x000D_
 *  Tüm API endpointleri için unit testler yazılmış olmalı_x000D_
 *  Başarılı ve başarısız senaryolar kapsanmış olmalı_x000D_
 *  Testler {{flutter test}} komutu ile hatasız çalışmalı_x000D_
 *  Mock kullanımı doğru şekilde uygulanmış olmalı_x000D_
 *  Testler birbirinden bağımsız çalışabilmeli_x000D_
 *  Proje standartlarına uygun test coverage sağlanmalı</t>
  </si>
  <si>
    <t>0|i01a52:3zz3jjcug</t>
  </si>
  <si>
    <t>MU Sprint 2026/9-12</t>
  </si>
  <si>
    <t>18/Mar/26 10:04 AM;gulnur.aka;Bu çalışma yaklaşık 2 ay sürecek bir çalışmadır. Bundan doalyı birden fazla sprintte yer alacaktır. _x000D_
_x000D_
[~melih.cesur] [~Remzi.Sefer] </t>
  </si>
  <si>
    <t>*Amaç:*_x000D_
_x000D_
Kullanıcıların, alıcıların KEP adreslerini bilmemesi, KEP gönderim sürecindeki engellerden biridir. Mevcut durumda kullanıcılar, KEP adresi bulmak için uygulama dışındaki web portallarına yönelmekte, bu da kullanıcı deneyimini kesintiye uğratmaktadır._x000D_
_x000D_
Bu geliştirme ile; kullanıcıların şahıs veya kurumların resmi KEP adreslerini uygulama içerisinden kolayca sorgulayabilmeleri, buldukları adreslere anında ileti oluşturabilmeleri ve rehberlerine ekleyebilmeleri amaçlanmaktadır._x000D_
_x000D_
*Kullanıcı Hikayesi:*_x000D_
_x000D_
*Bir kullanıcı olarak;* bir şirketin veya şahsın KEP adresini bulabilmek için TCKN, VKN veya Unvan bilgisiyle sorgulama yapmak istiyorum._x000D_
_x000D_
*Bir gönderici olarak;* sorgulama sonucunda bulduğum adresi manuel kopyalamak yerine tek tıkla "Yeni İleti" ekranına aktarmak istiyorum._x000D_
_x000D_
Bireysel ve kurumsal sorgulamayı yapılabilmelidir. </t>
  </si>
  <si>
    <t>0|i01a52:3zz3jjcuf</t>
  </si>
  <si>
    <t>18/Mar/26 12:52 PM;gulnur.aka;Webmail satışlarında ayrı bir kalem olarak giriş yapılmıyormuş herkese sunuluyor. Entegrasyon suit üzerinden sorgulama servisi kalem olarak CRM giriş yapılmaktadır. _x000D_
_x000D_
Kısaca mobil uygulamada da tüm kullanıcılara bu ekranı vermemiz gerekmektedir. [~omer.turkmen] [~melih.cesur] [~Remzi.Sefer]</t>
  </si>
  <si>
    <t>*Açıklama:*_x000D_
_x000D_
Giden kutusunda yer alan gönderilmiş iletilerin delil detaylarında, "Teslim Edilemedi" ve "Reddedildi" delil türleri yalnızca durum bilgisi olarak sunulmaktadır. Bu durumlar oluştuğunda, kullanıcıya neden teslimatın gerçekleşmediği veya neden reddedildiği hakkında açıklayıcı bilgi sunulmamaktadır._x000D_
_x000D_
Bu geliştirme kapsamında, ilgili delil türleri için sistemin sağladığı teknik veya kullanıcıya yönelik anlamlı hata/sistem mesajları detay olarak gösterilmelidir. Böylece kullanıcılar gönderim sürecinde oluşan aksaklıkları daha net anlayabilecek ve gerektiğinde ilgili aksiyonları alabilecektir._x000D_
_x000D_
/api/v1/rem/evidence/\{msgId} metodunun response'unda eventReason parametresinde teslim edilememe ya da reddedilme sebepleri yazmaktadır.</t>
  </si>
  <si>
    <t>0|i01a52:3zz3jjcud</t>
  </si>
  <si>
    <t>*Açıklama:*_x000D_
_x000D_
Bu çalışma, posta kutularındaki 10 MB ve üzeri yüksek boyutlu iletilerin açılma süresinde yaşanan 4-5 saniyelik gecikmeyi ortadan kaldırmayı amaçlamaktadır. _x000D_
_x000D_
Yüksek hızlı internet ortamında, farklı boyutlardaki iletilerin açılış sürelerini en düşük seviyeye çekmek ve bu iyileşmeyi somut saniye verileriyle (öncesi/sonrası karşılaştırmalı testlerle) doğrulamaktır._x000D_
_x000D_
Test ortamı koşullarına dikkat edilerek testler yapılmalıdır. _x000D_
_x000D_
İnternet hızı_x000D_
_x000D_
Cihaz_x000D_
_x000D_
Farklı koşullarda her senaryo birden fazla denemesi beklenmektedir. _x000D_
_x000D_
İçerik tipide dikkat edilmelidir. "Sadece metin, tek parça ekli dosya, çoklu ekli dosya vb." </t>
  </si>
  <si>
    <t>Login / OTP Geri Sayım Sayacının Hatalı  Çalışması</t>
  </si>
  <si>
    <t>Mobil uygulamaya giriş sırasında OTP  aşamasındaki 2 dakikalık geri sayım sayacı, normalden çok daha hızlı ilerlemektedir. Bu durum sürenin saniyeler içinde dolmasına neden olduğu için kullanıcı kodu giremeden süreç zaman aşımına uğramakta ve uygulamaya giriş sağlanamamaktadır.</t>
  </si>
  <si>
    <t>Hata kaynağını tespit için araştırma yapıldı.;12/Mar/26 4:56 PM;melih.cesur;7200</t>
  </si>
  <si>
    <t>Hatanın sebebi araştırılmaya devam edildi. ;16/Mar/26 4:54 PM;melih.cesur;21600</t>
  </si>
  <si>
    <t>Geri sayaç fonksiyonu flutter paketindeki animasyon kodlarından çalıştığında nadir de olsa android cihazlarda bug oluşturduğunu düşünüyorum. _x000D_
_x000D_
Default flutter kodundaki zaman hesaplaması yerine manuel hesaplama kodları yazıldı. Hatanın çözüleceğini ön görüyorum. _x000D_
_x000D_
Canlı ortamda test edilmelidir. ;17/Mar/26 7:14 PM;melih.cesur;32400</t>
  </si>
  <si>
    <t>0|i01a52:3zz3jjcuc9</t>
  </si>
  <si>
    <t>MU.1.0.18</t>
  </si>
  <si>
    <t>*Mevcut Durum:*_x000D_
_x000D_
“Şifremi Unuttum” akışında;_x000D_
 * Kullanıcıdan KEP Adresi, T.C. Kimlik Numarası ve telefon numarası bilgileri alınmaktadır._x000D_
_x000D_
 * Kullanıcıya SMS ile iletilen onay kodu sisteme girildikten sonra şifre değiştirme süreci başlatılmaktadır._x000D_
_x000D_
*Beklenen Durum:*_x000D_
_x000D_
Kullanıcı “Şifremi Unuttum” butonuna tıkladığında;_x000D_
 # Kullanıcıdan T.C. Kimlik Numarası ve telefon numarası bilgileri alınmalıdır._x000D_
 # Girilen telefon numarasına sms ile onay kodu gönderilmelidir._x000D_
 # Onay başarılı olduktan sonra, ilgili T.C. Kimlik Numarasına ait KEP adresleri listelenmelidir._x000D_
 # Kullanıcı tek bir kep adresine sahipse kep liste adresi sunulmamalıdır. _x000D_
 # Kullanıcının seçtiği KEP adresi için şifre değiştirme işlemi yapılmalıdır._x000D_
_x000D_
*Kabul Kriteleri:*_x000D_
 * KEP adresi, doğrulama öncesinde kullanıcıdan istenmemelidir._x000D_
_x000D_
 * SMS onayı tamamlanmadan KEP adresi listelenmemelidir._x000D_
_x000D_
 * Listelenen KEP adresleri yalnızca girilen T.C. Kimlik Numarasına ait olmalıdır._x000D_
_x000D_
 * Kullanıcı KEP adresi seçmeden şifre değiştirme adımına geçememelidir._x000D_
_x000D_
 * Şifre değişikliği sadece seçilen KEP adresi için geçerli olmalıdır._x000D_
_x000D_
 * İşlem sonunda kullanıcıya başarılı/başarısız işlem bilgisi gösterilmelidir._x000D_
_x000D_
 _x000D_
_x000D_
Mobil uygulama tarafında yapılacak geliştirmeler için açılmıştır. Issues linkte yer alan geliştirme taskıyla backend düzenlemeleri yapılacaktır. </t>
  </si>
  <si>
    <t>* Şifremi unuttum kısmı giriş bilgilerinden KEP adresi alanı kaldırıldı. _x000D_
 * TCKN ve telefon numarası ile giriş yapılınca kişiye tanımlı KEP adresleri listelenecek şekilde tasarım kodlaması yapıldı. _x000D_
 * Yeni API entegrasyonu tamamlandı._x000D_
 * State kontrolleri yazıldı. ;11/Mar/26 4:14 PM;melih.cesur;32400</t>
  </si>
  <si>
    <t>1.0.18 (30) test paketinde yapılan kontroller başarılı.;16/Mar/26 1:43 PM;gurkan.guney;3600</t>
  </si>
  <si>
    <t>Test ekibinden gelen talepler üzerine localization üzerinde bazı güncellemeler yapıldı.;16/Mar/26 4:53 PM;melih.cesur;10800</t>
  </si>
  <si>
    <t>11/Mar/26 9:13 AM;gulnur.aka;Mobil şifre değişikliği.pdf;http://192.168.124.186:8080/secure/attachment/16019/Mobil+%C5%9Fifre+de%C4%9Fi%C5%9Fikli%C4%9Fi.pdf</t>
  </si>
  <si>
    <t>0|i01ffu:</t>
  </si>
  <si>
    <t>16/Mar/26 1:43 PM;gurkan.guney;1.0.18 (30) test paketinde yapılan kontroller başarılı.</t>
  </si>
  <si>
    <t>Mobil uygulamada kullanıcı şifresi ile giriş yapıldığında herhangi bir sorun yaşanmazken, Yüz Tanıma / Biometrik giriş yöntemi kullanıldığında uygulama "İnternet bağlantınızı kontrol edin" uyarısı vermekte ve login işlemini tamamlayamamaktadır. Bu durum hem Wi-Fi hem de mobil veri  bağlantılarında test edilmiştir._x000D_
_x000D_
Biometrik veriler doğrulandıktan sonra uygulamanın hatasız şekilde ana sayfaya yönlendirmesi gerekmektedir._x000D_
h3. Hata Adımları _x000D_
 # Uygulamayı aç ve login ekranına git._x000D_
_x000D_
 # Giriş yöntemi olarak "Biometrik / Yüz Tanıma" seçeneğini seç._x000D_
_x000D_
 # Yüz tanıma doğrulamasını tamamla._x000D_
_x000D_
 # Karşılaşılan hata: _"İnternet bağlantınızı kontrol edin."__x000D_
_x000D_
h3. Test Kapsamı _x000D_
 * Android &amp; iOS cihazlarda ayrı ayrı test edilmeli._x000D_
_x000D_
 * Bağlantı Tipi: Hem Wi-Fi hem de Mobil Veri ortamında çözüm doğrulanmalı._x000D_
_x000D_
 * Yöntem: Normal şifreli girişin çalışmaya devam ettiği, biometrik girişin ise bağlantı hatası almadan fixlendiği teyit edilmeli.</t>
  </si>
  <si>
    <t>Hata tespiti için araştırma ve toplantı yapıldı. Hatanın biyometrik ve parmak izi ile girişlerde bir sorundan kaynaklandığı tespit edildi. Bug fix çalışmalarına başlanacak.;10/Mar/26 4:30 PM;melih.cesur;32400</t>
  </si>
  <si>
    <t>Biyometrik doğrulama sırasında kullanıcının şifresi webmail'den değiştirilmişse ve tek hesabı varsa bağlantı hatası sorunu alınmaktaydı. Bu senaryoya özel state kontrolu ve uyarı mesajı eklendi.;12/Mar/26 3:08 PM;melih.cesur;25200</t>
  </si>
  <si>
    <t>Android'de test edilmiştir. IOS'ta test servislerine izin olmadığı için ayrıca canlıya alındığında test edilecektir.;16/Mar/26 3:18 PM;gurkan.guney;7200</t>
  </si>
  <si>
    <t>0|i01flo:</t>
  </si>
  <si>
    <t>16/Mar/26 3:18 PM;gurkan.guney;Android'de test edilmiştir. IOS'ta test servislerine izin olmadığı için ayrıca canlıya alındığında test edilecektir.</t>
  </si>
  <si>
    <t>*Açıklama:*_x000D_
_x000D_
Başvuru ekranlarında yer alan ödeme adımının gösterilip gösterilmeyeceğinin parametrik olarak yönetilebilir hale getirilmesi amaçlanmaktadır. Mevcut durumda ödeme adımı tüm başvuru akışlarında sabit olarak yer almaktadır. Bu geliştirme ile birlikte ilgili başvuru türü veya ürün bazında ödeme adımının aktif/pasif olması sistem parametresi üzerinden kontrol edilebilecektir. _x000D_
_x000D_
Bununla ilgili backend çalışmalarından sonra mobil uygulama tarafında gerekli kontroller yapılmalıdır. _x000D_
_x000D_
*Gereksinim:*_x000D_
_x000D_
Parametre değerine göre başvuru akışında ödeme adımının:_x000D_
 * Gösterilmesi_x000D_
_x000D_
 * Gösterilmemesi_x000D_
_x000D_
*Kabul Kriterleri:*_x000D_
 * Sistem parametresi üzerinden ödeme adımının aktif/pasif durumu belirlenebilmelidir._x000D_
_x000D_
 * Parametre *aktif* ise başvuru akışında ödeme adımı görüntülenmelidir._x000D_
_x000D_
 * Parametre *pasif* ise başvuru akışı ödeme adımını atlayarak devam etmelidir._x000D_
_x000D_
 * Parametre değişikliği sonrasında yeni başlatılan başvurular ilgili parametre değerine göre ilerlemelidir.</t>
  </si>
  <si>
    <t>Yeni UKDS düzeninin kodlara entegrasyonu için kod analizi ve planlama yapıldı.;09/Mar/26 4:54 PM;melih.cesur;32400</t>
  </si>
  <si>
    <t>payment3D parametresinin durumuna göre gerekli başvuru tiplerinde ödeme ekranları gösterilecek şekilde kodlarda düzenleme yapıldı.;13/Mar/26 4:29 PM;melih.cesur;32400</t>
  </si>
  <si>
    <t>1.0.18 (30) test paketinde yapılan kontroller başarılı.;16/Mar/26 3:59 PM;gurkan.guney;3600</t>
  </si>
  <si>
    <t>0|i01ffc:</t>
  </si>
  <si>
    <t>11/Mar/26 12:44 PM;Remzi.Sefer;UKDS ödeme adımında yaşanan sorunlar sebebiyle, ilgili sürecin testleri tamamlandığında sürece devam edilecektir.</t>
  </si>
  <si>
    <t>16/Mar/26 3:59 PM;gurkan.guney;1.0.18 (30) test paketinde yapılan kontroller başarılı.</t>
  </si>
  <si>
    <t>MU-222</t>
  </si>
  <si>
    <t>0|i01a52:3zz3jjcugi</t>
  </si>
  <si>
    <t>Sprint planlama - backlog toplantısına katıldım. _x000D_
_x000D_
Mobil uygulama deploy planlama toplantısına katıldım._x000D_
_x000D_
Uygulamada yazılacak testler için mimari oluşturmaya başlandı.;18/Mar/26 4:59 PM;melih.cesur;32400</t>
  </si>
  <si>
    <t>0|i01cio:j</t>
  </si>
  <si>
    <t>MU-219</t>
  </si>
  <si>
    <t>Ağ bağlantı hatasının sebebi üzerine araştırma yapıldı.;04/Mar/26 7:58 AM;melih.cesur;18000</t>
  </si>
  <si>
    <t>Türkçe karakterli ek dosyalarının açılmama sorunu giderildi.;04/Mar/26 10:50 PM;melih.cesur;18000</t>
  </si>
  <si>
    <t>Bazı hesaplarda çıkan ağ veya bağlantı hatasının sebebi araştırıldı.;05/Mar/26 3:54 PM;melih.cesur;32400</t>
  </si>
  <si>
    <t>Uygulamada genel bug araştırılması ve API testleri yapıldı.;06/Mar/26 5:00 PM;melih.cesur;32400</t>
  </si>
  <si>
    <t>0|i01f6s:</t>
  </si>
  <si>
    <t xml:space="preserve"> Desteklenmeyen Ekleri Görüntülenememesiyle ilgili Kullanıcılara Uyarı Gösterilmesi</t>
  </si>
  <si>
    <t>Mobil uygulama üzerinde desteklenmeyen ekleri görüntüleme işleminde kullanıcılara uyarı gösterilmelidir._x000D_
_x000D_
*Uyarı Metni:*_x000D_
_x000D_
Bu tipteki dosyalar mobil uygulama tarafından desteklenmemektedir. Lütfen Webmail üzerinden görüntüleyiniz. </t>
  </si>
  <si>
    <t>Task açıklamasında belirtilen uyarı metni ilgili durum için uygulamaya eklenmiştir.;29/Jan/26 4:57 PM;melih.cesur;3600</t>
  </si>
  <si>
    <t>1.0.18 (11) test paketinde yapılan kontroller başarılı.;02/Feb/26 2:12 PM;gurkan.guney;900</t>
  </si>
  <si>
    <t>0|i01a52:3zz3jjcu</t>
  </si>
  <si>
    <t>MU Sprint 2026/5-6</t>
  </si>
  <si>
    <t>02/Feb/26 2:12 PM;gurkan.guney;1.0.18 (11) test paketinde yapılan kontroller başarılı.</t>
  </si>
  <si>
    <t>KEP gönderme aşamasında kullanıcı bir kez operator seçimi yaptığında sonraki KEP gönderimleri için operator seçimi cihazın lokal hafızasında tutulacak şekilde ayarlanmıştır.;29/Jan/26 4:58 PM;melih.cesur;7200</t>
  </si>
  <si>
    <t>1.0.18 (12) test paketinde yapılan kontroller başarılı.;02/Feb/26 2:49 PM;gurkan.guney;900</t>
  </si>
  <si>
    <t>0|hzzzvn:r</t>
  </si>
  <si>
    <t>02/Feb/26 2:49 PM;gurkan.guney;1.0.18 (12) test paketinde yapılan kontroller başarılı.</t>
  </si>
  <si>
    <t>*Açıklama:*_x000D_
_x000D_
Mobil uygulamada kullanıcı login olduktan sonra doğrulama kodu (OTP) ekranına yönlendirilir._x000D_
 Kullanıcı, belirlenen süre içinde doğrulama kodunu girmezse mevcut durumda Welcome Page’e yönlendirilmektedir._x000D_
_x000D_
Bu geliştirme ile:_x000D_
 * Kullanıcı Welcome Page’e yönlendirilmeden_x000D_
_x000D_
 * Aynı ekranda  “Tekrar Kod Gönder” fonksiyonu sunulacaktır._x000D_
_x000D_
 * Kullanıcı bu aksiyonu tetiklediğinde yeni bir doğrulama kodu gönderilecektir._x000D_
_x000D_
*Gereksinimler:*_x000D_
_x000D_
Doğrulama kodu süresi dolduğunda: Welcome Page’e otomatik yönlendirme yapılmamalıdır._x000D_
_x000D_
 _x000D_
_x000D_
Kullanıcıya, bilgilendirici bir mesaj gösterilip “Tekrar Kod Gönder” butonu sunulmalıdır._x000D_
_x000D_
 _x000D_
_x000D_
Kullanıcı “Tekrar Kod Gönder” butonuna bastığında, mevcut doğrulama kodu gönderme servisi tekrar tetiklenmelidir. Kullanıcı yeni gelen kodu girerek login işlemini tamamlayabilmelidir._x000D_
_x000D_
 _x000D_
_x000D_
iOS ve Android platformlarında aynı akış çalışmalıdır._x000D_
_x000D_
*Kabul Kriterleri:*_x000D_
 * Doğrulama kodu süresi dolduğunda kullanıcı Welcome Page’e yönlendirilmez._x000D_
_x000D_
 * Kullanıcı doğrulama ekranında kalır veya uygun bir bilgilendirme ekranı görür. “Tekrar Kod Gönder” butonu görüntülenir._x000D_
_x000D_
 * Kullanıcı butona bastığında yeni doğrulama kodu gönderilir_x000D_
_x000D_
 * Yeni kod ile kullanıcı başarılı şekilde login olabilir_x000D_
_x000D_
 * Hatalı / başarısız kod gönderiminde kullanıcı bilgilendirilir_x000D_
_x000D_
 * IOS ve Android davranışları tutarlıdır_x000D_
_x000D_
 </t>
  </si>
  <si>
    <t>* SMS giriş sayfasındaki 2 dakikalık geri sayım sonrası önceki ekrana otomatik yönlendirme kaldırıldı. _x000D_
 * 2 dakikalık sürenin sonunda yeni sms kodu alma butonu ve fonksiyonu SMS doğrulama ekranına eklendi.;29/Jan/26 1:18 PM;melih.cesur;21600</t>
  </si>
  <si>
    <t>1.0.18 (11) test paketinde yapılan kontroller başarılı.;02/Feb/26 2:26 PM;gurkan.guney;900</t>
  </si>
  <si>
    <t>0|i01a52:3zz3jjcxi</t>
  </si>
  <si>
    <t>02/Feb/26 2:26 PM;gurkan.guney;1.0.18 (11) test paketinde yapılan kontroller başarılı.</t>
  </si>
  <si>
    <t>*Açıklama:*_x000D_
_x000D_
KEP Arama ve Filtreleme ekranında yer alan, sonuç listesinde, liste içinde aşağı doğru kaydırma yapılmasına rağmen sağ tarafta scroll bar görünmemektedir._x000D_
_x000D_
KEP Listesi ekranında mevcut olan sağ taraftaki scroll davranışı gibi, kep arama ve filtreleme sonuç listesine de aynı şekilde scroll eklenmesi gerekmektedir.</t>
  </si>
  <si>
    <t>Arama sayfasındaki KEP listesine scrollbar eklendi.;21/Jan/26 10:39 AM;melih.cesur;3600</t>
  </si>
  <si>
    <t>1.0.18 (8) test paketinde yapılan kontroller başarılı.;22/Jan/26 4:04 PM;gurkan.guney;900</t>
  </si>
  <si>
    <t>0|i01a52:3zz3jjcr</t>
  </si>
  <si>
    <t>MU Sprint 2026/3-4</t>
  </si>
  <si>
    <t>22/Jan/26 4:04 PM;gurkan.guney;1.0.18 (8) test paketinde yapılan kontroller başarılı.</t>
  </si>
  <si>
    <t>*Açıklama:*_x000D_
_x000D_
KEP gönderme ekranında iletiye eklenen eklerin, dosya tipi fark etmeksizin içeriklerinin kullanıcı tarafından indirilmesi sağlanmalıdır. Böylece kullanıcılar gönderim öncesi eklerin içeriklerini açılabilecekler ve dosya tipi desteklerine göre uygun görüntüleme mekanizmasını kullanabilecekler._x000D_
_x000D_
 _x000D_
_x000D_
*Kabul Kriterleri*_x000D_
 # KEP gönderme ekranına eklenen eklerin(tüm dosya türleri) içeriklerini indirebilmelidirler._x000D_
 # Tüm dosya tipleri için (PDF, Word, Excel, PowerPoint, resim, metin vb.) indirilebilir olmalıdır._x000D_
 # Ek görüntüleme, indirme işlemi, mevcut KEP gönderim sürecini etkilememelidir._x000D_
 # Mevcut KEP gönderme akışının ve işleyişinin korunması sağlanmalıdır_x000D_
_x000D_
 _x000D_
_x000D_
 </t>
  </si>
  <si>
    <t>Ekteki tüm dosya türleri için indirilebilme özelliği eklendi.;14/Jan/26 9:39 AM;melih.cesur;10800</t>
  </si>
  <si>
    <t>1.0.18 (3) test paketinde yapılan kontroller başarılı.;19/Jan/26 11:11 AM;gurkan.guney;900</t>
  </si>
  <si>
    <t>0|i01a52:3zz3joi</t>
  </si>
  <si>
    <t>19/Jan/26 11:11 AM;gurkan.guney;1.0.18 (3) test paketinde yapılan kontroller başarılı.</t>
  </si>
  <si>
    <t>0850 Türkkep Çağrı Merkezi "Şifremi Unuttum" menüsü üzerinden alınan geçici SMS şifresi, Web Mail arayüzünde kullanıcıyı başarıyla "Şifre Yenileme" adımına yönlendirirken; Mobil Uygulama üzerinde hata vermekte ve giriş sürecini kesmektedir. Mobil uygulama, bu tip geçici şifrelerle login olunduğunda tetiklenmesi gereken şifre değiştirme ekranını  başlatamamaktadır._x000D_
_x000D_
_x000D_
_x000D_
*Adımlar :*_x000D_
 # *0850 Türkkep Çağrı Merkezi* aranır._x000D_
_x000D_
 # Asistan üzerinden *"Şifremi Unuttum"* menüsü seçilerek telefona SMS ile geçici şifre gelmesi sağlanır._x000D_
_x000D_
 # *Mobil Uygulama* açılır._x000D_
_x000D_
 # KEP adresi ve SMS ile gelen geçici şifre girilerek "Giriş" butonuna basılır._x000D_
_x000D_
 # Aynı bilgilerle Web Mail üzerinden giriş yapılarak yönlendirme teyit edilir._x000D_
_x000D_
*Beklenen Sonuç :* Mobil uygulamanın da tıpkı Web Mail gibi geçici şifreyi kabul etmesi ve kullanıcıyı doğrudan *"Yeni Şifre Oluşturma"* ekranına yönlendirmesi gerekmektedir._x000D_
_x000D_
*Gerçekleşen Sonuç (Actual Result):* Mobil uygulama, IVR şifresini girdiğinde giriş yapamıyor ve hata mesajı döndürüyor. Kullanıcı şifre yenileme adımına geçemediği için uygulama içinde kalıyor._x000D_
_x000D_
 </t>
  </si>
  <si>
    <t>0|i01a52:3zz3jjd</t>
  </si>
  <si>
    <t>18/Feb/26 9:48 AM;Remzi.Sefer;Crm de açılan task ile çözülecektir, CRM ekibinden bilgi bekleniyor</t>
  </si>
  <si>
    <t>BE- Şifremi Unuttum/ KEP Adres Seçimine Göre Şifre Değişikliği</t>
  </si>
  <si>
    <t>*Mevcut Durum:*_x000D_
_x000D_
“Şifremi Unuttum” akışında;_x000D_
 * Kullanıcıdan KEP Adresi, T.C. Kimlik Numarası ve telefon numarası bilgileri alınmaktadır._x000D_
_x000D_
 * Kullanıcıya SMS ile iletilen onay kodu sisteme girildikten sonra şifre değiştirme süreci başlatılmaktadır._x000D_
_x000D_
*Beklenen Durum:*_x000D_
_x000D_
Kullanıcı “Şifremi Unuttum” butonuna tıkladığında;_x000D_
 # Kullanıcıdan T.C. Kimlik Numarası ve telefon numarası bilgileri alınmalıdır._x000D_
 # Girilen telefon numarasına sms ile onay kodu gönderilmelidir._x000D_
 # Onay başarılı olduktan sonra, ilgili T.C. Kimlik Numarasına ait KEP adresleri listelenmelidir._x000D_
 # Kullanıcının seçtiği KEP adresi için şifre değiştirme işlemi yapılmalıdır._x000D_
_x000D_
*Kabul Kriteleri:*_x000D_
 * KEP adresi, doğrulama öncesinde kullanıcıdan istenmemelidir._x000D_
_x000D_
 * SMS onayı tamamlanmadan KEP adresi listelenmemelidir._x000D_
_x000D_
 * Listelenen KEP adresleri yalnızca girilen T.C. Kimlik Numarasına ait olmalıdır._x000D_
_x000D_
 * Kullanıcı KEP adresi seçmeden şifre değiştirme adımına geçememelidir._x000D_
_x000D_
 * Şifre değişikliği sadece seçilen KEP adresi için geçerli olmalıdır._x000D_
_x000D_
 * İşlem sonunda kullanıcıya başarılı/başarısız işlem bilgisi gösterilmelidir.</t>
  </si>
  <si>
    <t>User management service metotları incelendi._x000D_
_x000D_
Rem service mobil branch kodları incelendi.;12/Jan/26 4:46 PM;berrin.akan;21600</t>
  </si>
  <si>
    <t>Mevcut kullanımı hakkında toplantı yapıldı._x000D_
_x000D_
Test sunucusunda user management service metotları test edildi.;13/Jan/26 4:50 PM;berrin.akan;10800</t>
  </si>
  <si>
    <t>Retrieval service mobile branch kodları incelendi.;20/Jan/26 8:53 PM;berrin.akan;14400</t>
  </si>
  <si>
    <t>Turkkep api gateway kodları incelendi. [http://192.168.124.163:8080/swagger-ui/index.html#/customer-controller/updatePasswd] bu swaggerın kapatıldığı tespit edildi.;21/Jan/26 5:27 PM;berrin.akan;18000</t>
  </si>
  <si>
    <t>int-suit-gateway development branch kodları, rem-service development branch kodları mobile profil için, retrieval-service mobile branch kodları incelendi. Yapılabilecek değişiklikler not alındı.;22/Jan/26 10:29 PM;berrin.akan;21600</t>
  </si>
  <si>
    <t>Retrieval servisinde kod incelemesine devam edildi. Mobil uygulamada test yapıldı._x000D_
_x000D_
Yapılabilecek değişiklikler ile ilgili toplantı yapıldı.;23/Jan/26 5:15 PM;berrin.akan;18000</t>
  </si>
  <si>
    <t>* TC ve Tel no ile aktif hesapları listeleyen metot erişme açıldı_x000D_
 https://192.168.224.133/turkkep-gw-ui/webjars/swagger-ui/index.html?urls.primaryName=user-management-service#/MobilKEP%20%2F%20KEP%20WS%20İşlemleri/kepAdresList_x000D_
_x000D_
_x000D_
 * [https://192.168.224.133/api/v1/user-account-management/rem-address-list]_x000D_
adresine swaggerda olan model ile istek gönderilebilir._x000D_
 * şifre güncelleme için swaggerdan gelen istekleri kabul etmiyoruz._x000D_
 * [https://192.168.224.133/api/v1/user-account-management/rem-address-list]_x000D_
[https://192.168.224.133/api/v1/user-account-management/forgot-password]_x000D_
[https://192.168.224.133/api/v1/user-account-management/update-password]_x000D_
[https://192.168.224.133/api/v1/user-account-management/first-approval-recipient]_x000D_
[https://192.168.224.133/api/v1/user-account-management/reset-password_x000D_
]adreslerinden postman ile istek gönderilebilir.;10/Mar/26 4:36 PM;omer.turkmen;23400</t>
  </si>
  <si>
    <t>[https://192.168.224.133/api/v1/user-account-management|https://192.168.224.133/api/v1/user-account-management/rem-address-list] yapılan kontroller başarılı.;11/Mar/26 3:00 PM;gurkan.guney;3600</t>
  </si>
  <si>
    <t>10/Mar/26 4:02 PM;Remzi.Sefer;Mobil şifre değişikliği.pdf;http://192.168.124.186:8080/secure/attachment/16017/Mobil+%C5%9Fifre+de%C4%9Fi%C5%9Fikli%C4%9Fi.pdf</t>
  </si>
  <si>
    <t>0|hzzzvm:r</t>
  </si>
  <si>
    <t>20/Feb/26 1:36 PM;Remzi.Sefer;Uğur Dündar tarafında verilecek geliştirme sonrası devam edilecektir.</t>
  </si>
  <si>
    <t>10/Mar/26 2:20 PM;Remzi.Sefer;Uğur Dündar tarafındaki ilgili metot güncellemesi yapılmıştır._x000D_
Buradaki çalışmaaya başlayabiliriz.</t>
  </si>
  <si>
    <t>10/Mar/26 4:04 PM;Remzi.Sefer;Şifre değişikliği ile yeni akış senaryosu ek pdf dosyası olarak eklenmiştir.</t>
  </si>
  <si>
    <t>11/Mar/26 2:45 PM;omer.turkmen;/ws/sifremiunuttum &gt; /api/v1/user-account-management/forgot-password_x000D_
/ws/updatepasswd &gt; /api/v1/user-account-management/update-password_x000D_
/ws/kepadreslist &gt; /api/v1/user-account-management/rem-address-list_x000D_
/ws/sifresmsonay &gt; /api/v1/user-account-management/reset-password_x000D_
/ws/ilkonayalici &gt; /api/v1/user-account-management/first-approval-recipient</t>
  </si>
  <si>
    <t>11/Mar/26 3:00 PM;gurkan.guney;[https://192.168.224.133/api/v1/user-account-management|https://192.168.224.133/api/v1/user-account-management/rem-address-list] yapılan kontroller başarılı.</t>
  </si>
  <si>
    <t>Kullanıcılar, Tükkep Mobil uygulamasında herhangi bir posta kutusunda (örn: Gelen Kutusu, Gönderilenler) aşağı doğru kaydırma (scroll) yaparak eski iletilere ulaşmaya çalıştığında, iletilerin yüklenmesi beklenenden *daha uzun sürüyor* ve ekran donma/bekleme durumu yaşanıyor._x000D_
_x000D_
Özellikle çok sayıda ileti bulunan posta kutularında bu durum daha belirgindir._x000D_
_x000D_
*Beklenen Davranış:* Kullanıcı kaydırma yaptığında, eski iletilerin akıcı ve hızlı bir şekilde, minimum bekleme süresiyle yüklenmesi._x000D_
_x000D_
*Mevcut Davranış:* Kaydırma yapıldıktan sonra eski iletilerin ekrana gelmesi için belirgin bir bekleme süresi oluşuyor. Bu durum, kullanıcı deneyimini olumsuz etkilemektedir._x000D_
_x000D_
 _x000D_
_x000D_
*Yeniden Üretme*_x000D_
 # Tükkep Mobil uygulamasını açın ve giriş yapın._x000D_
 # Çok sayıda eski ileti içeren bir posta kutusuna (örneğin *Gelen Kutusu*) gidin._x000D_
 # Eski iletileri görmek için ekranı aşağı doğru hızlıca kaydırın._x000D_
 # Kaydırma bittikten sonra, ekranın bir süre (yeni iletilerin yüklenmesi için beklediğini gözlemleyin</t>
  </si>
  <si>
    <t>State değişiklikleri kodlanarak KEP listesini güncelleme eşikleri üzerinde değişiklikler yapıldı.;26/Jan/26 4:19 PM;melih.cesur;18000</t>
  </si>
  <si>
    <t>Mevcut scroll algılayan fonksiyonlarda guncelleme yapıldı.;27/Jan/26 4:56 PM;melih.cesur;25200</t>
  </si>
  <si>
    <t>* Paginated fonksiyonu guncellenerek apiden yeni KEP leri getirdiğimiz pixel kırılımlarında düzenleme yapılarak yavaş yüklenme sorunu çözüldü._x000D_
 * Kullanıcının tüm KEP'lerinin listelenmeme sorunu çözüldü._x000D_
_x000D_
 ;28/Jan/26 9:47 AM;melih.cesur;32400</t>
  </si>
  <si>
    <t>1.0.18 (11) test paketinde yapılan kontroller başarılı.;02/Feb/26 2:29 PM;gurkan.guney;3600</t>
  </si>
  <si>
    <t>0|i01a52:3zz3jjcxr</t>
  </si>
  <si>
    <t>02/Feb/26 2:29 PM;gurkan.guney;1.0.18 (11) test paketinde yapılan kontroller başarılı.</t>
  </si>
  <si>
    <t>*Mevcut Durum:*_x000D_
_x000D_
Mevcut durumda kullanıcılar başvuruları onaylandıktan sonra, başvuru sırasında belirtmiş oldukları e-posta adresine ödeme bağlantısı gönderilmektedir._x000D_
_x000D_
*Bu geliştirme ile;*_x000D_
 * Kullanıcı paket seçimi yaptıktan sonra yeni bir adım olarak ödeme adımına yönlendirilmelidir._x000D_
_x000D_
 * Ödeme tamamlanmadan kullanıcıların sürece devam etmesine izin verilmemelidir._x000D_
_x000D_
*İlgili Link:*_x000D_
_x000D_
[https://basvuruonay.turkkep.com.tr/kampanya]_x000D_
_x000D_
Mevcut durumda Trendyol projesinde kullanılan ön başvuru süreçleri ekranlarında geliştirme yapılmalıdır. _x000D_
_x000D_
*Beklenen Davranış*_x000D_
 * Kullanıcı paket seçim ekranında bir paket seçtiğinde sistem otomatik olarak ödeme adımına yönlendirme yapmalıdır._x000D_
_x000D_
 * Kullanıcı ödeme adımına geldiğinde, ödeme tamamlanmadan sonraki adıma geçememelidir. Bu adımın adı "Ödeme Bilgileri" olmalıdır._x000D_
_x000D_
 * Ödeme başarıyla tamamlandığında sistem kullanıcıyı başvuru tamamlandı/onaylandı bilgilendirilmesinden sonra yeni adıma geçebilmelidir._x000D_
 * Bu düzenlemelerin hem *bireysel* hem de *kurumsal* başvuru akışlarında uygulanmalıdır._x000D_
_x000D_
*Kabul Kriterleri:*_x000D_
 * Paket seçimi sonrasında kullanıcı ödeme ekranına yönlendirilir._x000D_
_x000D_
 * Ödeme yapılmadan sonraki adımlara geçiş engellenir. _x000D_
_x000D_
 _x000D_
_x000D_
Web geliştirmeyi deki akışı da düşünerek ortak bir şekilde ilerlenmelidir._x000D_
_x000D_
 _x000D_
_x000D_
Bu task ile api entegrasyonu ve arayüz geliştirmeleri yapılacaktır. </t>
  </si>
  <si>
    <t>Kodlarda inceleme yapılarak mimari planlaması yapıldı.;08/Dec/25 5:17 PM;melih.cesur;3600</t>
  </si>
  <si>
    <t>Ekran tasarımı kodlanmasına ve mimari ayarlanmasına başlandı.;11/Dec/25 5:49 PM;melih.cesur;25200</t>
  </si>
  <si>
    <t>/kampanya UKDS alanındaki index geçişleri ve state kontrollerine odeme sayfası eklenecek şekilde kod mimarisinde düzenlemeler yapıldı.;02/Feb/26 4:57 PM;melih.cesur;32400</t>
  </si>
  <si>
    <t>Ödeme bilgileri girilen aşamanın tasarım kodlaması tamamlandı. _x000D_
_x000D_
Girilen verilere göre grafiksel olarak şekillenen kart tasarımı eklendi. _x000D_
_x000D_
 ;03/Feb/26 5:59 PM;melih.cesur;32400</t>
  </si>
  <si>
    <t>API modelleri oluşturuldu ve backend bağlantısı için kod yapısı hazırlandı.;04/Feb/26 5:49 PM;melih.cesur;28800</t>
  </si>
  <si>
    <t>3d odeme adımlarının geliştirmelerine devam edildi.;05/Feb/26 4:53 PM;melih.cesur;32400</t>
  </si>
  <si>
    <t>Ödeme API bağlantısı kodlamalarına devam edildi.;06/Feb/26 10:18 PM;melih.cesur;28800</t>
  </si>
  <si>
    <t>Başarılı ödeme sonrası senaryolar için index ve state ayarlamalarını kodlama çalışmalarına devam edildi.;09/Feb/26 4:53 PM;melih.cesur;32400</t>
  </si>
  <si>
    <t>Ödeme işlemi sonucuna göre başarısız ya da başarılı senaryolar için kontroller ve uyarılar eklendi.;10/Feb/26 5:52 PM;melih.cesur;32400</t>
  </si>
  <si>
    <t>Kurumsal başvurular için ödeme alma akışı tamamlandı.;11/Feb/26 5:52 PM;melih.cesur;32400</t>
  </si>
  <si>
    <t>Geliştirmeler tamamlandı. Test süreci başlaması için test ekibine iletildi.;12/Feb/26 12:01 PM;melih.cesur;14400</t>
  </si>
  <si>
    <t>* Ödeme ekranında 'Devam Et' butonuna birden fazla tıklanbilme sorunu çözüldü._x000D_
 * Deeplink yönlendirmesinde UKDS alanlarının temizlenmeme sorunu çözüldü._x000D_
 * Doğum tarihi girilmeme durumunda 'Devam Et' butonunun aktif olması hatası çözüldü._x000D_
 * Ödeme kısmına İngilizce dil desteği eklendi._x000D_
 * Ödeme sırasında oluşabilecek hatalara özel uyarılar eklendi.;17/Feb/26 5:17 PM;melih.cesur;32400</t>
  </si>
  <si>
    <t>* UKDS kodlarında clean code düzenlemeleri yapıldı._x000D_
 * Ödeme sırasında oluşabilecek hata senaryoları için uyarılar eklendi.;18/Feb/26 4:14 PM;melih.cesur;30600</t>
  </si>
  <si>
    <t>- Test ekibinin belirttiği alanlarda bug fix çalışmaları yapıldı. ;19/Feb/26 5:07 PM;melih.cesur;32400</t>
  </si>
  <si>
    <t>1.0.18 (24) test paketinde yapılan kontroller başarılı.;20/Feb/26 11:57 AM;gurkan.guney;64800</t>
  </si>
  <si>
    <t>0|hzzzvm:w</t>
  </si>
  <si>
    <t>10/Nov/25 9:00 AM;gulnur.aka;Çalışmanın nihai halidir. Analiz çalışmasına başlanabilir. [~Remzi.Sefer]_x000D_
_x000D_
 </t>
  </si>
  <si>
    <t>02/Feb/26 9:08 AM;gulnur.aka;[~Remzi.Sefer] servis bilgileri ve örnek request ve response da taskı ekleyebilir miyiz.</t>
  </si>
  <si>
    <t>20/Feb/26 11:57 AM;gurkan.guney;1.0.18 (24) test paketinde yapılan kontroller başarılı.</t>
  </si>
  <si>
    <t>Belirlenen senaryolar kapsamında, ilgili adımlarda kullanıcılara bildirim gönderimi yapılacaktır._x000D_
 Bu bildirimler hem push notification (cihaza gönderilen bildirim) hem de uygulama içi bildirim  olarak ilerletilecektir._x000D_
_x000D_
Her senaryoda;_x000D_
 * Bildirimin tetikleneceği adımlar backend tarafından kontrol edilip test edilecek,_x000D_
_x000D_
 * Testlerin tamamlanmasının ardından mobil ekip, bildirimlerin uygulama içi gösterim ve yönlendirme mekanizmasını geliştirecektir._x000D_
_x000D_
 _x000D_
|Senaryo|Bildirim Türü|Öncelik|İlgili Kişi|_x000D_
|Uygulamaya yeni sürüm geldiğinde|Push Notification, Uygulama içi| | |_x000D_
|Kullanıcı ön başvuru sürecini mobilde tamamladığında yönlendirme|Push Notification| |Can|_x000D_
|Teslim edilemeyen KEP iletisi varsa (Bunu tümü için yapılsın mı)|Push Notification, Uygulama içi| | |_x000D_
|Yeni bir KEP iletisi geldiğinde|Push Notification, Uygulama içi| | |_x000D_
|Reklam bildirimleri|Push Notification, Uygulama içi|Ekran ve onay mekanizması lazım. Başlagıc ve bitiş tarih belirleme. | |_x000D_
|Kullanıcı mobil uygulamaya ilk giriş yaptığında (Sihirbaz geliştirmesi)|Uygulama içi| | Melih|_x000D_
|Depolama alanı dolmak üzereyse|Push Notification, Uygulama içi|Boyut gösterimi|Uğur Dündar|_x000D_
|Alınan KEP ileti sayısı azaldığında|Push Notification, Uygulama içi|Kep ileti gösterimi|Uğur Dündar|_x000D_
|Hizmet kısıtı veya sistem bakımı bildirimi|Push Notification, Uygulama içi|Ekran ve onay mekanizması lazım. Başlagıc ve bitiş tarih belirleme. | |_x000D_
|Bildirim izinleri kapalıysa kullanıcıya bilgilendirme|Uygulama içi| | |_x000D_
|Kullanıcı sözleşmeleri yenilendiğinde onaylatma|Push Notification, Uygulama içi| | |_x000D_
|Sözleşme süreci dolmak üzereyse|Push Notification, Uygulama içi| | |_x000D_
|Kep İK uygulamasında çalışan ayrıldığında kişisel hesap olarak devam edebileceğine dair bilgilendirme.| | | |_x000D_
|Özel Günler için |Push Notification, Uygulama içi|Her yıl girmeden kullanıcıya bildirim gitmesi| |_x000D_
_x000D_
 _x000D_
_x000D_
 _x000D_
_x000D_
Refirement toplantısındaki çıktılardan sonra epic açılıp tasklar ile ayrıştırma yapılabilir.</t>
  </si>
  <si>
    <t>0|i01cio:k</t>
  </si>
  <si>
    <t>Posta kutusunda okunmamış iletiler koyu siyah renkte ve kapalı zarf simgesiyle gösterilmektedir. Buna karşılık, okunan iletiler daha açık siyah renkte ve açık zarf simgesi ile görüntülenmektedir. Ancak, kullanıcı bir okunmamış iletiyi açtığında bu değişiklik arayüze anında yansımamaktadır. İleti okunsa dahi, kullanıcı sayfayı manuel olarak yenileyene kadar ileti hala okunmamış gibi görünmektedir._x000D_
_x000D_
Bu durum, kullanıcı deneyimini olumsuz etkilemekte ve kafa karışıklığına neden olmaktadır. İletinin okunma durumunun, kullanıcı tarafından açıldığı anda arayüze yansıtılması beklenmektedir._x000D_
_x000D_
*Beklenen Davranış:*_x000D_
_x000D_
Kullanıcı bir okunmamış iletiyi açtığında, bu iletinin görünümünün (renk tonu ve zarf simgesi) gerçek zamanlı olarak "okunmuş" durumuna geçmesi ve sayfa yenilemeye gerek kalmadan arayüzde güncellenmesi gerekmektedir.</t>
  </si>
  <si>
    <t>İletilerin okundu olarak işaretlenmesi gerçek zamanlı olarak yapılıyor.;27/Jan/26 9:23 AM;melih.cesur;7200</t>
  </si>
  <si>
    <t>1.0.18 (12) test paketinde yapılan kontroller başarılı.;02/Feb/26 2:52 PM;gurkan.guney;900</t>
  </si>
  <si>
    <t>0|i01a52:3zz3jjcs</t>
  </si>
  <si>
    <t>02/Feb/26 2:52 PM;gurkan.guney;1.0.18 (12) test paketinde yapılan kontroller başarılı.</t>
  </si>
  <si>
    <t>*Açıklama:*_x000D_
_x000D_
Giden kutusunda yer alan gönderilmiş iletilerin delil detaylarında, "Teslim Edilemedi" ve "Reddedildi" delil türleri yalnızca durum bilgisi olarak sunulmaktadır. Bu durumlar oluştuğunda, kullanıcıya neden teslimatın gerçekleşmediği veya neden reddedildiği hakkında açıklayıcı bilgi sunulmamaktadır._x000D_
_x000D_
Bu geliştirme kapsamında, ilgili delil türleri için sistemin sağladığı teknik veya kullanıcıya yönelik anlamlı hata/sistem mesajları detay olarak gösterilmelidir. Böylece kullanıcılar gönderim sürecinde oluşan aksaklıkları daha net anlayabilecek ve gerektiğinde ilgili aksiyonları alabilecektir._x000D_
_x000D_
/api/v1/rem/evidence/\{msgId} metodunun response'unda eventReason parametresinde teslim edilememe ya da reddedilme sebepleri yazmaktadır._x000D_
_x000D_
 </t>
  </si>
  <si>
    <t>18/Mar/26 8:53 AM;gulnur.aka;screenshot-1.png;http://192.168.124.186:8080/secure/attachment/16065/screenshot-1.png</t>
  </si>
  <si>
    <t>0|i01a52:3zz3jjcucr</t>
  </si>
  <si>
    <t>h3. *Açıklama* _x000D_
_x000D_
Posta kutularında yer alan yüksek boyutlu iletilerin (örneğin, 10 MB ve üzeri) açılma süresi, düşük boyutlu iletilere kıyasla belirgin şekilde daha uzun sürmektedir. Yapılan gözlemlerde, bu tür iletilerin açılması ortalama 4-5 saniye daha fazla zaman almaktadır. Bu durum, kullanıcı deneyimini olumsuz etkilemekte ve sistem performansı açısından verim kaybına yol açmaktadır._x000D_
_x000D_
Bu kapsamda, yüksek boyutlu iletilerin daha hızlı görüntülenebilmesi için sistem performansı üzerinde teknik bir inceleme yapılacak ve gerekli optimizasyon çalışmaları gerçekleştirilecektir._x000D_
h3. *Kabul Kriterleri*_x000D_
 * 10 MB ve üzeri iletilerin açılma süresi, mümkün olan en düşük seviyeye indirilecektir._x000D_
_x000D_
 * Yapılan geliştirmeler sonrasında, açılma süresinde gözle görülür bir iyileşme sağlandığı test senaryolarıyla doğrulanacaktır.</t>
  </si>
  <si>
    <t>0|i01cio:ii</t>
  </si>
  <si>
    <t>saadet.kepir</t>
  </si>
  <si>
    <t>0|i01a52:3zz3jjcue</t>
  </si>
  <si>
    <t>04/Jul/25 10:04 AM;gurkan.guney;[~saadet.kepir] madde detayı rica ederim.</t>
  </si>
  <si>
    <t>Webmail üzerinde kaydedilmiş adreslerin tutulduğu ve ileti gönderimlerinde aratılarak kayıtlı adreslerin getirildiği adres defterinin Mobil KEP için de eşzamanlı kullanılabilmesine ihtiyaç duyulmaktadır. _x000D_
_x000D_
Her iki tarafta da aynı kayıtlara erişim yapılabilmelidir, bir taraftan eklenen kayıtlar diğer taraftan kullanılabilmelidir. Her iki uygulama arayüzü ile aynı adres defteri düzenlenebilmeli ve kullanılabilir olmalıdır. </t>
  </si>
  <si>
    <t>0|i01a52:3zz3jjcuh</t>
  </si>
  <si>
    <t>Kullanıcıların TÜRKKEP hesabına mobil imza kullanarak güvenli şekilde giriş yapabilmesini sağlamak._x000D_
_x000D_
*Kapsam:*_x000D_
 * Kullanıcı bilgilerini toplar,_x000D_
_x000D_
 * Operatör üzerinden imza doğrulama sürecini yürütür,_x000D_
_x000D_
 * İmza onayı geldikten sonra kullanıcı oturumunu başlatır._x000D_
_x000D_
Kullanıcıdan şu bilgiler istenir:_x000D_
 * TC Kimlik Numarası (e-devlet gibi örneklere baktığımda TC Kimlik bilgisini görmedim ama webmailde var. Gerekli bir alan mı)_x000D_
_x000D_
 * GSM Numarası_x000D_
_x000D_
 * GSM Operatörü (Turkcell, Türk Telekom, Vodafone)_x000D_
_x000D_
Kullanıcı bu bilgileri formda doldurur ve “Mobil İmza ile Giriş” butonuna basar._x000D_
_x000D_
Operatör, kullanıcıya mobil cihazı üzerinden bir “imzalama isteği” bildirimi gönderir._x000D_
_x000D_
Kullanıcı imzayı onayladıktan sonra operatör:_x000D_
_x000D_
TÜRKKEP bu imzayı doğrular kullanıcı paneli açılır._x000D_
 * Yanlış GSM veya TC kimlik no: “Bilgilerinizi kontrol edin” hatası döner. (Bu bilginin kontrollünü sağlayabiliyor muyuz?)_x000D_
_x000D_
 * Mobil imza isteği reddedildi: “İmza işlemi kullanıcı tarafından iptal edildi.”_x000D_
_x000D_
 * Operatör yanıt vermiyor: “Operatör ile bağlantı kurulamadı” hatası döner.</t>
  </si>
  <si>
    <t>0|i01cio:i9</t>
  </si>
  <si>
    <t>Uygulamadaki Alert Dialog ve Yükleme Ekranlarının Tasarımları Güncellenecek</t>
  </si>
  <si>
    <t>MU-66</t>
  </si>
  <si>
    <t>Mobil uygulamadaki yükleme ekranlarının ve uyarı dialoglarının tasarımları TÜRKKEP kurumsal kimliğine özel tasarımlarla güncellenecek.</t>
  </si>
  <si>
    <t>Uygulamadaki yükleme animasyonları TÜRKKEP marka konseptine uygun olacak şekilde değiştirildi.;03/Jun/25 5:52 PM;melih.cesur;10800</t>
  </si>
  <si>
    <t>Task tamamlandı.;12/Jun/25 4:12 PM;melih.cesur;10800</t>
  </si>
  <si>
    <t>0|i01bxq:</t>
  </si>
  <si>
    <t>MU Sprint 2025/23-24</t>
  </si>
  <si>
    <t>03/Jun/25 5:52 PM;melih.cesur;Uygulamadaki yükleme animasyonları TÜRKKEP marka konseptine uygun olacak şekilde değiştirildi.</t>
  </si>
  <si>
    <t>12/Jun/25 4:12 PM;melih.cesur;Task tamamlandı.</t>
  </si>
  <si>
    <t>*Açıklama:*_x000D_
_x000D_
Şifremi Unuttum sürecinde kullanıcıdan alınan:_x000D_
 * TCKN_x000D_
_x000D_
 * Cep Telefonu Numarası_x000D_
_x000D_
bilgileri ile doğrulama yapılarak, ilgili kullanıcıya ait adreslerin listelenmesi gerekmektedir._x000D_
_x000D_
Bu kapsamda mevcut servise yeni bir metot eklenecektir._x000D_
_x000D_
Kullanıcı tckn ve telefon numarası eşleştiği ked adresleri listelenmelidir. _x000D_
_x000D_
Bu metot mobil uygulama tarafından da kullanılabilir olmalıdır. _x000D_
_x000D_
*Beklenen Durum:*_x000D_
_x000D_
Mevcut durumda, tek bir TCKN’ye ait birden fazla telefon bilgisi bulunması halinde aşağıdaki senaryo yaşanmaktadır. *Bu akışta beklenen davranış, yalnızca TCKN ve telefon numarası eşleşen hesapların listelenmesidir.*_x000D_
_x000D_
*Mevcut durumda yaşanan case aşağıdaki gibidir.*_x000D_
_x000D_
Kullanıcının aynı TCKN (0000) bilgisine bağlı toplam 5 adet KEP hesabı bulunmaktadır. Bu hesaplardan A hesabı sistemde 8629 telefon numarası ile, B hesabı ise 2131 telefon numarası ile kayıtlıdır. CRM tarafında da A hesabı 0000 TCKN ve 8629 telefon numarası ile oluşturulmuştur._x000D_
_x000D_
Kullanıcı A hesabının şifresini unutur ve webmail ekranından “Şifremi Unuttum” akışını başlatır. Açılan formda TCKN alanına 0000 bilgisini girer. Ancak telefon numarası alanına  A hesabına ait olmayan, B hesabına kayıtlı 2131 numarasını yazar._x000D_
_x000D_
Sistem girilen 2131 numarasına SMS doğrulama kodu gönderir. Kullanıcı SMS kodunu doğru şekilde girer ve doğrulama adımını geçer. Bu noktada sistem telefon numarası eşleşmesini kontrol etmeden yalnızca TCKN bazlı sorgu yapar ve kullanıcıya bağlı tüm KEP hesaplarını listeler._x000D_
_x000D_
Listede A hesabı da görünmektedir. Kullanıcı şifresini unuttuğu hesap olduğu için A hesabını seçer ve “Gönder” butonuna tıklar. Sistem yeni şifre üretir (2131 hattına gönderir) ve kullanıcıyı giriş ekranına yönlendirir._x000D_
_x000D_
Ancak kullanıcı yeni şifre ile giriş yapmak istediğinde sistem “Kullanıcı bulunamadı” hatası verir. Çünkü doğrulama sürecinde kullanılan telefon numarası ile seçilen hesap birbirine ait değildir._x000D_
_x000D_
Aynı senaryoda kullanıcı telefon numarası alanına doğru numara olan 8629’u girdiğinde, Şifre sıfırlama süreci sorunsuz tamamlanır ve kullanıcı yeni şifresiyle sisteme giriş yapabilir.</t>
  </si>
  <si>
    <t>;06/Mar/26 11:38 PM;gurkan.guney;1800</t>
  </si>
  <si>
    <t>Test ortamda yapılan kontroller başarılı.;09/Mar/26 10:52 AM;gurkan.guney;900</t>
  </si>
  <si>
    <t>0|i00vra:zsyzgznlsi</t>
  </si>
  <si>
    <t>KEPSprint 2026/11-12</t>
  </si>
  <si>
    <t>05/Mar/26 11:28 PM;ugur.dundar;Test tarafinda  accounts-webservices uzerinde guncellemeler tamamlanmistir._x000D_
_x000D_
"/ws/kepadreslist" metoduna   _x000D_
"tck": "string",_x000D_
"ceptel": "string"_x000D_
bilgileri gonderildiginde, ilgili TCK ve Cep Telefon bilgisine gore Aktif KEP adreslerini listeler._x000D_
_x000D_
TCK parametresi 11 karakter, Cep Telefonu ise 10 karakter uzunlugunda olmalidir. _x000D_
Cep Telefonu parametresi bos gonderilirse veya hic gonderilmezse sadece TCK bilgisine gore adres listelemesini yapar.</t>
  </si>
  <si>
    <t>06/Mar/26 11:38 PM;gurkan.guney;1- Kapatılmış ve askıda olan hesapları da listeliyor. Sadece aktif olan hesaplar mı listelen mi? Ya da süreci geçen hesaplar da listelenmeli mi? Sanırım sadece aktif olan ve süresi geçmemiş hesapları listelemesi doğru olur._x000D_
_x000D_
[~ceren.sertkaya] bunu değerlendirebilir misiniz?</t>
  </si>
  <si>
    <t>09/Mar/26 10:14 AM;ugur.dundar;mevcut listelemede kep baslangic bitis tarihlerini kontrol ediyor ve suresi gecmemis ise listeliyor. kapatilmis veya askida olsa bile 3 ay erisim izni tanimlandigi icin hesapaktif=2 olsa bile bitis tarihi 3 ay sonrasina set edildigi icin girebiliyor olmasi lazim. bu arada da unutmus ise sifresini degistirmek isteyebilir tabii</t>
  </si>
  <si>
    <t>09/Mar/26 10:52 AM;gurkan.guney;Test ortamda yapılan kontroller başarılı.</t>
  </si>
  <si>
    <t>Webmail erişim yetkisi kesintiye uğramış kullanıcıların yetki kontrolü ilk giriş anında yapılmaktadır._x000D_
_x000D_
Yetki kontrolü şifre ile giriş ---&gt; OTP ----&gt; yeni şifre oluştur. adımından yapılmalıdır. Kullanıcı şifresini değiştirdikten sonra webmaile erişim yetkisinin olmadığının uyarısı gelmeli._x000D_
_x000D_
 _x000D_
_x000D_
Webmaile erişim yetkisi olmayan bir kullanıcı doğrudan E imza ile giriş yapamamalı._x000D_
_x000D_
Yetki kısıtı olan biri ilk giriş onayı vermemelidir.</t>
  </si>
  <si>
    <t>Test ortamda yapılan kontroller başarılı.;09/Mar/26 9:52 AM;gurkan.guney;3600</t>
  </si>
  <si>
    <t>0|i00vra:zsyzgznltr</t>
  </si>
  <si>
    <t>05/Mar/26 11:23 PM;ugur.dundar;Test tarafinda guncellemeler tamamlanmistir._x000D_
_x000D_
SMS, NES ve Mobil girislerde hesapdurum=2 ise yani parola guncelleme yapmasi gerekiyor ve islem yetkilisinin webmail erisimi yok ise; parola guncelleme sayfasi uzerinden islemlere izin veriliyor, parola guncelleme sonrasinda erisim uyarisi veriliyor._x000D_
 Eger hesap aktivasyon yapilmamis ise alt islem yetkilisinin ilkonay yetkisi olmadigi icin uyari veriliyor ve aktivasyona izin vermiyor._x000D_
 Ana islem yetkilisinin webmail erisim hakki kisitlanmamasi gerektigi icin hesap aktivasyonunda webmail erisim izin kontrolune gerek kalmiyor.</t>
  </si>
  <si>
    <t>09/Mar/26 9:52 AM;gurkan.guney;Test ortamda yapılan kontroller başarılı.</t>
  </si>
  <si>
    <t>Webmail/ Dinamik Süre Tanımlı Otomatik Kalıcı Silme Mekanizması</t>
  </si>
  <si>
    <t>KEP-316</t>
  </si>
  <si>
    <t>*Açıklama:*_x000D_
_x000D_
Çöp Kutusu’na taşınan iletilerin, sistem tarafından dinamik olarak tanımlanabilen bir süre sonunda (30, 90 gün vb.) otomatik olarak kalıcı şekilde silinmesini sağlayacak bir backend geliştirmesi yapılacaktır._x000D_
_x000D_
Bu süre otomatik silme işlemi kullanıcı aksiyonu olmadan tetiklenmelidir._x000D_
_x000D_
*Gereksinimler:*_x000D_
_x000D_
Deploy gerektirmeden süre değişikliği sağlanmalıdır. _x000D_
_x000D_
Çöp Kutusu’na taşınan her ileti için silinme süresi hesaplanmalıdır._x000D_
_x000D_
Tanımlanan süre sonunda ileti arayüzde geri alınamaz şekilde kalıcı olarak silinmelidir._x000D_
_x000D_
Kullanıcı manuel silme yaparsa, otomatik job bu kaydı tekrar işlememelidir._x000D_
_x000D_
*Kabul Kriterleri*_x000D_
 * Silme süresi backend tarafında deploy gerektirmeden güncellenebilir._x000D_
 * Silinen belgeler anında Çöp Kutusu’na taşınmalıdır._x000D_
 * Kullanıcı, Çöp Kutusu’ndaki iletileri listeleyebilmelidir._x000D_
 * Kullanıcı, belgeyi geri yüklediğinde belge eski konumuna taşınmalıdır._x000D_
 * Tanımlanan sürenin dolmasıyla otomatik  silme işlemi tetiklenir._x000D_
 * Otomatik silinen iletiler geri yüklenemez._x000D_
 * Job  !http://192.168.124.186:8080/images/icons/emoticons/help_16.png|width=16,height=16!  tekrar çalıştırıldığında aynı veriyi iki kez silmez._x000D_
 * Webmail, IOS ve Android istemciler için davranış tutarlıdır.</t>
  </si>
  <si>
    <t>0|i01brr:1r</t>
  </si>
  <si>
    <t>12/Mar/26 3:49 AM;ugur.dundar;CAdES_ornek.rar;http://192.168.124.186:8080/secure/attachment/16036/CAdES_ornek.rar</t>
  </si>
  <si>
    <t>12/Mar/26 3:49 AM;ugur.dundar;PAdES_ornek.rar;http://192.168.124.186:8080/secure/attachment/16037/PAdES_ornek.rar</t>
  </si>
  <si>
    <t>12/Mar/26 3:49 AM;ugur.dundar;XAdES_ornek.rar;http://192.168.124.186:8080/secure/attachment/16041/XAdES_ornek.rar</t>
  </si>
  <si>
    <t>12/Mar/26 3:49 AM;ugur.dundar;test_CAdES_TYPE_ESAv2_validation.txt;http://192.168.124.186:8080/secure/attachment/16038/test_CAdES_TYPE_ESAv2_validation.txt</t>
  </si>
  <si>
    <t>12/Mar/26 3:49 AM;ugur.dundar;test_PAdES_ES_A_validation.txt;http://192.168.124.186:8080/secure/attachment/16039/test_PAdES_ES_A_validation.txt</t>
  </si>
  <si>
    <t>12/Mar/26 3:49 AM;ugur.dundar;test_XAdES_ES_A_validation.txt;http://192.168.124.186:8080/secure/attachment/16040/test_XAdES_ES_A_validation.txt</t>
  </si>
  <si>
    <t>0|i00vra:zsyzgznls9</t>
  </si>
  <si>
    <t>12/Mar/26 4:17 AM;ugur.dundar;MA3 API’nin 2.4.0.3 Java sürümü ile gerçekleştirilen imzalama testleri başarıyla tamamlanmıştır. _x000D_
Testler kapsamında CAdES-BES / T / XL / A, PAdES-BES / T / XL / A ve XAdES-BES / T / XL / A imza tipleri değerlendirilmiş olup, ilgili test dosyaları ekte sunulmaktadır._x000D_
_x000D_
Tüm imzalama sonuçları İmzager 2.10.3 üzerinde doğrulanabilmekte, ayrıca örnek olarak ESA imzalar için API üzerinden alınan Validation çıktıları da ekte yer almaktadır._x000D_
_x000D_
Elliptic Curve sertifikaları için kullanılan  ECUtil.getConvenientECSignatureAlgForECCertificate() metodu, 2.4 sürümünde ECAlgorithmUtil.getConvenientECSignatureAlgForECCertificate() olarak güncellenmiştir._x000D_
BaseSmartCard sınıfından alınan imzacı sertifikalar, önceki sürümlerde olduğu gibi byte[] tipinde değil, doğrudan ECertificate nesnesi olarak döndürülmektedir_x000D_
_x000D_
MA3 API 2.4, uzun süredir kullanılan 2.3 sürümüne kıyasla genel işleyiş açısından büyük farklılık göstermemekle birlikte, bazı metodlarda iyileştirmeler yapıldığı gözlemlenmiştir.</t>
  </si>
  <si>
    <t>0|i00vra:zsyzgznls4</t>
  </si>
  <si>
    <t>12/Mar/26 4:34 AM;ugur.dundar;Demo proje kapsamında gerçekleştirdiğimiz testlerde, ilk aşamada CAdES denemeleri yapılmıştır. Token ve ZD ayarlarının tamamlanmasının ardından uzun dönem imza başarıyla oluşturulabilmiştir. İmzager doğrulamasında ESXLong_Type_1 formatı ile doğrulama sağlanmaktadır. Ancak format CAdES-A olarak değiştirildiğinde “Unsupported” mesajı alınmaktadır. CAdES-BASELINE-LTA olarak imzalamak mumkun olsada Imzager ile imzali dosya acilamamaktadir._x000D_
Benzer şekilde PAdES ve XAdES denemelerinde de farklı hata mesajları ile karşılaşılmıştır._x000D_
_x000D_
*** Token erisimi PaperZero Client'i kurularak saglanmaktadir. .NET ile gelistirilen exe'de endpointlerle ilgili bir sorun bulundugu icin  signtific-token-reader.jar kullanilmaktadir. Token/Sertifika bilgileri bu client uzerinde calisan servis uzerinden demo projesine alinmaktadir._x000D_
_x000D_
Sunucu tarafinda versiyon guncellemeleri gerceklestirilmis olup, yardimci kutuphanelerin yeni versiyonlari kullanilarak test calismalari devam edecektir, karsilasilan problemlerin yeni versiyonlarda duzelecegi dusunulmektedir._x000D_
_x000D_
  -- CAdES-A_x000D_
java.lang.RuntimeException: sign-document failed, status=500, body=\{_x000D_
  "type" : "about:blank",_x000D_
  "title" : "Internal server error",_x000D_
  "status" : 500,_x000D_
  "detail" : "Unsupported signature format 'CAdES-A' for extension.",_x000D_
  "instance" : "/signtific/api/V3/sign-document-with-timestamp-conf",_x000D_
  "properties" : \{_x000D_
    "path" : "/signtific/api/V3/sign-document-with-timestamp-conf"_x000D_
  }_x000D_
}_x000D_
    at tr.com.eguven.signtificclient.cades.signDigest.CadesSignDigestRemote.signMessageDigest(CadesSignDigestRemote.java:144)_x000D_
    at tr.com.eguven.SignDocumentCadesDigest.finalizeRemote(SignDocumentCadesDigest.java:184)_x000D_
    at tr.com.eguven.SignDocumentCadesDigest.signDocument(SignDocumentCadesDigest.java:128)_x000D_
    at tr.com.eguven.SignDocumentCadesDigest.main(SignDocumentCadesDigest.java:85)_x000D_
Exception in thread "main" java.lang.RuntimeException: Error calling sign-document_x000D_
    at tr.com.eguven.signtificclient.cades.signDigest.CadesSignDigestRemote.signMessageDigest(CadesSignDigestRemote.java:155)_x000D_
    at tr.com.eguven.SignDocumentCadesDigest.finalizeRemote(SignDocumentCadesDigest.java:184)_x000D_
    at tr.com.eguven.SignDocumentCadesDigest.signDocument(SignDocumentCadesDigest.java:128)_x000D_
    at tr.com.eguven.SignDocumentCadesDigest.main(SignDocumentCadesDigest.java:85)_x000D_
Caused by: java.lang.RuntimeException: sign-document failed, status=500, body=\{_x000D_
  "type" : "about:blank",_x000D_
  "title" : "Internal server error",_x000D_
  "status" : 500,_x000D_
  "detail" : "Unsupported signature format 'CAdES-A' for extension.",_x000D_
  "instance" : "/signtific/api/V3/sign-document-with-timestamp-conf",_x000D_
  "properties" : \{_x000D_
    "path" : "/signtific/api/V3/sign-document-with-timestamp-conf"_x000D_
  }_x000D_
}_x000D_
_x000D_
-- PAdES _x000D_
_x000D_
Exception in thread "main" java.lang.NoSuchMethodError: 'void tr.com.eguven.eguventsprovider.EGuvenTimestampDataLoader.&lt;init&gt;(tr.com.eguven.dss.RequestContextHolder)'_x000D_
    at tr.com.eguven.signtificclient.pades.extend.PadesExtendInterfaceLocal.extendSignature(PadesExtendInterfaceLocal.java:85)_x000D_
    at tr.com.eguven.SignDocumentPadesDigest.sign(SignDocumentPadesDigest.java:142)_x000D_
    at tr.com.eguven.SignDocumentPadesDigest.main(SignDocumentPadesDigest.java:71)_x000D_
_x000D_
_x000D_
-- XAdES_x000D_
 _x000D_
 --ENVELOPED_x000D_
Exception in thread "main" java.lang.RuntimeException: Error calling sign-document (XAdES)_x000D_
    at tr.com.eguven.signtificclient.xades.signDigest.XadesSignDigestRemote.signMessage(XadesSignDigestRemote.java:145)_x000D_
    at tr.com.eguven.SignDocumentXades.finalizeRemote(SignDocumentXades.java:127)_x000D_
    at tr.com.eguven.SignDocumentXades.signDocument(SignDocumentXades.java:76)_x000D_
    at tr.com.eguven.SignDocumentXades.main(SignDocumentXades.java:53)_x000D_
Caused by: java.lang.RuntimeException: sign-document (XAdES) failed, status=500, body=\{_x000D_
  "type" : "about:blank",_x000D_
  "title" : "Internal server error",_x000D_
  "status" : 500,_x000D_
  "detail" : "Error on signature augmentation. [S-53A6687FB19BE9A1F448F082032F6D92DE39A7E553AE18DDE8DF2D66150C4B74: Cryptographic signature verification has failed / Signature verification failed against the best candidate.]",_x000D_
  "instance" : "/signtific/api/V3/sign-document-with-timestamp-conf",_x000D_
  "properties" : \{_x000D_
    "path" : "/signtific/api/V3/sign-document-with-timestamp-conf"_x000D_
  }_x000D_
}_x000D_
_x000D_
  -- ENVELOPING_x000D_
Exception in thread "main" java.lang.RuntimeException: Error calling sign-document (XAdES)_x000D_
    at tr.com.eguven.signtificclient.xades.signDigest.XadesSignDigestRemote.signMessage(XadesSignDigestRemote.java:145)_x000D_
    at tr.com.eguven.SignDocumentXades.finalizeRemote(SignDocumentXades.java:127)_x000D_
    at tr.com.eguven.SignDocumentXades.signDocument(SignDocumentXades.java:76)_x000D_
    at tr.com.eguven.SignDocumentXades.main(SignDocumentXades.java:53)_x000D_
Caused by: java.lang.RuntimeException: sign-document (XAdES) failed, status=500, body=\{_x000D_
  "type" : "about:blank",_x000D_
  "title" : "Internal server error",_x000D_
  "status" : 500,_x000D_
  "detail" : "Failed to parse/log CMS signature: IOException reading content.",_x000D_
  "instance" : "/signtific/api/V3/sign-document-with-timestamp-conf",_x000D_
  "properties" : \{_x000D_
    "path" : "/signtific/api/V3/sign-document-with-timestamp-conf"_x000D_
  }_x000D_
}_x000D_
---_x000D_
_x000D_
 _x000D_
_x000D_
 </t>
  </si>
  <si>
    <t>KepAssist ve Kep Asistan uygulamalarına ait Test IIS sunucularında gereksiz dosya ve dizinlerin kontrolü yapılıp, temizlendi. Log dosyaları IIS dışında bir dizine yazdırılması sağlandı.;18/Mar/26 2:56 PM;recep.simsek;9000</t>
  </si>
  <si>
    <t>0|i01fhc:</t>
  </si>
  <si>
    <t>KA-1607</t>
  </si>
  <si>
    <t>0|i01fmk:</t>
  </si>
  <si>
    <t>KA Sprint 2026/9-12</t>
  </si>
  <si>
    <t>KA-1606</t>
  </si>
  <si>
    <t>0|i01fmc:</t>
  </si>
  <si>
    <t>İleti Raporu Filtrelemelerinde Toplam Kayıt Sayısı ile Statü Bazlı Kayıt Toplamlarının Uyuşmaması_x000D_
_x000D_
Raporlar ekranında belirli bir tarih aralığında yapılan sorgulamalarda, "Hepsi" seçeneği ile dönen toplam kayıt sayısı, "Açık" ve "Kapalı" statülerinin toplamı ile eşleşmemektedir. Arada 8 adetlik bir veri kaybı/sapması gözlemlenmiştir._x000D_
 * Tarih Aralığı: 01.01.2025 - Güncel_x000D_
 * Statü "Hepsi": 1884 adet kayıt._x000D_
 * Statü "Açık": 1428 adet kayıt._x000D_
 * Statü "Kapalı": 448 adet kayıt._x000D_
 * Fark: 1428 + 448 = 1876_x000D_
_x000D_
Yeniden Üretme Adımları_x000D_
_x000D_
Kep Assist portalına giriş yapın._x000D_
 # İleti Raporu sayfasına gidin._x000D_
 # Tarih filtresini 01.01.2025 olarak set edin._x000D_
 # Sırasıyla "Hepsi", "Açık" ve "Kapalı" statüleri için listeleme yapıp alt toplamları karşılaştırın._x000D_
_x000D_
Beklenen Durum_x000D_
_x000D_
Alt kırılımların (Açık + Kapalı) toplamının, genel toplama (Hepsi) tam olarak eşit olması gerekmektedir. Statüsü boş (null) kalan veya farklı bir kodla işaretlenmiş kayıtların incelenmesi rica olunur.</t>
  </si>
  <si>
    <t>Veritabanı tarafında SP üzerinde incelemeler ve düzenlemeler yapıldı.;11/Mar/26 3:59 PM;recep.simsek;10800</t>
  </si>
  <si>
    <t>Test ortamda yapılan kontroller başarılı. _x000D_
_x000D_
Sayılar Açık ve Kapalı statülerine göre ve KEP, UETS statülerine göre uyuşmaktadır._x000D_
_x000D_
Türkçe/İngilizce dil seçeneklerine göre de uyuşmaktadır.;11/Mar/26 6:06 PM;gurkan.guney;1800</t>
  </si>
  <si>
    <t>0|i01fks:</t>
  </si>
  <si>
    <t>11/Mar/26 5:15 PM;recep.simsek;Konu ile ilgili gerekli düzenleme yapılmış olup test ortama aktarılmıştır.</t>
  </si>
  <si>
    <t>11/Mar/26 6:06 PM;gurkan.guney;Test ortamda yapılan kontroller başarılı. _x000D_
_x000D_
Sayılar Açık ve Kapalı statülerine göre ve KEP, UETS statülerine göre uyuşmaktadır._x000D_
_x000D_
Türkçe/İngilizce dil seçeneklerine göre de uyuşmaktadır._x000D_
_x000D_
Excel'a aktarma da başarılıdır. </t>
  </si>
  <si>
    <t>*Açıklama:*_x000D_
_x000D_
Sisteme giriş süreçlerinde güvenlik seviyesinin artırılması amacıyla bazı akışların revize edilmesi ihtiyacı ortaya çıkmıştır. Bu kapsamda kullanıcı doğrulama ve login aşamasının değerlendirilmesi planlanmaktadır._x000D_
_x000D_
Yapılacak araştırma kapsamında aşağıdaki konuların incelenmesi beklenmektedir:_x000D_
 * Doğrulama kodu sms ile kullanıcıya sunulması için yapılması gereken çalışmanın belirlnemesi. _x000D_
_x000D_
Mevcutta mail ile gönderim sağlayabildiğimiz fonksiyonu kaybetmeden; SMS ile doğrulama kodu gönderimi için alternatif bir kanalın nasıl konumlandırılabileceğinin araştırılması._x000D_
_x000D_
Bu araştırma kısmında defaultta sms ile doğrulama kodu akışını yapabilirken parametrik olarak değişiklik yapılabilecek şekilde bir akış teknik olarak araştırılmalıdır. _x000D_
 * Belirlenecek olan parola sisteme giriş politikalarında yer alacak Captcha servislerinin süreçlerinin belirlenmesinin sağlanması. _x000D_
 * Giriş akışlarının ne ölçüde parametrik olarak yönetilebileceğinin yapıya uygunluğu araştırılmalıdır. _x000D_
_x000D_
Bu araştırma taskını değerlendirirken hem on-prime hem cloud ortamlarını düşünerek değerlendirilmelidir. _x000D_
_x000D_
Araştırma sonucuna göre geliştirme süreçlerine başlanılacaktır. </t>
  </si>
  <si>
    <t>Varolan akışlar üzerinde inceleme yapıldı. Bu doğrultuda notlar çıkarıldı._x000D_
_x000D_
Sms servisine istek atmak için deneme yapıldı._x000D_
_x000D_
Parametreler için incelemeler yapıldı._x000D_
_x000D_
Yerinde kurulum için senaryo akışında deneme yapıldı._x000D_
_x000D_
Captcha ile ilgili parametrik yapı kurgusu incelendi.;09/Mar/26 5:04 PM;batuhan.tufan;28800</t>
  </si>
  <si>
    <t>Akış incelemesi yapıldı ve doküman hazırlandı.;10/Mar/26 10:46 AM;batuhan.tufan;7200</t>
  </si>
  <si>
    <t>10/Mar/26 10:44 AM;batuhan.tufan;KepAssist_Login.docx;http://192.168.124.186:8080/secure/attachment/16013/KepAssist_Login.docx</t>
  </si>
  <si>
    <t>0|i01f79:r</t>
  </si>
  <si>
    <t>10/Mar/26 10:45 AM;batuhan.tufan;Mevcut akış ve yeni yapılacak kurgu ile ilgili bilgileri içeren bir doküman hazırladım. İlgili doküman ektedir.</t>
  </si>
  <si>
    <t>10/Mar/26 12:30 PM;Remzi.Sefer;Merhaba geliştiricimiz batuhanın yaptığı araştırma sonucu ekte olup 2FA sürecinde yapılacak uygulanacak süreçler ekte belirtilmiştir._x000D_
[~gulnur.aka]</t>
  </si>
  <si>
    <t>Süreç kuyruğu takibi yapıldı ve genel kontroller sağlandı._x000D_
_x000D_
Kod tarafında incelemeler yapıldı._x000D_
_x000D_
Asistan Hata Logları Test Toplantısına katılım sağlandı._x000D_
_x000D_
Süreci takılı kalan hesaplar ile ilgili bilgilendirme yapıldı._x000D_
_x000D_
Windows servis log dosyaları incelendi._x000D_
_x000D_
Ekip içi görüşme yapıldı.;09/Mar/26 5:52 PM;recep.simsek;23400</t>
  </si>
  <si>
    <t>Süreç kuyruğu takibi yapıldı ve genel kontroller sağlandı._x000D_
_x000D_
Kod tarafında incelemeler yapıldı._x000D_
_x000D_
Süreci takılı kalan ileti ile ilgili bilgilendirme yapıldı._x000D_
_x000D_
Windows servis log dosyaları incelendi._x000D_
_x000D_
Ekip içi görüşme yapıldı.;10/Mar/26 5:16 PM;recep.simsek;21600</t>
  </si>
  <si>
    <t>Süreç kuyruğu takibi yapıldı ve genel kontroller sağlandı._x000D_
_x000D_
Kod tarafında incelemeler yapıldı._x000D_
_x000D_
Hata alan hesap ile ilgili bilgilendirme yapıldı._x000D_
_x000D_
KepAssist ve Kep Asistan uygulamalarına ait IIS sunucularında gereksiz dosya ve dizinlerin kontrolü ve temizlenmesi ile ilgili çalışmalar yapıldı._x000D_
_x000D_
Windows servis log dosyaları incelendi._x000D_
_x000D_
Ekip içi görüşme yapıldı.;11/Mar/26 5:30 PM;recep.simsek;18000</t>
  </si>
  <si>
    <t>Süreç kuyruğu takibi yapıldı ve genel kontroller sağlandı._x000D_
_x000D_
Kod tarafında incelemeler yapıldı._x000D_
_x000D_
Yerinde kurulum müşterimizin tarafında yaşanan login sayfası konusu ile ilgili inceleme ve yönlendirme yapıldı._x000D_
_x000D_
KepAssist ve Kep Asistan uygulamalarına ait IIS sunucularında gereksiz dosya ve dizinlerin temizlenmesi ile ilgili çalışmalar yapıldı._x000D_
_x000D_
Hata alan hesap ile ilgili bilgilendirme yapıldı._x000D_
_x000D_
Windows servis log dosyaları incelendi._x000D_
_x000D_
Ekip içi görüşme yapıldı.;12/Mar/26 5:15 PM;recep.simsek;25200</t>
  </si>
  <si>
    <t>Süreç kuyruğu takibi yapıldı ve genel kontroller sağlandı._x000D_
_x000D_
Kod tarafında incelemeler yapıldı._x000D_
_x000D_
Bulut müşterimizin yaşadığı ileti görememe problemi ile ilgili sorgu hazırlandı. Yönlendirme yapıldı._x000D_
_x000D_
KepAssist ve Kep Asistan uygulamalarına ait IIS sunucularında gereksiz dosya ve dizinlerin temizlenmesi ile ilgili çalışmalar yapıldı._x000D_
_x000D_
Yazılım Birim Toplantısına katılım sağlandı._x000D_
_x000D_
Windows servis log dosyaları incelendi._x000D_
_x000D_
Ekip içi görüşme yapıldı.;13/Mar/26 6:02 PM;recep.simsek;23400</t>
  </si>
  <si>
    <t>Süreç kuyruğu takibi yapıldı ve genel kontroller sağlandı._x000D_
_x000D_
Kod tarafında incelemeler yapıldı._x000D_
_x000D_
Süreci takılı kalan iletiler ile ilgili bilgilendirme yapıldı._x000D_
_x000D_
Bulut müşterimizin yaşadığı ileti görememe problemi ile ilgili sorgu hazırlandı. Bilgilendirme ve yönlendirme yapıldı._x000D_
_x000D_
Windows servis log dosyaları incelendi._x000D_
_x000D_
Ekip içi görüşme yapıldı.;16/Mar/26 4:51 PM;recep.simsek;19800</t>
  </si>
  <si>
    <t>Süreç kuyruğu takibi yapıldı ve genel kontroller sağlandı._x000D_
_x000D_
Kod tarafında incelemeler yapıldı._x000D_
_x000D_
Süreci takılı kalan iletiler ile ilgili bilgilendirme yapıldı._x000D_
_x000D_
Bulut ortamdaki görev sayıları ile ilgili bilgilendirme yapıldı._x000D_
_x000D_
Kep Assist + MYS Backlog Refinement toplantısı yapıldı._x000D_
_x000D_
IIS sunucuları ile ilgili çalışma yapıldı. Ekip içi görüşme yapıldı._x000D_
_x000D_
Windows servis log dosyaları incelendi._x000D_
_x000D_
Ekip içi görüşme yapıldı.;18/Mar/26 2:07 PM;recep.simsek;23400</t>
  </si>
  <si>
    <t>Windows servis log kayıtları incelendi._x000D_
_x000D_
Ekip içi görüşmeler yapıldı.;09/Mar/26 4:47 PM;batuhan.tufan;1800</t>
  </si>
  <si>
    <t>Windows servis log kayıtları incelendi._x000D_
_x000D_
Ekip içi görüşmeler yapıldı._x000D_
_x000D_
Dijital Arşiv ve Saklama Projesi - Proje İlerleme Toplantısına katılım sağlandı.;10/Mar/26 5:03 PM;batuhan.tufan;5400</t>
  </si>
  <si>
    <t>Windows servis log kayıtları incelendi._x000D_
_x000D_
Ekip içi görüşmeler yapıldı._x000D_
_x000D_
KepAssist, Detsis ve MYS uygulamasına ait IIS sunucularında gereksiz dosya ve dizinlerin kontrolleri yapıldı._x000D_
_x000D_
Sorentum-Türkkep e-Dönüşüm Paketi Yazılım Geliştirme Danışmanlık Hizmeti Projesi Başlangıç Toplantısına katılım sağlandı.;11/Mar/26 5:24 PM;batuhan.tufan;14400</t>
  </si>
  <si>
    <t>Windows servis log kayıtları incelendi._x000D_
_x000D_
Ekip içi görüşmeler yapıldı._x000D_
_x000D_
IIS sunucuları ile ilgili ekip içi görüşme yapıldı.;16/Mar/26 5:08 PM;batuhan.tufan;7200</t>
  </si>
  <si>
    <t>Windows servis log kayıtları incelendi._x000D_
_x000D_
Ekip içi görüşmeler yapıldı._x000D_
_x000D_
IIS sunucuları ile ilgili ekip içi görüşme yapıldı. ( KA-1608 )_x000D_
_x000D_
Kep Assist + MYS Backlog Refinement toplantısı yapıldı._x000D_
_x000D_
e-Dönüşüm Projesi/Mükellef Sorgulama toplantısı yapıldı._x000D_
_x000D_
InvoiceHistory tablosu ile ilgili veritabanı ekibiyle toplantı yapıldı._x000D_
_x000D_
Fatura tarafıyla ilgili konular için görüşme yapıldı._x000D_
_x000D_
Bulut ortamda açık olan görev kayıtları ile ilgili bilgilendirme yapıldı.;17/Mar/26 5:23 PM;batuhan.tufan;28800</t>
  </si>
  <si>
    <t>Windows servis log kayıtları incelendi._x000D_
_x000D_
Ekip içi görüşmeler yapıldı._x000D_
_x000D_
IIS sunucuları ile ilgili ekip içi görüşme yapıldı. (MYS-860)_x000D_
_x000D_
DAVS Sprint Planlama toplantısı yapıldı._x000D_
_x000D_
Fatura tarafıyla ilgili konular için görüşme yapıldı. Görüşmeler doğrultusunda incelemeler yapıldı.;18/Mar/26 5:44 PM;batuhan.tufan;30600</t>
  </si>
  <si>
    <t>0|i01fma:</t>
  </si>
  <si>
    <t>0|i013z2:tzzzzzzzzzzzzz8zzu</t>
  </si>
  <si>
    <t>KEP ve UETS alım testleri yapıldı. _x000D_
_x000D_
KEP ve UETS yanıtlama testleri yapıldı. _x000D_
_x000D_
Delil kontrolleri yapıldı. _x000D_
_x000D_
Statü kontrolleri yapıldı. _x000D_
_x000D_
KEP ve UETS iletilerine ait tarihçe kontrolleri yapıldı._x000D_
_x000D_
Görevlerimden KEP ve UETS cevaplama, tamamlama, delege etme testleri yapıldı. (Tekli ve çoklu)_x000D_
_x000D_
KEP ve UETS tekli ve çoklu indirme testleri yapıldı._x000D_
_x000D_
KEP gelen, KEP gönderilen, UETS gelen ve Görevlerim ekranlarında Excel'a aktarma testleri yapıldı._x000D_
_x000D_
UETS alım servisi durdurularak sadece KEP alım testleri yapıldı._x000D_
_x000D_
KEP alım servisi durdurularak sadece UETS alım testleri yapıldı._x000D_
_x000D_
İki servis aynı anda çalıştırılarak UETS alım ve KEP alım/gönderim testleri yapıldı._x000D_
_x000D_
Testler devam etmektedir.;13/Mar/26 6:33 PM;gurkan.guney;7200</t>
  </si>
  <si>
    <t>Farklı bir organizasyonda farklı bir KEP ve UETS hesabıyla alım/gönderim testleri yapıldı.;15/Mar/26 5:34 PM;gurkan.guney;7200</t>
  </si>
  <si>
    <t>Tebligat Detayları ve Borçlu Bilgileri sayfalarında kontroller yapıldı.;16/Mar/26 4:41 PM;gurkan.guney;1800</t>
  </si>
  <si>
    <t>Veritabanı tarafı ile kontrollü olarak KEP ve UETS alım gönderim testleri yapılmış, herhangi bir sorun görülmemiştir.;17/Mar/26 5:16 PM;gurkan.guney;1800</t>
  </si>
  <si>
    <t>17/Mar/26 5:16 PM;gurkan.guney;Veritabanı tarafı ile kontrollü olarak KEP ve UETS alım gönderim testleri yapılmış, herhangi bir sorun görülmemiştir.</t>
  </si>
  <si>
    <t>KA-1593</t>
  </si>
  <si>
    <t>Windows servis log kayıtları incelendi._x000D_
_x000D_
Süreç kuyruğunda ileti sayısı fazla bulunmaktaydı. Gün boyu kuyruk yüksek rakamlarda devam etti._x000D_
_x000D_
Sunucu kaynak kontrolleri yapıldı._x000D_
_x000D_
Kep hesaplarının ileti çekmeme durumu iletildikten sonra sistem kontrolleri sağlandı ve collector servisinde stop start yapıldı. İlgili işlem sonrası problemin giderildiğine dair bilgi alındı._x000D_
_x000D_
Akışlar için kod kontrolü sağlandı.;23/Feb/26 5:04 PM;batuhan.tufan;16200</t>
  </si>
  <si>
    <t>Windows servis log kayıtları incelendi._x000D_
_x000D_
Ekip içi görüşmeler yapıldı._x000D_
_x000D_
Kep ve Uets alım servisi ile ilgili incelemeler yapıldı. Ayrım yapılması için ön araştırma yapıldı._x000D_
_x000D_
Kod üzerinde incelemeler yapıldı.;24/Feb/26 4:59 PM;batuhan.tufan;28800</t>
  </si>
  <si>
    <t>Windows servis log kayıtları incelendi._x000D_
_x000D_
Ekip içi görüşmeler yapıldı._x000D_
_x000D_
E-Fatura ile ilgili danışman ile görüşme yapıldı. _x000D_
_x000D_
KepAsistan tarafında iletilen hata için bilgilendirme yapıldı.;25/Feb/26 5:08 PM;batuhan.tufan;10800</t>
  </si>
  <si>
    <t>Windows servis log kayıtları incelendi._x000D_
_x000D_
Ekip içi görüşmeler yapıldı._x000D_
_x000D_
Servis loglarında görülen hata ile ilgili bilgilendirme yapıldı.;26/Feb/26 5:02 PM;batuhan.tufan;5400</t>
  </si>
  <si>
    <t>Windows servis log kayıtları incelendi._x000D_
_x000D_
Ekip içi görüşmeler yapıldı._x000D_
_x000D_
MS SQL Ayrıştırma toplantısına katılım sağlandı._x000D_
_x000D_
Teams üzerinden iletilen konular ile ilgili görüşme yapıldı ve bilgilendirme yapıldı._x000D_
_x000D_
Kod incelemesi yapıldı.;27/Feb/26 5:02 PM;batuhan.tufan;27000</t>
  </si>
  <si>
    <t>Windows servis log kayıtları incelendi._x000D_
_x000D_
Ekip içi görüşmeler yapıldı._x000D_
_x000D_
Servis loglarında görülen hata ile ilgili bilgilendirme yapıldı._x000D_
_x000D_
Kod üzerinde incelemeler yapıldı._x000D_
_x000D_
İletilen hata ile ilgili bir inceleme yapıldı.;02/Mar/26 5:26 PM;batuhan.tufan;21600</t>
  </si>
  <si>
    <t>Windows servis log kayıtları incelendi._x000D_
_x000D_
Ekip içi görüşmeler yapıldı._x000D_
_x000D_
Süreç servisinin takılı kalması sonrası gerekli kontrol sağlandı._x000D_
_x000D_
KepAsistan için iletilen hata ile ilgili bir inceleme yapıldı ve sorun ile ilgili Bilgi Güvenliği tarafından yapılan bir değişiklik sonrası durum yaşandığı söylendi. İlgili düzenleme Bilgi Güvenliği ekibi tarafından yapıldıktan sonra durumun düzeldiği bilgisi tarafımıza iletildi._x000D_
_x000D_
Kod üzerinde incelemeler yapıldı._x000D_
_x000D_
Esya API, İmzalama Metodları Hk. toplantısına katılım sağlandı._x000D_
_x000D_
Kep Assist + MYS Backlog Refinement toplantısı yapıldı.;03/Mar/26 5:05 PM;batuhan.tufan;27000</t>
  </si>
  <si>
    <t>Windows servis log kayıtları incelendi._x000D_
_x000D_
Ekip içi görüşmeler yapıldı._x000D_
_x000D_
Kod üzerinde incelemeler yapıldı._x000D_
_x000D_
Fatura tarafında imza kodları ile ilgili denemeler yapıldı.;04/Mar/26 4:57 PM;batuhan.tufan;28800</t>
  </si>
  <si>
    <t>Windows servis log kayıtları incelendi._x000D_
_x000D_
Ekip içi görüşmeler yapıldı._x000D_
_x000D_
Kod üzerinde incelemeler yapıldı._x000D_
_x000D_
Saklama Backlog Toplantısına katılım sağlandı._x000D_
_x000D_
Mevcut E-Dönüşüm Yapısı - Entegrasyonlar ile ilgili Oğuz Bey ile toplantı yapıldı.;05/Mar/26 5:01 PM;batuhan.tufan;27000</t>
  </si>
  <si>
    <t>Windows servis log kayıtları incelendi._x000D_
_x000D_
Ekip içi görüşmeler yapıldı._x000D_
_x000D_
Kod üzerinde incelemeler yapıldı._x000D_
_x000D_
Sprint Planlama- MYS-Assist toplantısına katılım sağlandı._x000D_
_x000D_
İleti kuralı ile ilgili bilgilendirme yapıldı.;06/Mar/26 5:01 PM;batuhan.tufan;27000</t>
  </si>
  <si>
    <t>0|i01f78:</t>
  </si>
  <si>
    <t>KA-1592</t>
  </si>
  <si>
    <t>Süreç kuyruğu takibi yapıldı ve genel kontroller sağlandı._x000D_
_x000D_
Kod tarafında incelemeler yapıldı._x000D_
_x000D_
Gün boyu ileti kuyruğunda yoğunluk vardı._x000D_
_x000D_
Sunucu kaynak kontrolleri yapıldı._x000D_
_x000D_
Extention logunun takılı kalmasından dolayı süreç servisi restart edildi._x000D_
_x000D_
Kep hesaplarının ileti çekmeme durumu ile ilgili incelemeler yapıldı._x000D_
_x000D_
Windows servis log dosyaları incelendi._x000D_
_x000D_
Ekip içi görüşme yapıldı.;23/Feb/26 5:29 PM;recep.simsek;23400</t>
  </si>
  <si>
    <t>Süreç kuyruğu takibi yapıldı ve genel kontroller sağlandı._x000D_
_x000D_
Kod tarafında incelemeler yapıldı._x000D_
_x000D_
Log dosyalarındaki hata alan hesapları toplama ile ilgili çalışma yapıldı. Bilgilendirme yapıldı._x000D_
_x000D_
Windows servis log dosyaları incelendi._x000D_
_x000D_
Ekip içi görüşme yapıldı.;24/Feb/26 5:13 PM;recep.simsek;21600</t>
  </si>
  <si>
    <t>Süreç kuyruğu takibi yapıldı ve genel kontroller sağlandı._x000D_
_x000D_
Kod tarafında incelemeler yapıldı._x000D_
_x000D_
Süreci takılı kalan iletiler ile ilgili bilgilendirme yapıldı._x000D_
_x000D_
Kep Asistan tarafında yaşanan hata ile ilgili inceleme yapıldı. Hata alan iletiler ile ilgili bilgilendirme yapıldı._x000D_
_x000D_
Windows servis log dosyaları incelendi._x000D_
_x000D_
Ekip içi görüşme yapıldı.;25/Feb/26 5:32 PM;recep.simsek;21600</t>
  </si>
  <si>
    <t>Süreç kuyruğu takibi yapıldı ve genel kontroller sağlandı._x000D_
_x000D_
Kod tarafında incelemeler yapıldı._x000D_
_x000D_
Takılı kalan iletiler ile ilgili bilgilendirme yapıldı._x000D_
_x000D_
Windows servis log dosyaları incelendi._x000D_
_x000D_
Ekip içi görüşme yapıldı.;26/Feb/26 5:26 PM;recep.simsek;23400</t>
  </si>
  <si>
    <t>Süreç kuyruğu takibi yapıldı ve genel kontroller sağlandı._x000D_
_x000D_
Kod tarafında incelemeler yapıldı._x000D_
_x000D_
Hata alan iletiler ile ilgili çalışma yapıldı._x000D_
_x000D_
Teams üzerinden iletilen konular ile ilgili görüşme yapıldı._x000D_
_x000D_
MS SQL Ayrıştırma toplantısına katılım sağlandı._x000D_
_x000D_
Windows servis log dosyaları incelendi._x000D_
_x000D_
Ekip içi görüşme yapıldı.;27/Feb/26 5:33 PM;recep.simsek;21600</t>
  </si>
  <si>
    <t>Süreç kuyruğu takibi yapıldı ve genel kontroller sağlandı._x000D_
_x000D_
Kod tarafında incelemeler yapıldı._x000D_
_x000D_
Hata alan hesaplar ile ilgili bilgilendirme yapıldı._x000D_
_x000D_
İletilen hata ile ilgili incelemeler yapıldı._x000D_
_x000D_
Windows servis log dosyaları incelendi._x000D_
_x000D_
Ekip içi görüşme yapıldı.;02/Mar/26 5:31 PM;recep.simsek;21600</t>
  </si>
  <si>
    <t>Süreç kuyruğu takibi yapıldı ve genel kontroller sağlandı._x000D_
_x000D_
Kod tarafında incelemeler yapıldı._x000D_
_x000D_
Süreci takılı kalan iletiler ile ilgili bilgilendirme yapıldı._x000D_
_x000D_
Kep Assist + MYS Backlog Refinement toplantısı yapıldı._x000D_
_x000D_
Kep Asistan tarafında hata ile ilgili incelemeler yapıldı. Sorunun Bilgi Güvenliğinin yaptığı bir değişiklikten kaynaklandığı söylendi. Bilgi Güvenliği ekibi tarafından düzenleme yapıldıktan sonra durumun düzeldiği bilgisi tarafımıza iletildi._x000D_
_x000D_
Windows servis log dosyaları incelendi._x000D_
_x000D_
Ekip içi görüşme yapıldı.;03/Mar/26 5:30 PM;recep.simsek;23400</t>
  </si>
  <si>
    <t>Süreç kuyruğu takibi yapıldı ve genel kontroller sağlandı._x000D_
_x000D_
Kod tarafında incelemeler yapıldı._x000D_
_x000D_
Süreci takılı kalan iletiler ile ilgili bilgilendirme yapıldı._x000D_
_x000D_
Windows servis log dosyaları incelendi._x000D_
_x000D_
Ekip içi görüşme yapıldı.;04/Mar/26 5:31 PM;recep.simsek;21600</t>
  </si>
  <si>
    <t>Süreç kuyruğu takibi yapıldı ve genel kontroller sağlandı._x000D_
_x000D_
Kod tarafında inceleme ve düzenleme yapıldı._x000D_
_x000D_
Süreci takılı kalan iletiler ile ilgili bilgilendirme yapıldı._x000D_
_x000D_
Windows servis log dosyaları incelendi._x000D_
_x000D_
Ekip içi görüşme yapıldı.;05/Mar/26 5:10 PM;recep.simsek;23400</t>
  </si>
  <si>
    <t>Süreç kuyruğu takibi yapıldı ve genel kontroller sağlandı._x000D_
_x000D_
Kod tarafında inceleme ve düzenleme yapıldı._x000D_
_x000D_
Süreci takılı kalan iletiler ve hata alan hesaplar ile ilgili bilgilendirme yapıldı._x000D_
_x000D_
Bulut müşterimiz tarafından iletilen konu hakkında inceleme ve ekip içi görüşme yapıldı._x000D_
_x000D_
Windows servis log dosyaları incelendi._x000D_
_x000D_
Ekip içi görüşme yapıldı.;06/Mar/26 5:04 PM;recep.simsek;19800</t>
  </si>
  <si>
    <t>0|i01f70:</t>
  </si>
  <si>
    <t xml:space="preserve">İmza Clientdaki bulguların sebeplerinin netleştirilmesi- </t>
  </si>
  <si>
    <t>İlgili çalışma yorumlar üzerinden devam edecektir.</t>
  </si>
  <si>
    <t>* imza-client ve int-suite / signature-service için yapılacak güncellemeler öncesinde eksiklerin tespit edilmesi. _x000D_
 * test ortamında signature-service pades upgrade to esa için güncelleme.;11/Mar/26 5:21 PM;omer.turkmen;32400</t>
  </si>
  <si>
    <t>* PADES ESA imzalamada imzalanan içeriğin ve imzaların incelenmesi.;13/Mar/26 5:31 PM;omer.turkmen;32400</t>
  </si>
  <si>
    <t>* e-Arşiv rapor imzalanması için geliştirmeler ve testler.;18/Mar/26 2:22 PM;omer.turkmen;21600</t>
  </si>
  <si>
    <t>0|i01fhs:</t>
  </si>
  <si>
    <t>11/Mar/26 4:03 PM;omer.turkmen;CADES ES_A  üzerine başka imza atılmasına ESYA API izin vermiyor.</t>
  </si>
  <si>
    <t>11/Mar/26 4:43 PM;omer.turkmen;2. PADES ES_XLONG atıldığında ilk imza da 2. imza da ES_A'ya dönüşür.</t>
  </si>
  <si>
    <t>11/Mar/26 4:56 PM;omer.turkmen;sign/advanced/base64 ve sign/advanced/ metotlarında 2. ES_A için suit test ortamı güncellendi.</t>
  </si>
  <si>
    <t>18/Mar/26 2:25 PM;omer.turkmen;XADES imza için tüm seçenekler eklenmeli mi? Rakip ürünlerin incelenmesi sonrasında karar verilecek.</t>
  </si>
  <si>
    <t>* ESYA API 2.3.11.7 ile imzager 2.10.3 (API versiyonları aynı) PADES,CADES ve XADES için karşılaştırılmalar yapıldı._x000D_
 * imza-client eksikleri tespit edildi.;09/Mar/26 3:49 PM;omer.turkmen;25200</t>
  </si>
  <si>
    <t>09/Mar/26 3:19 PM;omer.turkmen;ESYA_API.png;http://192.168.124.186:8080/secure/attachment/15989/ESYA_API.png</t>
  </si>
  <si>
    <t>09/Mar/26 3:18 PM;omer.turkmen;imzager.png;http://192.168.124.186:8080/secure/attachment/15987/imzager.png</t>
  </si>
  <si>
    <t>09/Mar/26 3:20 PM;omer.turkmen;2. CADES ES_A imza için ESYA API izin vermiyor. İmzager ile  atılan ES_A ve API ile atılan ES_A arasındaki fark ekran görüntülerinde.</t>
  </si>
  <si>
    <t>09/Mar/26 3:33 PM;omer.turkmen;İmzalı olan belgelerde sign/advanced tekrar gelişmiş imza atılamıyor. int-suite / signature-service tarafında upgrade kurgusunun incelenmesi gerekiyor.</t>
  </si>
  <si>
    <t>09/Mar/26 3:37 PM;omer.turkmen;XADES için serial ve parallel imzalama seçeneklerinin eklenmesi gerekiyor.</t>
  </si>
  <si>
    <t>0|i01fn6:</t>
  </si>
  <si>
    <t>IEU Sprint 2026/9-12</t>
  </si>
  <si>
    <t>*Açıklama:*_x000D_
_x000D_
Destek ekibinin kullanımında olan *Utify* servisine, başarısız tebligat dönüşlerini takip edebilmek adına yeni bir raporlama alanı/sorgu ekranı eklenmesi planlanmaktadır._x000D_
_x000D_
Bu geliştirme ile kullanıcılar, belirli bir tarih aralığındaki başarısız (uets_bildirim = 500) tebligatların aylık bazda adetlerini ve ilgili KEP adreslerini listeleyebilmelidir._x000D_
_x000D_
Raporun besleneceği veri seti ve gruplama mantığı aşağıdaki SQL sorgusu temel alınarak kurgulanacaktır:_x000D_
_x000D_
select   TO_CHAR("orig_msg_datetime",'YYYY-MM') Ay,count(distinct orig_msgid) Adet  ,_x000D_
_x000D_
orig_from_email_x000D_
_x000D_
FROM metastore.uni_meta_local_original_x000D_
_x000D_
where orig_msg_datetime between '2023-01-01' and '2023-04-01'_x000D_
_x000D_
and uets_bildirim=500_x000D_
_x000D_
group by  TO_CHAR("orig_msg_datetime",'YYYY-MM'),orig_from_email_x000D_
_x000D_
order by </t>
  </si>
  <si>
    <t>0|i01fn4:</t>
  </si>
  <si>
    <t>IEU-341</t>
  </si>
  <si>
    <t>0|i01fnw:</t>
  </si>
  <si>
    <t>IEU-340</t>
  </si>
  <si>
    <t>0|i01fno:</t>
  </si>
  <si>
    <t>IEU-339</t>
  </si>
  <si>
    <t>0|i01fng:</t>
  </si>
  <si>
    <t>IEU-338</t>
  </si>
  <si>
    <t>0|i01fn8:</t>
  </si>
  <si>
    <t>Daily ye katıldım._x000D_
_x000D_
DAVS ta cumadan konuşulan kontrolleri yapıp gönderdim._x000D_
_x000D_
Entegrasyon süit denemeleri yaptım._x000D_
_x000D_
Kepik ile ilgili çalışmalar, incelemeler yaptım.;09/Mar/26 5:29 PM;aysenur.bilgic;25200</t>
  </si>
  <si>
    <t>daily ye katıldım._x000D_
_x000D_
ister sahibi toplantısına katıldım._x000D_
_x000D_
kepik ile ilgili çalışmalar yaptım bulunan bulgular iletildi ve madde olarak açıldı._x000D_
_x000D_
 _x000D_
_x000D_
 ;10/Mar/26 5:31 PM;aysenur.bilgic;25200</t>
  </si>
  <si>
    <t>Daily ye katıldım._x000D_
_x000D_
kepik çalışmaları, bulgular atıldı._x000D_
_x000D_
davs ile ilgili bulgu incelemesi_x000D_
_x000D_
imza pades denemesi;11/Mar/26 5:26 PM;aysenur.bilgic;27000</t>
  </si>
  <si>
    <t>Daily ye katıldım._x000D_
_x000D_
Kepik testleri gerçekleştirdim.;12/Mar/26 5:34 PM;aysenur.bilgic;25200</t>
  </si>
  <si>
    <t>Yazılım birim toplantısına katılındı.;13/Mar/26 6:03 PM;berrin.akan;3600</t>
  </si>
  <si>
    <t>* HSM ile imzalama için imza-client projesi bilgilendirme toplantısı;10/Mar/26 11:42 AM;omer.turkmen;2400</t>
  </si>
  <si>
    <t>* Saklama proje ilerleme toplantısı.;10/Mar/26 11:43 AM;omer.turkmen;2400</t>
  </si>
  <si>
    <t>* Mobil uygulama için Turkkep-api-gateway güncellemesi yapıldı._x000D_
 * Servis kurulumu güncellendi.;13/Mar/26 12:42 PM;omer.turkmen;32400</t>
  </si>
  <si>
    <t>* api-access-token son kullanım süresinin aylık ya da günlük olarak uzatılması için araştırmalar.;16/Mar/26 3:35 PM;omer.turkmen;5400</t>
  </si>
  <si>
    <t>Idenfit ile toplantıya yapıldı._x000D_
_x000D_
Entegrasyon suite baclog refinement toplantısına katılındı.;18/Mar/26 5:40 PM;berrin.akan;7200</t>
  </si>
  <si>
    <t>IEU-331</t>
  </si>
  <si>
    <t>*Açıklama:*_x000D_
_x000D_
Entegrasyon Suit on-prem servislerimizin, uygulamamız ile aynı anda ve kontrollü şekilde senkronize olarak deploy edilebilmesini sağlamak amacıyla otomatik deploy yaklaşımı için analiz çalışması yapılacaktır._x000D_
_x000D_
Bu analiz kapsamında, mevcut  deploy süreçleri incelenecek; on-prem ortamlarda uygulanabilir otomasyon alternatifleri değerlendirilecek ve her iki ortam için ortak veya uyumlu bir deploy stratejisi önerileri sunulmalıdır._x000D_
 * Alternatif çözüm yaklaşımlarının teknik karşılaştırması,_x000D_
_x000D_
 * On-prem ve uygulama ortamları için ortak ya da uyumlu bir deploy stratejisi önerisi_x000D_
_x000D_
Bu araştırma taskı, analist ekibi tarafından yapılan mevcut çalışmaların teknik olarak doğrulanması ve kullanılan varsayım ile yöntemlerin yeniden değerlendirilmesi amacıyla açılmıştır</t>
  </si>
  <si>
    <t>Doküman incelendi ve araştırmaya başlanıldı.;23/Feb/26 4:45 PM;berrin.akan;18000</t>
  </si>
  <si>
    <t>Araştırmaya devam edildi.;26/Feb/26 4:47 PM;berrin.akan;64800</t>
  </si>
  <si>
    <t>Araştırmaya devam edildi.;26/Feb/26 4:48 PM;berrin.akan;21600</t>
  </si>
  <si>
    <t>Güncel yerinde kurulum dosyaları incelendi._x000D_
_x000D_
Agent-based yaklaşımıyla nasıl yapılabileceği. ile ilgili araştırma yapıldı.;27/Feb/26 5:03 PM;berrin.akan;21600</t>
  </si>
  <si>
    <t>Yerinde kurulum servisleri için geliştirilecek agent için loglama nasıl yapılacağı araştırıldı.;06/Mar/26 5:53 PM;berrin.akan;18000</t>
  </si>
  <si>
    <t>Teknik analiz dokümanı hazırlandı.;06/Mar/26 5:54 PM;berrin.akan;21600</t>
  </si>
  <si>
    <t>Teknik analiz dokümanı için ci/cd ile ortak deploy nasıl yapılacağına dair araştırma yapıldı._x000D_
_x000D_
gitlab-ci.yml dosyasına 2 artifact ve on prime için script eklenilmesi gerekliliği tespit edildi.;06/Mar/26 6:00 PM;berrin.akan;14400</t>
  </si>
  <si>
    <t>Otomatik ve manuel rolback konusu araştırıldı. Agent yapısında update server'ın versiyon kontrolünün,yedeklemenin, rolback konularının nasıl yapılacağı araştırıldı._x000D_
_x000D_
 ;06/Mar/26 6:18 PM;berrin.akan;21600</t>
  </si>
  <si>
    <t>Ci/cd de tag ile versiyonlama nasıl yapılacağı ile ilgili araştırma yapıldı.;10/Mar/26 5:02 PM;berrin.akan;21600</t>
  </si>
  <si>
    <t>JAR dosyalarını macos sistemlere kurmak için araştırma yapıldı.;11/Mar/26 5:16 PM;berrin.akan;21600</t>
  </si>
  <si>
    <t>Mac bilgisayarlar için yerinde kurulum servislerinin kurulabilmesi için .pkg uzantılı kurulum dosyası oluşturdu.;13/Mar/26 6:00 PM;berrin.akan;21600</t>
  </si>
  <si>
    <t>Ci/Cd versiyon süreclerinde tag ile versiyon yapılması ve loglama ile ilgili araştırma konuları için not hazırlandı.;13/Mar/26 6:03 PM;berrin.akan;18000</t>
  </si>
  <si>
    <t>Müşterilerin hangi modüllere izin verildiği ve versioynlara erişebileği netleştirmek için notlara Permission.json eklenildi. Bunun için db gerekir.;18/Mar/26 5:36 PM;berrin.akan;18000</t>
  </si>
  <si>
    <t>Mac yerinde kurulum paketine tüm servisler eklenildi.;18/Mar/26 5:37 PM;berrin.akan;14400</t>
  </si>
  <si>
    <t>IEU-337</t>
  </si>
  <si>
    <t>18/Mar/26 5:41 PM;berrin.akan;Yerinde kurulum servisleri için Agent ile otomatik kurulum araştırma.docx;http://192.168.124.186:8080/secure/attachment/16069/Yerinde+kurulum+servisleri+ic%CC%A7in+Agent+ile+otomatik+kurulum+aras%CC%A7t%C4%B1rma.docx</t>
  </si>
  <si>
    <t>0|i01f7w:</t>
  </si>
  <si>
    <t>18/Mar/26 5:43 PM;berrin.akan;[^Yerinde kurulum servisleri için Agent ile otomatik kurulum araştırma.docx]_x000D_
_x000D_
Araştırmalarım sonucunda aldığım notlar ek olacak eklenmiştir. Docx dosyasına gitlab-ci.yaml ve config dosyaları için kaydettiğim notlar eklenmemiştir. Bunlar denenip test edildikten sonra versiyon inceleme maddesine eklenilebilir.</t>
  </si>
  <si>
    <t>Sprint planlama toplantısına katılındı.;06/Mar/26 5:52 PM;berrin.akan;3600</t>
  </si>
  <si>
    <t>Mobil uygulama backlog toplantısına katılındı._x000D_
_x000D_
Chatbot yaygınlaştırılması ve crm entegrasyonu ile ilgili kordinasyon toplantısı yapıldı.;06/Mar/26 5:57 PM;berrin.akan;7200</t>
  </si>
  <si>
    <t>On prime uygula otomatik deploy edilmesi hakkında toplantı yapıldı._x000D_
_x000D_
Entegrasyon suite backlog refinement toplantısına katılındı.;06/Mar/26 6:02 PM;berrin.akan;5400</t>
  </si>
  <si>
    <t>e-Saklama süreçlerine ait mevcut kod yapısının okunabilirliğini, sürdürülebilirliğini ve performansını artırmak amacıyla code refactoring çalışması yapılacaktır. Bu kapsamda mevcut kod gözden geçirilerek tekrar eden ve gereksiz kod blokları düzenlenecek, sistem kararlılığı korunarak iyileştirme sağlanacaktır. Çalışma fonksiyonel değişiklik içermemektedir.</t>
  </si>
  <si>
    <t>Token işlemleri ve şifre değişiklikleri için dll yazıldı._x000D_
_x000D_
Eklenen tablolar;_x000D_
_x000D_
CST_USER_TOKEN_x000D_
GV_KULLANICI_PASSHISTORY_x000D_
GV_KULLANICI_PASSTOKEN_x000D_
_x000D_
Eklenen Spler:_x000D_
_x000D_
sp_Token_Insert_x000D_
sp_Token_GetByToken_x000D_
sp_Token_DeactiveUserTokens_x000D_
sp_Token_MarksAsDeleted_x000D_
sp_Token_GetTokenByUserId_x000D_
_x000D_
Endpointlere yapılan isteklerde token + session kontrolleri eklendi._x000D_
_x000D_
Captcha eklendi._x000D_
_x000D_
Giriş başarılı olması durumunda token tanımlaması yapıldı ve 30dk süre tanımlandı._x000D_
Tokensiz işlem yapılması engellendi._x000D_
_x000D_
Şifre değişiklikleri benzersiz token oluşturarak işlem sağlatıldı. 20 dakika ve tek kullanımlık olması son 3 şifrenin ve mevcut şifrenin girilememesi ve en az 8 karakter, en az 1 büyük 1 küçük harf, en az 1 özel karakter ve en az 1 rakam kullanım zorunluluğu sağlandı._x000D_
_x000D_
Şifre hatırlat alanı kullanıcı adı ile işlem yapılması sağlandı._x000D_
_x000D_
 ;11/Mar/26 5:17 PM;batikan.ozturk;162000</t>
  </si>
  <si>
    <t>Fortify taraması yapıldı._x000D_
_x000D_
Testten dönen bulgular düzenlendi.;12/Mar/26 3:59 PM;batikan.ozturk;32400</t>
  </si>
  <si>
    <t>0|i01fe0:</t>
  </si>
  <si>
    <t>ES Sprint 2026/9-10</t>
  </si>
  <si>
    <t>ES Sprint 2026/11-12</t>
  </si>
  <si>
    <t>0|i01fdw:</t>
  </si>
  <si>
    <t>EFT-2405</t>
  </si>
  <si>
    <t>Gib duyurusunda belirtilen kılavuzlar hakkında ekiple toplantı yapıldı.;18/Mar/26 6:09 PM;hamza.ceylan;14400</t>
  </si>
  <si>
    <t>0|i01bzc:</t>
  </si>
  <si>
    <t>EFT Sprint 2026/13-14</t>
  </si>
  <si>
    <t>EFT-2404</t>
  </si>
  <si>
    <t>0|i01bxr:hzy7</t>
  </si>
  <si>
    <t>EFT-2403</t>
  </si>
  <si>
    <t>emre.yilmaz</t>
  </si>
  <si>
    <t>0|i01bxr:j0i</t>
  </si>
  <si>
    <t>EFT-2402</t>
  </si>
  <si>
    <t>cem.kara</t>
  </si>
  <si>
    <t>0|i01byi:</t>
  </si>
  <si>
    <t xml:space="preserve">Konnektör - Nace Kodu - 555 İstisna </t>
  </si>
  <si>
    <t>16.03.2026 tarihinde açıklanan duyuru ile birlikte efatura'da aşağıdaki alanlar güncellenmiştir; _x000D_
_x000D_
(i)Güncellemeler GİB tarafından *01.04.2026* tarihi itibarıyla devreye alınacaktır. Bu kapsamda yansıtma faturaları, demirbaş satış faturaları gibi faaliyet koduna karşılık gelen KDV oranı ile fatura düzenlenememesi durumlarında seçilebilecek "555-KDV Oran Kontrolüne Tabi Olmayan Satışlar" kodu eklenmiştir._x000D_
_x000D_
1) InvoiceTypeCodeCheck güncellendi._x000D_
_x000D_
2) TaxExemptionReasonCodeType güncellendi._x000D_
_x000D_
3) TaxExemptionReasonCodeCheck güncellendi._x000D_
_x000D_
4) DemirbasKDVTaxExemptionCheck eklendi._x000D_
_x000D_
 _x000D_
_x000D_
eFatura Paketi, UBL-TR (Kod Listeleri) Kılavuzu ve UBL-TR1.2.1_Paketi güncellenmiştir._x000D_
_x000D_
 </t>
  </si>
  <si>
    <t>0|i01bxr:hzy3zzr</t>
  </si>
  <si>
    <t>Veritabanına Yeni Mükellef Detay Tablosu Eklenecektir._x000D_
_x000D_
*Daha önce gönderilen resmi yazımız ekinde yer alan tablodaki faaliyet kodu karşılığındaki istisna kodu kontrolü yapılmayacaktır.Eski yapılan veritabanı çalışmalarında açılan tabloda ki istisna kodu kolonu kaldırılacaktır.* _x000D_
_x000D_
INV_ACTIVITYINFO bu tabloda ki ACTIVITYEXEMPTIONCODE kolonu kaldırılacaktır.</t>
  </si>
  <si>
    <t>Servisten direk almak yerine günde 1 kere bir tabloya belli verilerin alınması adına tablo ve spler açıldı. Windows servis üzerinde metot eklemesi yapıldı.;17/Mar/26 5:20 PM;mert.tanel;19800</t>
  </si>
  <si>
    <t>GIB servisinden gelen verilere göre yeni db tablosu oluşturma işlemi ve bu bilgilerin kontrol edilebilmesi için gerekli kontroller yapıldı.;18/Mar/26 4:59 PM;cem.kara;32400</t>
  </si>
  <si>
    <t>GIB servisinden gelen verilere göre yeni db tablosu oluşturma işlemi ve bu bilgilerin kontrol edilebilmesi için gerekli kontroller yapıldı.;18/Mar/26 5:41 PM;emre.yilmaz;32400</t>
  </si>
  <si>
    <t>18/Mar/26 8:39 AM;elvan.gurler;NAce kodu ve KDV oranları.xlsx;http://192.168.124.186:8080/secure/attachment/16064/NAce+kodu+ve+KDV+oranlar%C4%B1.xlsx</t>
  </si>
  <si>
    <t>0|i01bxr:hzy8</t>
  </si>
  <si>
    <t xml:space="preserve">WebServis - Nace Kodu - 555 İstisna </t>
  </si>
  <si>
    <t>0|i01bxr:hzy3zzi</t>
  </si>
  <si>
    <t xml:space="preserve">Portal - Nace Kodu - 555 İstisna </t>
  </si>
  <si>
    <t>GİB tarafından paylaşılmış olan 555 KDV istisnası dokümanları üzerinden çalışma yapılacaktır.</t>
  </si>
  <si>
    <t>Portal üzerinde nace kodu ve 555 istisna kodu geliştirmesi hakkında incelemeler yapıldı.;17/Mar/26 5:22 PM;cem.kara;7200</t>
  </si>
  <si>
    <t>Portal üzerinde nace kodu ve 555 istisna kodu geliştirmesi hakkında incelemeler yapıldı.;17/Mar/26 5:22 PM;emre.yilmaz;7200</t>
  </si>
  <si>
    <t>0|i01bxr:hzy3zzk</t>
  </si>
  <si>
    <t>16.03.2026 tarihinde açıklanan duyuru ile birlikte efatura'da aşağıdaki alanlar güncellenmiştir; _x000D_
_x000D_
(i)Güncellemeler GİB tarafından *01.04.2026* tarihi itibarıyla devreye alınacaktır. Bu kapsamda yansıtma faturaları, demirbaş satış faturaları gibi faaliyet koduna karşılık gelen KDV oranı ile fatura düzenlenememesi durumlarında seçilebilecek "555-KDV Oran Kontrolüne Tabi Olmayan Satışlar" kodu eklenmiştir._x000D_
_x000D_
1) InvoiceTypeCodeCheck güncellendi._x000D_
_x000D_
2) TaxExemptionReasonCodeType güncellendi._x000D_
_x000D_
3) TaxExemptionReasonCodeCheck güncellendi._x000D_
_x000D_
4) DemirbasKDVTaxExemptionCheck eklendi._x000D_
_x000D_
 _x000D_
_x000D_
eFatura Paketi, UBL-TR (Kod Listeleri) Kılavuzu ve UBL-TR1.2.1_Paketi güncellenmiştir._x000D_
_x000D_
 </t>
  </si>
  <si>
    <t>GİB tarafından yayınlanan yeni paket üzerinde ekip içi görüşme yapılarak incelemeler yapıldı.;17/Mar/26 5:22 PM;cem.kara;7200</t>
  </si>
  <si>
    <t>GİB tarafından yayınlanan yeni paket üzerinde ekip içi görüşme yapılarak incelemeler yapıldı.;17/Mar/26 5:22 PM;emre.yilmaz;7200</t>
  </si>
  <si>
    <t>17/Mar/26 8:56 AM;atakan.akyildiz;UBLTR_1.2.1_Kilavuzlar.zip;http://192.168.124.186:8080/secure/attachment/16056/UBLTR_1.2.1_Kilavuzlar.zip</t>
  </si>
  <si>
    <t>17/Mar/26 8:56 AM;atakan.akyildiz;UBLTR_1.2.1_Paketi.zip;http://192.168.124.186:8080/secure/attachment/16057/UBLTR_1.2.1_Paketi.zip</t>
  </si>
  <si>
    <t>17/Mar/26 8:56 AM;atakan.akyildiz;e-FaturaPaketi.zip;http://192.168.124.186:8080/secure/attachment/16055/e-FaturaPaketi.zip</t>
  </si>
  <si>
    <t>0|i01bxr:hzy3zy</t>
  </si>
  <si>
    <t>Fatura gönderim süreçlerinde kullanılan faturagonder,faturagonder2,ublfaturagonder,ublfaturagonder2,ublfaturagonder3 web servis metotlarında, KDV oranı %0 olan faturalara sistem tarafından TaxExemptionReasonCode alanıboşsa sistemde uyarı verilmelidir. _x000D_
_x000D_
Fatura tipi SATIŞ ise. _x000D_
 &lt;cac:TaxTotal&gt;_x000D_
 &lt;cbc:TaxAmount currencyID="TRY"&gt;0.00&lt;/cbc:TaxAmount&gt;_x000D_
 &lt;cac:TaxSubtotal&gt;_x000D_
 &lt;cbc:TaxableAmount currencyID="TRY"&gt;1.00&lt;/cbc:TaxableAmount&gt;_x000D_
 &lt;cbc:TaxAmount currencyID="TRY"&gt;0.00&lt;/cbc:TaxAmount&gt;_x000D_
 &lt;cbc:CalculationSequenceNumeric&gt;2&lt;/cbc:CalculationSequenceNumeric&gt;_x000D_
 &lt;cbc:Percent&gt;0.00&lt;/cbc:Percent&gt;_x000D_
 &lt;cac:TaxCategory&gt;_x000D_
 &lt;cbc:TaxExemptionReasonCode&gt;351&lt;/cbc:TaxExemptionReasonCode&gt;_x000D_
 &lt;cbc:TaxExemptionReason&gt;İstisna Olmayan Diğer&lt;/cbc:TaxExemptionReason&gt;_x000D_
_x000D_
KDV oranı 0 ise {{TaxExemptionReasonCode}} etiketinde geçerli bir istisna kodu bulunmalıdır.</t>
  </si>
  <si>
    <t>faturagonder ve ublfaturagonder metotları için gerekli kontroller eklendi._x000D_
local ortamda test işlemleri yapıldı.;13/Mar/26 4:48 PM;cem.kara;7200</t>
  </si>
  <si>
    <t>Geliştirmeler kontrol edilerek local ortamda testleri yapıldı._x000D_
Test ortama deploy atıldı.;16/Mar/26 4:58 PM;cem.kara;3600</t>
  </si>
  <si>
    <t>Geliştirmeler kontrol edilerek local ortamda testleri yapıldı._x000D_
 Test ortama deploy atıldı.;16/Mar/26 5:07 PM;emre.yilmaz;3600</t>
  </si>
  <si>
    <t>0|i01dt4:zzw</t>
  </si>
  <si>
    <t>IIS sunucularında bulunan uygulama dizinleri içerisinde zamanla oluşan ve uygulama tarafından kullanılmayan dosya veya klasörler disk kullanımını artırmakta ve yönetimsel karmaşıklığa neden olabilmektedir._x000D_
_x000D_
Bu kapsamda ilgili sunucularda aşağıdaki kontrollerin yapılması gerekmektedir._x000D_
h3. *Yapılması Beklenenler*_x000D_
_x000D_
IIS üzerinde çalışan uygulamaların dizinleri kontrol edilmelidir._x000D_
_x000D_
Uygulama tarafından kullanılmayan *gereksiz dosya ve klasörler* tespit edilmelidir._x000D_
_x000D_
Tespit edilen dosyalar:_x000D_
_x000D_
Uygulamadan bağımsız bir *arşiv/backup dizinine taşınmalı* veya_x000D_
_x000D_
Kullanımda olmadığı doğrulanması halinde *silinmelidir*._x000D_
_x000D_
Silme veya taşıma işlemi öncesinde gerekli *yedekleme kontrolleri* yapılmalıdır.</t>
  </si>
  <si>
    <t>Fatura için kullanılan IIS sunucularında gereksiz olan dosya veya dizinlerin uygulamadan bağımsız bir yere taşınması veya silinmesi yönünde kontroller yapılıyor. Gerekli durumlar not alınarak ekip ile paylaşılacak.;11/Mar/26 4:57 PM;cem.kara;10800</t>
  </si>
  <si>
    <t>Test ortam üzerinde IIS de bulunan örnek bir site içinden Log yolunu değiştirme üzerine deneme yapıldı.;11/Mar/26 5:03 PM;mert.tanel;3600</t>
  </si>
  <si>
    <t>226.101 Test sunucusunda log dosyalarının proje dışı bir dizine taşınması sağlandı. Canlı sunucular için değişiklikler planlı bir şekilde yapılacak._x000D_
Aşağıdaki IIS sunucularında gereksiz olan dosya ve klasörler tespit edilerek temizlendi. _x000D_
124.91-92_x000D_
123.91-92_x000D_
124.34_x000D_
123.140_x000D_
226.101;12/Mar/26 4:47 PM;cem.kara;14400</t>
  </si>
  <si>
    <t>Ekip ile birlikte test ortamında fatura tarafının kullandığı IIS site içindeki dosya temizlik çalışmaları yapıldı. Ayrıca Log dosyaları da config düzenlemeleri ile birlikte başka klasöre alındı.;12/Mar/26 4:56 PM;mert.tanel;5400</t>
  </si>
  <si>
    <t>226.101 Test sunucusunda log dosyalarının proje dışı bir dizine taşınması sağlandı. Canlı sunucular için değişiklikler planlı bir şekilde yapılacak._x000D_
 Aşağıdaki IIS sunucularında gereksiz olan dosya ve klasörler tespit edilerek temizlendi. _x000D_
 124.91-92_x000D_
 123.91-92_x000D_
 124.34_x000D_
 123.140_x000D_
 226.101;12/Mar/26 5:11 PM;emre.yilmaz;14400</t>
  </si>
  <si>
    <t>Canlı sunuculardaki log dosyalarının IIS dışına taşınması için gerekli çalışmalar yapıldı._x000D_
Yeni config dosyalarının dosyaları oluşturuldu. Geçiş için planlama yapıldı.;16/Mar/26 4:58 PM;cem.kara;10800</t>
  </si>
  <si>
    <t>Canlı sunucularımızda uygulamalarda bulunan Log dosyaları için yedekler alınarak düzenleme çalışmaları yapıldı. Bazı sunucularda yaşanan durumlar için notlar çıkarıldı. Geçiş esnasında yaşanabilecek yetki problemi için bir bilgilendirme yapılacaktır.;16/Mar/26 5:03 PM;mert.tanel;10800</t>
  </si>
  <si>
    <t>Canlı sunuculardaki log dosyalarının IIS dışına taşınması için gerekli çalışmalar yapıldı._x000D_
 Yeni config dosyalarının dosyaları oluşturuldu. Geçiş için planlama yapıldı.;16/Mar/26 5:07 PM;emre.yilmaz;10800</t>
  </si>
  <si>
    <t>0|i01bxr:j1</t>
  </si>
  <si>
    <t>EFT-2394</t>
  </si>
  <si>
    <t>Arka planda yapılan işlerin tamamlanması</t>
  </si>
  <si>
    <t>Preprod ortam test işlemleri yapıldı.;09/Mar/26 5:15 PM;hamza.ceylan;25200</t>
  </si>
  <si>
    <t>Esaklama test ve canlı ortam test işlemleri yapıldı._x000D_
_x000D_
Test işlemleri sırasında karşılaşılan bulgular iletildi._x000D_
_x000D_
İletilen bulgular sonrası yapılan düzeltmeler kontrol edildi.;11/Mar/26 5:29 PM;hamza.ceylan;64800</t>
  </si>
  <si>
    <t>Deploy öncesi ve sonrası verileri hazırlanarak kontroller sağlandı.;12/Mar/26 4:02 PM;hamza.ceylan;25200</t>
  </si>
  <si>
    <t>0|i01bxr:j6</t>
  </si>
  <si>
    <t>EFT-2393</t>
  </si>
  <si>
    <t>Windows servis Log kontrolü yapıldı. Meram ile ilgili mail gönderimi bağlantı problemleri aralıklı kopmaların devam ettiği görüldü._x000D_
_x000D_
Ekip içi görüşmeler yapıldı._x000D_
_x000D_
Giriş yöntemleri ile ilgili kod üzerinden inceleme ve bazı denemeler yapıldı. ;09/Mar/26 5:13 PM;mert.tanel;28800</t>
  </si>
  <si>
    <t>Windows servis Log kontrolleri yapıldı. E-Arşiv raporlarında alınan gib hatası ekibe iletildi. Öğleden sonra düzeldi bilgisi sonrası yapılan kontrollerde tetiklenen hatalı verilerin başarılı olduğu görüldü._x000D_
_x000D_
Ekip içi görüşme ve toplantılar yapıldı._x000D_
_x000D_
Dijital Arşiv ve Saklama Projesi - Proje İlerleme Toplantısı yapıldı.;10/Mar/26 5:04 PM;mert.tanel;7200</t>
  </si>
  <si>
    <t>Windows servis Log kontrolü yapıldı._x000D_
_x000D_
Ekip içi toplantılar yapıldı._x000D_
_x000D_
Sorentum-Türkkep e-Dönüşüm Paketi Yazılım Geliştirme Danışmanlık Hizmeti Projesi Başlangıç Toplantısına katılım sağlandı._x000D_
_x000D_
Deployment için gerekli paketler hazırlandı ve sunucuya taşındı.;11/Mar/26 5:05 PM;mert.tanel;10800</t>
  </si>
  <si>
    <t>Windows servis Log kontrolü yapıldı. Bazı schematron hataları ekibe iletildi._x000D_
_x000D_
Ekip içi görüşme ve toplantılar yapıldı._x000D_
_x000D_
Overtech tarafı ile e-arşiv rapor gönderiminde tüzel kişilerde oluşabilecek hata için kod incelemesi yapıldı.;12/Mar/26 4:58 PM;mert.tanel;14400</t>
  </si>
  <si>
    <t>Windows servis Log kontrolü yapıldı. Saklama servisindeki problem nedeniyle alınan hata ekibe iletildi._x000D_
_x000D_
Yazılım Birim toplantısı yapıldı._x000D_
_x000D_
Konnektor tarafındaki irsaliye ERP gönderim kodları incelendi.;13/Mar/26 5:04 PM;mert.tanel;12600</t>
  </si>
  <si>
    <t>Windows servis Log kontrolü yapıldı. Saklama servisinde alınan hata devam ediyor. Ekibe iletildi._x000D_
_x000D_
Toplantı ve ekip içi görüşmeler yapıldı._x000D_
_x000D_
Gib tarafından yeni yayınlanan paket içi ekip ile inceleme yapıldı. ek olarak kod kısmında bazı kontroller yapıldı.;16/Mar/26 5:01 PM;mert.tanel;12600</t>
  </si>
  <si>
    <t>Windows servis Log kontrolleri yapıldı._x000D_
_x000D_
Ekip içi görüşmeler ve toplantılar yapıldı. Gib yeni maddesi üzerine incelemeler yapıldı._x000D_
_x000D_
Yeni fatura projesi için ekip içi bilgi aktarımı yapıldı._x000D_
_x000D_
Backlog Refinement toplantısı yapıldı.;17/Mar/26 5:24 PM;mert.tanel;7200</t>
  </si>
  <si>
    <t>0|i01bxr:j4</t>
  </si>
  <si>
    <t>EFT-2392</t>
  </si>
  <si>
    <t>Ekip toplantısı yapıldı._x000D_
 Windows servis log kontrolleri yapıldı. Bir organizasyonun mail servisinde görünen hatanın devam ettiği bilgisi verildi. Gün içerisinde durum  takip edildi._x000D_
 Sprint Planlama Toplantısı e-Fatura&amp; e-Defter toplantısı yapıldı._x000D_
 Pre-prod ortama son geliştirmeler için deploy atıldı.;06/Mar/26 5:13 PM;emre.yilmaz;14400</t>
  </si>
  <si>
    <t>Ekip toplantısı yapıldı._x000D_
 Windows servis log kontrolleri yapıldı. Meram mail sunucusunda yaşanan sorun ile ilgili tekrar bilgi verildi ve yapılan düzenlemelerden sonra gün içinde takibi yapıldı. _x000D_
_x000D_
Meram için kullanılan mail sunucunun bilgileri istek üzerine ekibe iletildi._x000D_
 pre-prod ortama atılan deploy ile ilgili Hamza ile toplantı yapıldı._x000D_
_x000D_
E-Saklama sunucunda yapılan konfigürasyon işlemlerine destek verildi.;09/Mar/26 4:47 PM;emre.yilmaz;18000</t>
  </si>
  <si>
    <t>Ekip toplantısı yapıldı._x000D_
Windows servis log kontrolleri yapıldı. Meram mail sunucusunda yaşanan sorunun farklı bir hata ile devam etmekte olduğu bildirildi. Yeni alınan hata ekibe iletildi._x000D_
e-arşiv raporlarında oluşan hata ile ilgili gün içinde takibi yapıldı. düzeldiği gözlendi._x000D_
test ortamda bulunan portal, webservis, wfc servis, proxy ve Windows servisler için gereksiz olan turkkep dlllerinin temizlenme işlemi yapıldı._x000D_
Elvan ve Murat Can ile otadmin dbde fazlalık olan kayıtların temizlenmesi için toplantı yapıldı. Gerekli bilgilendirmeler yapıldı._x000D_
captcha için kullanılan ot publicparameter yapısının privateparameter ile çalışabilme durumu için inceleme yapıldı.;10/Mar/26 5:06 PM;emre.yilmaz;21600</t>
  </si>
  <si>
    <t>Ekip toplantısı yapıldı._x000D_
 Windows servis log kontrolleri yapıldı. _x000D_
 Deploy sonrası sunucuların çalışması gün içinde kontrol edildi._x000D_
 E-Arşiv Rapor Konu Hk. toplantı yapıldı.;12/Mar/26 5:11 PM;emre.yilmaz;7200</t>
  </si>
  <si>
    <t>Ekip toplantısı yapıldı._x000D_
 Windows servis log kontrolleri yapıldı. saklama servisinde görünen hata ekibe bildirildi. _x000D_
 Güncel NACE kodları hakkında gib tarafından iletilen dokümanlar incelendi._x000D_
 Yeni yayınlanan GIB kılavuzu incelendi.;16/Mar/26 5:06 PM;emre.yilmaz;10800</t>
  </si>
  <si>
    <t>Windows Log kontrolü yapıldı._x000D_
 Ekip toplantısı yapıldı._x000D_
 Backlog Refinement toplantısı yapıldı._x000D_
_x000D_
Yazılım ekibi içi görüşme yapıldı.;17/Mar/26 5:22 PM;emre.yilmaz;10800</t>
  </si>
  <si>
    <t>0|i01bxr:jc</t>
  </si>
  <si>
    <t>EFT-2391</t>
  </si>
  <si>
    <t>Ekip toplantısı yapıldı._x000D_
Windows servis log kontrolleri yapıldı. Bir organizasyonun mail servisinde görünen hatanın devam ettiği bilgisi vrildi. Gün içerisinde durum takip edildi._x000D_
Sprint Planlama Toplantısı e-Fatura&amp; e-Defter toplantısı yapıldı._x000D_
Pre-prod ortama son geliştirmeler için deploy atıldı.;06/Mar/26 5:04 PM;cem.kara;14400</t>
  </si>
  <si>
    <t>Ekip toplantısı yapıldı._x000D_
Windows servis log kontrolleri yapıldı. Meram mail sunucusunda yaşanan sorun ile ilgili tekrar bilgi verildi ve yapılan düzenlemelerden sonra gün içinde takibi yapıldı._x000D_
pre-prod ortama atılan deploy ile ilgili Hamza ile toplantı yapıldı.;09/Mar/26 4:42 PM;cem.kara;14400</t>
  </si>
  <si>
    <t>Ekip toplantısı yapıldı._x000D_
Windows servis log kontrolleri yapıldı. Meram mail sunucusunda yaşanan sorunun farklı bir hata ile devam etmekte olduğu bildirildi. Yeni alınan hata ekibe iletildi._x000D_
e-arşiv raporlarında oluşan hata ile ilgili gün içinde takibi yapıldı. düzeldiği gözlendi._x000D_
test ortamda bulunan portal, webservis, wfc servis, proxy ve Windows servisler için gereksiz olan turkkep dlllerinin temizlenme işlemi yapıldı._x000D_
Elvan ve Murat Can ile otadmin dbde fazlalık olan kayıtların temizlenmesi için toplantı yapıldı. Gerekli bilgilendirmeler yapıldı._x000D_
captcha için kullanılan ot publicparameter yapısının privateparameter ile çalışabilme durumu için inceleme yapıldı._x000D_
_x000D_
 ;10/Mar/26 4:53 PM;cem.kara;21600</t>
  </si>
  <si>
    <t>Ekip toplantısı yapıldı._x000D_
Windows servis log kontrolleri yapıldı. _x000D_
Deploy hazırlıkları yapıldı. _x000D_
Sunucularda yedekleme işlemleri yapılarak hazırlanan deploy paketleri sunuculara taşındı._x000D_
Sorentum-Türkkep e-Dönüşüm Paketi Yazılım Geliştirme Danışmanlık Hizmeti Projesi toplantısı yapıldı.;11/Mar/26 4:56 PM;cem.kara;10800</t>
  </si>
  <si>
    <t>Ekip toplantısı yapıldı._x000D_
Windows servis log kontrolleri yapıldı. _x000D_
Deploy sonrası sunucuların çalışması gün içinde kontrol edildi._x000D_
E-Arşiv Rapor Konu Hk. toplantı yapıldı.;12/Mar/26 4:48 PM;cem.kara;7200</t>
  </si>
  <si>
    <t>Ekip toplantısı yapıldı._x000D_
Windows servis log kontrolleri yapıldı. saklama servisinde görünen hata ekibe bildirildi. _x000D_
Loglarda görünen şematron hataları için incelemeler yapıldı ve sebepleri belirlendi. Gerekli düzenlemeler yapılacak._x000D_
Yazılım Birim Toplantısı yapıldı._x000D_
Mevcut maddeler ile alakalı ekip ile toplantı yapıldı.;13/Mar/26 4:48 PM;cem.kara;14400</t>
  </si>
  <si>
    <t>Ekip toplantısı yapıldı._x000D_
Windows servis log kontrolleri yapıldı. saklama servisinde görünen hata ekibe bildirildi. _x000D_
Batıkan ile toplantı yaparak saklama servisindeki hatanın sebebi ve çözüm senaryoları görüşüldü._x000D_
Güncel NACE kodları hakkında gib tarafından iletilen dökümanlar incelendi._x000D_
Yeni yayınlanan GIB klavuzu incelendi.;16/Mar/26 4:58 PM;cem.kara;10800</t>
  </si>
  <si>
    <t>Windows Log kontrolü yapıldı._x000D_
 Ekip toplantısı yapıldı._x000D_
 Backlog Refinement toplantısı yapıldı._x000D_
Yazılım ekibi içi toplantı yapıldı.;17/Mar/26 5:20 PM;cem.kara;10800</t>
  </si>
  <si>
    <t>0|i01bxr:j9</t>
  </si>
  <si>
    <t>Konu: EBASEPROD.dbo.INV_INVOICEHISTORY tablosuna ait INVOICEHISTORYID kolonunda kapasite kullanım oranının kritik seviyeye yaklaştığı tespit edilmiştir._x000D_
_x000D_
*Mevcut Durum:*_x000D_
 * Max değer: 2.147.483.647_x000D_
 * Son değer: 1.894.559.137_x000D_
 * Kalan insert kapasitesi: 252.924.510_x000D_
 * Günlük ortalama insert: ~568.000 kayıt/gün (son 7 gün ortalaması)_x000D_
_x000D_
Bu verilere göre  kolon limitine ulaşma riski bulunmaktadır._x000D_
_x000D_
*Risk:*_x000D_
 Kolon kapasitesinin dolması durumunda insert işlemleri etkilenebilir. Bunların kontrol edilmesi gerekmektedir. Tablo ile ilgili iyileştirmeler neler yapılabilir bunların çalışması yapılması gerekmektedir. _x000D_
_x000D_
*Beklenen Çalışmalar:*_x000D_
_x000D_
Kolon veri tipi kontrolü (INT → BIGINT değerlendirmesi)_x000D_
_x000D_
Insert süreçlerinin analiz edilmesi_x000D_
_x000D_
Uygulama tarafındaki bağımlılıkların incelenmesi vb. </t>
  </si>
  <si>
    <t>Yapılması gereken durum için ekip ile görüşüldü. Eski veriler ve yeni tablo oluşturma sonrası aktarım nasıl olur o görüşüldü. Bazı sorular hazırlandı. ;05/Mar/26 4:54 PM;mert.tanel;3600</t>
  </si>
  <si>
    <t>Ekip ile birlikte test ortamında Sp ler ve yeni tablo değişimi yapıldı._x000D_
_x000D_
Yapılan düzenleme sonrasında akışta bir sorun görülmedi.;13/Mar/26 5:06 PM;mert.tanel;3600</t>
  </si>
  <si>
    <t>Ekip içi bilgi aktarımları yapıldı. Test ortamdaki denemeler paylaşıldı.;17/Mar/26 5:22 PM;mert.tanel;1800</t>
  </si>
  <si>
    <t>0|i01bxr:hzy3zwi</t>
  </si>
  <si>
    <t>13/Mar/26 3:21 PM;elvan.gurler; _x000D_
_x000D_
  [dbo].[INV_DEL_INVOICEHISTORY_SP]_x000D_
   [dbo].[INV_INS_INVOICEHISTORY_SP]_x000D_
   [dbo].[INV_SEL_INVOICEHISTORY_SP]_x000D_
   [dbo].[INV_UPD_INVOICEHISTORY_SP]_x000D_
_x000D_
bu yılın başına kadar alınacak olan insert hazırlanacak order by _x000D_
_x000D_
 </t>
  </si>
  <si>
    <t xml:space="preserve">Fatura Ürünü için 2FA Fonksiyonun Aktifleştirilmesi </t>
  </si>
  <si>
    <t>*Açıklama:*_x000D_
 Fatura ürününde iki faktörlü kimlik doğrulama (2FA) özelliğinin aktif edilmesi ve mevcut altyapının güvenlik/performans açısından iyileştirilmesi.  SMS / E-posta OTP uygulamaları olacak._x000D_
_x000D_
*Kabul Kriterleri:*_x000D_
 * Sistemlerinizde yer alan parola politikasının, şifre değiştirme aşamasında kullanıcıya ait son 3 parolanın kullanılamayacağı şekilde güncellenmesi_x000D_
 ** *Şifre Kuralları (Türkkep Şartlarına Uygun)*_x000D_
 ** En az 8 *karakter*_x000D_
 En az 1 *büyük harf*, 1 *küçük harf*, 1 *rakam*, 1 *özel karakter*_x000D_
 *Kişisel bilgi* içermemeli (ad, doğum tarihi vs.) _x000D_
 *Sözlük kelimeleri* ve *ardışık diziler* yasaklanmalıdır. (örn. “123456”, “abcdef”)_x000D_
 * Çok faktörlü kimlik doğrulama (2FA) sistemlerinin kullanıcılar tarafından devre dışı bırakılamayacak şekilde zorunlu hale getirilmesi_x000D_
 * Kullanıcının her işlem için güvenlik kodu doğrulaması (CAPTCHA) eklenmesi_x000D_
 *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kilitlenmiştir. Lütfen destek ile iletişime geçiniz." mesajı gösterilir. </t>
  </si>
  <si>
    <t>0|i01bxr:j3</t>
  </si>
  <si>
    <t>*Amaç:*_x000D_
_x000D_
Fatura ürününde kullanıcı güvenliğini artırmak amacıyla 2FA doğrulama mekanizmasının devreye alınabilmesi için yapılacak araştırma taskıdır._x000D_
_x000D_
Task kapsamında 2FA altyapısının uygulanması, Login akışına 2FA adımının eklenmesi, SMS / E-posta uygulama desteklerinin araştırılması, 2FA aktivasyon &amp; deaktivasyon yönetimi, Hata ve edge-case senaryolarının ele alınması gibi konular incelenecek ve sonucuna göre geliştirme taskı açılacaktır.</t>
  </si>
  <si>
    <t>OTAdmin test ve canlı ortamlarında parametre tanımlamaları yapıldı._x000D_
 Kullanıcının belirlenen tekrarda art arda yanlış kullanıcı adı veya şifre ile girmeye çalışılması sonucunda captcha çıkması sağlandı._x000D_
 Captcha görünürlük kontrol sayısı OTAdmin üzerinden ayarlanabilecek şekilde parametrik olarak ayarlanmıştır.;04/Mar/26 5:03 PM;cem.kara;10800</t>
  </si>
  <si>
    <t>OTAdmin test ve canlı ortamlarında parametre tanımlamaları yapıldı._x000D_
Kullanıcının belirlenen tekrarda art arda yanlış kullanıcı adı veya şifre ile girmeye çalışılması sonucunda captcha çıkması sağlandı._x000D_
Captcha görünürlük kontrol sayısı OTAdmin üzerinden ayarlanabilecek şekilde parametrik olarak ayarlanmıştır.;04/Mar/26 5:05 PM;emre.yilmaz;10800</t>
  </si>
  <si>
    <t>Test ekibi tarafından iletilen durum için düzenleme yapıldı._x000D_
Captha için cookie temizleme ile ilgili sorun için inceleme ve geliştirme yapıldı.;06/Mar/26 5:03 PM;cem.kara;7200</t>
  </si>
  <si>
    <t>Test ekibi tarafından iletilen durum için düzenleme yapıldı._x000D_
 Captha için cookie temizleme ile ilgili sorun için inceleme ve geliştirme yapıldı.;06/Mar/26 5:14 PM;emre.yilmaz;7200</t>
  </si>
  <si>
    <t>Test işlemleri başarılıdır.;16/Mar/26 2:47 PM;hamza.ceylan;14400</t>
  </si>
  <si>
    <t>0|i01bxr:j2</t>
  </si>
  <si>
    <t>e-Saklama Servisi İrsaliye Entegrasyonu</t>
  </si>
  <si>
    <t>EFT-2387</t>
  </si>
  <si>
    <t>Low</t>
  </si>
  <si>
    <t>*Kullanıcı Hikayesi*_x000D_
_x000D_
Bir sistem yöneticisi olarak, Fatura modülündeki verilerin e-Saklama sistemine otomatik ve güvenli şekilde aktarılmasını istiyorum, böylece faturalar düzenli olarak saklama ortamına alınabilir ve manuel operasyona ihtiyaç duyulmadan süreçleri yürütebilirim._x000D_
_x000D_
*Açıklama*_x000D_
_x000D_
e-Saklama ürününde İrsaliye modülü için ayrı bir entegrasyon servisi geliştirilmiştir. İrsaliye kısmı servisi bağlanması gerekmektedir. Servis linki aşağıdadır;_x000D_
_x000D_
[https://192.168.126.190/webjars/swagger-ui/index.html?urls.primaryName=doc-operation-service#/]_x000D_
_x000D_
*Kabul Kriterleri*_x000D_
 # Kullanıcı belirli bir tarih öncesindeki saklama yapmak istediği irsaliyeleri için spesifik tarih belirleyebilmelidir. (Örn: GG.AA.YYYY öncesi)_x000D_
 # Sistem her gün saat 23.00 - 03:00 arası otomatik olarak çalışmalıdır._x000D_
 # Job manuel olarak tetiklenebilmelidir._x000D_
 # Başarılı ve başarısız aktarım işlemleri loglanmalıdır._x000D_
 # Hata alan kayıtlar için retry mekanizması bulunmalıdır._x000D_
 # Aynı irsaliye kaydı ikinci kez saklanmamalıdır _x000D_
 # Aktarım güvenli bağlantı üzerinden gerçekleştirilmelidir.</t>
  </si>
  <si>
    <t>0|i01c29:4</t>
  </si>
  <si>
    <t>e-Saklama Servisi Fatura Entegrasyonu</t>
  </si>
  <si>
    <t>EFT-2386</t>
  </si>
  <si>
    <t>*Kullanıcı Hikayesi*_x000D_
_x000D_
Bir sistem yöneticisi olarak, Fatura modülündeki verilerin e-Saklama sistemine otomatik ve güvenli şekilde aktarılmasını istiyorum, böylece faturalar düzenli olarak saklama ortamına alınabilir ve manuel operasyona ihtiyaç duyulmadan süreçleri yürütebilirim._x000D_
_x000D_
*Açıklama*_x000D_
_x000D_
e-Saklama ürününde Fatura modülü için ayrı bir entegrasyon servisi geliştirilmiştir. Fatura kısmı servisi bağlanması gerekmektedir. Servis linki aşağıdadır;_x000D_
_x000D_
[https://192.168.126.190/webjars/swagger-ui/index.html?urls.primaryName=doc-operation-service#/]_x000D_
_x000D_
*Kabul Kriterleri*_x000D_
 # Kullanıcı belirli bir tarih öncesindeki saklama yapmak istediği faturaları için spesifik tarih belirleyebilmelidir. (Örn: GG.AA.YYYY öncesi)_x000D_
 # Sistem her gün saat 23.00 - 03:00 arası otomatik olarak çalışmalıdır._x000D_
 # Job manuel olarak tetiklenebilmelidir._x000D_
 # Başarılı ve başarısız aktarım işlemleri loglanmalıdır._x000D_
 # Hata alan kayıtlar için retry mekanizması bulunmalıdır._x000D_
 # Aynı fatura kaydı ikinci kez saklanmamalıdır _x000D_
 # Aktarım güvenli bağlantı üzerinden gerçekleştirilmelidir.</t>
  </si>
  <si>
    <t>0|i01c29:</t>
  </si>
  <si>
    <t>Konnektörde e-Arşiv faturada fatura tipi YTBISTISNA olduğunda istisna kodu sol alt köşede yazmamaktadır.</t>
  </si>
  <si>
    <t>Konnektör YTBISTISNA Faturalarda İstisna Kodu Yazmama durumu için düzenlemeler yapıldı._x000D_
Yapılan düzenlemeler local ortamda test edildi.;25/Feb/26 4:54 PM;cem.kara;3600</t>
  </si>
  <si>
    <t>Konnektör YTBISTISNA Faturalarda İstisna Kodu Yazmam durumu için düzenlemeler yapıldı._x000D_
 Yapılan düzenlemeler local ortamda test edildi.;25/Feb/26 4:58 PM;emre.yilmaz;3600</t>
  </si>
  <si>
    <t>Benzer durum güncelleme sayfasında da yapılması gerektiği iletildi._x000D_
Gerekli düzenlemeler yapıldı.;03/Mar/26 4:47 PM;cem.kara;3600</t>
  </si>
  <si>
    <t>Benzer durum güncelleme sayfasında da yapılması gerektiği iletildi._x000D_
 Gerekli düzenlemeler yapıldı.;03/Mar/26 5:14 PM;emre.yilmaz;3600</t>
  </si>
  <si>
    <t>Test ekibine iletilen setup hakkında yaşanan sorun ile ilgili inceleme yapıldı._x000D_
sorun giderildikten sonra yeni setup test ekibine iletildi.;09/Mar/26 4:41 PM;cem.kara;3600</t>
  </si>
  <si>
    <t>Test ekibine iletilen setup hakkında yaşanan sorun ile ilgili inceleme yapıldı._x000D_
 sorun giderildikten sonra yeni setup test ekibine iletildi.;09/Mar/26 4:46 PM;emre.yilmaz;3600</t>
  </si>
  <si>
    <t>20/Feb/26 3:43 PM;elvan.gurler;Resim8.png;http://192.168.124.186:8080/secure/attachment/15931/Resim8.png</t>
  </si>
  <si>
    <t>0|i01f9g:</t>
  </si>
  <si>
    <t>*Amaç:*_x000D_
_x000D_
TÜBİTAK ücretli sürümü kapsamında sunulan API v2.4 POC’nin mevcut durumunun detaylı olarak analiz edilmesi ve olası bir paket değişikliğinin sistemimiz üzerindeki etkilerinin değerlendirilmesi amaçlanmaktadır._x000D_
_x000D_
Bu kapsamda;_x000D_
 * Olası versiyon değişikliklerinin sistemin üzerindeki etkilerinin belirlenmesi,_x000D_
_x000D_
 * Sistemimiz açısından riskli alanların ve bağımlılıkların tespit edilmesi,_x000D_
_x000D_
 * İlgili API v2.4 POC paketinin teknik açıdan test edilmesi,_x000D_
_x000D_
 * Canlı geçişinde ortaya çıkabilecek potansiyel sorunların önceden öngörülmesi,_x000D_
_x000D_
 * TÜBİTAK kaynaklı olarak daha önce karşılaşılan veya karşılaşılması muhtemel durumların  tespit edilmesi_x000D_
_x000D_
hedeflenmektedir._x000D_
_x000D_
 *Licence Expire Date: 22.03.2026 -&gt;* Bu tarihe kadar testler tamamlanmış olmalı_x000D_
_x000D_
JAVA için; +[https://safirdepo.b3lab.org/baglanti-paylasimi/PuZ9v3tf3gFnKqspiITEJbs9W9Tqavkh]+_x000D_
 .NET için; +[https://safirdepo.b3lab.org/baglanti-paylasimi/FJa2kpVHvWiEMBk4tw1n5fLE0RIK8Zqc]+</t>
  </si>
  <si>
    <t>2.4 versiyonu ile ilgili yayınlanan dll paketi ve lisans.xml üzerine kodda düzenlemeler yapıldı._x000D_
_x000D_
certval-policy xml lerinde düzenleme yapıldı. log4net dll yükseltildi. _x000D_
_x000D_
Yapılana denemeler sonucunda bazı hatalar alındı. Ekip içi incelemeler ve denemeler yapıldı._x000D_
_x000D_
Bazı hatalar aşılsa da tam bir ilerleme sağlanamadı. İncelemeler devam edecek.;19/Jan/26 4:56 PM;mert.tanel;16200</t>
  </si>
  <si>
    <t>Yeni dll dosyaları projeye dahil edildi._x000D_
_x000D_
İlişkili kütüphane versiyon ayarlaması yapıldı. (log4net)_x000D_
_x000D_
Ekip içi görüşmeler yapıldı._x000D_
_x000D_
Test ortam üzerinde denemeler yapıldı._x000D_
_x000D_
certval-policy düzenlemesi yapıldı. ;19/Jan/26 4:59 PM;batuhan.tufan;12600</t>
  </si>
  <si>
    <t>Lisans konusunda yazılım ekibi ile toplantı yapılarak kod incelemeleri ve test ortamda düzenlemeleri yapıldı.;19/Jan/26 5:01 PM;cem.kara;10800</t>
  </si>
  <si>
    <t>Api servis istekleri ile imzalama ve doğrulama işlemleri bu sefer de koda entegre edildi._x000D_
_x000D_
Kod test ortama aktarıldı. Sonrasında ekip ile birlikte toplu bir gönderim işlemi gerçekleştirildi._x000D_
_x000D_
İmzalama esnasında alınan hatalar iletildi. Hataların nedeni ile ilgili geniş bir ekip toplantısı gerçekleştirildi. Bilgi paylaşımı yapıldı. Test ortam suit ve imza apisi üzerinden çalışmaya devam etmektedir.;20/Jan/26 4:57 PM;mert.tanel;21600</t>
  </si>
  <si>
    <t>Test ortam api ler üzerinden çalışmaya devam ediyor. Servislerin parametrelerini doğru bir şekilde yapıyı bozmadan nasıl alınabilir onun için kod incelemeler yapıldı.;21/Jan/26 5:13 PM;mert.tanel;14400</t>
  </si>
  <si>
    <t>ma3 api 2.4 versiyonu ile ilgili çalışma yapıldı. Öncelikle yeni kütüphane dll leri ve ek kütüphaneler projeye eklendi. xml config dosyalarında düzenleme yapıldı. Yapılan ilk denemelerde HSM Connection hataları alındı. İnceleme sonrasında ek düzenleme ile bu problem aşıldı. Sonrasında e-arşiv ve fatura gönderim senaryoları test edildi. Bir Warn basmasına rağmen başarılı gönderim yapıldığı görüldü. Bunun üzerine e-arşiv rapor gönderimi üzerine denemeler yapıldığında imza doğrulanamadı hatası alındı. Gönderilen örnek xml test ortamdan alınarak kontrol edildiğinde zaman damgası tagları ve başarılı xml de bulunan eksik taglar olduğu görüldü. ;10/Feb/26 4:57 PM;mert.tanel;28800</t>
  </si>
  <si>
    <t>Servis metotları üzerinden çalışmalar yapıldı. Yeni kurulan sunucu url i ile istekler atılması için öncelikle erişim talep edildi. Erişimler gelince denemeler yapıldı. Alınan bazı hatalar düzenlendi.;11/Feb/26 5:03 PM;mert.tanel;23400</t>
  </si>
  <si>
    <t>Crypto servis üzerinden yapılan servis gönderim parametreleri config üzerinden alınması sağlandı. Yapılan düzenleme sonrasında çıkan bazı hatalar giderildi. Fatura ve arşiv rapor gönderimleri yapıldı.;12/Feb/26 5:04 PM;mert.tanel;16200</t>
  </si>
  <si>
    <t>Canlı ortamda E-Arşiv rapor gönderimleri Crypto.P2 servisi ve CryptoXmlSigner ile yapılacağında test ortamında yapı ona göre ayarlandı. Sonrasında gönderim testleri yapıldı._x000D_
_x000D_
Verify servisi için kullanılması gereken access-token için expired olmayacak bir şifre alınması gerekmektedir.;13/Feb/26 5:04 PM;mert.tanel;16200</t>
  </si>
  <si>
    <t>Mevcutta kullanılan lisans yerine eski bir lisans üzerinden bağımlılıklarla ilgili yaşanabilecek problemleri kontrol etmek için çalışma yapıldı. Eski lisans eklendiğinde yaşanan fatura gönderimi problemleri görüldü. Bu bağları kaldırma üzerine düzenleme yapıldı. Hata giderildi. Sonrasında e-arşiv rapor gönderimi test edildi. Burada da bağımlılık kapsamlı hatalar alındı. Şimdilik test ortamı mevcut lisansa geri alındı. Bütün bağımlılıkları giderme adına çalışmalar devam edilecek.;17/Feb/26 4:58 PM;mert.tanel;14400</t>
  </si>
  <si>
    <t>Bağımlılıklardan kurtulma adına yaşanan e-arşiv rapor gönderimindeki hata ile ilgili çalışma yapıldı. Servise istek atılırken yaşanan sertifika problemi ile ilgili kod çalışması yapıldı. İlerleme kaydedildi. Diğer kodları da temizledikten sonra denemeler yapılacaktır. Sonrasında duruma göre iyileştirme çalışmaları düşünülmektedir.;18/Feb/26 4:54 PM;mert.tanel;19800</t>
  </si>
  <si>
    <t>E-arşiv rapor gönderimindeki hata ile ilgili çalışma yapıldı._x000D_
_x000D_
Sertifika problemi ile ilgili kod çalışması yapıldı._x000D_
_x000D_
İlgili yapı üzerinde incelemeler yapıldı.;18/Feb/26 4:57 PM;batuhan.tufan;19800</t>
  </si>
  <si>
    <t>İlgili yapı üzerinde incelemeler yapıldı.;19/Feb/26 5:11 PM;batuhan.tufan;21600</t>
  </si>
  <si>
    <t>Yapılan denemeler sonucunda karşılaşılan hatalarla ilgili çalışmalar yapıldı. Sorunlu kodların tespiti üzerine ekiple test ortama deploylar atılarak ve dosya içerikleri yazdırılarak kontrol devam etti. İhtiyaç durumunda ek metot taleplerimiz olabilir. Çalışmalar devam ediyor.;19/Feb/26 5:16 PM;mert.tanel;28800</t>
  </si>
  <si>
    <t>e-arşiv rapor gönderiminde alınan hata ile ilgili ekip içi kontroller sağlandı. Sonrasında ek metot ihtiyacı olduğu tespit edildi. Servis tarafına yeni bir metot yazıldı. Uygulama tarafı için de yazılan metoda entegre olundu. Yapılan denemeler sonrasında başarılı gönderim yapıldığı görüldü. ;20/Feb/26 5:05 PM;mert.tanel;28800</t>
  </si>
  <si>
    <t>Yapılan son geliştirmeler canlı ortamdaki P2 servisine ve Turkkep.Shared.CryptoXmlSigner ye göre de ayarlandı. Config isimleri ve log düzenlemeleri yapıldı. Test işlemler yapıldı. Gönderimlerin başarılı olduğu görüldü. Sertifika alma işlemi için duruma göre yeni bir yapı kurulabilir. ;23/Feb/26 4:59 PM;mert.tanel;25200</t>
  </si>
  <si>
    <t>2.4 versiyonu için yine deneme yapıldı. İmzalama işlemi bir warn yazsa da yapılıyor. Ancak e-arşiv raporlarında zaman damgası basmıyor. Bu nedenle Gib den imza doğrulanamadı hatası alınıyor. Sorun kütüphane ya da eksik bir ayar kaynaklı olabilir. Başarılı ve başarısız xml örnekleri mevcut. Ayrıca yapılan kod denemelerinde alınan hata Log dosyalarının da yedeği alındı. Akışın devam etmesi için şimdi çalışan client sistemine dönüş yapıldı.;27/Feb/26 4:56 PM;mert.tanel;19800</t>
  </si>
  <si>
    <t>Yeni versiyon ile ilgili ek bir branch da açılarak hem 2.4 versiyon hem de 2.3.11.7 versiyonu için paketler üzerinde denemeler yapıldı. Yaşanan durum ve alınan hatalar ile ilgili mail hazırlanarak ekibe iletildi. ;04/Mar/26 5:00 PM;mert.tanel;25200</t>
  </si>
  <si>
    <t>09/Jan/26 8:35 AM;atakan.akyildiz;TURKKEP.zip;http://192.168.124.186:8080/secure/attachment/15822/TURKKEP.zip</t>
  </si>
  <si>
    <t>0|i01bxr:j</t>
  </si>
  <si>
    <t>KDV oranlarının doğru kullanılabilmesi ve mükellef sicil bilgilerinin elektronik belgelerde doğru gösterilmesi amacıyla kullanıma sunulacak web servislerin sonucunda yer alan bilgilere göre gerekli kontrollerin özel entegratör sistemlerine dahil edilmesi büyük önem taşımaktadır._x000D_
_x000D_
Test Entegrasyonu Yapılacak Servisler:_x000D_
 # *Mükellefiyet Detay Getir*: Vergi kimlik numarası (VKN) veya TC kimlik numarası (TCKN) ile mükellef detaylarını sorgulama._x000D_
 # *VKN Değişiklikleri Sorgula*: Belirli bir tarihte değişikliğe uğramış VKN'leri sorgulama._x000D_
 # *Tüm Faaliyet Bilgilerini Getir*: Bir vergi numarasına ait tüm faaliyet bilgilerini getirme.(Faaliyet kodu)_x000D_
 # *Şube Adres Bilgileri Getir*: TCKN veya Vergi No ve Şube No ile şube adres bilgilerini sorgulama._x000D_
_x000D_
Eksik filtrelemeler/sorgulamalar tabloya sütun olarak eklenecektir._x000D_
_x000D_
 _x000D_
_x000D_
 _x000D_
_x000D_
 </t>
  </si>
  <si>
    <t>Portal ve web servis tarafından yeni gib servis metotlarını kullanabilmek için ara bir api servisi yazıldı. Request ve response modelleri oluşturuldu. Local ortamdan erişim problemi olduğundan test sunucunda kullanılmayan bir IIS site sine bu proje kuruldu. Servis Urlsi aşağıdaki gibidir._x000D_
_x000D_
[http://192.168.226.101:17004|http://192.168.226.101:17004/]_x000D_
_x000D_
Sonrasında ortak kullanımı sağlamak için proje içindeki Turkkep.Shared.GIB kütüphanesine istekleri yapabileceğimiz interface ve class eklemeleri yapıldı. BaseUrl bilgisi OverFrame üzerinden genel parametre olarak GibApiProviderUrl eklendi. Test ve canlıda bu url değişim gösterecektir._x000D_
_x000D_
Yazılan metot için portal üzerinden bir deneme yapıldı. Konunun netleşmesi halinde operasyon metotları ve gerekli düzenlemeler yapılacaktır._x000D_
_x000D_
 ;04/Dec/25 5:10 PM;mert.tanel;28800</t>
  </si>
  <si>
    <t>Uygulamamız tarafından yeni gib servis metotlarını kullanabilmek için incelemeler yapıldı._x000D_
_x000D_
Uygulamamız içerisinden ortak kullanımı sağlamak için proje içinde istekleri yapabileceğimiz interface ve class eklemeleri yapıldı._x000D_
_x000D_
BaseUrl bilgisi OverFrame üzerinden genel parametre olarak GibApiProviderUrl eklendi. Test ve canlıda bu url değişim gösterecektir._x000D_
_x000D_
Yazılan metot için portal üzerinden bir deneme yapıldı.;04/Dec/25 5:12 PM;batuhan.tufan;25200</t>
  </si>
  <si>
    <t>Konu ile ilgili kdv ve istisna verilerinin alınması adına inceleme yapıldı. Bu verilerin iletilen excel kısmını düzenleme adına ekip ile görüşüldü. Adres kısmı için de inceleme yapıldı. Farklı yerlerden gelen verileri nasıl kullanabiliriz diye kod kısmında kontrol sağlandı.;09/Dec/25 5:29 PM;mert.tanel;18000</t>
  </si>
  <si>
    <t>Kdv ve istisna kod kontrollerini yapabilmek adına tablo ve Sp oluşturma çalışmaları yapıldı._x000D_
_x000D_
Buna ait model oluşturuldu._x000D_
_x000D_
Farklı senaryolardaki gönderimlerin kontrollerinin yapılacağı bir class oluşturuldu._x000D_
_x000D_
Metotlardaki çalışmalar devam ediyor._x000D_
_x000D_
Servis test edildiğinde karşılaştığımız çoklu faaliyet kodu ve adres bilgileri gibi problemler ekibe aktarıldı._x000D_
_x000D_
 ;11/Dec/25 5:28 PM;mert.tanel;25200</t>
  </si>
  <si>
    <t>İnceleme çıktıları ile ilgili ekip içi görüşme sağlandı._x000D_
_x000D_
Faaliyet Koduna göre Kdv ve İstisna verilerinin nasıl tutulacağına dair inceleme yapıldı._x000D_
_x000D_
Portal ve WebServis tarafından fatura kalemlerine ait kontrollerin yapılması için incelemeler yapıldı. _x000D_
_x000D_
Kontrollerin sağlanabilmesi için çalışma yapıldı.;11/Dec/25 5:29 PM;batuhan.tufan;21600</t>
  </si>
  <si>
    <t>Operasyon metotları oluşturuldu. Portal, Web servis ve ubl gönderimleri için kontroller eklendi._x000D_
_x000D_
Gönderici vkn değerini parametre olarak almak için geliştirmeler yapıldı._x000D_
_x000D_
Servisi herhangi biri durumda devre dışı bırak adına parametre eklemesi yapıldı.(IsGibActivityServiceActive)_x000D_
_x000D_
Faaliyet kodlarının alınması için hazırlanan tablo ve servisler test ortamda aktif edildi._x000D_
_x000D_
Deneme amaçlı bir kayıt eklendi. Kdv ve İstisna kodları hazır olduğunda tabloya veriler işlenecek._x000D_
_x000D_
Sorunlu durumlar için ekip ile görüşme yapıldı.;12/Dec/25 5:12 PM;mert.tanel;28800</t>
  </si>
  <si>
    <t>Portal, Web servis ve ubl gönderimleri için kontroller eklendi._x000D_
_x000D_
Ortak kullanım metotları yapıldı._x000D_
_x000D_
Kullanımlar için Overframe tarafında parametreler tanımlandı._x000D_
_x000D_
Servis modelleri yapıldı.;12/Dec/25 5:14 PM;batuhan.tufan;21600</t>
  </si>
  <si>
    <t>Servis ile ilgili incelemeler yapıldı._x000D_
_x000D_
Servis ile müşterilerin kontrolü için worker üzerinde inceleme yapıldı._x000D_
_x000D_
Ekip içi görüşme yapıldı.;15/Dec/25 5:24 PM;batuhan.tufan;12600</t>
  </si>
  <si>
    <t>Müşteri listesini aldıktan sonra _x000D_
_x000D_
[http://192.168.226.101:17004/api/mukellefiyetDetayGetir] metodu ile gelen Unvan, Ad, Soyad ,vkn ve tckn değişiklileri var ise kontrol edip güncellenmesi için bir worker yazıldı._x000D_
_x000D_
Günde 1 kere çalışacak şekilde ayarlandı. Test ortamına aktarıldı.;15/Dec/25 5:25 PM;mert.tanel;25200</t>
  </si>
  <si>
    <t>IsGibActivityServiceActive parametresi GibActivityWorker a da eklendi. Görüşme üzerine VKN, TCKN güncellemede problem yaşanması öngörüldüğü için önceki güncellemelerin içinden çıkarıldı._x000D_
_x000D_
Düzenleme test ortamına aktarıldı. Test ortamda sabah 9.30 da başlayacak şekilde ayarlandı.;16/Dec/25 5:10 PM;mert.tanel;9000</t>
  </si>
  <si>
    <t>GibAvtivityApi için test ve canlı servis url düzenlemeleri yapıldı._x000D_
_x000D_
Test : [http://192.168.226.101:17005|http://192.168.226.101:17005/]_x000D_
_x000D_
Canlı : [http://192.168.124.92:15450|http://192.168.124.92:15450/]_x000D_
_x000D_
IIS de site ve Application Pool da düzenleme yapıldı._x000D_
_x000D_
OverFrame üzerinden parametreler düzenlendi._x000D_
_x000D_
KDV ve İstisna kodları için tablo verileri bekleniyor. Ayrıca çoklu faaliyet kodu problemi ile ilgili sorun devam ediyor. Haber bekleniyor._x000D_
_x000D_
 ;17/Dec/25 5:38 PM;mert.tanel;16200</t>
  </si>
  <si>
    <t>GibApiProviderUrl domain adlarına göre düzenlenerek Overframe de güncellendi._x000D_
_x000D_
Test : [http://srvankeftest:17005|http://srvankeftest:17005/]_x000D_
_x000D_
Prod : [http://srvebasewsprd2.turkkep.local:15450|http://srvebasewsprd2.turkkep.local:15450/]_x000D_
_x000D_
 ;19/Dec/25 5:18 PM;mert.tanel;3600</t>
  </si>
  <si>
    <t>Sicil servisi hakkında yapılan geliştirmelerin üzerinden geçildi.;17/Mar/26 5:23 PM;cem.kara;3600</t>
  </si>
  <si>
    <t>Sicil servisi hakkında yapılan geliştirmelerin üzerinden geçildi.;17/Mar/26 5:23 PM;emre.yilmaz;3600</t>
  </si>
  <si>
    <t>03/Dec/25 11:33 AM;atakan.akyildiz;Test Servis Bilgileri.pdf;http://192.168.124.186:8080/secure/attachment/15757/Test+Servis+Bilgileri.pdf</t>
  </si>
  <si>
    <t>0|i01bxr:hzy4</t>
  </si>
  <si>
    <t>EFT Sprint 2025/51-52</t>
  </si>
  <si>
    <t>KDV oranlarının doğru kullanılabilmesi ve mükellef sicil bilgilerinin elektronik belgelerde doğru gösterilmesi amacıyla kullanıma sunulacak web servislerin sonucunda yer alan bilgilere göre gerekli kontrollerin özel entegratör sistemlerine dahil edilmesi büyük önem taşımaktadır._x000D_
_x000D_
Canlıya Alınacak Servisler:_x000D_
 # *Mükellefiyet Detay Getir*: Vergi kimlik numarası (VKN) veya TC kimlik numarası (TCKN) ile mükellef detaylarını sorgulama._x000D_
 # *VKN Değişiklikleri Sorgula*: Belirli bir tarihte değişikliğe uğramış VKN'leri sorgulama._x000D_
 # *Tüm Faaliyet Bilgilerini Getir*: Bir vergi numarasına ait tüm faaliyet bilgilerini getirme.(Faaliyet kodu)_x000D_
 # *Şube Adres Bilgileri Getir*: TCKN veya Vergi No ve Şube No ile şube adres bilgilerini sorgulama._x000D_
_x000D_
Eksik filtrelemeler/sorgulamalar tabloya sütun olarak eklenecektir._x000D_
_x000D_
(i)(Kullanıcı adı ve şifresi ilgili eposta içinde mevcuttur)_x000D_
_x000D_
(i) Faaliyet kodlarından bazılarında özel tanımlı KDV oranları olabilir, hangi faaliyet kodunun hangi KDV oranına karşılık geldiğine ilişkin doküman ektedir_x000D_
_x000D_
 _x000D_
_x000D_
 </t>
  </si>
  <si>
    <t>03/Dec/25 11:26 AM;atakan.akyildiz;Ek_2.pdf_02-12-2025 10_06.pdf;http://192.168.124.186:8080/secure/attachment/15756/Ek_2.pdf_02-12-2025+10_06.pdf</t>
  </si>
  <si>
    <t>16/Mar/26 12:28 PM;atakan.akyildiz;GIB_Fatura_EK_1.pdf_13-03-2026 15_33.pdf;http://192.168.124.186:8080/secure/attachment/16053/GIB_Fatura_EK_1.pdf_13-03-2026+15_33.pdf</t>
  </si>
  <si>
    <t>16/Mar/26 12:28 PM;atakan.akyildiz;GIB_Fatura_EK_2.pdf_13-03-2026 15_35.pdf;http://192.168.124.186:8080/secure/attachment/16052/GIB_Fatura_EK_2.pdf_13-03-2026+15_35.pdf</t>
  </si>
  <si>
    <t>03/Dec/25 2:36 PM;atakan.akyildiz;GİB - Güncel Faaliyet ve Eklenen KDV Kodları Tablosu.xlsx;http://192.168.124.186:8080/secure/attachment/15761/G%C4%B0B+-+G%C3%BCncel+Faaliyet+ve+Eklenen+KDV+Kodlar%C4%B1+Tablosu.xlsx</t>
  </si>
  <si>
    <t>0|i01bxr:hzy6</t>
  </si>
  <si>
    <t>TÜRKKEP E-Belge sistemine ilk aktivasyon için girildiğinde mükellefin e-imza ve mali mührünün sertifika +başlangıç ve bitiş+ tarihlerinin "Bağlantıyı Kontrol Et" ile tetiklenip alınması gerekiyor. e-İmza/Mali mühür tarihleri geçen kullanıcılar için "Gönder" butonununa tıklandığında kullanıcıya tarihin geçtiği, yenilenmesi gerektiği bilgisi, mesajı gösterilmeli._x000D_
_x000D_
Müşterilerim altında başlangıç ve bitiş tarihleri gösterilecek, müşteri bunun takibini yapabilecek_x000D_
_x000D_
Bitiş tarihleri yaklaşan kullanıcılara sırasıyla 90, 60, 30 ve 7 gün kala hatırlatma mailleri gönderilmeli. Böylece mükellefler bitiş tarihlerini görüp yenileme için hızlı aksiyon alabilirler. Yeniden satın alma yapabilir veya onay esnasında zaman kaybı olmadan uyarı ile farkına varıp yenileme aksiyonunu hızlandırabilir._x000D_
_x000D_
Kullanıcılara ayda bir token kontrolü yapılmalı. Tokenı güncellenmiş kullanıcıların güncel verileri tabloda da güncellenmeli._x000D_
_x000D_
 _x000D_
_x000D_
*Kabul Kriterleri:*_x000D_
 # Mükellef "Bağlantıyı kontrol et" tıkladığında token bilgisi ile sertifika başlangıç&amp;bitiş tarihlerinin alınması (CST_SMARTCARDINFO tablosu)_x000D_
 # Tarihi geçmiş mükellefe hata mesajı gösterilmesi_x000D_
 # Bitiş tarihi geçmiş kullanıcılara doğrulaması yapılacak ve tarihlerin güncellenmesi sağlanacak</t>
  </si>
  <si>
    <t>0|i01c29:i</t>
  </si>
  <si>
    <t>EDF-826</t>
  </si>
  <si>
    <t>0|i01fpo:</t>
  </si>
  <si>
    <t>EDF Sprint 2026/13-14</t>
  </si>
  <si>
    <t>EDF-825</t>
  </si>
  <si>
    <t>0|i01fkc:</t>
  </si>
  <si>
    <t>EDF Sprint 2026/11-12</t>
  </si>
  <si>
    <t>e-Defter süreçlerine ait mevcut kod yapısının okunabilirliğini, sürdürülebilirliğini ve performansını artırmak amacıyla code refactoring çalışması yapılacaktır. Bu kapsamda mevcut kod gözden geçirilerek tekrar eden ve gereksiz kod blokları düzenlenecek, sistem kararlılığı korunarak iyileştirme sağlanacaktır. Çalışma fonksiyonel değişiklik içermemektedir.</t>
  </si>
  <si>
    <t>Token işlemleri ve şifre değişiklikleri için dll yazıldı._x000D_
_x000D_
Eklenen tablolar;_x000D_
_x000D_
CST_USER_TOKEN_x000D_
GV_KULLANICI_PASSHISTORY_x000D_
GV_KULLANICI_PASSTOKEN_x000D_
_x000D_
Eklenen Spler:_x000D_
_x000D_
sp_Token_Insert_x000D_
sp_Token_GetByToken_x000D_
sp_Token_DeactiveUserTokens_x000D_
sp_Token_MarksAsDeleted_x000D_
sp_Token_GetTokenByUserId_x000D_
_x000D_
Endpointlere yapılan isteklerde token + session kontrolleri eklendi._x000D_
_x000D_
Captcha eklendi._x000D_
_x000D_
Giriş başarılı olması durumunda token tanımlaması yapıldı ve 1 saat süre tanımlandı._x000D_
Tokensiz işlem yapılması engellendi._x000D_
_x000D_
Şifre değişiklikleri benzersiz token oluşturarak işlem sağlatıldı. 20 dakika ve tek kullanımlık olması son 3 şifrenin ve mevcut şifrenin girilememesi ve en az 8 karakter, en az 1 büyük 1 küçük harf, en az 1 özel karakter ve en az 1 rakam kullanım zorunluluğu sağlandı._x000D_
_x000D_
Şifre hatırlat alanı kullanıcı adı ile işlem yapılması sağlandı._x000D_
_x000D_
Servis ve portal tarafında aynı kullanıcı ile birer adet farklı tokenler alınıp servis işlemleri için servisten alınan token, portal işlemleri için login sonrası token kullanılması sağlandı._x000D_
_x000D_
edefterservice.asmx soap servisine OturumAc metotu eklendi kullanıcı bilgileriyle token alınıp diğer tüm metotların ilgili token ile çalıştırılması sağlandı._x000D_
_x000D_
ClientApp te webserviceuser ve webservicepassowrd alanları kaldırıldı kullanıcı adı ve şifre alanları eklendi yapılacak işlemlerde portal giriş bilgileri kullanılması sağlandı._x000D_
_x000D_
 ;11/Mar/26 5:15 PM;batikan.ozturk;259200</t>
  </si>
  <si>
    <t>test bulgularına istinaden düzenlemeler yapıldı;11/Mar/26 5:16 PM;batikan.ozturk;64800</t>
  </si>
  <si>
    <t>0|i01bwk:qf8qt</t>
  </si>
  <si>
    <t>EDF Sprint 2026/9-10</t>
  </si>
  <si>
    <t>*Açıklama:*_x000D_
 Defter ürününde iki faktörlü kimlik doğrulama (2FA) özelliğinin aktif edilmesi ve mevcut altyapının güvenlik/performans açısından iyileştirilmesi._x000D_
_x000D_
*Kabul Kriterleri:*_x000D_
 * Sistemlerinizde yer alan parola politikasının, şifre değiştirme aşamasında kullanıcıya ait son 3 parolanın kullanılamayacağı şekilde güncellenmesi_x000D_
 ** *Şifre Kuralları (Türkkep Şartlarına Uygun)*_x000D_
 ** En az 8 *karakter*_x000D_
 En az 1 *büyük harf*, 1 *küçük harf*, 1 *rakam*, 1 *özel karakter*_x000D_
 *Kişisel bilgi* içermemeli (ad, doğum tarihi vs.) _x000D_
 *Sözlük kelimeleri* ve *ardışık diziler* yasaklanmalıdır. (örn. “123456”, “abcdef”)_x000D_
 * Çok faktörlü kimlik doğrulama (2FA) sistemlerinin kullanıcılar tarafından devre dışı bırakılamayacak şekilde zorunlu hale getirilmesi_x000D_
 * Kullanıcının her işlem için güvenlik kodu doğrulaması (CAPTCHA) eklenmesi_x000D_
 *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bloklanmıştır. Şifre hatırlat butonu üzerinden hesabınızı aktifleştirebilirsiniz." mesajı gösterilir.</t>
  </si>
  <si>
    <t>3 başarısız girişte captcha, 5 başarısız girişte blok, her girişte sms doğrulaması eklendi.;16/Mar/26 12:51 PM;batikan.ozturk;14400</t>
  </si>
  <si>
    <t>0|i01bwk:qf8qu</t>
  </si>
  <si>
    <t>0|i01f0f:</t>
  </si>
  <si>
    <t>Oluşturulan envanter defterlerinin client tarafında imzalanabilir olması gerekmektedir.</t>
  </si>
  <si>
    <t>0|i01bwk:qfo</t>
  </si>
  <si>
    <t>0|i01bwk:qh</t>
  </si>
  <si>
    <t>Bir mükellef olarak, platforma yükleyeceğim envanter defterinin doğruluğunu kontrol etmek isterim. Böylece doğruluğundan emin olduğum belgeyi sisteme yükler ve işlemlerimin doğruluğundan emin olup sürecimi hızlandırabilirim._x000D_
_x000D_
*Kabul Kriterleri:*_x000D_
 * e-defter şematron kontrolünün benzeri envanter defter için de uygulanacak</t>
  </si>
  <si>
    <t>Analiz ve sch xsd kontrolleri yaptırıldı.;06/Feb/26 2:25 PM;batikan.ozturk;21600</t>
  </si>
  <si>
    <t>0|i01bwk:qfr</t>
  </si>
  <si>
    <t>0|i01bwk:qp</t>
  </si>
  <si>
    <t>0|i01bwk:qo</t>
  </si>
  <si>
    <t>DP</t>
  </si>
  <si>
    <t>h3. *Açıklama*_x000D_
_x000D_
Müşterilerin e-belge süreçlerinde aldıkları hata kodları (Örn: GIB kaynaklı 27, 28, 30 vb. veya sistem kaynaklı diğer hatalar) veritabanında loglanmaktadır. Destek ekibinin bu hataları proaktif olarak takip edebilmesi ve müşteri sorunlarını analiz edebilmesi için, bu logların günlük olarak derlenip, belirli bir saatte Excel formatında ilgili e-mail adresine otomatik olarak gönderilmesi gerekmektedir._x000D_
_x000D_
*Kullanıcı Hikayesi*_x000D_
_x000D_
Bir Destek Uzmanı (E-Belge Destek) olarak, Sistemde oluşan müşteri hatalarını (GIB dönüş kodları vb.) içeren günlük bir rapor almak istiyorum, Böylece müşterilerin yaşadığı problemleri toplu olarak görebilir ve gerekli müdahaleleri sabah mesai başlangıcında analiz edebilirim._x000D_
_x000D_
*Kabul Kriterleri:*_x000D_
 * *AC 1 (Zamanlama):* Raporlama servisi/job'ı her gün sabaha karşı saat *03:00*'te otomatik olarak çalışmalıdır._x000D_
_x000D_
 * *AC 2 (Veri Kapsamı):* Rapor, job'ın çalıştığı andan bir önceki günün (D-1) loglarını kapsamalıdır (Örn: Ayın 2'sinde saat 03:00'te çalışan job, Ayın 1'ine ait kayıtları getirmelidir)._x000D_
_x000D_
 * *AC 3 (Filtreleme):* Veritabanında *"Deleted"* olarak işaretlenen kayıtlar rapora *dahil edilmemelidir*._x000D_
_x000D_
 * *AC 4 (İçerik):* Raporda aşağıdaki bilgiler yer almalıdır: (enr user account)_x000D_
_x000D_
 * _x000D_
 ** Müşteri Bilgisi (VKN/TCKN, Unvan, Organizasyon)_x000D_
_x000D_
 * _x000D_
 ** Hata Kodu (Örn: 27, 28, 30, 1195 vb.)_x000D_
_x000D_
 * _x000D_
 ** Hata Mesajı / Açıklaması_x000D_
_x000D_
 * _x000D_
 ** Hata Tarihi/Saati_x000D_
 ** İptal veya Aktivasyon durumu_x000D_
_x000D_
 * *AC 5 (Format):* Rapor *Excel (.xlsx)* formatında oluşturulmalıdır._x000D_
_x000D_
 * *AC 6 (Gönderim):* Oluşturulan dosya, ebelgedestek@turkkep.com.tr adresine e-posta eki olarak gönderilmelidir._x000D_
_x000D_
 * *AC 7 (E-posta Konusu):* Mail konusu standart olmalıdır. Örn: "Günlük E-Belge Hata Yaşan Müşteriler Raporu - [DD.MM.YYYY]"_x000D_
_x000D_
SELECT _x000D_
 EU.UPDATE_DT,_x000D_
 EU.DELETED_FL,_x000D_
 EU.RESPONSECODE,_x000D_
 EU.RESPONSE_DSC,_x000D_
 CC.CUSTOMER_NM_x000D_
FROM ENR_USERACCOUNT EU_x000D_
INNER JOIN CST_CUSTOMER CC _x000D_
 ON CC.ORGANIZATION = EU.ORGANIZATION_x000D_
WHERE EU.DELETED_FL = 'N'_x000D_
AND CAST(EU.UPDATE_DT AS DATE) = CAST(GETDATE() AS DATE)_x000D_
ORDER BY EU.UPDATE_DT DESC;_x000D_
_x000D_
 </t>
  </si>
  <si>
    <t>Worker oluşturuldu._x000D_
_x000D_
Belirlenen koşullarda excel formatı hazırlandı._x000D_
_x000D_
Task scheduler a eklendi._x000D_
_x000D_
test ortama aktarıldı.;16/Mar/26 3:43 PM;batikan.ozturk;14400</t>
  </si>
  <si>
    <t>test ortamda hataların giderilmesi;18/Mar/26 1:21 PM;batikan.ozturk;3600</t>
  </si>
  <si>
    <t>İletilen excel dosya içeriği kontrol edildi.;18/Mar/26 6:09 PM;hamza.ceylan;9000</t>
  </si>
  <si>
    <t>0|i01bxr:hzy3y</t>
  </si>
  <si>
    <t>DP Sprint 2026/9-10</t>
  </si>
  <si>
    <t>DP Sprint 2026/13-14</t>
  </si>
  <si>
    <t>19/Feb/26 10:45 AM;batikan.ozturk;Merhaba,_x000D_
_x000D_
Rapor verilerini besleyecek olan sorgunun iletilmesi durumunda işlemlere başlanacaktır.</t>
  </si>
  <si>
    <t>18/Mar/26 1:20 PM;batikan.ozturk;Test ortama aktarıldı.</t>
  </si>
  <si>
    <t>e-Defter- Gelişmiş Filtreleme Alanlarının Eklenmesi</t>
  </si>
  <si>
    <t>DAVS-224</t>
  </si>
  <si>
    <t>*Açıklama:* _x000D_
_x000D_
e-Defter Entegrasyon ekranında yer alan *e-Defter* sekmelerinde, kullanıcıların listelenen defterler arasında daha kolay arama yapabilmesi ve detaylı sorgulama gerçekleştirebilmesi için gelişmiş filtreleme ve gelişmiş filtreler alanları sunulmalıdır._x000D_
_x000D_
*Gereksinim:* _x000D_
_x000D_
Kullanıcıların defterler arasında ihtiyaç duydukları kayıtlara kolay ve hızlı erişebilmeleri için sistemde gelişmiş, ortak bir filtreleme mekanizması bulunmalıdır._x000D_
_x000D_
*Filtreleme Alanları:* _x000D_
_x000D_
Ekranda aşağıdaki kriterler ile filtreleme yapılabilmelidir:_x000D_
_x000D_
 "Date tarihi" tarih aralığı ile seçim yaptırmalıdır._x000D_
_x000D_
Tarih alanlar başlangıç  ve bitiş tarihi seçerek yapılmaya imkan sağlanmalıdır. _x000D_
 * Tarih (Date) *Filtreleme*_x000D_
 * Defter Sekmesi ** *Filtreleme***_x000D_
 * Defter No *Filtreleme*_x000D_
 * Parça No *Filtreleme*_x000D_
 * Yevmiye *Gelişmiş Filtre* _x000D_
 * Yevmiye Beratı *Gelişmiş Filtre* _x000D_
 * GİB Onaylı Yevmiye Beratı *Gelişmiş Filtre* _x000D_
 * Kebir *Gelişmiş Filtre* _x000D_
 * Kebir Beratı *Gelişmiş Filtre* _x000D_
 * GİB Onaylı Kebir Beratı *Gelişmiş Filtre* _x000D_
 * Yüklenme Tarihi *Filtreleme*_x000D_
_x000D_
 _x000D_
_x000D_
 </t>
  </si>
  <si>
    <t>DAVS-218</t>
  </si>
  <si>
    <t>0|i01fpg:</t>
  </si>
  <si>
    <t>e- İrsaliye- Gelişmiş Filtreleme Alanlarının Eklenmesi</t>
  </si>
  <si>
    <t>DAVS-223</t>
  </si>
  <si>
    <t>*Açıklama:* _x000D_
_x000D_
e- İrsaliye Entegrasyon ekranında yer alan *Gelen e-İrsaliye*, *Giden* *e-İrsaliye* **sekmelerinde, kullanıcıların listelenen iletiler arasında daha kolay arama yapabilmesi ve detaylı sorgulama gerçekleştirebilmesi için gelişmiş filtreleme ve gelişmiş filtreler alanları sunulmalıdır._x000D_
_x000D_
*Gereksinim:* _x000D_
_x000D_
Kullanıcıların e-İrsaliyeler arasında ihtiyaç duydukları kayıtlara kolay ve hızlı erişebilmeleri için sistemde gelişmiş, ortak bir filtreleme mekanizması bulunmalıdır._x000D_
_x000D_
*Filtreleme Alanları:* _x000D_
_x000D_
Ekranda aşağıdaki kriterler ile filtreleme yapılabilmelidir:_x000D_
_x000D_
 "Date tarihi" tarih aralığı ile seçim yaptırmalıdır._x000D_
_x000D_
Tarih alanlar başlangıç  ve bitiş tarihi seçerek yapılmaya imkan sağlanmalıdır. _x000D_
_x000D_
*Gelen e- İrsaliye Sekmesi:*_x000D_
 * Gönderen VKN/TCKN  *Filtreleme*_x000D_
_x000D_
 * Tarih (Date) *Filtreleme*_x000D_
_x000D_
 * Gönderen Unvan *Filtreleme*_x000D_
_x000D_
 * İrsaliye Numarası *Filtreleme*_x000D_
_x000D_
 * İrsaliye  Tipi *Gelişmiş Filtre* _x000D_
_x000D_
 * İrsaliye  Senaryosu *Gelişmiş Filtre* _x000D_
 * UUID (ETTN) *Gelişmiş Filtre* _x000D_
_x000D_
*Giden*  *e- İrsaliye* *Sekmesi:*_x000D_
 * Tarih (Date) *Filtreleme*_x000D_
 * Alıcı Adı-Soyadı/Unvanı  *Filtreleme*_x000D_
 *  ** Alıcı VKN/TCKN *Filtreleme*_x000D_
 * İrsaliye Numarası *Filtreleme*_x000D_
 * İrsaliye  Tipi *Gelişmiş Filtre* _x000D_
 * İrsaliye  Senaryosu *Gelişmiş Filtre* _x000D_
 * UUID (ETTN) *Gelişmiş Filtre* _x000D_
_x000D_
 _x000D_
_x000D_
 </t>
  </si>
  <si>
    <t>0|i01fp8:</t>
  </si>
  <si>
    <t>e-Arşiv Fatura- Gelişmiş Filtreleme Alanlarının Eklenmesi</t>
  </si>
  <si>
    <t>DAVS-222</t>
  </si>
  <si>
    <t>*Açıklama:* _x000D_
_x000D_
e- Arşiv Fatura Entegrasyon ekranında yer alan *Giden e-Arşiv Fatura* sekmesinde, kullanıcıların listelenen iletiler arasında daha kolay arama yapabilmesi ve detaylı sorgulama gerçekleştirebilmesi için gelişmiş filtreleme ve gelişmiş filtreler alanları sunulmalıdır._x000D_
_x000D_
*Gereksinim:* _x000D_
_x000D_
Kullanıcıların gönderilen e- Arşiv Faturalar arasında ihtiyaç duydukları kayıtlara kolay ve hızlı erişebilmeleri için sistemde gelişmiş, ortak bir filtreleme mekanizması bulunmalıdır._x000D_
_x000D_
*Filtreleme Alanları:* _x000D_
_x000D_
Ekranda aşağıdaki kriterler ile filtreleme yapılabilmelidir:_x000D_
_x000D_
 "Date tarihi" tarih aralığı ile seçim yaptırmalıdır._x000D_
_x000D_
Tarih alanlar başlangıç  ve bitiş tarihi seçerek yapılmaya imkan sağlanmalıdır. _x000D_
_x000D_
*Gönderilen e- Arşiv FaturaSekmesi:*_x000D_
 * Tarih (Date) *Filtreleme*_x000D_
 * Alıcı Adı/Unvanı *Filtreleme*_x000D_
 * Fatura Numarası *Filtreleme*_x000D_
 * UUID (ETTN) *Gelişmiş Filtre* _x000D_
 * Fatura Tipi *Gelişmiş Filtre*  (?)_x000D_
_x000D_
 </t>
  </si>
  <si>
    <t>0|i01fp0:</t>
  </si>
  <si>
    <t>Arama Fonksiyonun Eklenmesi</t>
  </si>
  <si>
    <t>DAVS-221</t>
  </si>
  <si>
    <t>*Amaç:*_x000D_
_x000D_
Kullanıcının fazla dosyalarının arasından aradığını bulma süresini minimize etmek için geliştirilmiş arama fonksiyonu sunulmalıdır._x000D_
_x000D_
Kullanıcı henüz arama tuşuna basmadan, yazdığı kelimeye göre döküman ve klasör bazlı bir ön izleme sunarak kolayca aradığını bulması sağlanmalıdır. _x000D_
_x000D_
 _x000D_
_x000D_
*Kapsam:*_x000D_
_x000D_
Arama çubuğuna yazmaya başladığımda sonuçları kategorize edilmiş şekilde görmelidir. _x000D_
_x000D_
Doğru dokümanı veya klasörü kullanıcıya sunulmalıdır. _x000D_
_x000D_
Sonuçlar kullanıcıya "Doküman" ve "Klasör" olarak iki ana grupta sunulmalıdır. _x000D_
_x000D_
*Sıralama Algoritması:*_x000D_
_x000D_
1. İsmi tam eşleşenler en üstte._x000D_
_x000D_
2. En son güncellenen dosyalar öncelikli._x000D_
_x000D_
3. Dosya/Klasör isminin başında geçenler, ortasında geçenlere göre daha üstte listelenmeli._x000D_
_x000D_
Figma tasarımına bağlı olarak dokümanların dosya uzantısına göre (pdf, docx, ppt vb.) ilgili ikonlar sol tarafta görünmeli._x000D_
_x000D_
Klasörler için standart klasör ikonu kullanılmalı._x000D_
_x000D_
Her kategorinin sağ üstünde bulunan "Tümünü Gör" butonu, kullanıcıyı o filtre uygulanmış geniş arama sonuçları sayfasına yönlendirmelidir._x000D_
_x000D_
Kullanıcıya hızlı aksiyon sunabilmek için  bir sonuca tıklandığında doğrudan o dosya açılmalı veya o klasörün içine gidilmelidir._x000D_
_x000D_
*Figma Linki: [https://www.figma.com/design/zmW8N69hxQJeuQ470zFElI/Dev---Digital-Ar%C5%9Fiv-ve-Saklama?node-id=12647-13857&amp;t=8wSPWFLRPGhPUIf6-4]*_x000D_
_x000D_
Arama çubuğu içerisinde "Ara" (veya büyüteç ikonu) bulunmalı. Yazı yazıldığında sağ tarafta "X" (temizle) butonu çıkmalı._x000D_
_x000D_
Eşleşme bulunamadığında "Aradığınız kriterlere uygun sonuç bulunamadı" uyarısı gösterilmeli._x000D_
_x000D_
 _x000D_
_x000D_
 _x000D_
_x000D_
 _x000D_
_x000D_
 </t>
  </si>
  <si>
    <t>0|i01fos:</t>
  </si>
  <si>
    <t>Anasayfa- Gelişmiş Filtreleme Alanlarının Eklenmesi</t>
  </si>
  <si>
    <t>DAVS-220</t>
  </si>
  <si>
    <t>*Açıklama:*_x000D_
_x000D_
Anasayfa üzerinde yer alan filtreleme modalı kullanıcıların içeriklere hızlı erişimini sağlamak için sunulmalıdır. _x000D_
_x000D_
Filtreleme deneyimi ile kullanıcıların veri bulma süresini kısaltmayı ve sayfa içi etkileşimi arttırmayı hedeflenmektedir. _x000D_
_x000D_
*Kapsam:*_x000D_
_x000D_
Sidebar sağdan açılır bir şekilde kullanıcıya sunulmalıdır. _x000D_
_x000D_
Kullanıcı "Dosya aveya klasör adı" ile arama fonksiyonunu bu ekrandan da sağlayabilmelidir. _x000D_
_x000D_
"Dosya Türü", "Değişiklik Tarihi", "Uygulama İçinde Ara", "Erişim Yetkisi", "Etiket", "Boyutt" göre kullanıcı filtreleme yapabilmelidir. _x000D_
_x000D_
Uygulama İçinde Ara seçiminde kullanıcı klasör seçebilmelidir._x000D_
_x000D_
Accordion mantığıyla kullanıcılara sunulmalıdır: Tüm kategoriler defult olarak kapalı gelmelidir. Aynı anda birden fazla kategori açık kalabilmelidir. _x000D_
_x000D_
 _x000D_
_x000D_
Figma Link: https://www.figma.com/design/zmW8N69hxQJeuQ470zFElI/Dev---Digital-Ar%C5%9Fiv-ve-Saklama?node-id=4-7&amp;p=f&amp;t=8wSPWFLRPGhPUIf6-0</t>
  </si>
  <si>
    <t>0|i01fok:</t>
  </si>
  <si>
    <t>Fatura- Gelişmiş Filtreleme Alanlarının Eklenmesi</t>
  </si>
  <si>
    <t>DAVS-219</t>
  </si>
  <si>
    <t>*Açıklama:* _x000D_
_x000D_
Fatura Entegrasyon ekranında yer alan *Gelen Fatura*, *Giden Fatura* sekmelerinde, kullanıcıların listelenen iletiler arasında daha kolay arama yapabilmesi ve detaylı sorgulama gerçekleştirebilmesi için gelişmiş filtreleme ve gelişmiş filtreler alanları sunulmalıdır._x000D_
_x000D_
*Gereksinim:* _x000D_
_x000D_
Kullanıcıların Faturalar arasında ihtiyaç duydukları kayıtlara kolay ve hızlı erişebilmeleri için sistemde gelişmiş, ortak bir filtreleme mekanizması bulunmalıdır._x000D_
_x000D_
*Filtreleme Alanları:* _x000D_
_x000D_
Ekranda aşağıdaki kriterler ile filtreleme yapılabilmelidir:_x000D_
_x000D_
 "Date tarihi" tarih aralığı ile seçim yaptırmalıdır._x000D_
_x000D_
Tarih alanlar başlangıç  ve bitiş tarihi seçerek yapılmaya imkan sağlanmalıdır. _x000D_
_x000D_
*Gelen Fatura Sekmesi:*_x000D_
 * Gönderen VKN/TCKN  *Filtreleme*_x000D_
_x000D_
 * Tarih (Date) *Filtreleme*_x000D_
_x000D_
 * Gönderici Adı/ Soyadı /Unvanı *Filtreleme*_x000D_
_x000D_
 * Fatura Numarası *Filtreleme*_x000D_
_x000D_
 * Fatura Tipi *Gelişmiş Filtre* _x000D_
_x000D_
 * Fatura Senaryosu *Gelişmiş Filtre* _x000D_
 * UUID (ETTN) *Gelişmiş Filtre* _x000D_
_x000D_
*Giden Fatura Sekmesi:*_x000D_
 * Tarih (Date) *Filtreleme*_x000D_
 * Alıcı Adı-Soyadı/Unvanı  *Filtreleme*_x000D_
 * Fatura Numarası *Filtreleme*_x000D_
 * Fatura Tipi *Gelişmiş Filtre* _x000D_
 * Fatura Senaryosu *Gelişmiş Filtre* _x000D_
 * UUID (ETTN) *Gelişmiş Filtre* _x000D_
_x000D_
 _x000D_
_x000D_
 </t>
  </si>
  <si>
    <t>0|i01foc:</t>
  </si>
  <si>
    <t>Detaylı Arama ve Filtreleme</t>
  </si>
  <si>
    <t>ghx-label-1</t>
  </si>
  <si>
    <t>Arama ve Filtreleme</t>
  </si>
  <si>
    <t>0|i01fo4:</t>
  </si>
  <si>
    <t>Anımsatıcı Güncelleme ve Tekrarlama</t>
  </si>
  <si>
    <t>DAVS-217</t>
  </si>
  <si>
    <t>*Amaç:*_x000D_
_x000D_
Kullanıcının süresi geçmiş anımsatıcılar için hızlıca aksiyon almasını sağlamak ve ne yapması gerektiğini netleştirmek. _x000D_
_x000D_
Güncellemek ya da yeniden planlamak arasında kolayca seçim yapmayı sağlamak. _x000D_
_x000D_
Güncelleme ve Tekrarlama teknik olarak aynı akışa gitse de, kullanıcıyı doğru yönlendirmek için iki ayrı aksiyon olarak sunulacaktır._x000D_
_x000D_
*Kapsam:*_x000D_
_x000D_
"Güncelle" ve "Tekrarla" aksiyonları, anımsatıcı oluşturulduğu andan itibaren aktif olur ve süresi dolduktan sonra 24 saat boyunca kullanıcıya sunulmaya devam eder._x000D_
_x000D_
Kullanıcılara başlık, açıklama, tarih, saat seç, tekrarlama saati ekranı sunulmalıdır._x000D_
_x000D_
 </t>
  </si>
  <si>
    <t>Anımsatıcı Otomatik Silme Mekanizması</t>
  </si>
  <si>
    <t>DAVS-216</t>
  </si>
  <si>
    <t>*Açıklama:*_x000D_
_x000D_
Sistemde biriken geçmiş anımsatıcıların yönetilebilir kalması için, süresi dolmuş anımsatıcılar belirli bir süre sonra otomatik olarak silinmelidir._x000D_
_x000D_
*Amaç:*_x000D_
_x000D_
Kullanıcıya kaçırılan anımsatıcıyı fark etmesi için bir süre tanımak. Sistemi otomatik olarak temizleyerek liste sadeliğini korumak._x000D_
_x000D_
Süresi geçmiş anımsatıcılar 24 saat boyunca sistemde tutar ve bu süre boyunca UI'da görünmeye devam eder. _x000D_
_x000D_
24 saat geçen kayıtlar otomatik olarak silinir. _x000D_
_x000D_
 _x000D_
_x000D_
*Analiz*_x000D_
_x000D_
 _x000D_
_x000D_
*DAVS-181 içerisinde fonksiyon belirtilmiştir.*_x000D_
_x000D_
Geçmiş anımsatıcılar: (Tamamlananlar)_x000D_
_x000D_
Listede kalmaya devam eder. 24 saat sonra listeden kalkar._x000D_
_x000D_
Geçmiş anımsatıcılar UI'dan kalkabilir. Ancak DB'de saklanmalıdır. Kullanıcının bir anımsatıcı ile sorun veya şikayeti olması halinde geçmiş bir anımsatıcının kontrolünün sağlanmasına ihtiyaç duyulabilinir._x000D_
_x000D_
24 saatlik süre anımsatıcının tamamlanması lie başlar. Anımsatıcının zamanı baz alınmalıdır._x000D_
_x000D_
*Manuel Silinen* _x000D_
_x000D_
*İş Kuralı:*_x000D_
Kullanıcı tarafından silinen anımsatıcılar kullanıcı arayüzünde gösterilmemelidir._x000D_
Silinen anımsatıcı kayıtları veritabanından fiziksel olarak silinmemelidir._x000D_
Kayıtlar sistemde silinmiş (deleted) statüsünde tutulmalıdır._x000D_
Silme işlemi zamanı ve işlemi gerçekleştiren kullanıcı bilgisi sistemde saklanmalıdır._x000D_
_x000D_
*Amaç. yanlışlıkla silinen, kimin neyi ne zaman sildiğini veya raporlama denetim gibi aşamalarda süreçleri tamamen silmeyerek korumaktır.*</t>
  </si>
  <si>
    <t>0|i01cf3:8zzzzzzzzo</t>
  </si>
  <si>
    <t>Dosya içerisine Yüklenen Dosyaların Ana Klasöre Eklenmesi</t>
  </si>
  <si>
    <t>DAVS-215</t>
  </si>
  <si>
    <t>Yüklenen her dosya ve klasör direkt ana klasöre yükleniyor. Ben halbuki başka bir klasörün içindeyim ve yükleyeceğim dosya ya da klasörü direkt o klasörün içine atmak istiyorum. Ama tüm yüklemeler direkt ana klasöre düşüyor._x000D_
 * Bir klasörün içerisine bir klasör yükleme adımı sağlandığında ilgili klasörün içerisine yüklenmelidir._x000D_
 * Klasörün ana klasöre aktarılmaması gerekmektedir. _x000D_
_x000D_
Aşağıdaki görseldeki örnekteki gibi ''abc'' klasörü içerisine ''yeni klasör kopya'' klasörü yüklenmişti. Ancak  klasör ana klasör ekranına taşındı._x000D_
_x000D_
 _x000D_
_x000D_
!image-2026-03-18-11-58-28-668.png!</t>
  </si>
  <si>
    <t>18/Mar/26 10:58 AM;ceren.sertkaya;image-2026-03-18-11-58-28-668.png;http://192.168.124.186:8080/secure/attachment/16066/image-2026-03-18-11-58-28-668.png</t>
  </si>
  <si>
    <t>0|i01brq:xoi</t>
  </si>
  <si>
    <t>“Etiket Ekle” Özelliğinin Geliştirilmesi</t>
  </si>
  <si>
    <t>DAVS-214</t>
  </si>
  <si>
    <t>*Açıklama:*_x000D_
_x000D_
Kullanıcıların doküman/klasör/belge daha kolay organize edebilmesi ve filtreleyebilmesi için dosyalara etiket ekleyebilme özelliği geliştirilmelidir._x000D_
_x000D_
Eklenen etiketler daha sonra:_x000D_
 * Dosya üzerinde ve liste ekranında görüntülenmeli_x000D_
_x000D_
 * Arama ve filtreleme için kullanılabilmelidir_x000D_
_x000D_
*Kullanıcı:*_x000D_
_x000D_
Yeni bir etiket oluşturabilmeli_x000D_
_x000D_
Var olan etiketlerden seçim yapabilmelidir._x000D_
_x000D_
Bir dosyaya birden fazla etiket eklenebilmelidir._x000D_
_x000D_
Aynı etiket başka dosya/klasör/belge tekrar eklenebilmelidir. _x000D_
_x000D_
Kullanıcı etiketleri silebilmelidir._x000D_
_x000D_
*Amaç:*_x000D_
_x000D_
Dokümanların kategorize edilmesini sağlamak ve kullanıcıların dokümanlara daha hızlı erişmesini kolaylaştırmak.</t>
  </si>
  <si>
    <t>0|i01brq:xqm</t>
  </si>
  <si>
    <t>Tarayıcı İçerisinde Sayfaların Ölçeklendirilmesi (Büyüme/Küçülme Fonksiyonu)</t>
  </si>
  <si>
    <t>DAVS-213</t>
  </si>
  <si>
    <t>Tarayıcı üzerinden bir sayfanın ölçeğini %110,%125,150 ... %200 fonksiyonları ile büyütülmesi aynı şekilde küçültülmesi ile %90,%80,%70.... sayfanın kullanım yapısının bozulması. _x000D_
_x000D_
Sayfayı büyültüp veya sayfayı küçültmem halinde sayfada bulunan menü,dosyalar vb.. alanların kullanımının engellenmemesi gerekmektedir.</t>
  </si>
  <si>
    <t>0|i01cf4:i</t>
  </si>
  <si>
    <t>Çöp Kutusu Ekranları için Mevcut ve Beklenen Durumlar</t>
  </si>
  <si>
    <t>DAVS-212</t>
  </si>
  <si>
    <t>Ekteki excel içerisinde mevcut durum ve beklenen durum belirtilmektedir. _x000D_
_x000D_
Açıklama içerisinde yer alan figma tasarımındaki görselleri kontrol edebilirsiniz.</t>
  </si>
  <si>
    <t>11/Mar/26 2:21 PM;ceren.sertkaya;Cop Kutusu.xlsx;http://192.168.124.186:8080/secure/attachment/16025/Cop+Kutusu.xlsx</t>
  </si>
  <si>
    <t>0|i01brq:xiji</t>
  </si>
  <si>
    <t>DAVS Sprint 8</t>
  </si>
  <si>
    <t>Entegrasyonlar Ekranı için Mevcut ve Beklenen Durumlar</t>
  </si>
  <si>
    <t>DAVS-211</t>
  </si>
  <si>
    <t>11/Mar/26 2:21 PM;ceren.sertkaya;Entegrasyonlarım bulgular.xlsx;http://192.168.124.186:8080/secure/attachment/16026/Entegrasyonlar%C4%B1m+bulgular.xlsx</t>
  </si>
  <si>
    <t>0|i01brq:xij</t>
  </si>
  <si>
    <t>“Senin için Önerilenler” Alanında Sağ/Sol Navigasyon Oklarının Çalışması</t>
  </si>
  <si>
    <t>DAVS-210</t>
  </si>
  <si>
    <t>*Açıklama:*_x000D_
_x000D_
Dashboard ekranında yer alan *“Senin için Önerilenler”* bölümündeki doküman kartlarının yatay olarak gezilebilmesi için sağ ve sol yönlendirme oklarının çalışması gerekmektedir._x000D_
_x000D_
Kullanıcı, sağ ve sol ok butonlarını kullanarak önerilen doküman kartları arasında yatay olarak gezinmelidir. Bu sayede ekrana sığmayan dokümanlar da kullanıcı tarafından görüntülenebilir._x000D_
_x000D_
*Kabul Kriterleri:*_x000D_
 # “Senin için Önerilenler” alanında ekrana sığmayan dokümanlar olduğunda sağ ve sol navigasyon okları görünmelidir._x000D_
 # Kullanıcı sağ ok butonuna tıkladığında doküman kartları yatay olarak sağa doğru kaymalıdır ve yeni kartlar görünmelidir._x000D_
 # Kullanıcı sol ok butonuna tıkladığında doküman kartları yatay olarak sola doğru kaymalıdır._x000D_
_x000D_
*İlgili Figma Linki:* [https://www.figma.com/design/zmW8N69hxQJeuQ470zFElI/Dev---Digital-Ar%C5%9Fiv-ve-Saklama?node-id=13133-16439&amp;t=8and6086gxP1x8Jm-4] </t>
  </si>
  <si>
    <t>0|i01brq:xnk</t>
  </si>
  <si>
    <t>11/Mar/26 1:51 PM;gulnur.aka; İlgili analiz süreci başlatılabilir. [~ceren.sertkaya] [~hasan.coskun]</t>
  </si>
  <si>
    <t>Sticky Alan Davranışı</t>
  </si>
  <si>
    <t>DAVS-209</t>
  </si>
  <si>
    <t>*Açıklama:*_x000D_
_x000D_
Anasayfa ekranında kullanıcı deneyimini iyileştirmek amacıyla sticky alan davranışı uygulanacaktır._x000D_
_x000D_
Dashboard ekranında sağ alt köşede konumlanan sticky alanının davranışı güncellenecektir._x000D_
_x000D_
Kullanıcı dashboard ekranına ilk giriş yaptığında bileşen açık state olarak gösterilecektir. _x000D_
_x000D_
4sn boyunca kullanıcı bu alandaki akışı kullanmaz ise otomatik olarak ikon formuna küçülecek ve ekranın sağ alt köşesinde sticky şekilde kalacaktır._x000D_
_x000D_
Kullanıcı ikonun üzerine hover yaptığında bileşen tekrar genişleyerek açık state’e dönecektir._x000D_
_x000D_
Bu davranış kullanıcıya özelliği ilk girişte tanıtmayı ve sonrasında ekran alanını daha verimli kullanmayı amaçlamaktadır._x000D_
_x000D_
*Kabul Kriterleri:*_x000D_
 # Kullanıcı dashboard ekranına ilk girdiğinde sticky açık durum olarak görünmelidir._x000D_
 # Kullanıcın bu fonksiyonda aksiyonu yok ise 4 saniye sonra otomatik olarak ikon formuna küçülmelidir._x000D_
 # Küçülen ikon ekranın sağ alt köşesinde sticky olarak görünür kalmalıdır._x000D_
 # Kullanıcı ikonun üzerine hover yaptığında bileşen tekrar genişleyerek açık state’e geçmelidir._x000D_
 # Scroll davranışından etkilenmemeli ve sayfa scroll edilse bile sabit konumda kalmalıdır._x000D_
_x000D_
*İlgili figma linki:* [https://www.figma.com/design/zmW8N69hxQJeuQ470zFElI/Dev---Digital-Ar%C5%9Fiv-ve-Saklama?node-id=13097-19504&amp;t=8and6086gxP1x8Jm-4]_x000D_
_x000D_
 </t>
  </si>
  <si>
    <t>0|i01brq:xno</t>
  </si>
  <si>
    <t>11/Mar/26 1:48 PM;gulnur.aka; İlgili analiz süreci başlatılabilir. [~ceren.sertkaya] [~hasan.coskun]</t>
  </si>
  <si>
    <t>Dashboard Ekranları için Mevcut ve Beklenen Durumlar</t>
  </si>
  <si>
    <t>DAVS-208</t>
  </si>
  <si>
    <t>Ekteki excel içerisinde Açıklama olmayan maddeler için ilgili mevcut ve olması gereken durumlar aşağıdaki gibidir. Aynı zamanda aşağıdaki maddeler word dosyası ektedir. Madde açıklamasına içeriklerin gözükebilmesi için eklenmiştir._x000D_
_x000D_
Excel dosyası açıldığında ''Dashboard'' alanında maddeler içerisinde mevcut ve beklenen durum akışları bulunmaktadır. Bu sütunların yan alanında tasarıma yönlendiren açıklama alanı bulunmaktadır. Bazı maddelerin açıklama alanları boştur. Boş olan maddeler için word dosyası eklenmiştir._x000D_
_x000D_
 _x000D_
_x000D_
 </t>
  </si>
  <si>
    <t>11/Mar/26 2:23 PM;ceren.sertkaya;Dashboard ekranlarıxlsx.xlsx;http://192.168.124.186:8080/secure/attachment/16029/Dashboard+ekranlar%C4%B1xlsx.xlsx</t>
  </si>
  <si>
    <t>11/Mar/26 11:09 AM;ceren.sertkaya;Saklama logindashboard.docx;http://192.168.124.186:8080/secure/attachment/16023/Saklama+logindashboard.docx</t>
  </si>
  <si>
    <t>0|i01brq:xik</t>
  </si>
  <si>
    <t>Çöp Kutusu Sayfalar Arası Geçiş Dosya Adı ve Tarih Aralığı Mesafe Farkı</t>
  </si>
  <si>
    <t>DAVS-207</t>
  </si>
  <si>
    <t>Sayfalar arası geçiş sağlarken dosya adı ile tarih aralığındaki mesafe farklılık gösteriyor._x000D_
_x000D_
Dosya isimi uzun olsa dahi sayfa yapısı ve mesafelerde değişiklik olmamalıdır._x000D_
_x000D_
Dosya adı ve tarih aralığı aynı font ve boyutta olmalı, görsel bütünlük korunmalı._x000D_
_x000D_
Dosya adının sığmadığı bir durumda ''...'' kısaltılabilinir. Uzun isim dosya adının üzerine gelinerek pop up ile gösteribilinir._x000D_
_x000D_
Cop kutusu Ek-1 ve Ek-2 iki sayfa arasında mesafeyi göstermektedir._x000D_
_x000D_
 _x000D_
_x000D_
 </t>
  </si>
  <si>
    <t>10/Mar/26 10:08 AM;ceren.sertkaya;Cop kutusu Ek 1.png;http://192.168.124.186:8080/secure/attachment/16010/Cop+kutusu+Ek+1.png</t>
  </si>
  <si>
    <t>10/Mar/26 10:41 AM;ceren.sertkaya;Ornek görsel.jfif;http://192.168.124.186:8080/secure/attachment/16012/Ornek+g%C3%B6rsel.jfif</t>
  </si>
  <si>
    <t>10/Mar/26 10:08 AM;ceren.sertkaya;Çöp kutusu Ek-2.png;http://192.168.124.186:8080/secure/attachment/16011/%C3%87%C3%B6p+kutusu+Ek-2.png</t>
  </si>
  <si>
    <t>0|i01brq:xns</t>
  </si>
  <si>
    <t>Ana Sayfa Dil Kutucuğu Seçiminin Kapanmaması</t>
  </si>
  <si>
    <t>DAVS-206</t>
  </si>
  <si>
    <t>Ana sayfa içerisinde eğer dil kutucuğuna basarsanız ilgili kutu açılıyor. Ancak bir dil değişimi veya dil seçeneği seçmezseniz kapanmıyor._x000D_
_x000D_
!image-2026-03-09-20-25-29-940.png!_x000D_
_x000D_
Beklenen durum eğer kullanıcı dil seçeneği seçmez veya sayfada herhangi bir alana tıklarsa dil kutucuğu kapanmalıdır.</t>
  </si>
  <si>
    <t>09/Mar/26 7:25 PM;ceren.sertkaya;image-2026-03-09-20-25-29-940.png;http://192.168.124.186:8080/secure/attachment/16009/image-2026-03-09-20-25-29-940.png</t>
  </si>
  <si>
    <t>0|i01brq:xir</t>
  </si>
  <si>
    <t>Erişim Sekmesi ''Only you'' İfadesi Türkçeleştirilmesi</t>
  </si>
  <si>
    <t>DAVS-205</t>
  </si>
  <si>
    <t>Dosya erişimi belirten erişim sekmesinde ''only you'' ibaresini ''kişisel'' olarak güncelleyebiliriz. _x000D_
_x000D_
!image-2026-03-09-20-20-54-645.png!</t>
  </si>
  <si>
    <t>09/Mar/26 7:20 PM;ceren.sertkaya;image-2026-03-09-20-20-54-645.png;http://192.168.124.186:8080/secure/attachment/16008/image-2026-03-09-20-20-54-645.png</t>
  </si>
  <si>
    <t>0|i01brq:xnr</t>
  </si>
  <si>
    <t>Dosyalarım Alanı Boş İken Toplu İşlemler Alanı ve Yeni Klasör Ekle Alanının İç içe Gelmesi</t>
  </si>
  <si>
    <t>DAVS-204</t>
  </si>
  <si>
    <t>Uygulama içerisinde hiçbir dosya yüklü değil iken ve toplu işlemler menüsü açık iken dosya yükleme butonuna basıldığında iki alanda iç içe geçmektedir._x000D_
_x000D_
İlgili alan   !image-2026-03-09-19-59-03-377.png!_x000D_
_x000D_
 _x000D_
_x000D_
Beklenen durum tasarımdaki '' Yeni Ekle '' Butonu ve Toplu işlemler menüsü aynı şekilde yer alması halinde sorun çözümlenecektir. Tasarım Ek-1_x000D_
_x000D_
[https://www.figma.com/design/zmW8N69hxQJeuQ470zFElI/Dev---Digital-Ar%C5%9Fiv-ve-Saklama?node-id=83-16793&amp;p=f]_x000D_
_x000D_
 </t>
  </si>
  <si>
    <t>09/Mar/26 7:07 PM;ceren.sertkaya;Tasarun Ek-1png.png;http://192.168.124.186:8080/secure/attachment/16007/Tasarun+Ek-1png.png</t>
  </si>
  <si>
    <t>09/Mar/26 6:58 PM;ceren.sertkaya;image-2026-03-09-19-58-05-361.png;http://192.168.124.186:8080/secure/attachment/16006/image-2026-03-09-19-58-05-361.png</t>
  </si>
  <si>
    <t>09/Mar/26 6:59 PM;ceren.sertkaya;image-2026-03-09-19-59-03-377.png;http://192.168.124.186:8080/secure/attachment/16005/image-2026-03-09-19-59-03-377.png</t>
  </si>
  <si>
    <t>0|i01brq:xj</t>
  </si>
  <si>
    <t>Login Ekranları için Mevcut ve Beklenen Durumlar</t>
  </si>
  <si>
    <t>DAVS-203</t>
  </si>
  <si>
    <t>Ekteki excel içerisinde Açıklama olmayan maddeler için ilgili mevcut ve olması gereken durumlar aşağıdaki gibidir. Aynı zamanda aşağıdaki maddeler word dosyası ektedir. Madde açıklamasına içeriklerin gözükebilmesi için eklenmiştir._x000D_
_x000D_
Excel dosyası açıldığında ''Login'' alanında maddeler içerisinde mevcut ve beklenen durum akışları bulunmaktadır. Bu sütunların yan alanında tasarıma yönlendiren açıklama alanı bulunmaktadır. Bazı maddelerin açıklama alanları boştur. Boş olan maddeler için word dosyası eklenmiştir._x000D_
_x000D_
Kırmızı ile işaretlenen excel içerisindeki sütunları dikkate almayınız!. _x000D_
_x000D_
 _x000D_
_x000D_
 </t>
  </si>
  <si>
    <t>11/Mar/26 2:22 PM;ceren.sertkaya;Login ekranları excel 5.xlsx;http://192.168.124.186:8080/secure/attachment/16027/Login+ekranlar%C4%B1+excel+5.xlsx</t>
  </si>
  <si>
    <t>11/Mar/26 11:04 AM;ceren.sertkaya;Saklama logindashboard.docx;http://192.168.124.186:8080/secure/attachment/16021/Saklama+logindashboard.docx</t>
  </si>
  <si>
    <t>0|i01brq:xii</t>
  </si>
  <si>
    <t>Aynı İsim İle Klasör Yüklenmesi Adımı</t>
  </si>
  <si>
    <t>DAVS-202</t>
  </si>
  <si>
    <t>Açıklama_x000D_
_x000D_
“Klasör yükle” fonksiyonu kullanılarak daha önce sisteme yüklenmiş bir klasör, aynı isimle tekrar yüklendiğinde sistem yeni bir klasör kaydı oluşturmamaktadır. Bunun yerine, ilk yüklenen mevcut klasörün içeriği esas alınarak ilgili klasör içindeki PDF dosyaları tekrar çoğaltılmaktadır._x000D_
_x000D_
İşlem sürükle bırak ve yeni ekle adımından denenmiştir. İki adımda klasör çoklanmamış. Klasör içeriği çoklanmıştır._x000D_
_x000D_
*Örnek Akış*_x000D_
 • “Yeni Klasör” adında bir klasör oluşturuldu._x000D_
 • Bu klasörün içerisinde *KEP* adlı bir PDF bulunmaktadır._x000D_
 • “Gülnur” adında ikinci bir klasör oluşturuldu ve içeriği boştur._x000D_
 • Ardından “Klasör yükle” fonksiyonu ile tekrar *Yeni Klasör* yüklenmek istedim._x000D_
_x000D_
*Sonuç*_x000D_
_x000D_
Sistem mevcut dosyayı çoklamamıştır. Dosyanın içeriğindeki PDF klasörünü çoklamıştır. Yeni bir klasör kaydı oluşturulacaksa klasör ayrı bir kayıt olarak eklenmelidir, _x000D_
 Var olan klasör güncellenecekse içerik kontrollü şekilde güncellenmelidir._x000D_
 *Mevcut klasör içindeki dosyalar isimleri aynı ise tekrarlı şekilde çoğaltılmamalıdır.*_x000D_
_x000D_
 </t>
  </si>
  <si>
    <t>0|i01brq:xoc</t>
  </si>
  <si>
    <t>Toplu Seçim  Alanının Düzenlenmesi</t>
  </si>
  <si>
    <t>DAVS-201</t>
  </si>
  <si>
    <t>Uygulama içerisinde  !image-2026-03-06-17-51-07-081.png!   büyüktür ifadesi ile belirtilen ok karşılığı doğru gözükmemektedir.  Ek 3 içerisinde tam hali bulunmaktadır._x000D_
_x000D_
 _x000D_
_x000D_
-  Kullanıcı uygulamaya ilk girdiğinde  Ek 1 de belirtildiği şekilde ikonların gelmesi gerekmektedir._x000D_
_x000D_
-  Kullanıcı ''hepsini seç'' fonksiyonunu kullandığında Ek 2'deki gibi ikonların ve tümünü seç fonksiyonun ikonlarının gelmesi gerekmektedir._x000D_
_x000D_
 </t>
  </si>
  <si>
    <t>06/Mar/26 4:54 PM;ceren.sertkaya;Mecut tasarım Ek 1.png;http://192.168.124.186:8080/secure/attachment/15983/Mecut+tasar%C4%B1m+Ek+1.png</t>
  </si>
  <si>
    <t>06/Mar/26 4:54 PM;ceren.sertkaya;Mevcut Tasarım Hepsi Seç Ek 2.png;http://192.168.124.186:8080/secure/attachment/15981/Mevcut+Tasar%C4%B1m+Hepsi+Se%C3%A7+Ek+2.png</t>
  </si>
  <si>
    <t>06/Mar/26 4:54 PM;ceren.sertkaya;Uygulamada Olan Ek-3.png;http://192.168.124.186:8080/secure/attachment/15982/Uygulamada+Olan+Ek-3.png</t>
  </si>
  <si>
    <t>06/Mar/26 4:51 PM;ceren.sertkaya;image-2026-03-06-17-51-07-081.png;http://192.168.124.186:8080/secure/attachment/15980/image-2026-03-06-17-51-07-081.png</t>
  </si>
  <si>
    <t>0|i01brq:xni</t>
  </si>
  <si>
    <t>Dosya Yükleme Adımı Sayfasında Devam Eden İşlemi İptal Etme</t>
  </si>
  <si>
    <t>DAVS-200</t>
  </si>
  <si>
    <t>Dosya yükleme adımında dosya yükleme işlemi yapılırken kullanıcı aşağıdaki tasarımda örnekteki gibi dosya yükleme adımını iptal etmek isterse ''Çöp kovası'' işareti gelmelidir._x000D_
_x000D_
Eğer dosya yüklemesinde hata alıyorsa aynı şekilde yüklemeyi iptal etmek isterse çöp kovası ile iptal edebilir._x000D_
_x000D_
Aşağıdaki görsel çöp kovası ve talebi tasvir etmek için tasarım dokümanından eklenmiştir._x000D_
_x000D_
 _x000D_
_x000D_
!image-2026-03-06-17-18-09-877.png!</t>
  </si>
  <si>
    <t>06/Mar/26 4:18 PM;ceren.sertkaya;image-2026-03-06-17-18-09-877.png;http://192.168.124.186:8080/secure/attachment/15978/image-2026-03-06-17-18-09-877.png</t>
  </si>
  <si>
    <t>0|i01brq:xor</t>
  </si>
  <si>
    <t>Dosya İçerisinde Dosya İkonunun Olması</t>
  </si>
  <si>
    <t>DAVS-199</t>
  </si>
  <si>
    <t>Mevcut bir dosyaya giriş yapıldığında iç alanda ana ekrana çeviren dosya klasörü bulunmaktadır.  Bir önceki dosyaya dönüş sağlayan fonksiyon ikonu tasarımdaki şekilde revize edilmelidir._x000D_
_x000D_
 _x000D_
_x000D_
Bir önceki dosyaya aşağıdaki şekilde ilerleyebilir._x000D_
_x000D_
!image-2026-03-18-13-08-34-062.png!_x000D_
_x000D_
!image-2026-03-06-17-01-08-277.png!</t>
  </si>
  <si>
    <t>06/Mar/26 4:01 PM;ceren.sertkaya;image-2026-03-06-17-01-08-277.png;http://192.168.124.186:8080/secure/attachment/15977/image-2026-03-06-17-01-08-277.png</t>
  </si>
  <si>
    <t>18/Mar/26 12:08 PM;ceren.sertkaya;image-2026-03-18-13-08-34-062.png;http://192.168.124.186:8080/secure/attachment/16067/image-2026-03-18-13-08-34-062.png</t>
  </si>
  <si>
    <t>0|i01brq:xpi</t>
  </si>
  <si>
    <t>Profil Tanım Ekranında Ad/Soyad/İkon Değişikliği</t>
  </si>
  <si>
    <t>DAVS-198</t>
  </si>
  <si>
    <t>Kullanıcının ad soyad bilgisi değişmesi halinde sağ üstte bulunan   !image-2026-03-06-16-42-39-342.png!   iÖrneğin ad soyad başta Gürkan Güney olduğunda GR gözükmektedir. GG olarak gelmesi gerekmektedir._x000D_
_x000D_
İsim soyisim..... karakterden sonra üzerine gelince gösterilsin_x000D_
_x000D_
İsim içerisinde Türkçe karakter olması halinde bozulmaktadır.</t>
  </si>
  <si>
    <t>06/Mar/26 3:42 PM;ceren.sertkaya;image-2026-03-06-16-42-39-342.png;http://192.168.124.186:8080/secure/attachment/15976/image-2026-03-06-16-42-39-342.png</t>
  </si>
  <si>
    <t>0|i01brq:xnw</t>
  </si>
  <si>
    <t>Profil Bilgileri Değişiklik Kısıtlaması</t>
  </si>
  <si>
    <t>DAVS-197</t>
  </si>
  <si>
    <t>Profil Bilgisi Adımında  ad,soyad,tckn verileri değişikliği kullanıcı tarafında sağlanmamalıdır. _x000D_
_x000D_
Veriler CRM gibi MERSİS doğrulama adımından geçerek gelmesi halinde veri doğrulanmış bir bilgidir. Değişiklik ancak veriyi gönderen uygulama CRM üzerinden sağlanmalıdır._x000D_
_x000D_
Cep telefonu, E posta gibi değişiklikler müşterinin OTP ile erişim şifremi unuttum gibi alanları etkilediği için değişiklik yapılması halinde e posta ve cep telefonu gibi alanların doğrulanması gerekmektedir._x000D_
_x000D_
Bu alanda değişikliği yapan kişinin E posta değişikliği ise e posta adresine OTP gönderilmesi _x000D_
_x000D_
Cep numarası değişikliği olacak ise Cep telefonu numarasına OTP gönderilerek değişikliğin sağlanması gerekmektedir._x000D_
_x000D_
 Yapılan bu değişikliklerin kayıtlarının tutulması gerekmektedir.,_x000D_
_x000D_
 _x000D_
_x000D_
Verinin işlem yetkilisi bazında CRM üzerinden gelmesi halinde tüm veriler sadece CRM aracı ile değiştirilebilinir._x000D_
_x000D_
!image-2026-03-06-12-41-55-031.png!_x000D_
_x000D_
 </t>
  </si>
  <si>
    <t>06/Mar/26 11:36 AM;ceren.sertkaya;image-2026-03-06-12-36-52-481.png;http://192.168.124.186:8080/secure/attachment/15972/image-2026-03-06-12-36-52-481.png</t>
  </si>
  <si>
    <t>06/Mar/26 11:41 AM;ceren.sertkaya;image-2026-03-06-12-41-55-031.png;http://192.168.124.186:8080/secure/attachment/15971/image-2026-03-06-12-41-55-031.png</t>
  </si>
  <si>
    <t>0|i01cf5:i</t>
  </si>
  <si>
    <t>İngilizce Dil Değişikliği Alanında ''Turkish'' Seçeneğinin Değiştirilmesi</t>
  </si>
  <si>
    <t>DAVS-196</t>
  </si>
  <si>
    <t>Kullanıcı Türkçe Dil değişikliği sağladığında tekrar Türkçe dil adımına dönmek istediğinde dil seçeneği ''Turkish'' olarak gözükmektedir. ''Türkçe'' olarak düzenlenmesi gerekmektedir. _x000D_
_x000D_
Aynı şekilde Türkçe dil seçeneği kullanılırken İngilizce alanı ''English'' olarak değiştirilmelidir._x000D_
_x000D_
 _x000D_
_x000D_
!image-2026-03-06-12-35-18-260.png!</t>
  </si>
  <si>
    <t>06/Mar/26 11:35 AM;ceren.sertkaya;image-2026-03-06-12-35-18-260.png;http://192.168.124.186:8080/secure/attachment/15970/image-2026-03-06-12-35-18-260.png</t>
  </si>
  <si>
    <t>0|i01brq:xk</t>
  </si>
  <si>
    <t>*Açıklama:*_x000D_
_x000D_
Kullanıcıların sık kullandığı klasör, doküman ve dosyalara hızlı erişim sağlamak için “Hızlı Erişim” menüsü altında alt menüler oluşturabilmesi sağlanmalıdır._x000D_
 * Varsayılan olarak “Favorilerim” menüsü kullanıcıya sunulacaktır._x000D_
_x000D_
 * Kullanıcı istediği kadar alt menü oluşturabilir._x000D_
_x000D_
 * Liste ekranlarında dosya/doküman/klasör üzerine gelindiğinde veya tıklandığında, hızlı erişim ekle fonksiyonu sunulacaktır._x000D_
_x000D_
*Gereksinimler:*_x000D_
_x000D_
*Alt Menü Oluşturma*_x000D_
 * Kullanıcı, Hızlı Erişim menüsündeki “+” butonuna tıkladığında yeni alt menü oluşturma ekranı açılmalıdır._x000D_
_x000D_
 * Alt menü oluşturma ekranında menü adı girebileceği alan sunulmalıdır: Zorunlu alandır ve maksimum 20 karakter girilebilir._x000D_
_x000D_
 * Kullanıcı istediği kadar alt menü oluşturabilmelidir._x000D_
 * Kullanıcı alt menüyü silebilmelidir. Sistem kullanıcıya klasör ya da başka bir alt menüye taşıma akışı sunmalıdır. Kullanıcı içerisindeki dosyaları da silebileceği opsiyon sunulmalıdır._x000D_
_x000D_
 * “Favorilerim” menüsü varsayılan olarak Hızlı Erişim alanında her zaman görünmelidir ve silinemez._x000D_
 * Menüye taşınan doküman/dosya/klasör tekrardan anasayfada gösterilmemelidir._x000D_
_x000D_
*Liste Ekranında  Hızlı Erişim Ekleme*_x000D_
 * Dosya, doküman veya klasör satırında liste ekranına gelindiğinde veya tıklandığında “Hızlı Erişim Ekle” ikonu görünmelidir._x000D_
_x000D_
 * Kullanıcı hızlı erişim ekle ikonuna tıkladığında, mevcut alt menüler listelenmelidir._x000D_
_x000D_
 * Alt menü listesinde son eklenen 3 alt menü öncelikli olarak görünmelidir._x000D_
_x000D_
 * Kullanıcı scroll fonksiyonunu kullanarak tüm alt menüleri görüntüleyebilmelidir._x000D_
_x000D_
 * Kullanıcı birden fazla alt menü seçimi yapabilmelidir._x000D_
_x000D_
 * Seçilen alt menüler kaydedildikten sonra, ilgili öğe tüm seçilen alt menüler altında listelenmelidir._x000D_
_x000D_
 * Kullanıcı, Hızlı Erişim oluştur butonuna tıkladığında, menü adı girişi ekranı görüntülenir. Kullanıcı menü adını oluşturduğunda ilgili alt menü oluşturulur ve seçilen doküman/dosya/klasör ilgili sayfaya yönlendirilir._x000D_
_x000D_
*Kabul Kriterleri:*_x000D_
 # Kullanıcı, Hızlı Erişim menüsündeki “+” butonuna tıkladığında yeni alt menü oluşturma ekranı açılmalıdır._x000D_
 # Pop-up ekranında menü adı girebileceği alan bulunmalıdır. (Alan zorunlu olmalıdır. Maksimum 20 karakter girişine izin verilmelidir.)_x000D_
 # Kullanıcı istediği kadar alt menü oluşturabilmelidir._x000D_
 # Varsayılan “Favorilerim” menüsü Hızlı Erişim alanında her zaman görünmelidir ve silinemez._x000D_
 # Kullanıcı menü adını oluşturup kaydettiğinde ilgili alt menü oluşturulmalı ve sistem kullanıcıyı seçilen doküman/dosya/klasör ilgili sayfaya yönlendirmelidir._x000D_
 # Liste ekranlarında her dosya, doküman veya klasör satırında “Hızlı Erişim Ekle” ikonu görünmelidir._x000D_
 # Kullanıcı hızlı erişim ekle ikonuna tıkladığında mevcut alt menüler listelenmelidir._x000D_
 # Alt menü listesinde son eklenen 3 alt menü öncelikli olarak gösterilmelidir._x000D_
 # Kullanıcı scroll fonksiyonunu kullanarak tüm alt menüleri görüntüleyebilmelidir._x000D_
 # Kullanıcı birden fazla alt menü seçimi yapabilmelidir._x000D_
 # Seçilen alt menüler kaydedildikten sonra, ilgili öğe tüm seçilen alt menüler altında listelenmelidir._x000D_
 # Kullanıcı daha önce favoriye eklediği bir öğeyi liste ekranında gördüğünde, ilgili alt menü ikonları aktif (seçili) olarak görünmelidir._x000D_
 # Alt menü oluşturma ve seçim pop-up ekranları kullanıcı dostu ve responsive olmalıdır._x000D_
 # Oluşturulan alt menüler ve atanan öğeler anında liste ekranına yansıtılmalıdır._x000D_
_x000D_
ANALİZ_x000D_
_x000D_
*Özelliğin Amacı*_x000D_
_x000D_
Bu özellik kullanıcıların sık kullandıkları *klasör, doküman ve dosyalara* daha hızlı ulaşabilmesini sağlamak için geliştirilmektedir._x000D_
 Sistem kullanıcılara *Hızlı Erişim* alanı sunar ve kullanıcılar bu alan altında kendi oluşturdukları *alt menüler* ile öğeleri kategorize edebilir._x000D_
 Bu yapı sayesinde kullanıcılar dosyaları tekrar aramak veya klasör yapısında gezmek zorunda kalmadan hızlı erişim sağlayabilir._x000D_
_x000D_
*2. Sistem Yapısı*_x000D_
_x000D_
Hızlı Erişim alanı iki bileşenden oluşur:_x000D_
_x000D_
*Sistem Menüsü*_x000D_
  Favorilerim_x000D_
_x000D_
*Kullanıcı Menüleri*_x000D_
  Kullanıcının oluşturduğu alt menüler_x000D_
 Bu yapı kullanıcı bazlı çalışır._x000D_
_x000D_
*3. Ana Fonksiyonlar*_x000D_
_x000D_
Bu özellik üç temel işlevden oluşur._x000D_
_x000D_
*3.1 Alt Menü Yönetimi*_x000D_
_x000D_
Kullanıcı Hızlı Erişim alanında kendi menülerini oluşturabilir._x000D_
_x000D_
*İşlem adımları*_x000D_
 1. Kullanıcı *+ butonuna tıklar*_x000D_
 3. Kullanıcı menü adı girer_x000D_
 4. Sistem menüyü oluşturur_x000D_
 5. Menü hızlı erişim alanında görünür_x000D_
_x000D_
*Kurallar*_x000D_
 Menü adı zorunludur_x000D_
 Maksimum 20 karakter olabilir_x000D_
 Kullanıcı istediği kadar menü oluşturabilir_x000D_
 Favorilerim menüsü silinemez_x000D_
_x000D_
*3.2 Alt Menü Silme*_x000D_
_x000D_
Kullanıcı oluşturduğu menüyü silebilir._x000D_
_x000D_
*Sistem davranışı*_x000D_
_x000D_
Bir menü silinmek istendiğinde sistem içindeki öğeler için seçenek sunar:_x000D_
 Başka bir menüye taşı_x000D_
 İçeriği sil_x000D_
_x000D_
Bu işlem veri kaybını önlemek için kullanıcı onayı gerektirir._x000D_
_x000D_
*3.3 Liste Ekranından Hızlı Erişim Ekleme*_x000D_
_x000D_
Kullanıcı bir öğeyi hızlı erişime ekleyebilir._x000D_
_x000D_
*İşlem akışı*_x000D_
 1. Kullanıcı liste ekranında öğeyi görür_x000D_
 2. Öğenin yanında *Hızlı Erişim Ekle ikonu* bulunur_x000D_
 3. Kullanıcı ikona tıklar_x000D_
 4. Sistem alt menü listesini gösterir_x000D_
 5. Kullanıcı bir veya birden fazla menü seçer_x000D_
 6. Sistem öğeyi seçilen menülere ekler_x000D_
_x000D_
*4. Menü Seçim Davranışı*_x000D_
_x000D_
Alt menü seçim ekranı aşağıdaki şekilde çalışır._x000D_
_x000D_
*Menü listeleme*_x000D_
  Son oluşturulan *3 menü üstte gösterilir*_x000D_
  Diğer menüler scroll ile görüntülenir_x000D_
_x000D_
*Menü seçimi*_x000D_
 Kullanıcı tek menü birden fazla menü seçebilir._x000D_
 Seçilen menüler altında öğe listelenir._x000D_
_x000D_
*5. Menü Oluşturma – Alternatif Akış*_x000D_
_x000D_
Kullanıcı alt menü listesinde istediği menüyü bulamazsa yeni menü oluşturabilir._x000D_
_x000D_
*Akış*_x000D_
 1. Kullanıcı *Hızlı Erişim Oluştur* butonuna tıklar_x000D_
 2. Kullanıcı menü adı girer_x000D_
 3. Menü oluşturulur_x000D_
 4. Seçilen öğe bu menüye eklenir_x000D_
 5. Kullanıcı ilgili sayfaya yönlendirilir_x000D_
_x000D_
*6. Görsel Durum Kontrolü*_x000D_
_x000D_
Sistem liste ekranında kullanıcıya görsel bilgi sunar._x000D_
 Eğer kullanıcı bir öğeyi hızlı erişime eklemişse:_x000D_
 ilgili alt menü ikonları *aktif görünür*_x000D_
 Bu sayede kullanıcı aynı öğeyi tekrar ekleyip eklemediğini anlayabilir._x000D_
_x000D_
1. Aynı öğe aynı menüye tekrar eklenebilir mi?_x000D_
_x000D_
*Evet ekleyebilir. Kullanıcıya aynı doküman bu menüde bulunmaktadır. Devam etmek ister misiniz yoksa isim değiştirmek ister misiniz gibi bir akış sunmalıyız.*_x000D_
_x000D_
2. Menü isimleri aynı olabilir mi?_x000D_
_x000D_
*Unique olmalıdr.  Aynı isimden klasörler oluşmamalıdır.*_x000D_
_x000D_
3. Menü sıralaması değiştirilebilir mi?_x000D_
_x000D_
*Değiştirebilir.*_x000D_
_x000D_
4. Menü silinince içindeki öğeler ne olacak?_x000D_
_x000D_
*Kullanıcıya dokümanlar tamamen silinecektir emin misiniz ya da taşımak ister misiniz sorulmalıdır. Sonrasında klasördeki gibi taşıma akışı kullanıcıya sunulmalıdır.* _x000D_
_x000D_
*Uyarı aşağıdaki şekilde olmalıdır.*_x000D_
_x000D_
“Menüyü silmek istediğinize emin misiniz?”_x000D_
_x000D_
Butonlar: *Sil* / *İptal*_x000D_
_x000D_
5. Yetki kaybı durumunda ne olur? (Konu yetki kısıtlaması ile netleşir.)_x000D_
_x000D_
*Yetkiye bağlı olmayacaktır. Herkesin kendine ait hızlı erişimi olacaktır.* _x000D_
_x000D_
6.Kullanıcı bir öğeye erişim yetkisini kaybederse hızlı erişimde görünmeye devam edecek mi? Konu yetki kısıtlaması ile netleşir.) _x000D_
_x000D_
*Yetkiye bağlı olmayacaktır. Herkesin kendine ait hızlı erişimi olacaktır.* _x000D_
_x000D_
!image-2026-02-27-17-43-43-366.png!!image-2026-02-27-17-43-23-040.png!!image-2026-02-27-17-44-01-955.png!</t>
  </si>
  <si>
    <t>0|i01brq:xq</t>
  </si>
  <si>
    <t>*Açıklama:*_x000D_
_x000D_
Kullanıcıların sık kullandığı klasör, doküman ve dosyalara hızlı erişebilmesi için sistemde bir “Favoriler” alanı bulunmalıdır._x000D_
_x000D_
Her kullanıcı için varsayılan bir “Favoriler” alanı sistem tarafından otomatik oluşturulmalıdır._x000D_
_x000D_
Kullanıcı, Hızlı Erişim menüsünün altında kendi alt menülerini  oluşturabilmeli ve favori öğelerinide bu menünün altında yer almalıdır._x000D_
_x000D_
!image-2026-02-27-16-42-24-392.png!_x000D_
_x000D_
Liste ekranlarında yer alan yıldız  ikonuna tıklanan öğeler, kullanıcının varsayılan Favoriler alanına eklenmelidir._x000D_
_x000D_
*Gereksinimler:*_x000D_
_x000D_
Sistem, her kullanıcı için varsayılan bir “Favorilerim” alanı otomatik olarak oluşturmalıdır._x000D_
_x000D_
Favorilerim alanı kullanıcı bazlı olmalıdır; kullanıcılar yalnızca kendi favorilerini görüntüleyebilmelidir._x000D_
_x000D_
Varsayılan Favorilerim alanı silinemez olmalıdır._x000D_
_x000D_
Liste ekranlarında her klasör, doküman ve dosya satırında yıldız ikonu bulunmalıdır._x000D_
_x000D_
Kullanıcı yıldız ikonuna tıkladığında ilgili öğe varsayılan Favorilerim alanına eklenmelidir._x000D_
_x000D_
Favorilerim menüsüne tıkladığında kullanıcı favorilere alınmış olduğu doküman/dosya/klasör  listelenmelidir. (Mevcut listeleme ekranının görünümü sadece senin için öneriler alanı olmayacaktır. _x000D_
_x000D_
Yıldız ikonuna tekrar tıklandığında öğe favorilerden tamamen kaldırılmalıdır._x000D_
_x000D_
Kullanıcı eğer daha önceden favorilere almış ise liste ekranında ilgili doküman/dosya/klasör satırının üzerine geldiğinde ikon seçili gelmelidir. _x000D_
_x000D_
*Kabul Kriterleri:*_x000D_
_x000D_
*Varsayılan Favorilerim Alanı*_x000D_
 # Sistem, her kullanıcı için otomatik olarak bir “Favorilerim” alanı oluşturmalıdır._x000D_
 # Favorilerim alanı kullanıcı bazlı olmalıdır; kullanıcı yalnızca kendi favori öğelerini görüntüleyebilmelidir._x000D_
 # Varsayılan “Favorilerim” alanı kullanıcı tarafından silinememelidir._x000D_
_x000D_
*Favoriye Ekleme Davranışı*_x000D_
 # Liste ekranlarında her klasör, doküman ve dosya satırında yıldız ikonu bulunmalıdır._x000D_
 # Kullanıcı yıldız ikonuna tıkladığında ilgili öğe varsayılan “Favorilerim” alanına eklenmelidir._x000D_
 # Favoriye eklenen öğe için yıldız ikonu aktif (seçili/dolu) görünmelidir._x000D_
 # Kullanıcı aynı yıldız ikonuna tekrar tıkladığında öğe Favorilerim alanından tamamen kaldırılmalıdır._x000D_
 # Aynı öğe Favorilerim alanında birden fazla kez listelenmemelidir._x000D_
_x000D_
*Favorilerim Menü Davranışı*_x000D_
 # Kullanıcı “Favorilerim” menüsüne tıkladığında yalnızca favorilere eklediği klasör, doküman ve dosyalar listelenmelidir._x000D_
 # Favorilerim ekranı mevcut listeleme ekranı ile aynı görünüm ve fonksiyonlara sahip olmalıdır._x000D_
 # Favorilerim ekranında yalnızca favoriye eklenmiş öğeler gösterilmelidir; “senin için öneriler” gibi ek alanlar bulunmamalıdır._x000D_
_x000D_
*Listeleme Ekranı Durum Kontrolü*_x000D_
 # Kullanıcı daha önce favorilere eklemiş olduğu bir öğenin bulunduğu liste ekranına tekrar geldiğinde, ilgili satırdaki yıldız ikonu seçili durumda görünmelidir._x000D_
 # Favoriden kaldırılan bir öğe liste ekranında pasif yıldız ikonu ile görüntülenmelidir._x000D_
_x000D_
 *ANALİZ*_x000D_
_x000D_
Kapsam_x000D_
_x000D_
Bu geliştirme aşağıdaki nesne tiplerini kapsar:_x000D_
 - Klasör_x000D_
_x000D_
 - Doküman_x000D_
_x000D_
 - Dosya_x000D_
h2. Fonksiyonel Gereksinimler – Varsayılan Favorilerim Alanı_x000D_
_x000D_
 # Sistem her kullanıcı için otomatik olarak bir Favorilerim alanı oluşturmalıdır._x000D_
 # Bu alan kullanıcı bazlı çalışmalıdır._x000D_
 # Kullanıcı yalnızca kendi favori öğelerini görüntüleyebilmelidir._x000D_
 # Varsayılan Favorilerim alanı kullanıcı tarafından silinememelidir._x000D_
 # Kullanıcı hesabı oluşturulduğunda veya ilgili modüle ilk eriştiğinde hazır olmalıdır._x000D_
_x000D_
h2. Fonksiyonel Gereksinimler – Favoriye Ekleme / Çıkarma_x000D_
 # Liste ekranlarında her klasör, doküman ve dosya satırında yıldız ikonu yer almalıdır._x000D_
 # Kullanıcı yıldız ikonuna tıkladığında ilgili öğe Favorilerim alanına eklenmelidir._x000D_
 # Favoriye alınan öğe için yıldız ikonu aktif/dolu görünmelidir._x000D_
 # Kullanıcı aktif yıldız ikonuna tekrar tıkladığında öğe favorilerden kaldırılmalıdır._x000D_
 # Aynı öğe Favorilerim alanında birden fazla kez eklenememelidir._x000D_
_x000D_
h2. Fonksiyonel Gereksinimler – Favorilerim Menü Davranışı_x000D_
 # Kullanıcı Favorilerim menüsüne tıkladığında yalnızca kendi favoriye aldığı öğeler listelenmelidir._x000D_
 # Bu ekranda klasör, doküman ve dosyalar birlikte görüntülenebilmelidir._x000D_
 # Favorilerim ekranı mevcut listeleme ekranı ile aynı görünüm ve temel fonksiyonlara sahip olmalıdır._x000D_
 # Bu ekranda yalnızca favoriye alınan öğeler gösterilmeli, “Senin için öneriler” gibi alanlar bulunmamalıdır._x000D_
_x000D_
h2. Fonksiyonel Gereksinimler – Listeleme Ekranında Durum Gösterimi_x000D_
 # Kullanıcı daha önce favoriye aldığı bir öğenin bulunduğu liste ekranına tekrar geldiğinde ilgili satırdaki yıldız ikonu seçili görünmelidir._x000D_
 # Favorilerden kaldırılmış öğeler liste ekranında pasif yıldız olarak görünmelidir._x000D_
 # İkon durumu kullanıcının mevcut favori kayıtlarına göre yüklenmelidir._x000D_
_x000D_
h2. İş Kuralları_x000D_
 # Favori kaydı kullanıcı bazlıdır._x000D_
 # Varsayılan Favorilerim alanı silinemez._x000D_
 # Aynı öğe aynı kullanıcı için yalnızca bir kez favori olabilir._x000D_
 # Favori nesneleri klasör, doküman veya dosya olabilir._x000D_
 # Favori işlemleri anlık olarak kaydedilmelidir._x000D_
_x000D_
*NOTLAR/SORULAR*_x000D_
 # Favoriye alınan bir öğeye erişim yetkisi kaldırılırsa sistem davranışı nasıl olmalıdır?_x000D_
_x000D_
Admin yetkilendirme sürecine göre haraket edecektir. Süreç belli değildir. Ancak yetkilendirme ile bu tür tanımlar değişikliğe uğrayabilir. Yapının bu sürece uygun tasarlanması gerekmektedir._x000D_
_x000D_
 2. Favoriye alınan bir öğe sistemden silinirse otomatik favorilerden kaldırılmalı mı?_x000D_
_x000D_
Favoriye alınan bir nesne silinir ise favoriler ekranından kalkar._x000D_
_x000D_
 3. Favorilerim alanında sıralama son eklenen başa gelecek şekilde kullanıcıya listeme ile sunulur.</t>
  </si>
  <si>
    <t>13/Mar/26 2:58 PM;ceren.sertkaya;Favoriler alan dravio use caseı.jpg;http://192.168.124.186:8080/secure/attachment/16050/Favoriler+alan+dravio+use+case%C4%B1.jpg</t>
  </si>
  <si>
    <t>13/Mar/26 3:15 PM;ceren.sertkaya;Favorilerim akışı drawio .jpg;http://192.168.124.186:8080/secure/attachment/16051/Favorilerim+ak%C4%B1%C5%9F%C4%B1+drawio+.jpg</t>
  </si>
  <si>
    <t>0|i01brq:xqi</t>
  </si>
  <si>
    <t>*Açıklama:*_x000D_
_x000D_
Sistem, kullanıcı tarafından tanımlanan anımsatıcı için:_x000D_
 * Ön bildirim süresi varsa anımsatıcı zamanından önce e-posta göndermelidir._x000D_
_x000D_
 * Anımsatıcı zamanı geldiğinde kullanıcıya uygulama içi bildirim göstermelidir._x000D_
_x000D_
Bildirim süreci otomatik ve sistem tarafından tetiklenir olmalıdır._x000D_
_x000D_
*Gereksinim:*_x000D_
_x000D_
Eğer kullanıcı ön bildirim süresi tanımlamışsa, sistem belirlenen sürelerde e-posta göndermelidir._x000D_
_x000D_
         E-posta gönderimi başarısız olursa sistem bunu loglamalıdır._x000D_
_x000D_
         e-posta içeriği sistem admininden belirlenebilir olmadılıdır. Sistem admininden belirlenen içerik kullanıcıya sunulmalıdır._x000D_
_x000D_
                e-posta içeriğinde_x000D_
 * Dosya/Klasör adı_x000D_
_x000D_
 * Anımsatıcı başlığı_x000D_
_x000D_
                 gibi alanlar olması planlanmaktadır. _x000D_
_x000D_
Anımsatıcı zamanı geldiğinde sistem otomatik olarak uygulama içi bildirim oluşturmalıdır._x000D_
_x000D_
*Not: Sistem admininde anımsatıcılar casenin e-posta, uygulama içi bildirim ile kullanıcıya gönderilmesi seçilebilir fonksiyon yapılacaktır.* _x000D_
_x000D_
*Kabul Kriterleri:*_x000D_
 # Sistem, oluşturulan anımsatıcıları otomatik olarak izlemeli ve tetikleme işlemini manuel müdahale olmadan gerçekleştirmelidir._x000D_
 # Bildirim süreci tamamen sistem tarafından zaman bazlı olarak çalışmalıdır._x000D_
 # Kullanıcıya gönderilen e-posta, sistem admini tarafından tanımlanan aktif şablon içeriğine göre kullanıcıya sunulmalıdır. _x000D_
 # Anımsatıcı zamanı geldiğinde sistem otomatik olarak uygulama içi bildirim oluşturmalıdır._x000D_
_x000D_
 *ANALİZ*_x000D_
_x000D_
Kullanıcı tarafından oluşturulan anımsatıcılar için sistem zaman bazlı olarak otomatik bildirim üretmelidir._x000D_
_x000D_
Kullanıcı anımsatıcı oluştururken ön bildirim süresi tanımlamışsa, sistem anımsatıcı zamanından önce ilgili kullanıcıya *e-posta bildirimi* göndermelidir._x000D_
_x000D_
Anımsatıcı zamanı geldiğinde sistem ilgili kullanıcıya *uygulama içi bildirim* oluşturmalıdır._x000D_
_x000D_
Bildirim tetikleme süreci tamamen sistem tarafından otomatik olarak yürütülmeli ve herhangi bir manuel işlem gerektirmemelidir._x000D_
_x000D_
*Kapsam*_x000D_
_x000D_
*Kapsam İçi*_x000D_
_x000D_
Bu geliştirme kapsamında aşağıdaki fonksiyonlar yer almaktadır:_x000D_
  Sistem tarafından anımsatıcı kayıtlarının zaman bazlı olarak izlenmesi_x000D_
 Ön bildirim süresi bulunan anımsatıcılar için e-posta bildirimi gönderilmesi_x000D_
  Anımsatıcı zamanı geldiğinde uygulama içi bildirim oluşturulması_x000D_
  E-posta içeriklerinin sistemde tanımlı şablon üzerinden oluşturulması_x000D_
 E-posta gönderimi başarısız olduğunda sistem tarafından loglanması_x000D_
_x000D_
*Kapsam Dışı*_x000D_
_x000D_
Aşağıdaki konular bu geliştirme kapsamında değildir:_x000D_
 Bildirim içeriklerinin kullanıcı tarafından özelleştirilmesi_x000D_
 Bildirimlerin manuel tetiklenmesi_x000D_
 Bildirim raporlama ekranları_x000D_
 Admin yönetim ekranının geliştirilmesi_x000D_
_x000D_
*İş Kuralları*_x000D_
 1. Sistem oluşturulan anımsatıcı kayıtlarını otomatik olarak izlemelidir._x000D_
 2. Bildirim tetikleme işlemi zaman bazlı olarak sistem tarafından gerçekleştirilmelidir._x000D_
 3. Kullanıcı anımsatıcı oluştururken ön bildirim süresi tanımlamışsa sistem ilgili zamanda e-posta göndermelidir._x000D_
 4. Ön bildirim süresi tanımlanmamışsa e-posta bildirimi gönderilmez._x000D_
 5. Anımsatıcı zamanı geldiğinde sistem otomatik olarak uygulama içi bildirim oluşturmalıdır._x000D_
 6. Bildirim oluşturma işlemi kullanıcı müdahalesi olmadan gerçekleşmelidir._x000D_
 7. Uygulama içi bildirim ilgili kullanıcı için oluşturulmalıdır._x000D_
 8. Oluşturulan bildirim ilgili *dosya / doküman / klasör* ile ilişkilendirilmelidir._x000D_
_x000D_
 _x000D_
 *E-posta Bildirimi*_x000D_
_x000D_
Ön bildirim süresi bulunan anımsatıcılar için sistem e-posta gönderimi gerçekleştirmelidir._x000D_
_x000D_
*E-posta içeriği*_x000D_
_x000D_
E-posta içeriği sistemde tanımlı *aktif şablon* üzerinden oluşturulmalıdır._x000D_
_x000D_
Şablonda aşağıdaki bilgiler bulunmalıdır:_x000D_
 • Dosya / klasör / doküman adı_x000D_
 • Anımsatıcı başlığı_x000D_
_x000D_
*E posta gönderim içeriği şablonu*_x000D_
_x000D_
Konu: Anımsatıcı Bildirimi_x000D_
_x000D_
Bu e-posta, tanımladığınız anımsatıcı kapsamında bilgilendirme amacıyla gönderilmektedir._x000D_
_x000D_
Anımsatıcı Bilgileri:_x000D_
 - Varlık Adı: [Dosya / Doküman / Klasör Adı]_x000D_
 - Anımsatıcı Başlığı: [Anımsatıcı Başlığı]_x000D_
 - Anımsatıcı Tarihi: [Tarih]_x000D_
 - Anımsatıcı Saati: [Saat]_x000D_
_x000D_
Bilgilerinize sunarız._x000D_
_x000D_
*E-posta gönderim hatası*_x000D_
_x000D_
E-posta gönderimi başarısız olursa sistem bu durumu loglamalıdır._x000D_
_x000D_
Log kaydında aşağıdaki bilgiler yer almalıdır:_x000D_
 Kullanıcı bilgisi_x000D_
 Anımsatıcı kaydı_x000D_
 Hata zamanı_x000D_
 Hata detayı_x000D_
_x000D_
*Uygulama İçi Bildirim*_x000D_
_x000D_
Anımsatıcı zamanı geldiğinde sistem ilgili kullanıcı için uygulama içi bildirim oluşturmalıdır._x000D_
_x000D_
Bildirim:_x000D_
  kullanıcıya ait olmalıdır_x000D_
  ilgili dosya / doküman / klasör ile ilişkilendirilmelidir_x000D_
 uygulama içi bildirim alanında gösterilmelidir_x000D_
_x000D_
*Admin Yönetimi – NOT*_x000D_
_x000D_
Anımsatıcı bildirimlerinin gönderim kanalları ileride oluşturulacak *admin yönetimi* üzerinden yönetilebilir olacaktır._x000D_
_x000D_
Sistem mimarisi aşağıdaki kanalları destekleyecek şekilde esnek tasarlanmalıdır:_x000D_
 Uygulama içi bildirim_x000D_
 E-posta bildirimi_x000D_
_x000D_
Admin paneli üzerinden aşağıdaki fonksiyonların yönetilmesi planlanmaktadır:_x000D_
  Bildirim kanalının seçimi_x000D_
  E-posta şablonunun belirlenmesi_x000D_
_x000D_
Admin ekranı ve yönetim fonksiyonları bu geliştirme kapsamında değildir ve ilerleyen aşamalarda ayrı bir geliştirme olarak ele alınacaktır._x000D_
_x000D_
*Kabul Kriterleri*_x000D_
 1. Sistem oluşturulan anımsatıcı kayıtlarını otomatik olarak izlemelidir._x000D_
 2. Bildirim tetikleme işlemi sistem tarafından zaman bazlı olarak çalışmalıdır._x000D_
 3. Kullanıcı ön bildirim süresi tanımlamışsa sistem ilgili zamanda e-posta göndermelidir._x000D_
 4. Kullanıcıya gönderilen e-posta sistemde tanımlı aktif şablon üzerinden oluşturulmalıdır._x000D_
 5. E-posta içeriğinde en az ilgili varlık adı ve anımsatıcı başlığı bulunmalıdır._x000D_
 6. E-posta gönderimi başarısız olursa sistem bu durumu loglamalıdır._x000D_
 7. Anımsatıcı zamanı geldiğinde sistem otomatik olarak uygulama içi bildirim oluşturmalıdır._x000D_
 8. Uygulama içi bildirim ilgili kullanıcıya ait olmalıdır._x000D_
 9. Oluşturulan bildirim ilgili dosya / doküman / klasör ile ilişkilendirilmelidir._x000D_
_x000D_
 Akış ektedir._x000D_
_x000D_
 _x000D_
_x000D_
 </t>
  </si>
  <si>
    <t>13/Mar/26 2:22 PM;ceren.sertkaya;Anımsatıcı bildirimdrawio.jpg;http://192.168.124.186:8080/secure/attachment/16049/An%C4%B1msat%C4%B1c%C4%B1+bildirimdrawio.jpg</t>
  </si>
  <si>
    <t>0|i01brq:xqo</t>
  </si>
  <si>
    <t>*Açıklama:*_x000D_
_x000D_
Kullanıcıların dokümanlara ait anımsatıcı durumlarını daha net takip edebilmesi için liste ekranında ve sağ üst detay panelinde anımsatıcıların durumuna göre farklı görsel ve içeriksel gösterimler yapılacaktır._x000D_
_x000D_
*Kapsam:*_x000D_
_x000D_
Liste ekranı (Doküman Liste)_x000D_
_x000D_
Sağ üst anımsatıcı ekranların geliştirme yapılmalıdır. _x000D_
 *    Anımsatıcı zamanı gelmemişse; liste ekranında dokümanın altında tarih+saat bilgisi gösterilmelidir. _x000D_
 *    Tasarıma uyumlu gösterim sağlanmalıdır. _x000D_
 *    Anımsatıcı zamanı geçmişse; geçmiş anımsatıcı bilgisi (tarih+saat) gösterilmeye devam etmelidir.     Tasarımdaki gibi kırmızı ile vurgulanmalıdır. _x000D_
 *    Sağ üst panelde; Anımsatıcı durumu "Yaklaşan, Tamamlanan" bilgisi net gösterilmelidir. Geçmiş anımsatıcılar görsel olarak ayırt edilebilir olmalıdır. _x000D_
_x000D_
*ANALİZ*_x000D_
_x000D_
Genel_x000D_
_x000D_
1. Kullanıcı sağ üstte bulunan anımsatıcı ikonuna tıkladığında anımsatıcı listesi açılmalıdır._x000D_
_x000D_
2. Panel içerisinde kullanıcıya ait tüm anımsatıcılar listelenmelidir._x000D_
_x000D_
3. Her anımsatıcı bir kart (olarak gösterilmelidir._x000D_
_x000D_
*Kart İçeriği*_x000D_
_x000D_
Her anımsatıcı kartında aşağıdaki bilgiler yer almalıdır:_x000D_
_x000D_
•    Varlık adı (Dosya/Doküman/Klasör adı)_x000D_
_x000D_
•    Anımsatıcı başlığı_x000D_
_x000D_
•    Tarih ve saat bilgisi_x000D_
_x000D_
•   Tekrarlama bilgisi (varsa)_x000D_
_x000D_
•    Durum etiketi_x000D_
_x000D_
*Durum Kuralları*_x000D_
_x000D_
1. Anımsatıcı zamanı geçmişse:_x000D_
_x000D_
•     Durum: Tamamlandı_x000D_
_x000D_
•      Görsel: Yeşil badge_x000D_
_x000D_
2. Anımsatıcı zamanı henüz gelmemişse:_x000D_
_x000D_
• Durum: Yaklaşan_x000D_
_x000D_
• Görsel: Turuncu badge_x000D_
_x000D_
3. Sistem mevcut zamana göre bu durumu otomatik belirlemelidir._x000D_
_x000D_
Görsel Davranışlar_x000D_
_x000D_
1. Anımsatıcı kartları tasarıma uygun şekilde listelenmelidir._x000D_
_x000D_
2. Durum renk ile ayırt edilmelidir:_x000D_
_x000D_
• Tamamlandı → Yeşil_x000D_
_x000D_
• Yaklaşan → Turuncu_x000D_
_x000D_
3. Tarih ve saat bilgisi ikon ile birlikte gösterilmelidir._x000D_
_x000D_
4. Uzun başlıklar satır kırılarak gösterilmelidir (tasarıma göre)._x000D_
_x000D_
Aksiyonlar_x000D_
_x000D_
Her anımsatıcı kartında:_x000D_
_x000D_
• Düzenle_x000D_
_x000D_
• Sil aksiyonları bulunmalıdır._x000D_
_x000D_
Düzenle_x000D_
_x000D_
• Kullanıcı düzenle ikonuna tıkladığında anımsatıcı oluşturma ekranı edit modda açılmalıdır._x000D_
 Sil_x000D_
_x000D_
Kullanıcı sil ikonuna tıkladığında:_x000D_
_x000D_
Kullanıcıya onay sorulmalıdır (emin misiniz)_x000D_
_x000D_
Onay sonrası anımsatıcı silinmelidir_x000D_
_x000D_
Liste anlık güncellenmelidir_x000D_
_x000D_
Liste Davranışı_x000D_
_x000D_
1. Anımsatıcılar listede kronolojik olarak sıralanmalıdır_x000D_
_x000D_
(öneri: en yakın tarih üstte)_x000D_
_x000D_
2. Aynı dokümana ait birden fazla anımsatıcı gösterilebilir_x000D_
_x000D_
*Notlar*_x000D_
_x000D_
1. Anımsatıcı yoksa:_x000D_
_x000D_
Panelde “Anımsatıcı bulunmamaktadır” mesajı gösterilmelidir_x000D_
_x000D_
2. Çok fazla anımsatıcı varsa:_x000D_
_x000D_
Scroll olmalıdır_x000D_
_x000D_
3. Tarih formatı:_x000D_
_x000D_
Lokal formatta gösterilmelidir_x000D_
_x000D_
(örn: 5 Mart 2026 14:30)_x000D_
_x000D_
4. Geçmiş anımsatıcılar: (Tamamlananlar)_x000D_
_x000D_
Listede kalmaya devam eder. 24 saat sonra listeden kalkar._x000D_
_x000D_
Geçmiş anımsatıcılar UI'dan kalkabilir. Ancak DB'de saklanmalıdır. Kullanıcının bir anımsatıcı ile sorun veya şikayeti olması halinde geçmiş bir anımsatıcının kontrolünün sağlanmasına ihtiyaç duyulabilinir._x000D_
_x000D_
24 saatlik süre anımsatıcının tamamlanması lie başlar. Anımsatıcının zamanı baz alınmalıdır._x000D_
_x000D_
*Kabul Kriterleri*_x000D_
_x000D_
1. Kullanıcı anımsatıcı ikonuna tıkladığında anımsatıcı listesi açılmalıdır._x000D_
_x000D_
2. Panelde anımsatıcılar kart yapısında listelenmelidir._x000D_
_x000D_
3. Her kartta varlık adı, başlık, tarih-saat bilgisi gösterilmelidir._x000D_
_x000D_
4. Anımsatıcı zamanı geçmiş olan kayıtlar “Tamamlandı” olarak gösterilmelidir._x000D_
_x000D_
5. Anımsatıcı zamanı gelmemiş olan kayıtlar “Yaklaşan” olarak gösterilmelidir._x000D_
_x000D_
6. Durumlar görsel olarak farklı renklerle gösterilmelidir._x000D_
_x000D_
7. Kullanıcı anımsatıcıyı düzenleyebilmelidir._x000D_
_x000D_
8. Kullanıcı anımsatıcıyı silebilmelidir._x000D_
_x000D_
9. Silme işleminde kullanıcıdan onay alınmalıdır._x000D_
_x000D_
10. Anımsatıcı silindiğinde liste güncellenmelidir._x000D_
_x000D_
11. Anımsatıcı bulunmadığında kullanıcıya bilgilendirme mesajı gösterilmelidir._x000D_
_x000D_
 _x000D_
_x000D_
!image-2026-03-18-13-10-02-112.png!_x000D_
_x000D_
 </t>
  </si>
  <si>
    <t>18/Mar/26 12:10 PM;ceren.sertkaya;image-2026-03-18-13-10-02-112.png;http://192.168.124.186:8080/secure/attachment/16068/image-2026-03-18-13-10-02-112.png</t>
  </si>
  <si>
    <t>*Açıklama:*_x000D_
 Kullanıcı; dosya, doküman veya klasör için hem liste görünümünden hem de detay ekranından anımsatıcı oluşturma aksiyonuna erişebilmelidir._x000D_
_x000D_
Bu aksiyon kullanıcıyı anımsatıcı oluşturma ekranına yönlendirmelidir._x000D_
_x000D_
*Gereksinimler:*_x000D_
 * Detay ve liste ekranlarına anımsatıcı ekle butonu eklenmelidir._x000D_
 * Başlık, açıklama, tekrarlama süresi, anımsatıcı yapılacak tarih ve saat seçici alanları kullanıcıya sunulmalıdır. _x000D_
_x000D_
*Başlık:* Zorunlu alan olmalıdır. mak. 50 karakter girilmelidir. _x000D_
_x000D_
*Açıklama:* Zorunlu alan olmamalıdır. mak. 250 karakter girilebilmelidir._x000D_
_x000D_
*Tekrarlama süresi:* 1 saat önce, 2 saat önce, 1 gün önce seçenekleri kullanıcıya sunulmalıdır. _x000D_
_x000D_
Kullanıcı tekrarlama süresi seçmediyse defaultta hazırlatma 1 saat öncesinde olmalıdır. _x000D_
_x000D_
*Tarih ve zaman:* Zorunlu alan olmalıdır._x000D_
_x000D_
*Kabul Kriterleri:*_x000D_
 # Kullanıcı, listeleme ekranında dosyaya ait fonksiyon seçeneklerinde  “Anımsatıcı Ekle” aksiyonunu görebilmelidir._x000D_
 # Kullanıcı, listeleme ekranında dokümana ait ait fonksiyon seçeneklerinde Anımsatıcı Ekle” aksiyonunu görebilmelidir._x000D_
 # Kullanıcı, listeleme ekranında klasör liste ekranında her satır için “Anımsatıcı Ekle” aksiyonunu görebilmelidir._x000D_
 # Kullanıcı, dosyaın detay ekranında “Anımsatıcı Ekle” butonunu görebilmelidir._x000D_
 # Kullanıcı, dokümanın detay ekranında “Anımsatıcı Ekle” butonunu görebilmelidir._x000D_
 # Kullanıcı, klasörün detay ekranında “Anımsatıcı Ekle” butonunu görebilmelidir._x000D_
 # Kullanıcı “Anımsatıcı Ekle” aksiyonuna tıkladığında anımsatıcı oluşturma ekranı açılmalıdır._x000D_
 # Başlık alanı zorunlu olmalıdır.- Boş bırakıldığında kullanıcıya hata mesajı gösterilmelidir. Maksimum 50 karakter girişine izin verilmelidir. 50 karakteri aşan girişler engellenmeli veya validasyon hatası verilmelidir._x000D_
 # Açıklama alanı zorunlu olmamalıdır._x000D_
 # Maksimum 250 karakter girişine izin verilmelidir. 250 karakteri aşan girişler engellenmeli veya validasyon hatası verilmelidir._x000D_
 # Tüm zorunlu alanlar geçerli şekilde doldurulduğunda kullanıcı anımsatıcıyı başarıyla kaydedebilmelidir._x000D_
 # Başarılı kayıt sonrası kullanıcıya geri bildirim (başarılı mesajı/toast) gösterilmelidir._x000D_
 # Tekrarlama seçimleri kullanıcıya sunulmalıdır. _x000D_
 # Anımsatıcı oluşturma ekranında aşağıdaki alanlar gösterilmelidir:_x000D_
_x000D_
 * Başlık_x000D_
 * Açıklama_x000D_
 * Tekrarlama süresi_x000D_
 * Tarih seçici_x000D_
 * Saat seçici_x000D_
_x000D_
 *Analiz*_x000D_
_x000D_
*Başlık*_x000D_
 Zorunlu alan_x000D_
_x000D_
 Maksimum *50 karakter*_x000D_
_x000D_
*Açıklama*_x000D_
 Opsiyonel alan_x000D_
  Maksimum *250 karakter*_x000D_
_x000D_
*Tekrarlama Süresi*_x000D_
_x000D_
Kullanıcıya aşağıdaki seçenekler sunulmalıdır:_x000D_
  1 saat önce_x000D_
  2 saat önce_x000D_
 1 gün önce_x000D_
_x000D_
Varsayılan değer *1 saat önce* olmalıdır._x000D_
_x000D_
*Tarih*_x000D_
  Zorunlu alan_x000D_
  Kullanıcı *geçmiş tarih seçemez*_x000D_
_x000D_
*Saat*_x000D_
  Zorunlu alan_x000D_
 *Geçmiş saat seçilemez.*_x000D_
_x000D_
*İş Kuralları*_x000D_
 # Kullanıcı aynı *dosya, doküman veya klasör için yalnızca bir adet aktif anımsatıcı* oluşturabilir._x000D_
 2. Kullanıcı aynı varlık için tekrar anımsatıcı eklemek istediğinde:_x000D_
 • Sistem mevcut anımsatıcı kaydını *günceller.*_x000D_
 • Yeni girilen bilgilerle *yeni anımsatıcı kaydı oluşturulur*._x000D_
 3. Bu işlem sırasında kullanıcıya bir *uyarı mesajı* gösterilmelidir._x000D_
 4. Kaydet butonu sadece zorunlu alanlar doldurulduğu zaman aktif edilmelidir._x000D_
_x000D_
Örnek uyarı mesajı:_x000D_
_x000D_
‘’Bu dosya/doküman için daha önce oluşturulmuş bir anımsatıcı bulunmaktadır._x000D_
 Yeni anımsatıcı oluşturduğunuzda mevcut anımsatıcı güncellenecektir.’’_x000D_
_x000D_
*Validasyon Kuralları*_x000D_
_x000D_
 Başlık boş bırakılamaz._x000D_
  Başlık alanı *50 karakteri geçemez*._x000D_
 Açıklama alanı *250 karakteri geçemez*._x000D_
 Tarih alanı boş bırakılamaz._x000D_
 Saat alanı boş bırakılamaz._x000D_
 Kullanıcı *geçmiş tarih seçemez*._x000D_
_x000D_
*Kullanıcı geçmiş bir saati seçemez.*_x000D_
_x000D_
*Sistem Davranışı*_x000D_
_x000D_
Kullanıcı tüm zorunlu alanları doldurduğunda anımsatıcı kaydı oluşturulmalıdır._x000D_
_x000D_
Kayıt başarılı olduğunda kullanıcıya *başarılı işlem mesajı (toast)* gösterilmelidir._x000D_
_x000D_
*Uyarı mesajı*_x000D_
_x000D_
‘’Anımsatıcı kayıtınız başarı ile oluşturulmuştur’’_x000D_
 * _x000D_
 Oluşturulan anımsatıcı ilgili *dosya / doküman / klasör ile ilişkilendirilmelidir.*_x000D_
_x000D_
*Kayıt Esnasında Uyarı mesajları*_x000D_
_x000D_
Kullanıcı kaydet demeden önce eksik ve hatalı girdiği alanlardaki uyarılar_x000D_
_x000D_
Başlık alanı boş bırakılırsa_x000D_
  Başlık alanı boş bırakılamaz._x000D_
_x000D_
Başlık alanı 50 karakteri aşarsa _x000D_
  Başlık alanına en fazla 50 karakter girilebilir._x000D_
_x000D_
Açıklama alanı 250 karakteri aşarsa_x000D_
 Açıklama alanına en fazla 250 karakter girilebilir._x000D_
_x000D_
Tarih alanı boş bırakılırsa_x000D_
 Tarih alanı boş bırakılamaz._x000D_
_x000D_
Saat alanı boş bırakılırsa_x000D_
 Saat alanı boş bırakılamaz._x000D_
_x000D_
*Hata Mesajları*_x000D_
_x000D_
Eğer ''kaydet'' butonundan sonra uygulama herhangi bir sebepten anımsatıcıyı kayıt edemezse bu noktada kayıt edilemediğine dair kullanıcıya uyarı verilmelidir. (Hata sebebinin bilinen hata kayıtlarından farklı olması halinde.)_x000D_
_x000D_
Uyarı Mesajı_x000D_
_x000D_
''Anımsatıcı kayıt edilemedi. Lütfen tekrar deneyiniz.''_x000D_
_x000D_
*Kapsam Notu*_x000D_
_x000D_
Bu geliştirme yalnızca *anımsatıcı oluşturma fonksiyonunu* kapsamaktadır._x000D_
_x000D_
Aşağıdaki fonksiyonlar bu geliştirme kapsamında değildir:_x000D_
 Anımsatıcı bildirimlerinin tetiklenmesi_x000D_
  Bildirim gönderilmesi_x000D_
  Anımsatıcı listeleme ekranı_x000D_
  Anımsatıcı güncelleme veya silme işlemleri_x000D_
_x000D_
*Use case eklere eklenmiştir.*_x000D_
_x000D_
*Akış diagram eklenmiştir.*</t>
  </si>
  <si>
    <t>12/Mar/26 3:05 PM;ceren.sertkaya;Anımsatıcı oluşturma akış diagramı.jpg;http://192.168.124.186:8080/secure/attachment/16048/An%C4%B1msat%C4%B1c%C4%B1+olu%C5%9Fturma+ak%C4%B1%C5%9F+diagram%C4%B1.jpg</t>
  </si>
  <si>
    <t>12/Mar/26 2:26 PM;ceren.sertkaya;Anımsatıcı oluşturma use case dravio.jpg;http://192.168.124.186:8080/secure/attachment/16044/An%C4%B1msat%C4%B1c%C4%B1+olu%C5%9Fturma+use+case+dravio.jpg</t>
  </si>
  <si>
    <t>12/Mar/26 2:28 PM;ceren.sertkaya;Anımsatıcı oluşturma use case.drawio;http://192.168.124.186:8080/secure/attachment/16045/An%C4%B1msat%C4%B1c%C4%B1+olu%C5%9Fturma+use+case.drawio</t>
  </si>
  <si>
    <t>0|i01cf3:8zzzzzzzzzb</t>
  </si>
  <si>
    <t>Kep- Gelişmiş Filtreleme Alanlarının Eklenmesi</t>
  </si>
  <si>
    <t>*Açıklama:* _x000D_
_x000D_
KEP Entegrasyon ekranında yer alan *Gelen İletiler*, *Giden İletiler* ve *Deliller* sekmelerinde, kullanıcıların listelenen iletiler arasında daha kolay arama yapabilmesi ve detaylı sorgulama gerçekleştirebilmesi için gelişmiş filtreleme ve gelişmiş filtreler alanları sunulmalıdır._x000D_
_x000D_
*Gereksinim:* _x000D_
_x000D_
Kullanıcıların KEP iletileri arasında ihtiyaç duydukları kayıtlara kolay ve hızlı erişebilmeleri için sistemde gelişmiş, ortak bir filtreleme mekanizması bulunmalıdır._x000D_
_x000D_
*Filtreleme Alanları:* _x000D_
_x000D_
Ekranda aşağıdaki kriterler ile filtreleme yapılabilmelidir:_x000D_
_x000D_
! "Date tarihi" tarih aralığı ile seçim yaptırmalıdır._x000D_
_x000D_
*Gelen İletiler Sekmesi:*_x000D_
 * Kimden (From)  *Filtreleme*_x000D_
_x000D_
 * Tarih (Date) *Filtreleme*_x000D_
_x000D_
 * Konu (Subject) *Filtreleme*_x000D_
_x000D_
 * İleti Detay (X-TR-REM-iletiDetay) *Gelişmiş Filtre*_x000D_
_x000D_
 * İleti Tipi (X-TR-REM-iletiTip)*Gelişmiş Filtre* _x000D_
_x000D_
 * Message-ID *Gelişmiş Filtre*_x000D_
_x000D_
 * byremmd *Gelişmiş Filtre*_x000D_
 * orgimsgid *Gelişmiş Filtre*_x000D_
_x000D_
h5. *Giden İletiler Sekmesi:*_x000D_
 * Kime (To)  *Filtreleme*_x000D_
_x000D_
 * Tarih (Date) *Filtreleme*_x000D_
_x000D_
 * Konu (Subject) *Filtreleme*_x000D_
_x000D_
 * İleti Detay (X-TR-REM-iletiDetay) *Gelişmiş Filtre*_x000D_
_x000D_
 * İleti Tipi (X-TR-REM-iletiTip) *Gelişmiş Filtre*_x000D_
_x000D_
 * Message-ID *Gelişmiş Filtre*_x000D_
_x000D_
 * byremmd *Gelişmiş Filtre*_x000D_
 * orgimsgid *Gelişmiş Filtre*_x000D_
_x000D_
h5. *Deliller Sekmesi:*_x000D_
 * Tarih (Date)  *Filtreleme*_x000D_
_x000D_
 * Message-ID *Filtreleme*_x000D_
_x000D_
 * Delil Tipi (X-REM-EvidenceType) *Filtreleme*_x000D_
_x000D_
 * Delil Açıklama (X-REM-EventCode) *Gelişmiş Filtre*_x000D_
_x000D_
 * Kimden / HS Bilgisi? (From) *Gelişmiş Filtre*_x000D_
 * byremmd *Gelişmiş Filtre*_x000D_
 * orgimsgid *Gelişmiş Filtre*_x000D_
_x000D_
Tarih alanlar başlangıç  ve bitiş tarihi seçerek yapılmaya imkan sağlanmalıdır. _x000D_
_x000D_
Filtreleme alanında yer alması gereken parametreler ve isimlendirmelerini aşağıdaki görselde yer almaktadır. _x000D_
_x000D_
 _x000D_
_x000D_
, !image-2025-07-17-15-35-46-329.png!_x000D_
_x000D_
 _x000D_
_x000D_
 *Kabul Kriterleri:*_x000D_
 * Ortak filtre bileşeni, *Gelen*, *Giden*, ve *Delil* sekmelerinde kullanılabilir olmalı ve sekmeye göre varsayılan alanlarla gelmelidir._x000D_
_x000D_
 * Tüm filtre alanları bir veya birden fazla kriterle aynı anda çalışabilmelidir._x000D_
_x000D_
 * Arama sonuçları filtreye göre anlık ya da bir “Filtrele” butonu ile listelenmelidir._x000D_
_x000D_
 * Tarih alanı hem tek gün hem de tarih aralığına göre çalışabilmelidir._x000D_
_x000D_
 * Boş filtre ile arama yapıldığında tüm kayıtlar listelenmelidir._x000D_
_x000D_
 * “Tüm filtreleri sıfırla” seçeneği yer almalıdır._x000D_
_x000D_
 * Filtreleme performansı kullanıcı deneyimi açısından kabul edilebilir hızda olmalıdır._x000D_
_x000D_
 </t>
  </si>
  <si>
    <t>0|i01fog:</t>
  </si>
  <si>
    <t>Tüm hata mesajları sistem detaylı loglarında kayıt altına alınmalıdır._x000D_
_x000D_
Log kayıtlarında hangi kullanıcının işlerm yaptığı anlaşılır bir şekilde olmalıdır. _x000D_
_x000D_
 _x000D_
 * Kullanıcın başarılı başarısız sisteme giriş logları. Hatalı giriş varsa nedeni: örn. "Geçersiz parola", "Geçersiz doğrulama kodu", "Format hatası"._x000D_
 * Tüm 2FA doğrulama denemeleri loglanmalı_x000D_
 * Giriş denemesinin gerçekleştiği tam tarih ve saat bilgisi_x000D_
 * E-posta adresi veya TCKN gibi kullanıcıyı tanımlayıcı giriş bilgisi _x000D_
 * Giriş yapan kullanıcının IP adresi._x000D_
 * Kullanıcının hangi yöntemle giriş yapmaya çalıştığı_x000D_
 * 2FA gibi çok adımlı girişlerde, hangi adımda kalındığı (“SMS gönderildi”, “OTP başarısız” vs.)._x000D_
_x000D_
ANALİZ_x000D_
 # *Amaç*_x000D_
_x000D_
Kullanıcıların sisteme giriş hareketlerinin eksiksiz şekilde kayıt altına alınması, yetkili kişilerin bu loglara sistem üzerinden erişerek güvenlik ve erişim denetimi yapabilmesi amacıyla bir giriş loglama ve raporlama modülü tasarlanacaktır._x000D_
_x000D_
*2. Kapsam*_x000D_
• Şifre ile giriş, e-imza, mobil imza, OTP  girişleri dahil tüm giriş yöntemleri kapsama dahildir._x000D_
• 2FA adımları da dahil olmak üzere başarılı ve başarısız tüm giriş denemeleri logolanacaktır._x000D_
• Erişim raporları yetki matrisine göre organizasyon hiyerarşisine uygun olarak görüntülenecektir._x000D_
_x000D_
*3. Gereksinimler*_x000D_
_x000D_
*3.1 Loglama İçeriği*_x000D_
• Giriş Durumu: Başarılı / Başarısız_x000D_
• Başarısızlık Nedeni: Geçersiz parola, OTP hatası, format hatası vb._x000D_
• Giriş Yöntemi: Şifre, e-imza, mobil imza, OTP_x000D_
• Kullanıcı Bilgisi:  TCKN_x000D_
• Giriş Tarihi ve Saati: Tam tarih saat (ISO 8601 formatı önerilir)_x000D_
• IP Adresi: Kullanıcının giriş yaptığı IP_x000D_
• 2FA Adımı: SMS gönderildi, OTP doğrulandı, OTP başarısız, vb._x000D_
• Organizasyon Bilgisi: Kullanıcının bağlı olduğu organizasyon_x000D_
_x000D_
*3.2 Görüntüleme Yetkisi*_x000D_
• *Üst Organizasyon:* Alt organizasyonların tüm kullanıcı girişlerini görüntüleyebilir._x000D_
• *ALT* *Organizasyon:* Sadece kendi organizasyonunun giriş loglarını görüntüler._x000D_
• *Bireysel:* Kendi giriş loglarını görüntüler (opsiyonel)._x000D_
_x000D_
*3.3 Ön Yüz Gereksinimleri*_x000D_
• Raporlama ekranı tablo halinde sunulacak._x000D_
• Tarih aralığına göre filtreleme._x000D_
• Başarılı / başarısız filtreleri._x000D_
• Giriş yöntemi filtreleme._x000D_
• Kullanıcı bilgisine göre arama (TCKN)._x000D_
• Detay görüntüleme için satır tıklamasında popup veya detay sayfası._x000D_
• CSV / Excel çıktı alma seçeneği._x000D_
• Sayfalama (paging) uygulanacak._x000D_
• Üst organizasyon sadece yetkili olduğu organizasyonları ve alt organizasyonları görebilecek._x000D_
_x000D_
*3.4 Teknik Gereksinimler*_x000D_
• Giriş logları backend log servisinde tutulacaktır._x000D_
• API üzerinden yetkili kullanıcılara erişim sağlanacaktır._x000D_
• Loglar en az 1 yıl saklanacaktır. (KVKK/GDPR uyumlu tutulmalıdır.)_x000D_
• Performans için filtreleme ve paging desteği olacak._x000D_
_x000D_
*3.5 Güvenlik Gereksinimleri*_x000D_
• IP adresi ve kullanıcı bilgileri hashlenmeden saklanır fakat yalnızca yetkili kişilere gösterilir._x000D_
• Loglara erişim yapan kullanıcıların erişimi de ayrıca loglanacaktır   _x000D_
_x000D_
*Kural*_x000D_
_x000D_
Önyüzde raporlarım sayfasında müşteri maksimum tarih aralığında 30 günü seçebilmelidir._x000D_
_x000D_
*4. Örnek Kullanıcı Senaryoları*_x000D_
_x000D_
*Senaryo 1:*_x000D_
Organizasyon yöneticisi son 1 ayda yapılan başarısız girişleri görmek ister._x000D_
• Sisteme giriş yapar → Raporlar menüsünden Giriş Logları ekranına gelir → Filtre: Başarısız, Tarih: Son 30 gün seçer → Listeleme yapılır._x000D_
_x000D_
*Senaryo 2:*_x000D_
Üst organizasyon admini tüm alt organizasyonların giriş hareketlerini aylık rapor olarak indirir._x000D_
_x000D_
*5. Özet*_x000D_
_x000D_
Bu loglama yapısı ile sistem giriş hareketleri izlenebilir, raporlanabilir ve denetlenebilir olacaktır. Yetki matrisine göre görünürlük sağlanarak yalnızca yetkili kişilerin erişimi garanti altına alınacaktır._x000D_
_x000D_
 _x000D_
_x000D_
*Test Senaryoları*_x000D_
_x000D_
*1 - Geçerli şifre ile başarılı giriş*_x000D_
_x000D_
Giriş Türü: Şifre_x000D_
Durum: Başarılı_x000D_
Beklenen Sonuç: Giriş logu başarılı olarak kaydedilir. Tarih/saat, IP, kullanıcı bilgisi ve giriş yöntemi doğru görünür._x000D_
_x000D_
*2 - Geçersiz şifre ile başarısız giriş*_x000D_
Giriş Türü: Şifre_x000D_
Durum: Başarısız_x000D_
Beklenen Sonuç: “Geçersiz parola” hatası loglanır. IP adresi ve tarih görünür._x000D_
_x000D_
*3 - Geçersiz OTP ile başarısız giriş*_x000D_
Giriş Türü: Şifre + OTP_x000D_
Durum: Başarısız_x000D_
Beklenen Sonuç: “Geçersiz doğrulama kodu” hatası ve 2FA adımı “OTP başarısız” loglanır._x000D_
_x000D_
*4 - Geçerli OTP ile başarılı giriş*_x000D_
Giriş Türü: Şifre + OTP_x000D_
Durum: Başarılı_x000D_
Beklenen Sonuç: Giriş tüm aşamalarla başarılı olarak kaydedilir._x000D_
_x000D_
*5 - Mobil imza ile başarılı giriş*_x000D_
Giriş Türü: Mobil İmza_x000D_
Durum: Başarılı_x000D_
Beklenen Sonuç: Mobil imza yöntemiyle başarılı giriş loglanır, IP ve tarih görünür._x000D_
_x000D_
*6- E-imza ile başarılı giriş*_x000D_
Giriş Türü: E-İmza_x000D_
Durum: Başarılı_x000D_
Beklenen Sonuç: E-imza ile giriş başarılı loglanır, IP ve organizasyon bilgisi görünür._x000D_
_x000D_
*7- 2FA SMS gönderim adımı*_x000D_
Giriş Türü: Şifre + SMS OTP_x000D_
Durum: Bekliyor_x000D_
Beklenen Sonuç: Logda “SMS gönderildi” adımı görünür, sonuç bekler._x000D_
_x000D_
*8 - Yanlış giriş sonrası IP loglama*_x000D_
Giriş Türü: Şifre_x000D_
Durum: Başarısız_x000D_
Beklenen Sonuç: Başarısız giriş yapan IP adresi loglanır._x000D_
_x000D_
*9 - Organizasyon yöneticisi kendi kullanıcılarını görür*_x000D_
Durum: Log görüntüleme_x000D_
Beklenen Sonuç: Sadece kendi organizasyonuna ait logları görür._x000D_
_x000D_
*10 - Üst organizasyon tüm girişleri görebilir*_x000D_
Durum: Log görüntüleme_x000D_
Beklenen Sonuç: Kendi ve alt organizasyonların loglarına erişim sağlanır._x000D_
_x000D_
*11- CSV/Excel çıktı testi11*_x000D_
Durum: Raporlama_x000D_
Beklenen Sonuç: Uygulanan filtreler ile CSV/Excel çıktısı alınabilir._x000D_
_x000D_
*12 - Kullanıcı kendi giriş geçmişini görebilir*_x000D_
Durum: Kişisel log görüntüleme_x000D_
Beklenen Sonuç: Kullanıcı sadece kendi giriş hareketlerini görür (özellik aktifse)._x000D_
_x000D_
*13 - 1 yıl üzeri loglara erişim olmamalı*_x000D_
Durum: Zaman aşımı testi_x000D_
Beklenen Sonuç: 1 yılı geçen loglar görünmez._x000D_
_x000D_
*14- Giriş detay popup çalışır*_x000D_
Durum: Detay görüntüleme_x000D_
Beklenen Sonuç: Liste satırına tıklayınca detay popup açılır, giriş bilgileri eksiksiz görünür.</t>
  </si>
  <si>
    <t>0|i01cf3:8zzzzzzzzza</t>
  </si>
  <si>
    <t>17/Jul/25 2:00 PM;ceren.sertkaya;# *Amaç*_x000D_
_x000D_
Kullanıcıların sisteme giriş hareketlerinin eksiksiz şekilde kayıt altına alınması, yetkili kişilerin bu loglara sistem üzerinden erişerek güvenlik ve erişim denetimi yapabilmesi amacıyla bir giriş loglama ve raporlama modülü tasarlanacaktır._x000D_
_x000D_
*2. Kapsam*_x000D_
 • Şifre ile giriş, e-imza, mobil imza, OTP  girişleri dahil tüm giriş yöntemleri kapsama dahildir._x000D_
 • 2FA adımları da dahil olmak üzere başarılı ve başarısız tüm giriş denemeleri logolanacaktır._x000D_
 • Erişim raporları yetki matrisine göre organizasyon hiyerarşisine uygun olarak görüntülenecektir._x000D_
_x000D_
*3. Gereksinimler*_x000D_
_x000D_
*3.1 Loglama İçeriği*_x000D_
 • Giriş Durumu: Başarılı / Başarısız_x000D_
 • Başarısızlık Nedeni: Geçersiz parola, OTP hatası, format hatası vb._x000D_
 • Giriş Yöntemi: Şifre, e-imza, mobil imza, OTP_x000D_
 • Kullanıcı Bilgisi:  TCKN_x000D_
 • Giriş Tarihi ve Saati: Tam tarih saat (ISO 8601 formatı önerilir)_x000D_
 • IP Adresi: Kullanıcının giriş yaptığı IP_x000D_
 • 2FA Adımı: SMS gönderildi, OTP doğrulandı, OTP başarısız, vb._x000D_
 • Organizasyon Bilgisi: Kullanıcının bağlı olduğu organizasyon_x000D_
_x000D_
*3.2 Görüntüleme Yetkisi*_x000D_
 • *Üst Organizasyon:* Alt organizasyonların tüm kullanıcı girişlerini görüntüleyebilir._x000D_
 • *ALT* *Organizasyon:* Sadece kendi organizasyonunun giriş loglarını görüntüler._x000D_
 • *Bireysel:* Kendi giriş loglarını görüntüler (opsiyonel)._x000D_
_x000D_
*3.3 Ön Yüz Gereksinimleri*_x000D_
 • Raporlama ekranı tablo halinde sunulacak._x000D_
 • Tarih aralığına göre filtreleme._x000D_
 • Başarılı / başarısız filtreleri._x000D_
 • Giriş yöntemi filtreleme._x000D_
 • Kullanıcı bilgisine göre arama (TCKN)._x000D_
 • Detay görüntüleme için satır tıklamasında popup veya detay sayfası._x000D_
 • CSV / Excel çıktı alma seçeneği._x000D_
 • Sayfalama (paging) uygulanacak._x000D_
 • Üst organizasyon sadece yetkili olduğu organizasyonları ve alt organizasyonları görebilecek._x000D_
_x000D_
*3.4 Teknik Gereksinimler*_x000D_
 • Giriş logları backend log servisinde tutulacaktır._x000D_
 • API üzerinden yetkili kullanıcılara erişim sağlanacaktır._x000D_
 • Loglar en az 1 yıl saklanacaktır. (KVKK/GDPR uyumlu tutulmalıdır.)_x000D_
 • Performans için filtreleme ve paging desteği olacak._x000D_
_x000D_
*3.5 Güvenlik Gereksinimleri*_x000D_
 • IP adresi ve kullanıcı bilgileri hashlenmeden saklanır fakat yalnızca yetkili kişilere gösterilir._x000D_
 • Loglara erişim yapan kullanıcıların erişimi de ayrıca loglanacaktır   _x000D_
_x000D_
*Kural*_x000D_
_x000D_
Önyüzde raporlarım sayfasında müşteri maksimum tarih aralığında 30 günü seçebilmelidir._x000D_
_x000D_
*4. Örnek Kullanıcı Senaryoları*_x000D_
_x000D_
*Senaryo 1:*_x000D_
 Organizasyon yöneticisi son 1 ayda yapılan başarısız girişleri görmek ister._x000D_
 • Sisteme giriş yapar → Raporlar menüsünden Giriş Logları ekranına gelir → Filtre: Başarısız, Tarih: Son 30 gün seçer → Listeleme yapılır._x000D_
_x000D_
*Senaryo 2:*_x000D_
 Üst organizasyon admini tüm alt organizasyonların giriş hareketlerini aylık rapor olarak indirir._x000D_
_x000D_
*5. Özet*_x000D_
_x000D_
Bu loglama yapısı ile sistem giriş hareketleri izlenebilir, raporlanabilir ve denetlenebilir olacaktır. Yetki matrisine göre görünürlük sağlanarak yalnızca yetkili kişilerin erişimi garanti altına alınacaktır._x000D_
_x000D_
 _x000D_
_x000D_
*Test Senaryoları*_x000D_
_x000D_
*1 - Geçerli şifre ile başarılı giriş*_x000D_
_x000D_
Giriş Türü: Şifre_x000D_
 Durum: Başarılı_x000D_
 Beklenen Sonuç: Giriş logu başarılı olarak kaydedilir. Tarih/saat, IP, kullanıcı bilgisi ve giriş yöntemi doğru görünür._x000D_
_x000D_
*2 - Geçersiz şifre ile başarısız giriş*_x000D_
 Giriş Türü: Şifre_x000D_
 Durum: Başarısız_x000D_
 Beklenen Sonuç: “Geçersiz parola” hatası loglanır. IP adresi ve tarih görünür._x000D_
_x000D_
*3 - Geçersiz OTP ile başarısız giriş*_x000D_
 Giriş Türü: Şifre + OTP_x000D_
 Durum: Başarısız_x000D_
 Beklenen Sonuç: “Geçersiz doğrulama kodu” hatası ve 2FA adımı “OTP başarısız” loglanır._x000D_
_x000D_
*4 - Geçerli OTP ile başarılı giriş*_x000D_
 Giriş Türü: Şifre + OTP_x000D_
 Durum: Başarılı_x000D_
 Beklenen Sonuç: Giriş tüm aşamalarla başarılı olarak kaydedilir._x000D_
_x000D_
*5 - Mobil imza ile başarılı giriş*_x000D_
 Giriş Türü: Mobil İmza_x000D_
 Durum: Başarılı_x000D_
 Beklenen Sonuç: Mobil imza yöntemiyle başarılı giriş loglanır, IP ve tarih görünür._x000D_
_x000D_
*6- E-imza ile başarılı giriş*_x000D_
 Giriş Türü: E-İmza_x000D_
 Durum: Başarılı_x000D_
 Beklenen Sonuç: E-imza ile giriş başarılı loglanır, IP ve organizasyon bilgisi görünür._x000D_
_x000D_
*7- 2FA SMS gönderim adımı*_x000D_
 Giriş Türü: Şifre + SMS OTP_x000D_
 Durum: Bekliyor_x000D_
 Beklenen Sonuç: Logda “SMS gönderildi” adımı görünür, sonuç bekler._x000D_
_x000D_
*8 - Yanlış giriş sonrası IP loglama*_x000D_
 Giriş Türü: Şifre_x000D_
 Durum: Başarısız_x000D_
 Beklenen Sonuç: Başarısız giriş yapan IP adresi loglanır._x000D_
_x000D_
*9 - Organizasyon yöneticisi kendi kullanıcılarını görür*_x000D_
 Durum: Log görüntüleme_x000D_
 Beklenen Sonuç: Sadece kendi organizasyonuna ait logları görür._x000D_
_x000D_
*10 - Üst organizasyon tüm girişleri görebilir*_x000D_
 Durum: Log görüntüleme_x000D_
 Beklenen Sonuç: Kendi ve alt organizasyonların loglarına erişim sağlanır._x000D_
_x000D_
*11- CSV/Excel çıktı testi11*_x000D_
 Durum: Raporlama_x000D_
 Beklenen Sonuç: Uygulanan filtreler ile CSV/Excel çıktısı alınabilir._x000D_
_x000D_
*12 - Kullanıcı kendi giriş geçmişini görebilir*_x000D_
 Durum: Kişisel log görüntüleme_x000D_
 Beklenen Sonuç: Kullanıcı sadece kendi giriş hareketlerini görür (özellik aktifse)._x000D_
_x000D_
*13 - 1 yıl üzeri loglara erişim olmamalı*_x000D_
 Durum: Zaman aşımı testi_x000D_
 Beklenen Sonuç: 1 yılı geçen loglar görünmez._x000D_
_x000D_
*14- Giriş detay popup çalışır*_x000D_
 Durum: Detay görüntüleme_x000D_
 Beklenen Sonuç: Liste satırına tıklayınca detay popup açılır, giriş bilgileri eksiksiz görünür._x000D_
_x000D_
 </t>
  </si>
  <si>
    <t>h5. *Kullancılar, alternatif giriş olarak "Mobil imza" yöntemiyle sisteme giriş yapabilmelidir.* _x000D_
h5.  _x000D_
h5. Sistem kullanıcıya TC Kimlik No ve Mobil İmzanın alınan cep telefonu nunarası girişi ve GSM operatör bilgisin girebileceği alan sağlanmalıdır. _x000D_
h5. Giriş işlemi öncesinde, Türkkep İmza Client uygulamasının kullanıcının bilgisayarında kurulu olup olmadığı kontrol edilmelidir._x000D_
h5. Eğer uygulama kurulu değilse, kullanıcıya Türkkep İmza Client'ın indirilmesi için yönlendirme yapılmalıdır. Yönlendirme için açıklayıcı bir mesaj ile indir butonu veya linki gösterilmelidir._x000D_
h5. İmza Client yüklü ise, sistem e-imza token'ı algılamalı ve buna ait sertifika bilgilerini çekmelidir._x000D_
h5. Eğer birden fazla sertifika varsa, kullanıcıya sertifika/token seçimi yapılabileceği bir arayüz sunulmalıdır._x000D_
h5. Kullanıcı, seçtiği token bilgisi ile birlikte mobil şifresini girdikten sonra sistemde kimlik doğrulaması yapılmalıdır._x000D_
h5. Şifre ve token bilgisi eşleştiğinde kullanıcı başarılı şekilde giriş yapmalıdır._x000D_
h5.  _x000D_
h5. *Hatalı Giriş Senaryolarında*_x000D_
h5. *Kullanıcı yanlış şifre/token bilgisi girdiğinde uyarı mesajı gösterilmelidir.*_x000D_
h5. *Belirlenen sayıda  başarısız girişten sonra kullanıcı hesabı geçici olarak bloklanmalı ve buna dair bilgilendirme gösterilmelidir.* _x000D_
h5. *Kullanıcı bloklama süresini tamamladıktan sonra mobil ile girş akışına devam edebilmelidir.* _x000D_
h5.  _x000D_
h5. *Not:*_x000D_
h5. Alternatif giriş senaryolarında uygulanan blokaj mekanizmasıyla tutarlı olmalıdır._x000D_
h5. Bloke edilen kullanıcıların durumu sistem tarafından loglanmalı ve gerektiğinde admin panelinden görüntülenebilmelidir._x000D_
h5.  _x000D_
_x000D_
 </t>
  </si>
  <si>
    <t>0|i01cf3:8zzzzzzzzzc</t>
  </si>
  <si>
    <t>16/Jul/25 2:23 PM;ceren.sertkaya;*Amaç*_x000D_
_x000D_
Bu süreç, müşterilerin Türkkep Saklama uygulamasına *Mobil İmza* yöntemi ile güvenli şekilde giriş yapmasını sağlamaktadır. Kullanıcıların kimlik ve yetki doğrulaması yapılır, saklama hesapları ile ilişkili işlem erişimi sağlanır._x000D_
_x000D_
*2. Süreç Akışı*_x000D_
_x000D_
*Adım 1: Kimlik Bilgileri Girişi*_x000D_
 • Kullanıcıdan *T.C. Kimlik Numarası* ve *Telefon Numarası* bilgileri alınır._x000D_
 • Kullanıcıya ayrıca *GSM Operatörü (Hat Seçimi)* yaptırılır. (Türk Telekom, Turkcell, Vodafone)_x000D_
_x000D_
*Adım 2: Saklama Hesap Seçimi*_x000D_
 • Sistemde tanımlı *saklama hesapları* kontrol edilir._x000D_
 • Kullanıcıya hangi *firma/hesap* için işlem yapacağı sorulur._x000D_
 • Kullanıcı seçimini yaptıktan sonra bir sonraki adıma geçilir._x000D_
_x000D_
*Adım 3: Yetkili Kişi Doğrulaması*_x000D_
 • Sistem, kullanıcının *TCKN bilgisini* saklama hesabı üzerinden kontrol eder._x000D_
 • Eğer kullanıcı *hesap üzerinde yetkili kişi* değilse işlem başlatılmaz._x000D_
 • Kullanıcı giriş butonuna bastığında, *yetkililik kontrolü* yapılır._x000D_
_x000D_
Bu aşamada kullanıcı pasif bir kullanıcı olabilir. _x000D_
_x000D_
*Adım 4: Mobil İmza İstemcisine Yönlendirme*_x000D_
 • Sistem, *Türkkep Entegrasyon Suite Mobil İmza Servisine* bağlanır._x000D_
 • Mobil İmza talebi oluşturulur._x000D_
 • Kullanıcıya mobil imza bildirimi gönderilir, kullanıcı telefon üzerinden imzalama işlemini tamamlar._x000D_
_x000D_
*Adım 5: Başarılı Doğrulama Sonrası Giriş*_x000D_
 • Mobil imza ile doğrulama başarılı ise kullanıcı doğrudan ilgili saklama hesabına giriş yapar._x000D_
 • Başarısız mobil imza işlemi durumunda hata mesajı gösterilir._x000D_
_x000D_
*3. İş Kuralları*_x000D_
 * TCKN ve Telefon numarası zorunlu alanlardır._x000D_
 * Kullanıcı firma bilgisini seçmeden hesaba giriş yapamazç_x000D_
 * Hat seçimi yapılmadan mobil imza adımına geçilemez._x000D_
 * Kullanıcı sadece yetkili olduğu firmalar için seçim yapabilir._x000D_
 * Mobil imza imzalama süresi *3 dakika* ile sınırlandırılacaktır._x000D_
 * Mobil imza iptali veya hata durumunda kullanıcıya tekrar giriş imkanı sağlanır._x000D_
_x000D_
 _x000D_
_x000D_
*4. Validasyon Kuralları*_x000D_
_x000D_
*TCKN*_x000D_
 11 haneli, sadece rakam, geçerli T.C. Kimlik No algoritması kontrolü_x000D_
 *Telefon Numarası*_x000D_
 Başında ‘5’ ile başlayan 10 haneli mobil numara formatında_x000D_
 Hat Seçimi_x000D_
 Turkcell, Vodafone, Türk Telekom zorunlu seçim_x000D_
 *Yetki Kontrolü*_x000D_
 Seçilen hesaba karşılık gelen yetki kontrolü (Kullanıcı TCKN yetkili listesinde olmalı)_x000D_
 Mobil İmza_x000D_
 *Doğrulama süreci Türkkep entegrasyonu üzerinden yürütülür*_x000D_
_x000D_
 _x000D_
_x000D_
*5. İstisna Durumları*_x000D_
 *• TCKN yetkili değil → “Yetkiniz bulunmamaktadır” hatası.*_x000D_
 *• Mobil imza süreci reddedilirse → “İmzalama reddedildi” uyarısı.*_x000D_
 *• Mobil imza zaman aşımı → “İşlem zaman aşımına uğradı” uyarısı.*_x000D_
 *• Sistem hatası → “Sistemsel bir hata oluştu, lütfen tekrar deneyiniz” mesajı.*_x000D_
_x000D_
*Test Senaryoları*_x000D_
_x000D_
*1-* _Geçerli TCKN, Telefon, Hat ve Yetkili Giriş__x000D_
*Adımlar:*_x000D_
 1. TCKN girilir_x000D_
 2. Telefon girilir_x000D_
 3. Hat seçilir_x000D_
 4. Firma hesabı seçilir_x000D_
 5. Giriş butonuna basılır_x000D_
 6. Mobil imza doğrulaması yapılır_x000D_
*Beklenen Sonuç:* Başarılı doğrulama sonrası kullanıcı saklama hesabına giriş yapar._x000D_
_x000D_
*2-* _Geçersiz TCKN Formatı__x000D_
*Adımlar:*_x000D_
 1. 10 haneli veya harf içeren TCKN girilir_x000D_
 2. Giriş butonuna basılır_x000D_
*Beklenen Sonuç:* “Geçersiz TCKN” hatası gösterilir._x000D_
_x000D_
_x000D_
*3-* _Geçersiz Telefon Numarası__x000D_
*Adımlar:*_x000D_
 1. Geçerli TCKN girilir_x000D_
 2. Sabit hat veya yanlış formatlı telefon girilir_x000D_
 3. Giriş butonuna basılır_x000D_
*Beklenen Sonuç:* “Geçersiz telefon numarası” hatası gösterilir._x000D_
**_x000D_
_x000D_
*4* - _Hat Seçmeden Devam__x000D_
*Adımlar:*_x000D_
 1. TCKN ve telefon girilir_x000D_
 2. Hat seçilmeden giriş butonuna basılır_x000D_
*Beklenen Sonuç:* “GSM operatörü seçiniz” uyarısı gösterilir._x000D_
_x000D_
*5* - _Yetkisi Olmayan Kişi__x000D_
*Adımlar:*_x000D_
 1. TCKN, telefon, hat bilgileri girilir_x000D_
 2. Yetkili olmadığı hesap seçilir_x000D_
 3. Giriş yapılır_x000D_
*Beklenen Sonuç:* “Yetkiniz bulunmamaktadır” hatası verilir._x000D_
**_x000D_
_x000D_
*6* - _Mobil İmza Reddetme__x000D_
*Adımlar:*_x000D_
 1. Tüm bilgiler doğru girilir_x000D_
 2. Mobil imza bildirimi geldiğinde kullanıcı reddeder_x000D_
*Beklenen Sonuç:* “İmzalama reddedildi” uyarısı çıkar, giriş gerçekleşmez._x000D_
_x000D_
*7* - _Mobil İmza Zaman Aşımı__x000D_
*Adımlar:*_x000D_
 1. Bilgiler doğru girilir_x000D_
 2. Mobil imza adımında süre aşımı beklenir_x000D_
*Beklenen Sonuç:* “İşlem zaman aşımına uğradı” mesajı gösterilir._x000D_
_x000D_
*8* - _Mobil İmza Başarısız Teknik Hata__x000D_
*Adımlar:*_x000D_
 1. Türkkep servisi hata verecek şekilde ortam hazırlanır_x000D_
 2. Giriş yapılır_x000D_
*Beklenen Sonuç:* “Sistemsel hata, lütfen tekrar deneyiniz” mesajı gösterilir._x000D_
_x000D_
*9 -* _Doğru Bilgilerle Tekrar Deneme__x000D_
*Adımlar:*_x000D_
 1. Önce yanlış giriş denenir_x000D_
 2. Sonra doğru bilgilerle tekrar giriş yapılır_x000D_
*Beklenen Sonuç:* Başarılı giriş sağlanır._x000D_
_x000D_
 ** _x000D_
_x000D_
 _x000D_
_x000D_
 </t>
  </si>
  <si>
    <t>Kep Ürün Entegrasyon Modülü</t>
  </si>
  <si>
    <t>* KEP saklama hizmeti satışı yapılmış organizasyonlar için, CRM uygulaması üzerinden ilgili organizasyonun KEP modülü aktif hale getirilebilmelidir._x000D_
 * Modül aktivasyonu, sadece yetkili kullanıcılar tarafından yapılabilmeli ve bu işlem loglara kaydedilmelidir._x000D_
 * Aktivasyon sonrası, ilgili organizasyonun KEP hesabı sisteme entegre edilmelidir._x000D_
 * Saklama modülü aktif edilen KEP hesabına ait Gelen, Giden iletiler ve Deliller otomatik olarak Saklama platformuna aktarılmalıdır._x000D_
 ** Veri aktarımı anlık gerçekleştirilmelidir._x000D_
 * Veri aktarımı işlemi sırasında aktarılan kayıtların durumu (başarılı/başarısız) loglanmalı ve hata alınan durumlar için sistem yöneticisine bildirim gönderilmelidir._x000D_
 * KEP modülü Gelen, Giden ve Delil sayfalarında ilgili iletiler listelenmelidir._x000D_
 * İlgili kategorideki iletiler detaylarıyla birlikte listelenmelidir. Görüntülenen bilgiler arasında tarih, gönderici/alıcı, konu, KEP hesabı gibi bilgiler yer almalıdır._x000D_
 * Kullanıcılar, Gelen, Giden veya Delil modülünde gelişmiş filtreleme yapabilmelidir._x000D_
 ** Kullanıcı, belirli kriterlere (örneğin, TCKN, VKN, unvan) göre kayıtları filtreleyebilmelidir._x000D_
 * Kullanıcılar, listelenen iletiler arasında seçim yaparak ilgili KEP iletisinin içeriğini ve bu iletiye ait delil dosyasını sistem üzerinden indirebilmelidir._x000D_
 * İndirme işlemi, yetkilendirme kontrolüne tabi olabilmelidir ve yapılan her indirme işlemi sistem loglarına yazılmalıdır._x000D_
 * Dosyalar, orijinal formatında ve bütünlük kontrolü yapılmış şekilde sunulmalıdır._x000D_
 * Saklama çözümü, sadece Türkkep ürünleriyle sınırlı kalmamalı, farklı kep sağlayıcıları ile entegrasyon kurabilmelidir.</t>
  </si>
  <si>
    <t>ghx-label-9</t>
  </si>
  <si>
    <t>0|i01ca6:</t>
  </si>
  <si>
    <t>Üretim Modülü Faz 2 - Fatura Ödeme Durumu</t>
  </si>
  <si>
    <t>CRM-831</t>
  </si>
  <si>
    <t>Talep</t>
  </si>
  <si>
    <t>Üretim modülüne çekilen faturalar Netsis sistemine aktarılan faturalardır. Ödeme durumuna bakılmadan Netsis sistemine aktarılan tüm faturalar üretim modülüne alınmaktadır._x000D_
_x000D_
Fakat ödeme durumu ödenmedi olan bir fatura üretim modülüne aktarıldıktan sonra ödeme durumu "ödendi" olarak güncellenirse, üretim modülünde aynı fatura için ödeme durumu hala "ödenmedi" olarak görünmektedir._x000D_
_x000D_
Bundan dolayı üretim modülüne alınan faturaların ödeme durumlarını kontrol etmek için;_x000D_
 * Gece saatlerinde JOB kurularak faturaların ödeme durumlarını kontrol edip, fatura kaydı ekranı "durum" alanında yer alan ödeme durumu "ödendi" olan faturaların durumu, üretim modülünde de güncellenebilir._x000D_
 * Üretim modülüne güncelle olarak bir buton konularak, güncelle butonuna tıklanması ile ilgili TBM'nin seçili dönemi için olan fatura durumları anlık kontrol edilir, fatura kaydı ekranı "durum" alanında ödeme durumu "ödendi" olan faturaların durumu, üretim modülünde de güncellenebilir. (Güncelle butonuna 24 saat içerisinde yalnızca 1 kere basılabilir.)_x000D_
_x000D_
Sistem performansına göre 2 yöntem değerlendirilecektir.</t>
  </si>
  <si>
    <t>0|i00u53:yfwhzscl400009004069</t>
  </si>
  <si>
    <t>Üretim Modülü Faz 2 - Kaydet Butonu</t>
  </si>
  <si>
    <t>CRM-830</t>
  </si>
  <si>
    <t>Mevcutta üretim modülünde bayii ve merkez tarafındaki kullanıcılar dönem için faturaların incelemesini yaparken, tüm faturalarda işlem yapmadan sistem, bayii incelemeye veya merkez incelemeye gönder butonuna izin vermemektedir._x000D_
_x000D_
Bundan dolayı üretim modülünde "kaydet" butonu ile işlem yapılan faturalar kayıt edilebilmeli ve sonrasında tüm faturalar tamamlandıktan sonra bayii inceleme veya merkez incelemeye gönder butonuna tıklanabilmelidir.</t>
  </si>
  <si>
    <t>0|i00u53:yfwhzscl40000900406i</t>
  </si>
  <si>
    <t>Sipariş Kaydı E-Devlet Onay (İptal)</t>
  </si>
  <si>
    <t>CRM-829</t>
  </si>
  <si>
    <t>CRM üzerinden E-Devlet onayına gönderilen siparişler için doküman onay tipi E-Devlet İptal olarak güncellendiğinde UKDS sistemine "silindi" bilgisinin gönderilmesi ve rezerve edilen KEP adresinin de boşa çıkartılması gerekmektedir._x000D_
_x000D_
Sipariş detayı ekranın da doküman onay tipi alanı "E-Devlet İptal" olarak güncellendiğinde UKDS sistemine "silindi" bilgisi gönderilmeli ve sipariş detayı için talep edilen KEP adresi de boşa çıkartılmalıdır._x000D_
_x000D_
 </t>
  </si>
  <si>
    <t>0|i00u53:yfwhzscl40000900407</t>
  </si>
  <si>
    <t>Status Update metodu için Halkbank tarafından iletilen prod ortam bilgileri;_x000D_
_x000D_
IP : 193.108.213.57:443_x000D_
_x000D_
Erişim Adresi: [https://webservice.halkbank.com.tr/KepSatisWebAPI/api/kepsatisweb/statusUpdate]_x000D_
_x000D_
Kullanıcı adı ve şifre ayrı olarak paylaşılacaktır.</t>
  </si>
  <si>
    <t>0|i01fm4:</t>
  </si>
  <si>
    <t>CRM Sprint 2026/11-12</t>
  </si>
  <si>
    <t>17/Mar/26 3:44 PM;ahmet.hekim;bunu testtde attım ama canlıda test etmek lazım</t>
  </si>
  <si>
    <t>Halkbank sürecinde eğer kayıtlar için e-devlet onayında hata alınırsa mevcutta halkbank tarafına bir statü kodu ile dönülmüyor._x000D_
_x000D_
Eğer gelen kayıt için e-devlet onayında hata alınırsa halkbank tarafına 16 Başvuru Kabul Edilmedi statüsünde dönülmesi gerekmektedir.</t>
  </si>
  <si>
    <t>0|i00u53:yfwhzscl40000900409</t>
  </si>
  <si>
    <t>ENTEGRASYONBIREYSEL ve ENTEGRASYONKURUMSAL kayıt tipleri için ödeme bilgisinin alınıp, UKDS tarafına aktarılması için iki madde tamamlanmıştı._x000D_
_x000D_
Bunlara ek olarak productType bilgisinin de gönderilmesi gerekmektedir. Bu kapsamda -CRM-813- de ki gibi işlem kaydı ekranında Ent. Suit UKDS modülünü uygulamak için "Uygula" butonuna tıklandığında ödeme bilgisine ek olarak "paket veya çalışan sayısı" bilgisinin de seçilmesi gerekecektir. Paket veya Çalışan Sayısı bilgilerinden en az bir tanesinin zorunlu olması gerekmektedir._x000D_
_x000D_
Sonrasında alınan bu bilgi -CRM-806- de ki gibi UKDS tarafına aktarılmalıdır._x000D_
_x000D_
*UKDS Tarafına ProductType Gönderimi:*_x000D_
_x000D_
Servis: testpaydas.turkkep.com.tr:8020 main url_x000D_
_x000D_
Metod: POST /integration/ crm_x000D_
_x000D_
ProductType paket ise PACKAGE çalışan sayısı ise employeenumber gönderilmelidir.</t>
  </si>
  <si>
    <t>0|i00u53:yfwhzscl4000090040c</t>
  </si>
  <si>
    <t>Üretim Modülü - Veri Yüklemesi</t>
  </si>
  <si>
    <t>Aşağıda belirtilen TBM'ler için Ocak 2026 ve Şubat 2026 verileri canlı ortamda yüklenmelidir._x000D_
_x000D_
TBM-1040_x000D_
_x000D_
TBM-0890_x000D_
_x000D_
TBM-0984_x000D_
_x000D_
TBM-0976</t>
  </si>
  <si>
    <t>0|i01fl0:</t>
  </si>
  <si>
    <t>09/Mar/26 8:17 PM;ahmet.hekim;canlı güncellendi</t>
  </si>
  <si>
    <t>CRM-824</t>
  </si>
  <si>
    <t>0|i01fis:</t>
  </si>
  <si>
    <t>CRM-823</t>
  </si>
  <si>
    <t>0|i01fir:r</t>
  </si>
  <si>
    <t>Geliştirmesi yapılan chat bot un CRM sistemine de eklenmesi istenmektedir.</t>
  </si>
  <si>
    <t>0|i01fk4:</t>
  </si>
  <si>
    <t>Mevcut müşterilerin süreçleri UKDS tarafına aktarım olduğunda CRM tarafından UKDS sistemine, müşterilerin bilgilerinin aktarılması gerekmektedir. Bunun için UKDS tarafından bir servis geliştirilmelidir._x000D_
_x000D_
Müşteri ilk defa Entegrasyon Suit UKDS modülü aldıysa müşteri bilgileri UKDS sistemine servis üzerinden aktarılmalıdır. Bu nedenle aşağıdaki adımlar uygulanmalıdır._x000D_
 * Müşterinin mevcutta Entegrasyon Suit sözleşme kaydı, UKDS modülü işlem kaydı ve KEP IK Entegrasyon sözleşme kaydı olup olmadığı kontrol edilmelidir._x000D_
 * İlk defa Entegrasyon Suit UKDS modülü alınıyorsa, Entegrasyon Suit sözleşme ekranında UKDS aktar diye buton olmalı ve bu buton ile müşteri bilgileri UKDS tarafına aktarılmalıdır._x000D_
 (Sözleşme durumu, işlem durumları kepık sözleşme durumları ne olunca button olacak webik aktar mantığı ile aynı olacak)_x000D_
 * Mevcutta Entegrasyon Suit kullanılıyorsa sonradan UKDS modülü de alırsa da müşteri bilgileri UKDS sistemine gönderilmelidir._x000D_
_x000D_
+Kurumsal için Aktarılacak Müşteri Bilgileri;+_x000D_
 * Müşteri id_x000D_
 * Müşteri adı_x000D_
 * Müşterinin servis başlangıç/bitiş tarihleri (Mevcutta Entegrasyon Suit sözleşmesi varsa mevcut sözleşmenin başlangıç/bitiş tarihleri)_x000D_
 * KEP Adresi Bilgisi_x000D_
 * İşlem Yetkilisi Bilgisi_x000D_
 ** TCKN_x000D_
 ** Ad_x000D_
 ** Soyad_x000D_
 ** Telefon No _x000D_
_x000D_
+{color:#333333}Parametreler;{color}+_x000D_
_x000D_
private String kepId;_x000D_
_x000D_
private Boolean payment3d;_x000D_
 private String productValue;_x000D_
 private String kepAddress;_x000D_
 private ApplicationType applicationType;_x000D_
 private ServiceType serviceType;_x000D_
 private String name;_x000D_
 private String surname;_x000D_
 private String tckn;_x000D_
 private String dateOfBirth;_x000D_
 private String phoneNumber;_x000D_
 private String email;_x000D_
 private String institutionalMail;_x000D_
 private String vkn;</t>
  </si>
  <si>
    <t>0|i01fjo:</t>
  </si>
  <si>
    <t>ENTEGRASYONBIREYSEL ve ENTEGRASYONKURUMSAL kayıt tipleri için Entegrasyon Suit UKDS modülü akışı IKENTEGRATORKURUMSAL kayıt tipindeki bağlanmalıdır._x000D_
_x000D_
ENTEGRASYONBIREYSEL ve ENTEGRASYONKURUMSAL tiplerinde gelen kayıtlar için alt tip oluşturulmalı ve gelen alt tip ile birlikte Entegrasyon Suit servisinden API Token alınarak ödeme durumu ile birlikte UKDS servisine gönderilmelidir._x000D_
_x000D_
ENTEGRASYONBIREYSEL ve ENTEGRASYONKURUMSAL tiplerinde olan kayıtlar için paket tanımlamaları olacaktır. Paket bilgisi de UKDS sistemine gönderilmelidir._x000D_
_x000D_
Alt tipler müşterilere özel oluşturulmalıdır._x000D_
_x000D_
UKDS sisteminden urun_id parametresinde paket bilgisi gönderilecektir.</t>
  </si>
  <si>
    <t>Test servisleri üzerinden yapılan kontroller başarılı.;13/Mar/26 1:13 PM;gurkan.guney;7200</t>
  </si>
  <si>
    <t>20/Feb/26 11:00 AM;kemal.gur;ENTEGRASYONKURUMSAL ve ENTEGRASYONBIREYSEL Tipleri için Ent. Suit Akışı.jpg;http://192.168.124.186:8080/secure/attachment/15913/ENTEGRASYONKURUMSAL+ve+ENTEGRASYONBIREYSEL+Tipleri+i%C3%A7in+Ent.+Suit+Ak%C4%B1%C5%9F%C4%B1.jpg</t>
  </si>
  <si>
    <t>0|i01fir:i</t>
  </si>
  <si>
    <t>Sipariş detayı ekranında sözleşme tipi KEPIK Entegrasyon olan kayıtlar için "ERP Adı" alanına Datassist değeri eklenmeli ve otomatik ilerleyen Datassist süreçlerinde de Datassist değeri seçilmelidir. _x000D_
_x000D_
Atanan kullanıcısı Datassist TBM kaydı olan sipariş kayıtlar olacaktır.</t>
  </si>
  <si>
    <t>İlgili geliştirme yapılmıştır;17/Mar/26 3:15 PM;baris.tunc;3600</t>
  </si>
  <si>
    <t>0|i01fjw:</t>
  </si>
  <si>
    <t>03/Mar/26 1:30 PM;ahmet.hekim;datasisten gelen kurumsalkelerde , kepik sözleşmesinde erp alanı</t>
  </si>
  <si>
    <t>03/Mar/26 1:34 PM;ahmet.hekim;datasit müşterisi nasıl anlaşılır ?</t>
  </si>
  <si>
    <t>17/Mar/26 8:45 AM;kemal.gur;Atanan kullanıcısı Datassist TBM kaydı olan sipariş kayıtlar olacaktır.</t>
  </si>
  <si>
    <t>0|i01fiq:i</t>
  </si>
  <si>
    <t>Mevcutta KEPIK Çalışan Ekle üzerinden gelen farklı başvurular ile aynı kişi için KEPIK bireysel başvuru da KEP oluştur butonuna tıklandığında sistem açılışa izin veriyor. Yani bir kişi için aynı firma altında birden fazla KEPIK hesabının açılmasının engellenmesi gerekmektedir. Bunun için ise KEP Oluştur butonuna tıklandığı zaman bazı kontroller ile durum engellenebilir._x000D_
_x000D_
Ek olarak KEPIK Çalışan Ekle tarafından gelen başvuru kayıtları için ise açılışı engellenen kayıtlar KEPIK Çalışan Ekle tarafına bildirilmelidir. Bununla beraber KEPIK Çalışan Ekle tarafında da bir kontrol eklenmesi sağlıklı olabilir._x000D_
_x000D_
KEP oluştur butonuna tıklandığı zaman (manuel/otomatik) aşağıdaki kontrol adımları uygulanmalıdır._x000D_
 * KEPIK hesabı açılmak istenen müşterinin aynı firma da başka bir siparişi var mı? Var ise;_x000D_
 ** Diğer sipariş kaydının/kayıtlarının güncel durumu bekleniyor ise açılan ilk hesap sonrası diğerleri engellenmelidir.  _x000D_
 ** Var olan açık KEPIK hesabının bitiş süresi az kalmışsa da yenisinin açılması engellenmelidir._x000D_
 ** Soyadı değişikliği varsa mevcut olan kapatılarak yeni bir KEPIK hesabı açılabilir._x000D_
_x000D_
Soyadı değişikliğini anlamak için ise mevcutta KEPIK hesabı açılmak istenen TCKN'nin geçmiş sipariş detayındaki "KEP Rehber Soyad" alanı kontrol edilmelidir._x000D_
_x000D_
*UKDS tarafından KEPIK açılış için hesabı gönderilirken zaten düşmemesi gerekiyor. Eski soyadı ile olan bir hesabı varsa gönderirken MERNİS sorguda soyadı değişikliğini gösterip izin vermemesi gerekiyor._x000D_
_x000D_
Eğer mevcutta bir TCKN için aktif bir sipariş detayı var ise, yeni açılmak istenen KEP adresi için KEP oluştur butonuna tıklandığında kullanıcılara "Mevcutta aktif bir KEP adresi bulunmaktadır. Bunun kapatılması gerekmektedir" diye uyarı çıkarılmalıdır. Uyarı mesajında ek olarak mevcut sipariş detayı için yönlendirme sağlanabilir.</t>
  </si>
  <si>
    <t>0|i01fj8:</t>
  </si>
  <si>
    <t>CRM Update 47</t>
  </si>
  <si>
    <t>UKDS ve MU için yeni geliştirilen ödeme servisi için ödeme servisinden gelen aşağıda yer alan kayıt tipleri, otomatik fatura ve tahsilat kaydı akışına bağlanmalıdır. E-Ödeme alanı doluysa ödeme linki gönderilmeden devam edilmelidir._x000D_
_x000D_
ENTEGRASYONBIREYSEL, (Entegrasyon servisi)_x000D_
 ENTEGRASYONKURUMSAL, (Entegrasyon servisi)_x000D_
 IKENTEGRATORBIREYSEL, (Entegrasyon servisi)_x000D_
 IKENTEGRATORKURUMSAL, (Entegrasyon servisi)_x000D_
 PROMOSYONBIREYSELKEP, (Promosyon tipli)_x000D_
 PROMOSYONKURUMSALKEP (Promosyon tipli)_x000D_
_x000D_
DISBIREYSELKEP ve DISKURUMSALKEP</t>
  </si>
  <si>
    <t>Test ortamda yapılan kontroller başarılı.;09/Mar/26 2:30 PM;gurkan.guney;64800</t>
  </si>
  <si>
    <t>0|i01fir:</t>
  </si>
  <si>
    <t>03/Mar/26 8:27 AM;ahmet.hekim;örnek teklif fatura ve tahsilatları:_x000D_
http://10.1.20.180/index.php?module=AOS_Quotes&amp;action=DetailView&amp;record=d6ef0140-1e59-db22-5b3a-69a67e4760be</t>
  </si>
  <si>
    <t>03/Mar/26 8:29 AM;ahmet.hekim;[~gurkan.guney]_x000D_
_x000D_
reserve metodunda ödenmiş bir sipariş id var ise süreç çalışmaktadır ._x000D_
aşağıda ödenmiş bir sipariş id vardır, reserve mettdounun requestinde gönderilebilir._x000D_
_x000D_
 _x000D_
"eodeme_siparis_id":"SIP-08",</t>
  </si>
  <si>
    <t>IKENTEGRATORKURUMSAL ve IKENTEGRATORBIREYSEL - Parametrik Süreç Modeli</t>
  </si>
  <si>
    <t>CRM-808</t>
  </si>
  <si>
    <t>IKENTEGRATORKURUMSAL ve IKENTEGRATORBIREYSEL kayıt tiplerinde süreç parametrik hale getirilmelidir. Bu senaryoda ödeme ön ödemeli de olabilir ödemeli de olabilir._x000D_
 * Ödeme bilgisi UKDS modülü tanımlanırken satış sorumlusu tarafından belirlenecektir.(CRM-813) CRM sistemi UKDS sistemine API Token gönderimi sağlarken ödeme bilgisini de göndermelidir.(CRM-806)_x000D_
 * Süreç CRM sistemine geldiği zaman teklif aşağıdaki gibi oluşmalıdır. _x000D_
 * Teklif oluştuktan sonra normal akış devam etmelidir._x000D_
_x000D_
*Teklif Oluşturmak İçin;*_x000D_
 * Teklif Konusu: Firma adı ile şablon oluşturulacak._x000D_
 * Teklif Aşaması: Tanışma/Bilgilendirme_x000D_
 * Alt Aşama: Kabul (Sabit Geliyor)_x000D_
 * Satış Yapan Satıcı/Bayii: Firma TBM Kaydı_x000D_
 * İş Ortağı Var Mı?: Hayır_x000D_
 * Atanan Kişi: Firma TBM Kaydı_x000D_
 * Faturalandırılacak Müşteri: Ödeme durumuna göre firma müşteri kaydı yada ön başvuru ile gelen müşteri kaydı_x000D_
 * Ürün/Hizmet Kullanacak Müşteri: Firma Ön Başvuru ile Gelen Müşteri Kaydı_x000D_
 * Tevkifatlı Fatura Mı?: Hayır_x000D_
 * Ürünler: Ürünler müşterilere özel değişebilir._x000D_
_x000D_
 _x000D_
_x000D_
Ürünler ve fiyatları müşteriye özel ve çalışan sayısı ile çarpılacağı için bunun CRM üzerinde ayrı bir modül açılarak bu alandan yönetilmelidir. Bu modül üzerinde indirim oranı ve hesaplamalar için ayrı ayrı alanlar açılarak bu alanlar üzerinden yapılabilir. Her proje için ayrı olarak yönetilecektir._x000D_
_x000D_
*Datassist Projesi Ürünleri İçin Alanlar;*_x000D_
 * Çalışan Sayısı_x000D_
 * KEP SMS ile Bildirim için; (Çalışan sayısı alanına gelen değer*72)+200_x000D_
 * KEP Gönderisi Standart için; 100+(Çalışan sayısı alanına gelen değer*36)_x000D_
 * KEP Alıcı Hesap 1 Yıl  için; = Çalışan sayısı_x000D_
 * Diğer ürünler 1 adet olacaktır._x000D_
 * 36; Personel Yıllık Kişi Başı Gönderi Adedi_x000D_
 * 72; X_x000D_
 * 200; Y_x000D_
 * 100; Z_x000D_
_x000D_
 _x000D_
_x000D_
*Datassist Projesi Ürünleri İndirim Oranları;*_x000D_
_x000D_
0 Tutarlı Ürün(IK Sözleşmesi oluşması için)_x000D_
_x000D_
KEP Alıcı/Gönderici Hesap 1 Yıl _ STK-2227   -   Birim Fiyat: 10 TL   İndirim Miktarı: 260 TL_x000D_
_x000D_
KEP Posta Kutusu 1 Yıl (1GB) _ STK-2325   -   Birim Fiyat: 4 TL   İndirim Miktarı: 916 TL_x000D_
_x000D_
KEP İşlem Yetkilisi 1 Yıl _ STK2159   -   Birim Fiyat: 1 TL    İndirim Miktarı: 259 TL_x000D_
_x000D_
KEP Gönderisi Standart _ STK2230*   -  Birim Fiyat: 1 TL   İndirim Miktarı: 8 TL_x000D_
_x000D_
KEP SMS İle Bildirim _ STK-2242*   -   Birim Fiyat: 0.50 TL   İndirim Miktarı: 0,10 TL_x000D_
_x000D_
KEP Alıcı Hesap 1 Yıl _ STK-2223*   -   Birim Fiyat: 5 TL   İndirim Miktarı: 545 TL_x000D_
_x000D_
KEP Posta Kutusu 1 Yıl (500MB) _ STK-2230   -   Birim Fiyat: 2 TL   İndirim Miktarı: 458</t>
  </si>
  <si>
    <t>0|i00u53:yfwhzscl400009004i</t>
  </si>
  <si>
    <t>UKDS otomasyonunda yer alan bireysel KEP hesapları için olan kontrol adımlarına operasyon biriminden gelen talebe istinaden ekleme yapılmalıdır._x000D_
_x000D_
Eğer bireysel KEP hesabı sipariş detayında "kep ik" olarak işaretli ise; aşağıdaki kurallar işletilmelidir. Eğer "kep ik" olarak işaretli değilse mevcut kurallar işletilmelidir._x000D_
 * Kaydın "KEP İK Sözleşmesi ile Kurumsal Sözleşmenin" bağlılığı *Sipariş detayında şirket/müşteri alanında yer alan firma kaydının altındaki sözleşmeler alanında KEPIK ve Kurumsal KEP sözleşmeleri yer almaktadır._x000D_
 * KEP İK sözleşmesinin süresi bugünden küçük olamaz (KEP IK Sözleşmesinin süresi geçmiş mi?)_x000D_
 * Alt alan var ise alt alanlarında eşleştirilmesi gerekmektedir. Sipariş Detayı ekranında yer alan KEP Alt Domain alanı ile eşleştirilmesi gerekmektedir._x000D_
_x000D_
 _x000D_
_x000D_
UKDS Otomasyon Ek Kontroller;_x000D_
 * KEP adresinin hepsi büyük harf olamaz. Küçük harf olmalıdır._x000D_
 * Eğer teklifte alt alan ürünü var ise "alt alan" alanı dolu olmalıdır. Sipariş Detayı ekranında yer alan KEP Alt Domain alanı, Müşteri ekranında Kep Domain İsmi alanı ve KEPIK sözleşme ekranında KEP Domain alanları ile eşleştirilmesi gerekmektedir._x000D_
 (Alt Alan Ürün Adı: KEP Alt Alan Adı) ([http://10.1.20.180/index.php?module=AOS_Products&amp;offset=1&amp;stamp=1773039720067029400&amp;return_module=AOS_Products&amp;action=DetailView&amp;record=46f772cd7ee9a4cf0a93d3f7b528ddfb])_x000D_
_x000D_
 </t>
  </si>
  <si>
    <t>0|i01fj0:</t>
  </si>
  <si>
    <t>* Ödeme yaparken kredi kartına ait cvv bilgisi hatalı girilirse Genel red yazıyor, bunun yerine "Genel ret" yazmalıdır._x000D_
 * Ödeme yaparken kredi kartına ait son kullanma tarihi hatalı girilirse Kartin son kullanma tarihi hatali yazıyor, bunun yerine "Kartın son kullanma tarihi hatalı" yazmalıdır.</t>
  </si>
  <si>
    <t>Test ortamda yapılan kontroller başarılı.;06/Feb/26 3:41 PM;gurkan.guney;900</t>
  </si>
  <si>
    <t>0|i00u53:yfwhzscl4000090c</t>
  </si>
  <si>
    <t>06/Feb/26 1:53 PM;ahmet.hekim;testde atıldı</t>
  </si>
  <si>
    <t>Pay3D metoduna bir parametre eklenmelidir._x000D_
_x000D_
returnParam parametresi eklendikten sonra "json, html, pageClose" değerlerinden biri ise ona göre action da response dönmelidir.</t>
  </si>
  <si>
    <t>Test ortamda yapılan kontroller başarılı. bankResponseFormat'ına göre dönen sonuçlar ekteki gibidir.;11/Feb/26 12:56 PM;gurkan.guney;3600</t>
  </si>
  <si>
    <t>11/Feb/26 12:55 PM;gurkan.guney;boş değer gönderip ödeme yaptım.png;http://192.168.124.186:8080/secure/attachment/15883/bo%C5%9F+de%C4%9Fer+g%C3%B6nderip+%C3%B6deme+yapt%C4%B1m.png</t>
  </si>
  <si>
    <t>11/Feb/26 12:55 PM;gurkan.guney;close_page olarak ödeme yaptım.png;http://192.168.124.186:8080/secure/attachment/15884/close_page+olarak+%C3%B6deme+yapt%C4%B1m.png</t>
  </si>
  <si>
    <t>11/Feb/26 12:55 PM;gurkan.guney;html olarak ödeme yaptım.png;http://192.168.124.186:8080/secure/attachment/15885/html+olarak+%C3%B6deme+yapt%C4%B1m.png</t>
  </si>
  <si>
    <t>11/Feb/26 12:55 PM;gurkan.guney;json olarak ödeme yaptım.png;http://192.168.124.186:8080/secure/attachment/15882/json+olarak+%C3%B6deme+yapt%C4%B1m.png</t>
  </si>
  <si>
    <t>0|i01f37:s</t>
  </si>
  <si>
    <t>10/Feb/26 4:59 PM;ahmet.hekim;[~gurkan.guney]_x000D_
pay3D metoduna ,  "bankResponseFormat": "", parametresi eklendi._x000D_
_x000D_
3d doğrulamadan sonra dönen response tipi için eklendi._x000D_
_x000D_
değerler:_x000D_
 * bankResponseFormat reqeste gönderilmez ise veya boş veya json gönderilir ise json olarak dönmektedir._x000D_
 * bankResponseFormat request değeri "close_page" gönderilir ise html olarak dönmektedir ve sayfayı kapatmak için js kodu çalışmaktadır, tarayıcı js kodunu engeler ise bildirim metni çıkmaktadır._x000D_
 * bankResponseFormat request değeri "html" ise ödeme detayı bir tabloda detayları gösterilmektedir._x000D_
_x000D_
 </t>
  </si>
  <si>
    <t>0|i01fio:</t>
  </si>
  <si>
    <t>0|i01fin:i</t>
  </si>
  <si>
    <t>0|i01fk8:</t>
  </si>
  <si>
    <t>0|i01fiq:</t>
  </si>
  <si>
    <t>0|i01fin:</t>
  </si>
  <si>
    <t>0|i01fim:o</t>
  </si>
  <si>
    <t>0|i01fim:c</t>
  </si>
  <si>
    <t>0|i01fip:</t>
  </si>
  <si>
    <t>0|i01fip:i</t>
  </si>
  <si>
    <t>0|i01fim:</t>
  </si>
  <si>
    <t>0|i01fil:o</t>
  </si>
  <si>
    <t>0|i01fil:c</t>
  </si>
  <si>
    <t>CRM sisteminde olan ödeme altyapısı servis oluşturulmalı, UKDS ve mobil uygulama portalları ile paylaşılmalıdır.</t>
  </si>
  <si>
    <t>ödeme servisi için alt yapı kurgusunun çıkarılıp uygulandı, paratika servislerinin tanımlandı.;24/Nov/25 2:36 PM;ahmet.hekim;46800</t>
  </si>
  <si>
    <t>Test servisinde yapılan kontroller başarılı.;13/Jan/26 1:16 PM;gurkan.guney;25200</t>
  </si>
  <si>
    <t>tamamlandı;14/Jan/26 2:51 PM;ahmet.hekim;97200</t>
  </si>
  <si>
    <t>0|i01ern:xi</t>
  </si>
  <si>
    <t>0|i01fil:</t>
  </si>
  <si>
    <t>0|i01fik:o</t>
  </si>
  <si>
    <t>0|i01fik:c</t>
  </si>
  <si>
    <t>Bayram ve izin planlamaları dolayısıyla tamamlanma oranları düşük gerçekleşmiştir.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</si>
</sst>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2"/>
      <scheme val="minor"/>
    </font>
    <font>
      <sz val="11"/>
      <color theme="1"/>
      <name val="Aptos Narrow"/>
      <family val="2"/>
      <charset val="162"/>
      <scheme val="minor"/>
    </font>
    <font>
      <b/>
      <sz val="11"/>
      <color theme="0"/>
      <name val="Aptos Narrow"/>
      <family val="2"/>
      <charset val="162"/>
      <scheme val="minor"/>
    </font>
    <font>
      <b/>
      <sz val="11"/>
      <color theme="1"/>
      <name val="Aptos Narrow"/>
      <family val="2"/>
      <charset val="162"/>
      <scheme val="minor"/>
    </font>
    <font>
      <b/>
      <sz val="11"/>
      <color theme="0"/>
      <name val="Aptos Narrow"/>
      <family val="2"/>
      <scheme val="minor"/>
    </font>
    <font>
      <sz val="11"/>
      <color theme="1"/>
      <name val="Aptos Narrow"/>
      <family val="2"/>
      <scheme val="minor"/>
    </font>
    <font>
      <u/>
      <sz val="11"/>
      <color theme="10"/>
      <name val="Aptos Narrow"/>
      <family val="2"/>
      <scheme val="minor"/>
    </font>
    <font>
      <u/>
      <sz val="11"/>
      <color theme="1"/>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9"/>
        <bgColor indexed="64"/>
      </patternFill>
    </fill>
    <fill>
      <patternFill patternType="solid">
        <fgColor theme="4"/>
        <bgColor theme="4"/>
      </patternFill>
    </fill>
    <fill>
      <patternFill patternType="solid">
        <fgColor theme="9" tint="0.79998168889431442"/>
        <bgColor theme="9" tint="0.79998168889431442"/>
      </patternFill>
    </fill>
    <fill>
      <patternFill patternType="solid">
        <fgColor rgb="FFFECAF2"/>
        <bgColor theme="9" tint="0.79998168889431442"/>
      </patternFill>
    </fill>
  </fills>
  <borders count="9">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bottom/>
      <diagonal/>
    </border>
  </borders>
  <cellStyleXfs count="4">
    <xf numFmtId="0" fontId="0" fillId="0" borderId="0"/>
    <xf numFmtId="9" fontId="1" fillId="0" borderId="0" applyFont="0" applyFill="0" applyBorder="0" applyAlignment="0" applyProtection="0"/>
    <xf numFmtId="0" fontId="5" fillId="0" borderId="0"/>
    <xf numFmtId="0" fontId="6" fillId="0" borderId="0" applyNumberFormat="0" applyFill="0" applyBorder="0" applyAlignment="0" applyProtection="0"/>
  </cellStyleXfs>
  <cellXfs count="42">
    <xf numFmtId="0" fontId="0" fillId="0" borderId="0" xfId="0"/>
    <xf numFmtId="0" fontId="2" fillId="2" borderId="0" xfId="0" applyFont="1" applyFill="1"/>
    <xf numFmtId="0" fontId="2" fillId="2" borderId="0" xfId="0" applyFont="1" applyFill="1" applyAlignment="1">
      <alignment horizontal="center"/>
    </xf>
    <xf numFmtId="0" fontId="4" fillId="3" borderId="1" xfId="0" applyFont="1" applyFill="1" applyBorder="1"/>
    <xf numFmtId="0" fontId="4" fillId="3" borderId="2" xfId="0" applyFont="1" applyFill="1" applyBorder="1" applyAlignment="1">
      <alignment horizontal="center"/>
    </xf>
    <xf numFmtId="0" fontId="0" fillId="0" borderId="0" xfId="0" applyAlignment="1">
      <alignment horizontal="center"/>
    </xf>
    <xf numFmtId="0" fontId="4" fillId="4" borderId="0" xfId="0" applyFont="1" applyFill="1" applyAlignment="1">
      <alignment horizontal="center"/>
    </xf>
    <xf numFmtId="0" fontId="0" fillId="0" borderId="0" xfId="0" applyAlignment="1">
      <alignment horizontal="left"/>
    </xf>
    <xf numFmtId="9" fontId="0" fillId="0" borderId="0" xfId="1" applyFont="1" applyAlignment="1">
      <alignment horizontal="center"/>
    </xf>
    <xf numFmtId="9" fontId="0" fillId="0" borderId="0" xfId="1" applyFont="1"/>
    <xf numFmtId="0" fontId="0" fillId="0" borderId="0" xfId="0" pivotButton="1"/>
    <xf numFmtId="0" fontId="3" fillId="0" borderId="0" xfId="0" applyFont="1"/>
    <xf numFmtId="0" fontId="4" fillId="4" borderId="3" xfId="0" applyFont="1" applyFill="1" applyBorder="1" applyAlignment="1">
      <alignment vertical="center"/>
    </xf>
    <xf numFmtId="0" fontId="4" fillId="4" borderId="3" xfId="0" applyFont="1" applyFill="1" applyBorder="1" applyAlignment="1">
      <alignment horizontal="center" vertical="center" wrapText="1"/>
    </xf>
    <xf numFmtId="0" fontId="0" fillId="0" borderId="3" xfId="0" applyBorder="1" applyAlignment="1">
      <alignment horizontal="left"/>
    </xf>
    <xf numFmtId="0" fontId="0" fillId="0" borderId="3" xfId="0" applyBorder="1" applyAlignment="1">
      <alignment horizontal="center"/>
    </xf>
    <xf numFmtId="9" fontId="0" fillId="0" borderId="3" xfId="1" applyFont="1" applyBorder="1" applyAlignment="1">
      <alignment horizontal="center"/>
    </xf>
    <xf numFmtId="0" fontId="3" fillId="0" borderId="0" xfId="0" applyFont="1" applyAlignment="1">
      <alignment horizontal="left"/>
    </xf>
    <xf numFmtId="0" fontId="3" fillId="0" borderId="0" xfId="0" applyFont="1" applyAlignment="1">
      <alignment horizontal="center"/>
    </xf>
    <xf numFmtId="9" fontId="3" fillId="0" borderId="3" xfId="1" applyFont="1" applyBorder="1" applyAlignment="1">
      <alignment horizontal="center"/>
    </xf>
    <xf numFmtId="0" fontId="0" fillId="5" borderId="1" xfId="0" applyFill="1" applyBorder="1"/>
    <xf numFmtId="0" fontId="0" fillId="0" borderId="1" xfId="0" applyBorder="1"/>
    <xf numFmtId="0" fontId="0" fillId="0" borderId="7" xfId="0" applyBorder="1"/>
    <xf numFmtId="0" fontId="0" fillId="5" borderId="7" xfId="0" applyFill="1" applyBorder="1"/>
    <xf numFmtId="0" fontId="0" fillId="0" borderId="8" xfId="0" applyBorder="1"/>
    <xf numFmtId="0" fontId="0" fillId="5" borderId="2" xfId="0" applyFill="1" applyBorder="1"/>
    <xf numFmtId="0" fontId="0" fillId="0" borderId="2" xfId="0" applyBorder="1"/>
    <xf numFmtId="0" fontId="0" fillId="0" borderId="2" xfId="0" applyBorder="1" applyAlignment="1">
      <alignment horizontal="center"/>
    </xf>
    <xf numFmtId="0" fontId="0" fillId="5" borderId="2" xfId="0" applyFill="1" applyBorder="1" applyAlignment="1">
      <alignment horizontal="center" vertical="center"/>
    </xf>
    <xf numFmtId="0" fontId="0" fillId="0" borderId="2" xfId="0" applyBorder="1" applyAlignment="1">
      <alignment horizontal="center" vertical="center"/>
    </xf>
    <xf numFmtId="0" fontId="5" fillId="0" borderId="1" xfId="2" applyBorder="1"/>
    <xf numFmtId="0" fontId="5" fillId="0" borderId="7" xfId="2" applyBorder="1"/>
    <xf numFmtId="0" fontId="7" fillId="0" borderId="1" xfId="2" applyFont="1" applyBorder="1"/>
    <xf numFmtId="0" fontId="5" fillId="6" borderId="2" xfId="2" applyFill="1" applyBorder="1"/>
    <xf numFmtId="0" fontId="0" fillId="0" borderId="3" xfId="0" applyBorder="1"/>
    <xf numFmtId="0" fontId="0" fillId="0" borderId="3" xfId="0" applyBorder="1" applyAlignment="1">
      <alignment horizontal="center" vertical="center"/>
    </xf>
    <xf numFmtId="0" fontId="0" fillId="0" borderId="0" xfId="0" applyAlignment="1">
      <alignment horizontal="center" vertical="center"/>
    </xf>
    <xf numFmtId="22" fontId="0" fillId="0" borderId="0" xfId="0" applyNumberFormat="1"/>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0" fillId="0" borderId="0" xfId="0" applyAlignment="1">
      <alignment horizontal="center"/>
    </xf>
  </cellXfs>
  <cellStyles count="4">
    <cellStyle name="Köprü 2" xfId="3" xr:uid="{226386E7-6505-4B2B-B3A3-1BB5B7357AD1}"/>
    <cellStyle name="Normal" xfId="0" builtinId="0"/>
    <cellStyle name="Normal 2" xfId="2" xr:uid="{55D9BDFB-7DEE-4ACB-86E3-EE95AD1CE67B}"/>
    <cellStyle name="Yüzde" xfId="1" builtinId="5"/>
  </cellStyles>
  <dxfs count="1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h:mm"/>
    </dxf>
    <dxf>
      <numFmt numFmtId="27" formatCode="d/mm/yyyy\ hh:mm"/>
    </dxf>
    <dxf>
      <numFmt numFmtId="27" formatCode="d/mm/yyyy\ hh:mm"/>
    </dxf>
    <dxf>
      <numFmt numFmtId="27" formatCode="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http://192.168.124.186:8080/browse/EFT-2119" TargetMode="External"/><Relationship Id="rId13" Type="http://schemas.openxmlformats.org/officeDocument/2006/relationships/hyperlink" Target="http://192.168.124.186:8080/browse/EFT-2143"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20" TargetMode="External"/><Relationship Id="rId12" Type="http://schemas.openxmlformats.org/officeDocument/2006/relationships/hyperlink" Target="http://192.168.124.186:8080/browse/EFT-2142"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140"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043" TargetMode="External"/><Relationship Id="rId10" Type="http://schemas.openxmlformats.org/officeDocument/2006/relationships/hyperlink" Target="http://192.168.124.186:8080/browse/EFT-2130"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31" TargetMode="External"/><Relationship Id="rId14" Type="http://schemas.openxmlformats.org/officeDocument/2006/relationships/hyperlink" Target="http://192.168.124.186:8080/browse/EFT-2137"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192.168.124.186:8080/browse/EFT-2142" TargetMode="External"/><Relationship Id="rId13" Type="http://schemas.openxmlformats.org/officeDocument/2006/relationships/hyperlink" Target="http://192.168.124.186:8080/browse/EFT-2119"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43" TargetMode="External"/><Relationship Id="rId12" Type="http://schemas.openxmlformats.org/officeDocument/2006/relationships/hyperlink" Target="http://192.168.124.186:8080/browse/EFT-2120"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043"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130" TargetMode="External"/><Relationship Id="rId10" Type="http://schemas.openxmlformats.org/officeDocument/2006/relationships/hyperlink" Target="http://192.168.124.186:8080/browse/EFT-2137"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40" TargetMode="External"/><Relationship Id="rId14" Type="http://schemas.openxmlformats.org/officeDocument/2006/relationships/hyperlink" Target="http://192.168.124.186:8080/browse/EFT-2131"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192.168.124.186:8080/browse/EFT-2142" TargetMode="External"/><Relationship Id="rId13" Type="http://schemas.openxmlformats.org/officeDocument/2006/relationships/hyperlink" Target="http://192.168.124.186:8080/browse/EFT-2119"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43" TargetMode="External"/><Relationship Id="rId12" Type="http://schemas.openxmlformats.org/officeDocument/2006/relationships/hyperlink" Target="http://192.168.124.186:8080/browse/EFT-2120"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043"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130" TargetMode="External"/><Relationship Id="rId10" Type="http://schemas.openxmlformats.org/officeDocument/2006/relationships/hyperlink" Target="http://192.168.124.186:8080/browse/EFT-2137"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40" TargetMode="External"/><Relationship Id="rId14" Type="http://schemas.openxmlformats.org/officeDocument/2006/relationships/hyperlink" Target="http://192.168.124.186:8080/browse/EFT-2131"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279</xdr:row>
      <xdr:rowOff>0</xdr:rowOff>
    </xdr:from>
    <xdr:to>
      <xdr:col>1</xdr:col>
      <xdr:colOff>152400</xdr:colOff>
      <xdr:row>279</xdr:row>
      <xdr:rowOff>152400</xdr:rowOff>
    </xdr:to>
    <xdr:sp macro="" textlink="">
      <xdr:nvSpPr>
        <xdr:cNvPr id="2" name="AutoShape 4" descr="Bug">
          <a:hlinkClick xmlns:r="http://schemas.openxmlformats.org/officeDocument/2006/relationships" r:id="rId1"/>
          <a:extLst>
            <a:ext uri="{FF2B5EF4-FFF2-40B4-BE49-F238E27FC236}">
              <a16:creationId xmlns:a16="http://schemas.microsoft.com/office/drawing/2014/main" id="{01FE11B8-A345-4F5E-A9EB-815A98A674EF}"/>
            </a:ext>
          </a:extLst>
        </xdr:cNvPr>
        <xdr:cNvSpPr>
          <a:spLocks noChangeAspect="1" noChangeArrowheads="1"/>
        </xdr:cNvSpPr>
      </xdr:nvSpPr>
      <xdr:spPr bwMode="auto">
        <a:xfrm>
          <a:off x="1912620" y="51023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0</xdr:rowOff>
    </xdr:from>
    <xdr:to>
      <xdr:col>1</xdr:col>
      <xdr:colOff>152400</xdr:colOff>
      <xdr:row>280</xdr:row>
      <xdr:rowOff>152400</xdr:rowOff>
    </xdr:to>
    <xdr:sp macro="" textlink="">
      <xdr:nvSpPr>
        <xdr:cNvPr id="3" name="AutoShape 6" descr="Bug">
          <a:hlinkClick xmlns:r="http://schemas.openxmlformats.org/officeDocument/2006/relationships" r:id="rId2"/>
          <a:extLst>
            <a:ext uri="{FF2B5EF4-FFF2-40B4-BE49-F238E27FC236}">
              <a16:creationId xmlns:a16="http://schemas.microsoft.com/office/drawing/2014/main" id="{ACD80040-E61D-45EC-A459-7BF7A48A9D27}"/>
            </a:ext>
          </a:extLst>
        </xdr:cNvPr>
        <xdr:cNvSpPr>
          <a:spLocks noChangeAspect="1" noChangeArrowheads="1"/>
        </xdr:cNvSpPr>
      </xdr:nvSpPr>
      <xdr:spPr bwMode="auto">
        <a:xfrm>
          <a:off x="1912620" y="51206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152400</xdr:colOff>
      <xdr:row>281</xdr:row>
      <xdr:rowOff>152400</xdr:rowOff>
    </xdr:to>
    <xdr:sp macro="" textlink="">
      <xdr:nvSpPr>
        <xdr:cNvPr id="4" name="AutoShape 7" descr="Story">
          <a:hlinkClick xmlns:r="http://schemas.openxmlformats.org/officeDocument/2006/relationships" r:id="rId3"/>
          <a:extLst>
            <a:ext uri="{FF2B5EF4-FFF2-40B4-BE49-F238E27FC236}">
              <a16:creationId xmlns:a16="http://schemas.microsoft.com/office/drawing/2014/main" id="{08CA83E0-AF2A-4257-8849-FA071787CDBD}"/>
            </a:ext>
          </a:extLst>
        </xdr:cNvPr>
        <xdr:cNvSpPr>
          <a:spLocks noChangeAspect="1" noChangeArrowheads="1"/>
        </xdr:cNvSpPr>
      </xdr:nvSpPr>
      <xdr:spPr bwMode="auto">
        <a:xfrm>
          <a:off x="1912620" y="51389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152400</xdr:colOff>
      <xdr:row>282</xdr:row>
      <xdr:rowOff>152400</xdr:rowOff>
    </xdr:to>
    <xdr:sp macro="" textlink="">
      <xdr:nvSpPr>
        <xdr:cNvPr id="5" name="AutoShape 8" descr="Story">
          <a:hlinkClick xmlns:r="http://schemas.openxmlformats.org/officeDocument/2006/relationships" r:id="rId4"/>
          <a:extLst>
            <a:ext uri="{FF2B5EF4-FFF2-40B4-BE49-F238E27FC236}">
              <a16:creationId xmlns:a16="http://schemas.microsoft.com/office/drawing/2014/main" id="{3CFB44FA-D8F4-42F0-95ED-8B09D5014F17}"/>
            </a:ext>
          </a:extLst>
        </xdr:cNvPr>
        <xdr:cNvSpPr>
          <a:spLocks noChangeAspect="1" noChangeArrowheads="1"/>
        </xdr:cNvSpPr>
      </xdr:nvSpPr>
      <xdr:spPr bwMode="auto">
        <a:xfrm>
          <a:off x="1912620" y="5157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152400</xdr:colOff>
      <xdr:row>283</xdr:row>
      <xdr:rowOff>152400</xdr:rowOff>
    </xdr:to>
    <xdr:sp macro="" textlink="">
      <xdr:nvSpPr>
        <xdr:cNvPr id="6" name="AutoShape 9" descr="Story">
          <a:hlinkClick xmlns:r="http://schemas.openxmlformats.org/officeDocument/2006/relationships" r:id="rId5"/>
          <a:extLst>
            <a:ext uri="{FF2B5EF4-FFF2-40B4-BE49-F238E27FC236}">
              <a16:creationId xmlns:a16="http://schemas.microsoft.com/office/drawing/2014/main" id="{ACF0CCEF-3972-4C92-9480-6A0FD04BA032}"/>
            </a:ext>
          </a:extLst>
        </xdr:cNvPr>
        <xdr:cNvSpPr>
          <a:spLocks noChangeAspect="1" noChangeArrowheads="1"/>
        </xdr:cNvSpPr>
      </xdr:nvSpPr>
      <xdr:spPr bwMode="auto">
        <a:xfrm>
          <a:off x="1912620" y="51755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152400</xdr:colOff>
      <xdr:row>284</xdr:row>
      <xdr:rowOff>152400</xdr:rowOff>
    </xdr:to>
    <xdr:sp macro="" textlink="">
      <xdr:nvSpPr>
        <xdr:cNvPr id="7" name="AutoShape 10" descr="Story">
          <a:hlinkClick xmlns:r="http://schemas.openxmlformats.org/officeDocument/2006/relationships" r:id="rId6"/>
          <a:extLst>
            <a:ext uri="{FF2B5EF4-FFF2-40B4-BE49-F238E27FC236}">
              <a16:creationId xmlns:a16="http://schemas.microsoft.com/office/drawing/2014/main" id="{07B3B86D-FD3D-4858-9C28-FC9757F527E4}"/>
            </a:ext>
          </a:extLst>
        </xdr:cNvPr>
        <xdr:cNvSpPr>
          <a:spLocks noChangeAspect="1" noChangeArrowheads="1"/>
        </xdr:cNvSpPr>
      </xdr:nvSpPr>
      <xdr:spPr bwMode="auto">
        <a:xfrm>
          <a:off x="1912620" y="51937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152400</xdr:colOff>
      <xdr:row>283</xdr:row>
      <xdr:rowOff>152400</xdr:rowOff>
    </xdr:to>
    <xdr:sp macro="" textlink="">
      <xdr:nvSpPr>
        <xdr:cNvPr id="8" name="AutoShape 13" descr="Story">
          <a:hlinkClick xmlns:r="http://schemas.openxmlformats.org/officeDocument/2006/relationships" r:id="rId4"/>
          <a:extLst>
            <a:ext uri="{FF2B5EF4-FFF2-40B4-BE49-F238E27FC236}">
              <a16:creationId xmlns:a16="http://schemas.microsoft.com/office/drawing/2014/main" id="{9287F44F-B023-4138-977B-8ABE0076E431}"/>
            </a:ext>
          </a:extLst>
        </xdr:cNvPr>
        <xdr:cNvSpPr>
          <a:spLocks noChangeAspect="1" noChangeArrowheads="1"/>
        </xdr:cNvSpPr>
      </xdr:nvSpPr>
      <xdr:spPr bwMode="auto">
        <a:xfrm>
          <a:off x="1912620" y="51755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152400</xdr:colOff>
      <xdr:row>284</xdr:row>
      <xdr:rowOff>152400</xdr:rowOff>
    </xdr:to>
    <xdr:sp macro="" textlink="">
      <xdr:nvSpPr>
        <xdr:cNvPr id="9" name="AutoShape 14" descr="Story">
          <a:hlinkClick xmlns:r="http://schemas.openxmlformats.org/officeDocument/2006/relationships" r:id="rId4"/>
          <a:extLst>
            <a:ext uri="{FF2B5EF4-FFF2-40B4-BE49-F238E27FC236}">
              <a16:creationId xmlns:a16="http://schemas.microsoft.com/office/drawing/2014/main" id="{7AC458E1-BA53-4747-8D45-F8F649D2340C}"/>
            </a:ext>
          </a:extLst>
        </xdr:cNvPr>
        <xdr:cNvSpPr>
          <a:spLocks noChangeAspect="1" noChangeArrowheads="1"/>
        </xdr:cNvSpPr>
      </xdr:nvSpPr>
      <xdr:spPr bwMode="auto">
        <a:xfrm>
          <a:off x="1912620" y="51937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413</xdr:row>
      <xdr:rowOff>0</xdr:rowOff>
    </xdr:from>
    <xdr:ext cx="152400" cy="152400"/>
    <xdr:sp macro="" textlink="">
      <xdr:nvSpPr>
        <xdr:cNvPr id="10" name="AutoShape 4" descr="Bug">
          <a:hlinkClick xmlns:r="http://schemas.openxmlformats.org/officeDocument/2006/relationships" r:id="rId1"/>
          <a:extLst>
            <a:ext uri="{FF2B5EF4-FFF2-40B4-BE49-F238E27FC236}">
              <a16:creationId xmlns:a16="http://schemas.microsoft.com/office/drawing/2014/main" id="{C395BD13-CA9C-45EC-9B24-90F288416B50}"/>
            </a:ext>
          </a:extLst>
        </xdr:cNvPr>
        <xdr:cNvSpPr>
          <a:spLocks noChangeAspect="1" noChangeArrowheads="1"/>
        </xdr:cNvSpPr>
      </xdr:nvSpPr>
      <xdr:spPr bwMode="auto">
        <a:xfrm>
          <a:off x="1912620" y="75567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414</xdr:row>
      <xdr:rowOff>0</xdr:rowOff>
    </xdr:from>
    <xdr:ext cx="152400" cy="152400"/>
    <xdr:sp macro="" textlink="">
      <xdr:nvSpPr>
        <xdr:cNvPr id="11" name="AutoShape 6" descr="Bug">
          <a:hlinkClick xmlns:r="http://schemas.openxmlformats.org/officeDocument/2006/relationships" r:id="rId2"/>
          <a:extLst>
            <a:ext uri="{FF2B5EF4-FFF2-40B4-BE49-F238E27FC236}">
              <a16:creationId xmlns:a16="http://schemas.microsoft.com/office/drawing/2014/main" id="{BFAA608E-4E6D-4FFF-8CE6-2ADFBA91CFB7}"/>
            </a:ext>
          </a:extLst>
        </xdr:cNvPr>
        <xdr:cNvSpPr>
          <a:spLocks noChangeAspect="1" noChangeArrowheads="1"/>
        </xdr:cNvSpPr>
      </xdr:nvSpPr>
      <xdr:spPr bwMode="auto">
        <a:xfrm>
          <a:off x="1912620" y="75750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415</xdr:row>
      <xdr:rowOff>0</xdr:rowOff>
    </xdr:from>
    <xdr:ext cx="152400" cy="152400"/>
    <xdr:sp macro="" textlink="">
      <xdr:nvSpPr>
        <xdr:cNvPr id="12" name="AutoShape 7" descr="Story">
          <a:hlinkClick xmlns:r="http://schemas.openxmlformats.org/officeDocument/2006/relationships" r:id="rId3"/>
          <a:extLst>
            <a:ext uri="{FF2B5EF4-FFF2-40B4-BE49-F238E27FC236}">
              <a16:creationId xmlns:a16="http://schemas.microsoft.com/office/drawing/2014/main" id="{8369FADD-3816-4FFF-AAB7-FC5A82FC589F}"/>
            </a:ext>
          </a:extLst>
        </xdr:cNvPr>
        <xdr:cNvSpPr>
          <a:spLocks noChangeAspect="1" noChangeArrowheads="1"/>
        </xdr:cNvSpPr>
      </xdr:nvSpPr>
      <xdr:spPr bwMode="auto">
        <a:xfrm>
          <a:off x="1912620" y="75933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416</xdr:row>
      <xdr:rowOff>0</xdr:rowOff>
    </xdr:from>
    <xdr:ext cx="152400" cy="152400"/>
    <xdr:sp macro="" textlink="">
      <xdr:nvSpPr>
        <xdr:cNvPr id="13" name="AutoShape 8" descr="Story">
          <a:hlinkClick xmlns:r="http://schemas.openxmlformats.org/officeDocument/2006/relationships" r:id="rId4"/>
          <a:extLst>
            <a:ext uri="{FF2B5EF4-FFF2-40B4-BE49-F238E27FC236}">
              <a16:creationId xmlns:a16="http://schemas.microsoft.com/office/drawing/2014/main" id="{BEBE5982-0B03-444F-834C-4B674F199A89}"/>
            </a:ext>
          </a:extLst>
        </xdr:cNvPr>
        <xdr:cNvSpPr>
          <a:spLocks noChangeAspect="1" noChangeArrowheads="1"/>
        </xdr:cNvSpPr>
      </xdr:nvSpPr>
      <xdr:spPr bwMode="auto">
        <a:xfrm>
          <a:off x="1912620" y="76116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417</xdr:row>
      <xdr:rowOff>0</xdr:rowOff>
    </xdr:from>
    <xdr:ext cx="152400" cy="152400"/>
    <xdr:sp macro="" textlink="">
      <xdr:nvSpPr>
        <xdr:cNvPr id="14" name="AutoShape 9" descr="Story">
          <a:hlinkClick xmlns:r="http://schemas.openxmlformats.org/officeDocument/2006/relationships" r:id="rId5"/>
          <a:extLst>
            <a:ext uri="{FF2B5EF4-FFF2-40B4-BE49-F238E27FC236}">
              <a16:creationId xmlns:a16="http://schemas.microsoft.com/office/drawing/2014/main" id="{794F439C-D49C-4380-84BD-8D0B9D3F7377}"/>
            </a:ext>
          </a:extLst>
        </xdr:cNvPr>
        <xdr:cNvSpPr>
          <a:spLocks noChangeAspect="1" noChangeArrowheads="1"/>
        </xdr:cNvSpPr>
      </xdr:nvSpPr>
      <xdr:spPr bwMode="auto">
        <a:xfrm>
          <a:off x="1912620" y="76299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418</xdr:row>
      <xdr:rowOff>0</xdr:rowOff>
    </xdr:from>
    <xdr:ext cx="152400" cy="152400"/>
    <xdr:sp macro="" textlink="">
      <xdr:nvSpPr>
        <xdr:cNvPr id="15" name="AutoShape 10" descr="Story">
          <a:hlinkClick xmlns:r="http://schemas.openxmlformats.org/officeDocument/2006/relationships" r:id="rId6"/>
          <a:extLst>
            <a:ext uri="{FF2B5EF4-FFF2-40B4-BE49-F238E27FC236}">
              <a16:creationId xmlns:a16="http://schemas.microsoft.com/office/drawing/2014/main" id="{689833F6-2D35-413A-993B-2AC81EFD05B4}"/>
            </a:ext>
          </a:extLst>
        </xdr:cNvPr>
        <xdr:cNvSpPr>
          <a:spLocks noChangeAspect="1" noChangeArrowheads="1"/>
        </xdr:cNvSpPr>
      </xdr:nvSpPr>
      <xdr:spPr bwMode="auto">
        <a:xfrm>
          <a:off x="1912620" y="76481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417</xdr:row>
      <xdr:rowOff>0</xdr:rowOff>
    </xdr:from>
    <xdr:ext cx="152400" cy="152400"/>
    <xdr:sp macro="" textlink="">
      <xdr:nvSpPr>
        <xdr:cNvPr id="16" name="AutoShape 13" descr="Story">
          <a:hlinkClick xmlns:r="http://schemas.openxmlformats.org/officeDocument/2006/relationships" r:id="rId4"/>
          <a:extLst>
            <a:ext uri="{FF2B5EF4-FFF2-40B4-BE49-F238E27FC236}">
              <a16:creationId xmlns:a16="http://schemas.microsoft.com/office/drawing/2014/main" id="{3F92455C-D154-4601-B632-375C8F8B3A01}"/>
            </a:ext>
          </a:extLst>
        </xdr:cNvPr>
        <xdr:cNvSpPr>
          <a:spLocks noChangeAspect="1" noChangeArrowheads="1"/>
        </xdr:cNvSpPr>
      </xdr:nvSpPr>
      <xdr:spPr bwMode="auto">
        <a:xfrm>
          <a:off x="1912620" y="76299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418</xdr:row>
      <xdr:rowOff>0</xdr:rowOff>
    </xdr:from>
    <xdr:ext cx="152400" cy="152400"/>
    <xdr:sp macro="" textlink="">
      <xdr:nvSpPr>
        <xdr:cNvPr id="17" name="AutoShape 14" descr="Story">
          <a:hlinkClick xmlns:r="http://schemas.openxmlformats.org/officeDocument/2006/relationships" r:id="rId4"/>
          <a:extLst>
            <a:ext uri="{FF2B5EF4-FFF2-40B4-BE49-F238E27FC236}">
              <a16:creationId xmlns:a16="http://schemas.microsoft.com/office/drawing/2014/main" id="{36B4F00B-37C6-4BA9-A988-2D616CB142CF}"/>
            </a:ext>
          </a:extLst>
        </xdr:cNvPr>
        <xdr:cNvSpPr>
          <a:spLocks noChangeAspect="1" noChangeArrowheads="1"/>
        </xdr:cNvSpPr>
      </xdr:nvSpPr>
      <xdr:spPr bwMode="auto">
        <a:xfrm>
          <a:off x="1912620" y="76481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522</xdr:row>
      <xdr:rowOff>0</xdr:rowOff>
    </xdr:from>
    <xdr:to>
      <xdr:col>1</xdr:col>
      <xdr:colOff>152400</xdr:colOff>
      <xdr:row>522</xdr:row>
      <xdr:rowOff>152400</xdr:rowOff>
    </xdr:to>
    <xdr:sp macro="" textlink="">
      <xdr:nvSpPr>
        <xdr:cNvPr id="18" name="AutoShape 1" descr="Story">
          <a:hlinkClick xmlns:r="http://schemas.openxmlformats.org/officeDocument/2006/relationships" r:id="rId7"/>
          <a:extLst>
            <a:ext uri="{FF2B5EF4-FFF2-40B4-BE49-F238E27FC236}">
              <a16:creationId xmlns:a16="http://schemas.microsoft.com/office/drawing/2014/main" id="{774CB6CD-26A6-4A28-998D-05F60B8A8D7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19" name="AutoShape 2" descr="Story">
          <a:hlinkClick xmlns:r="http://schemas.openxmlformats.org/officeDocument/2006/relationships" r:id="rId8"/>
          <a:extLst>
            <a:ext uri="{FF2B5EF4-FFF2-40B4-BE49-F238E27FC236}">
              <a16:creationId xmlns:a16="http://schemas.microsoft.com/office/drawing/2014/main" id="{7959C7E2-ADBA-4DE6-96FF-53547D4DD17E}"/>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0" name="AutoShape 5" descr="Story">
          <a:hlinkClick xmlns:r="http://schemas.openxmlformats.org/officeDocument/2006/relationships" r:id="rId6"/>
          <a:extLst>
            <a:ext uri="{FF2B5EF4-FFF2-40B4-BE49-F238E27FC236}">
              <a16:creationId xmlns:a16="http://schemas.microsoft.com/office/drawing/2014/main" id="{158808AF-C663-42D2-A05D-7D5F4CA07B59}"/>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1" name="AutoShape 1" descr="Sub-task">
          <a:hlinkClick xmlns:r="http://schemas.openxmlformats.org/officeDocument/2006/relationships" r:id="rId9"/>
          <a:extLst>
            <a:ext uri="{FF2B5EF4-FFF2-40B4-BE49-F238E27FC236}">
              <a16:creationId xmlns:a16="http://schemas.microsoft.com/office/drawing/2014/main" id="{D045E711-CA96-4779-865F-48A8984F969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2" name="AutoShape 2" descr="Sub-task">
          <a:hlinkClick xmlns:r="http://schemas.openxmlformats.org/officeDocument/2006/relationships" r:id="rId10"/>
          <a:extLst>
            <a:ext uri="{FF2B5EF4-FFF2-40B4-BE49-F238E27FC236}">
              <a16:creationId xmlns:a16="http://schemas.microsoft.com/office/drawing/2014/main" id="{ED13373C-F423-4FE4-8E8F-D0DFEEE3E48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3" name="AutoShape 3" descr="Story">
          <a:hlinkClick xmlns:r="http://schemas.openxmlformats.org/officeDocument/2006/relationships" r:id="rId11"/>
          <a:extLst>
            <a:ext uri="{FF2B5EF4-FFF2-40B4-BE49-F238E27FC236}">
              <a16:creationId xmlns:a16="http://schemas.microsoft.com/office/drawing/2014/main" id="{09C731CA-A26A-4F6C-BD97-4BCDFABD7CFC}"/>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4" name="AutoShape 12" descr="Story">
          <a:hlinkClick xmlns:r="http://schemas.openxmlformats.org/officeDocument/2006/relationships" r:id="rId12"/>
          <a:extLst>
            <a:ext uri="{FF2B5EF4-FFF2-40B4-BE49-F238E27FC236}">
              <a16:creationId xmlns:a16="http://schemas.microsoft.com/office/drawing/2014/main" id="{76726918-1947-4388-AAA1-67DD0A0F952D}"/>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5" name="AutoShape 1" descr="Story">
          <a:hlinkClick xmlns:r="http://schemas.openxmlformats.org/officeDocument/2006/relationships" r:id="rId13"/>
          <a:extLst>
            <a:ext uri="{FF2B5EF4-FFF2-40B4-BE49-F238E27FC236}">
              <a16:creationId xmlns:a16="http://schemas.microsoft.com/office/drawing/2014/main" id="{03A13D76-2420-47AA-B9CE-B3D5BFD38A4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6" name="AutoShape 1" descr="Story">
          <a:hlinkClick xmlns:r="http://schemas.openxmlformats.org/officeDocument/2006/relationships" r:id="rId7"/>
          <a:extLst>
            <a:ext uri="{FF2B5EF4-FFF2-40B4-BE49-F238E27FC236}">
              <a16:creationId xmlns:a16="http://schemas.microsoft.com/office/drawing/2014/main" id="{9C38E936-F670-460C-8DCB-BF00C751032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7" name="AutoShape 2" descr="Story">
          <a:hlinkClick xmlns:r="http://schemas.openxmlformats.org/officeDocument/2006/relationships" r:id="rId8"/>
          <a:extLst>
            <a:ext uri="{FF2B5EF4-FFF2-40B4-BE49-F238E27FC236}">
              <a16:creationId xmlns:a16="http://schemas.microsoft.com/office/drawing/2014/main" id="{200BAFB8-0247-4780-8521-A079945CE9A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8" name="AutoShape 5" descr="Story">
          <a:hlinkClick xmlns:r="http://schemas.openxmlformats.org/officeDocument/2006/relationships" r:id="rId6"/>
          <a:extLst>
            <a:ext uri="{FF2B5EF4-FFF2-40B4-BE49-F238E27FC236}">
              <a16:creationId xmlns:a16="http://schemas.microsoft.com/office/drawing/2014/main" id="{89BC4421-68FC-44B9-9D61-FA1193E920E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9" name="AutoShape 1" descr="Sub-task">
          <a:hlinkClick xmlns:r="http://schemas.openxmlformats.org/officeDocument/2006/relationships" r:id="rId9"/>
          <a:extLst>
            <a:ext uri="{FF2B5EF4-FFF2-40B4-BE49-F238E27FC236}">
              <a16:creationId xmlns:a16="http://schemas.microsoft.com/office/drawing/2014/main" id="{E1BB0DB7-F31A-483D-8360-A560A7A924B8}"/>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0" name="AutoShape 2" descr="Sub-task">
          <a:hlinkClick xmlns:r="http://schemas.openxmlformats.org/officeDocument/2006/relationships" r:id="rId10"/>
          <a:extLst>
            <a:ext uri="{FF2B5EF4-FFF2-40B4-BE49-F238E27FC236}">
              <a16:creationId xmlns:a16="http://schemas.microsoft.com/office/drawing/2014/main" id="{DE4BC069-CC34-4A4A-A550-B91938C309FE}"/>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1" name="AutoShape 3" descr="Story">
          <a:hlinkClick xmlns:r="http://schemas.openxmlformats.org/officeDocument/2006/relationships" r:id="rId11"/>
          <a:extLst>
            <a:ext uri="{FF2B5EF4-FFF2-40B4-BE49-F238E27FC236}">
              <a16:creationId xmlns:a16="http://schemas.microsoft.com/office/drawing/2014/main" id="{3C43CCB9-CEEC-4DF8-A1AE-C3A58985D90A}"/>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2" name="AutoShape 12" descr="Story">
          <a:hlinkClick xmlns:r="http://schemas.openxmlformats.org/officeDocument/2006/relationships" r:id="rId12"/>
          <a:extLst>
            <a:ext uri="{FF2B5EF4-FFF2-40B4-BE49-F238E27FC236}">
              <a16:creationId xmlns:a16="http://schemas.microsoft.com/office/drawing/2014/main" id="{058AAD82-0110-4D33-ADE4-B8D4ED39359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3" name="AutoShape 1" descr="Story">
          <a:hlinkClick xmlns:r="http://schemas.openxmlformats.org/officeDocument/2006/relationships" r:id="rId13"/>
          <a:extLst>
            <a:ext uri="{FF2B5EF4-FFF2-40B4-BE49-F238E27FC236}">
              <a16:creationId xmlns:a16="http://schemas.microsoft.com/office/drawing/2014/main" id="{6FE3AD45-F9F4-4C06-BDAA-87FA48673FE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4" name="AutoShape 1" descr="Story">
          <a:hlinkClick xmlns:r="http://schemas.openxmlformats.org/officeDocument/2006/relationships" r:id="rId13"/>
          <a:extLst>
            <a:ext uri="{FF2B5EF4-FFF2-40B4-BE49-F238E27FC236}">
              <a16:creationId xmlns:a16="http://schemas.microsoft.com/office/drawing/2014/main" id="{05FA5320-4640-4468-9D50-16411EBA657D}"/>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522</xdr:row>
      <xdr:rowOff>0</xdr:rowOff>
    </xdr:from>
    <xdr:ext cx="152400" cy="152400"/>
    <xdr:sp macro="" textlink="">
      <xdr:nvSpPr>
        <xdr:cNvPr id="35" name="AutoShape 3" descr="Story">
          <a:hlinkClick xmlns:r="http://schemas.openxmlformats.org/officeDocument/2006/relationships" r:id="rId4"/>
          <a:extLst>
            <a:ext uri="{FF2B5EF4-FFF2-40B4-BE49-F238E27FC236}">
              <a16:creationId xmlns:a16="http://schemas.microsoft.com/office/drawing/2014/main" id="{7D965059-F690-4910-8FE9-879692C41E5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522</xdr:row>
      <xdr:rowOff>0</xdr:rowOff>
    </xdr:from>
    <xdr:ext cx="152400" cy="152400"/>
    <xdr:sp macro="" textlink="">
      <xdr:nvSpPr>
        <xdr:cNvPr id="36" name="AutoShape 4" descr="Story">
          <a:hlinkClick xmlns:r="http://schemas.openxmlformats.org/officeDocument/2006/relationships" r:id="rId5"/>
          <a:extLst>
            <a:ext uri="{FF2B5EF4-FFF2-40B4-BE49-F238E27FC236}">
              <a16:creationId xmlns:a16="http://schemas.microsoft.com/office/drawing/2014/main" id="{921B7881-97ED-4687-93A6-3B06E2460BB1}"/>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522</xdr:row>
      <xdr:rowOff>0</xdr:rowOff>
    </xdr:from>
    <xdr:ext cx="152400" cy="152400"/>
    <xdr:sp macro="" textlink="">
      <xdr:nvSpPr>
        <xdr:cNvPr id="37" name="AutoShape 7" descr="Story">
          <a:hlinkClick xmlns:r="http://schemas.openxmlformats.org/officeDocument/2006/relationships" r:id="rId3"/>
          <a:extLst>
            <a:ext uri="{FF2B5EF4-FFF2-40B4-BE49-F238E27FC236}">
              <a16:creationId xmlns:a16="http://schemas.microsoft.com/office/drawing/2014/main" id="{1204A36B-32DF-4F19-BC3F-A9B8B46DA68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573</xdr:row>
      <xdr:rowOff>0</xdr:rowOff>
    </xdr:from>
    <xdr:to>
      <xdr:col>1</xdr:col>
      <xdr:colOff>152400</xdr:colOff>
      <xdr:row>573</xdr:row>
      <xdr:rowOff>152400</xdr:rowOff>
    </xdr:to>
    <xdr:sp macro="" textlink="">
      <xdr:nvSpPr>
        <xdr:cNvPr id="38" name="AutoShape 4" descr="Bug">
          <a:hlinkClick xmlns:r="http://schemas.openxmlformats.org/officeDocument/2006/relationships" r:id="rId1"/>
          <a:extLst>
            <a:ext uri="{FF2B5EF4-FFF2-40B4-BE49-F238E27FC236}">
              <a16:creationId xmlns:a16="http://schemas.microsoft.com/office/drawing/2014/main" id="{57871B11-EBEB-434A-A836-2C38767AFC0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39" name="AutoShape 6" descr="Bug">
          <a:hlinkClick xmlns:r="http://schemas.openxmlformats.org/officeDocument/2006/relationships" r:id="rId2"/>
          <a:extLst>
            <a:ext uri="{FF2B5EF4-FFF2-40B4-BE49-F238E27FC236}">
              <a16:creationId xmlns:a16="http://schemas.microsoft.com/office/drawing/2014/main" id="{DA167AA3-BD6B-49EB-8822-46CC64A59CE1}"/>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0" name="AutoShape 7" descr="Story">
          <a:hlinkClick xmlns:r="http://schemas.openxmlformats.org/officeDocument/2006/relationships" r:id="rId3"/>
          <a:extLst>
            <a:ext uri="{FF2B5EF4-FFF2-40B4-BE49-F238E27FC236}">
              <a16:creationId xmlns:a16="http://schemas.microsoft.com/office/drawing/2014/main" id="{112EE599-D45A-4CC3-BD99-4214425079C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1" name="AutoShape 8" descr="Story">
          <a:hlinkClick xmlns:r="http://schemas.openxmlformats.org/officeDocument/2006/relationships" r:id="rId4"/>
          <a:extLst>
            <a:ext uri="{FF2B5EF4-FFF2-40B4-BE49-F238E27FC236}">
              <a16:creationId xmlns:a16="http://schemas.microsoft.com/office/drawing/2014/main" id="{2D14AB5C-1428-402E-A422-5A07CFBD810F}"/>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2" name="AutoShape 9" descr="Story">
          <a:hlinkClick xmlns:r="http://schemas.openxmlformats.org/officeDocument/2006/relationships" r:id="rId5"/>
          <a:extLst>
            <a:ext uri="{FF2B5EF4-FFF2-40B4-BE49-F238E27FC236}">
              <a16:creationId xmlns:a16="http://schemas.microsoft.com/office/drawing/2014/main" id="{DB62A003-C948-4FBB-A6F7-F1771A1F493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3" name="AutoShape 10" descr="Story">
          <a:hlinkClick xmlns:r="http://schemas.openxmlformats.org/officeDocument/2006/relationships" r:id="rId6"/>
          <a:extLst>
            <a:ext uri="{FF2B5EF4-FFF2-40B4-BE49-F238E27FC236}">
              <a16:creationId xmlns:a16="http://schemas.microsoft.com/office/drawing/2014/main" id="{40FFEEA0-E5AF-4DAD-9B14-5329F7BABD7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4" name="AutoShape 13" descr="Story">
          <a:hlinkClick xmlns:r="http://schemas.openxmlformats.org/officeDocument/2006/relationships" r:id="rId4"/>
          <a:extLst>
            <a:ext uri="{FF2B5EF4-FFF2-40B4-BE49-F238E27FC236}">
              <a16:creationId xmlns:a16="http://schemas.microsoft.com/office/drawing/2014/main" id="{F45FF898-4DB7-45BB-A419-77933DC36764}"/>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5" name="AutoShape 14" descr="Story">
          <a:hlinkClick xmlns:r="http://schemas.openxmlformats.org/officeDocument/2006/relationships" r:id="rId4"/>
          <a:extLst>
            <a:ext uri="{FF2B5EF4-FFF2-40B4-BE49-F238E27FC236}">
              <a16:creationId xmlns:a16="http://schemas.microsoft.com/office/drawing/2014/main" id="{762F9091-6AD6-44BD-A79A-6C34F0BDC428}"/>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6" name="AutoShape 4" descr="Bug">
          <a:hlinkClick xmlns:r="http://schemas.openxmlformats.org/officeDocument/2006/relationships" r:id="rId1"/>
          <a:extLst>
            <a:ext uri="{FF2B5EF4-FFF2-40B4-BE49-F238E27FC236}">
              <a16:creationId xmlns:a16="http://schemas.microsoft.com/office/drawing/2014/main" id="{6C6AE111-DEAF-4ECA-9F6A-C81D5246E3AE}"/>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7" name="AutoShape 6" descr="Bug">
          <a:hlinkClick xmlns:r="http://schemas.openxmlformats.org/officeDocument/2006/relationships" r:id="rId2"/>
          <a:extLst>
            <a:ext uri="{FF2B5EF4-FFF2-40B4-BE49-F238E27FC236}">
              <a16:creationId xmlns:a16="http://schemas.microsoft.com/office/drawing/2014/main" id="{3CBE48BE-1ADE-4B60-ADA4-01934677C9CA}"/>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8" name="AutoShape 7" descr="Story">
          <a:hlinkClick xmlns:r="http://schemas.openxmlformats.org/officeDocument/2006/relationships" r:id="rId3"/>
          <a:extLst>
            <a:ext uri="{FF2B5EF4-FFF2-40B4-BE49-F238E27FC236}">
              <a16:creationId xmlns:a16="http://schemas.microsoft.com/office/drawing/2014/main" id="{F19308C0-0530-4D72-8E15-5F99C055F17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9" name="AutoShape 8" descr="Story">
          <a:hlinkClick xmlns:r="http://schemas.openxmlformats.org/officeDocument/2006/relationships" r:id="rId4"/>
          <a:extLst>
            <a:ext uri="{FF2B5EF4-FFF2-40B4-BE49-F238E27FC236}">
              <a16:creationId xmlns:a16="http://schemas.microsoft.com/office/drawing/2014/main" id="{8D0EE8AD-4408-41C4-A649-8A55500EE95E}"/>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0" name="AutoShape 9" descr="Story">
          <a:hlinkClick xmlns:r="http://schemas.openxmlformats.org/officeDocument/2006/relationships" r:id="rId5"/>
          <a:extLst>
            <a:ext uri="{FF2B5EF4-FFF2-40B4-BE49-F238E27FC236}">
              <a16:creationId xmlns:a16="http://schemas.microsoft.com/office/drawing/2014/main" id="{E9AAF359-BE2A-47CB-8432-41DF92301FCA}"/>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1" name="AutoShape 10" descr="Story">
          <a:hlinkClick xmlns:r="http://schemas.openxmlformats.org/officeDocument/2006/relationships" r:id="rId6"/>
          <a:extLst>
            <a:ext uri="{FF2B5EF4-FFF2-40B4-BE49-F238E27FC236}">
              <a16:creationId xmlns:a16="http://schemas.microsoft.com/office/drawing/2014/main" id="{B4B58DDD-4592-45F1-B4CD-BABA70B2E2F0}"/>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2" name="AutoShape 13" descr="Story">
          <a:hlinkClick xmlns:r="http://schemas.openxmlformats.org/officeDocument/2006/relationships" r:id="rId4"/>
          <a:extLst>
            <a:ext uri="{FF2B5EF4-FFF2-40B4-BE49-F238E27FC236}">
              <a16:creationId xmlns:a16="http://schemas.microsoft.com/office/drawing/2014/main" id="{0AF5E1E7-81EC-4797-9A7E-9145D1C5765D}"/>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3" name="AutoShape 14" descr="Story">
          <a:hlinkClick xmlns:r="http://schemas.openxmlformats.org/officeDocument/2006/relationships" r:id="rId4"/>
          <a:extLst>
            <a:ext uri="{FF2B5EF4-FFF2-40B4-BE49-F238E27FC236}">
              <a16:creationId xmlns:a16="http://schemas.microsoft.com/office/drawing/2014/main" id="{A05237AC-DA99-44FA-A29E-693627B7BF2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4" name="AutoShape 4" descr="Bug">
          <a:hlinkClick xmlns:r="http://schemas.openxmlformats.org/officeDocument/2006/relationships" r:id="rId1"/>
          <a:extLst>
            <a:ext uri="{FF2B5EF4-FFF2-40B4-BE49-F238E27FC236}">
              <a16:creationId xmlns:a16="http://schemas.microsoft.com/office/drawing/2014/main" id="{ABA643B9-4D63-4ACA-8763-C8A931AC00D9}"/>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5" name="AutoShape 6" descr="Bug">
          <a:hlinkClick xmlns:r="http://schemas.openxmlformats.org/officeDocument/2006/relationships" r:id="rId2"/>
          <a:extLst>
            <a:ext uri="{FF2B5EF4-FFF2-40B4-BE49-F238E27FC236}">
              <a16:creationId xmlns:a16="http://schemas.microsoft.com/office/drawing/2014/main" id="{A2855F45-0C33-4890-8476-6E4B5B4B952F}"/>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6" name="AutoShape 7" descr="Story">
          <a:hlinkClick xmlns:r="http://schemas.openxmlformats.org/officeDocument/2006/relationships" r:id="rId3"/>
          <a:extLst>
            <a:ext uri="{FF2B5EF4-FFF2-40B4-BE49-F238E27FC236}">
              <a16:creationId xmlns:a16="http://schemas.microsoft.com/office/drawing/2014/main" id="{5796D446-E1A4-440F-88DB-584F0AB55FBD}"/>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7" name="AutoShape 8" descr="Story">
          <a:hlinkClick xmlns:r="http://schemas.openxmlformats.org/officeDocument/2006/relationships" r:id="rId4"/>
          <a:extLst>
            <a:ext uri="{FF2B5EF4-FFF2-40B4-BE49-F238E27FC236}">
              <a16:creationId xmlns:a16="http://schemas.microsoft.com/office/drawing/2014/main" id="{245C90A7-6493-4597-B767-EBC55026BADA}"/>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8" name="AutoShape 9" descr="Story">
          <a:hlinkClick xmlns:r="http://schemas.openxmlformats.org/officeDocument/2006/relationships" r:id="rId5"/>
          <a:extLst>
            <a:ext uri="{FF2B5EF4-FFF2-40B4-BE49-F238E27FC236}">
              <a16:creationId xmlns:a16="http://schemas.microsoft.com/office/drawing/2014/main" id="{B6585C5A-CE06-4B52-9A98-0C1E6741B7E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9" name="AutoShape 10" descr="Story">
          <a:hlinkClick xmlns:r="http://schemas.openxmlformats.org/officeDocument/2006/relationships" r:id="rId6"/>
          <a:extLst>
            <a:ext uri="{FF2B5EF4-FFF2-40B4-BE49-F238E27FC236}">
              <a16:creationId xmlns:a16="http://schemas.microsoft.com/office/drawing/2014/main" id="{B0811A7C-8F7A-4916-B7C2-6A34470FBB6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0" name="AutoShape 13" descr="Story">
          <a:hlinkClick xmlns:r="http://schemas.openxmlformats.org/officeDocument/2006/relationships" r:id="rId4"/>
          <a:extLst>
            <a:ext uri="{FF2B5EF4-FFF2-40B4-BE49-F238E27FC236}">
              <a16:creationId xmlns:a16="http://schemas.microsoft.com/office/drawing/2014/main" id="{B8853102-2F1B-479C-8F30-C150FEDE240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1" name="AutoShape 14" descr="Story">
          <a:hlinkClick xmlns:r="http://schemas.openxmlformats.org/officeDocument/2006/relationships" r:id="rId4"/>
          <a:extLst>
            <a:ext uri="{FF2B5EF4-FFF2-40B4-BE49-F238E27FC236}">
              <a16:creationId xmlns:a16="http://schemas.microsoft.com/office/drawing/2014/main" id="{8FF8F7F7-863B-4D40-A813-3CD1ABB80234}"/>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2" name="AutoShape 4" descr="Bug">
          <a:hlinkClick xmlns:r="http://schemas.openxmlformats.org/officeDocument/2006/relationships" r:id="rId1"/>
          <a:extLst>
            <a:ext uri="{FF2B5EF4-FFF2-40B4-BE49-F238E27FC236}">
              <a16:creationId xmlns:a16="http://schemas.microsoft.com/office/drawing/2014/main" id="{B4545FF8-07EB-411E-B760-46C3D3ED7A9C}"/>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3" name="AutoShape 6" descr="Bug">
          <a:hlinkClick xmlns:r="http://schemas.openxmlformats.org/officeDocument/2006/relationships" r:id="rId2"/>
          <a:extLst>
            <a:ext uri="{FF2B5EF4-FFF2-40B4-BE49-F238E27FC236}">
              <a16:creationId xmlns:a16="http://schemas.microsoft.com/office/drawing/2014/main" id="{BF35082F-231A-4B34-89AC-37432EF37A4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4" name="AutoShape 7" descr="Story">
          <a:hlinkClick xmlns:r="http://schemas.openxmlformats.org/officeDocument/2006/relationships" r:id="rId3"/>
          <a:extLst>
            <a:ext uri="{FF2B5EF4-FFF2-40B4-BE49-F238E27FC236}">
              <a16:creationId xmlns:a16="http://schemas.microsoft.com/office/drawing/2014/main" id="{DC63022B-CC72-456A-A52C-03DD4EAB3552}"/>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5" name="AutoShape 8" descr="Story">
          <a:hlinkClick xmlns:r="http://schemas.openxmlformats.org/officeDocument/2006/relationships" r:id="rId4"/>
          <a:extLst>
            <a:ext uri="{FF2B5EF4-FFF2-40B4-BE49-F238E27FC236}">
              <a16:creationId xmlns:a16="http://schemas.microsoft.com/office/drawing/2014/main" id="{9547849F-A43F-45DE-B9AF-CE880F869C2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6" name="AutoShape 9" descr="Story">
          <a:hlinkClick xmlns:r="http://schemas.openxmlformats.org/officeDocument/2006/relationships" r:id="rId5"/>
          <a:extLst>
            <a:ext uri="{FF2B5EF4-FFF2-40B4-BE49-F238E27FC236}">
              <a16:creationId xmlns:a16="http://schemas.microsoft.com/office/drawing/2014/main" id="{A9CEA649-17BA-4B7E-B51F-FF95CD45655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7" name="AutoShape 10" descr="Story">
          <a:hlinkClick xmlns:r="http://schemas.openxmlformats.org/officeDocument/2006/relationships" r:id="rId6"/>
          <a:extLst>
            <a:ext uri="{FF2B5EF4-FFF2-40B4-BE49-F238E27FC236}">
              <a16:creationId xmlns:a16="http://schemas.microsoft.com/office/drawing/2014/main" id="{8A2311D4-C698-43BE-B8CF-AB33C30F0BA5}"/>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8" name="AutoShape 13" descr="Story">
          <a:hlinkClick xmlns:r="http://schemas.openxmlformats.org/officeDocument/2006/relationships" r:id="rId4"/>
          <a:extLst>
            <a:ext uri="{FF2B5EF4-FFF2-40B4-BE49-F238E27FC236}">
              <a16:creationId xmlns:a16="http://schemas.microsoft.com/office/drawing/2014/main" id="{DFBF5EF7-302B-4E71-A3A3-FAE3AA9400EE}"/>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9" name="AutoShape 14" descr="Story">
          <a:hlinkClick xmlns:r="http://schemas.openxmlformats.org/officeDocument/2006/relationships" r:id="rId4"/>
          <a:extLst>
            <a:ext uri="{FF2B5EF4-FFF2-40B4-BE49-F238E27FC236}">
              <a16:creationId xmlns:a16="http://schemas.microsoft.com/office/drawing/2014/main" id="{DA2986C6-FFA1-4763-A419-199B8AFD365F}"/>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0" name="AutoShape 4" descr="Bug">
          <a:hlinkClick xmlns:r="http://schemas.openxmlformats.org/officeDocument/2006/relationships" r:id="rId1"/>
          <a:extLst>
            <a:ext uri="{FF2B5EF4-FFF2-40B4-BE49-F238E27FC236}">
              <a16:creationId xmlns:a16="http://schemas.microsoft.com/office/drawing/2014/main" id="{13AB9BB9-06EF-49FF-8247-F5E7D0169284}"/>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1" name="AutoShape 6" descr="Bug">
          <a:hlinkClick xmlns:r="http://schemas.openxmlformats.org/officeDocument/2006/relationships" r:id="rId2"/>
          <a:extLst>
            <a:ext uri="{FF2B5EF4-FFF2-40B4-BE49-F238E27FC236}">
              <a16:creationId xmlns:a16="http://schemas.microsoft.com/office/drawing/2014/main" id="{577799D7-CB89-4452-BBC1-F3B64495430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2" name="AutoShape 7" descr="Story">
          <a:hlinkClick xmlns:r="http://schemas.openxmlformats.org/officeDocument/2006/relationships" r:id="rId3"/>
          <a:extLst>
            <a:ext uri="{FF2B5EF4-FFF2-40B4-BE49-F238E27FC236}">
              <a16:creationId xmlns:a16="http://schemas.microsoft.com/office/drawing/2014/main" id="{7F2310F7-D3BE-41D1-9362-87329AD6E37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3" name="AutoShape 8" descr="Story">
          <a:hlinkClick xmlns:r="http://schemas.openxmlformats.org/officeDocument/2006/relationships" r:id="rId4"/>
          <a:extLst>
            <a:ext uri="{FF2B5EF4-FFF2-40B4-BE49-F238E27FC236}">
              <a16:creationId xmlns:a16="http://schemas.microsoft.com/office/drawing/2014/main" id="{6228B37B-624F-4FBE-A21C-78F615685C5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4" name="AutoShape 9" descr="Story">
          <a:hlinkClick xmlns:r="http://schemas.openxmlformats.org/officeDocument/2006/relationships" r:id="rId5"/>
          <a:extLst>
            <a:ext uri="{FF2B5EF4-FFF2-40B4-BE49-F238E27FC236}">
              <a16:creationId xmlns:a16="http://schemas.microsoft.com/office/drawing/2014/main" id="{D948A399-EBC3-4A14-9F91-3115681941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5" name="AutoShape 10" descr="Story">
          <a:hlinkClick xmlns:r="http://schemas.openxmlformats.org/officeDocument/2006/relationships" r:id="rId6"/>
          <a:extLst>
            <a:ext uri="{FF2B5EF4-FFF2-40B4-BE49-F238E27FC236}">
              <a16:creationId xmlns:a16="http://schemas.microsoft.com/office/drawing/2014/main" id="{1F643A00-9E44-4C82-A2CB-3DB0A6284807}"/>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6" name="AutoShape 13" descr="Story">
          <a:hlinkClick xmlns:r="http://schemas.openxmlformats.org/officeDocument/2006/relationships" r:id="rId4"/>
          <a:extLst>
            <a:ext uri="{FF2B5EF4-FFF2-40B4-BE49-F238E27FC236}">
              <a16:creationId xmlns:a16="http://schemas.microsoft.com/office/drawing/2014/main" id="{19B0BC93-5ECA-49AA-8D55-04DAD8E70AF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7" name="AutoShape 14" descr="Story">
          <a:hlinkClick xmlns:r="http://schemas.openxmlformats.org/officeDocument/2006/relationships" r:id="rId4"/>
          <a:extLst>
            <a:ext uri="{FF2B5EF4-FFF2-40B4-BE49-F238E27FC236}">
              <a16:creationId xmlns:a16="http://schemas.microsoft.com/office/drawing/2014/main" id="{F17354B1-B275-4CB1-82BA-358D6F147881}"/>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8" name="AutoShape 4" descr="Bug">
          <a:hlinkClick xmlns:r="http://schemas.openxmlformats.org/officeDocument/2006/relationships" r:id="rId1"/>
          <a:extLst>
            <a:ext uri="{FF2B5EF4-FFF2-40B4-BE49-F238E27FC236}">
              <a16:creationId xmlns:a16="http://schemas.microsoft.com/office/drawing/2014/main" id="{52C388B5-02CB-4C14-A3D3-EE9489890E4D}"/>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9" name="AutoShape 6" descr="Bug">
          <a:hlinkClick xmlns:r="http://schemas.openxmlformats.org/officeDocument/2006/relationships" r:id="rId2"/>
          <a:extLst>
            <a:ext uri="{FF2B5EF4-FFF2-40B4-BE49-F238E27FC236}">
              <a16:creationId xmlns:a16="http://schemas.microsoft.com/office/drawing/2014/main" id="{C2A11557-90F2-4992-BE04-B8211DA162D1}"/>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0" name="AutoShape 7" descr="Story">
          <a:hlinkClick xmlns:r="http://schemas.openxmlformats.org/officeDocument/2006/relationships" r:id="rId3"/>
          <a:extLst>
            <a:ext uri="{FF2B5EF4-FFF2-40B4-BE49-F238E27FC236}">
              <a16:creationId xmlns:a16="http://schemas.microsoft.com/office/drawing/2014/main" id="{5F6FDF08-BF10-46A7-A3FA-343AB0F5F1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1" name="AutoShape 8" descr="Story">
          <a:hlinkClick xmlns:r="http://schemas.openxmlformats.org/officeDocument/2006/relationships" r:id="rId4"/>
          <a:extLst>
            <a:ext uri="{FF2B5EF4-FFF2-40B4-BE49-F238E27FC236}">
              <a16:creationId xmlns:a16="http://schemas.microsoft.com/office/drawing/2014/main" id="{7BC15EF2-EBEA-4EE4-850E-894896F862B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2" name="AutoShape 9" descr="Story">
          <a:hlinkClick xmlns:r="http://schemas.openxmlformats.org/officeDocument/2006/relationships" r:id="rId5"/>
          <a:extLst>
            <a:ext uri="{FF2B5EF4-FFF2-40B4-BE49-F238E27FC236}">
              <a16:creationId xmlns:a16="http://schemas.microsoft.com/office/drawing/2014/main" id="{DAA551B9-117B-418B-8E2B-89729D5752B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3" name="AutoShape 10" descr="Story">
          <a:hlinkClick xmlns:r="http://schemas.openxmlformats.org/officeDocument/2006/relationships" r:id="rId6"/>
          <a:extLst>
            <a:ext uri="{FF2B5EF4-FFF2-40B4-BE49-F238E27FC236}">
              <a16:creationId xmlns:a16="http://schemas.microsoft.com/office/drawing/2014/main" id="{40DF67E9-BBD2-4006-8F7C-D6F81F41CBBD}"/>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4" name="AutoShape 13" descr="Story">
          <a:hlinkClick xmlns:r="http://schemas.openxmlformats.org/officeDocument/2006/relationships" r:id="rId4"/>
          <a:extLst>
            <a:ext uri="{FF2B5EF4-FFF2-40B4-BE49-F238E27FC236}">
              <a16:creationId xmlns:a16="http://schemas.microsoft.com/office/drawing/2014/main" id="{AF47F260-122C-452C-B8B2-CA7E1FC6D815}"/>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5" name="AutoShape 14" descr="Story">
          <a:hlinkClick xmlns:r="http://schemas.openxmlformats.org/officeDocument/2006/relationships" r:id="rId4"/>
          <a:extLst>
            <a:ext uri="{FF2B5EF4-FFF2-40B4-BE49-F238E27FC236}">
              <a16:creationId xmlns:a16="http://schemas.microsoft.com/office/drawing/2014/main" id="{5555815D-E910-4B12-B6C1-9F431968313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619</xdr:row>
      <xdr:rowOff>0</xdr:rowOff>
    </xdr:from>
    <xdr:ext cx="152400" cy="152400"/>
    <xdr:sp macro="" textlink="">
      <xdr:nvSpPr>
        <xdr:cNvPr id="86" name="AutoShape 4" descr="Bug">
          <a:hlinkClick xmlns:r="http://schemas.openxmlformats.org/officeDocument/2006/relationships" r:id="rId1"/>
          <a:extLst>
            <a:ext uri="{FF2B5EF4-FFF2-40B4-BE49-F238E27FC236}">
              <a16:creationId xmlns:a16="http://schemas.microsoft.com/office/drawing/2014/main" id="{43967F84-D3C2-4099-A713-CB67E9D125B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7" name="AutoShape 6" descr="Bug">
          <a:hlinkClick xmlns:r="http://schemas.openxmlformats.org/officeDocument/2006/relationships" r:id="rId2"/>
          <a:extLst>
            <a:ext uri="{FF2B5EF4-FFF2-40B4-BE49-F238E27FC236}">
              <a16:creationId xmlns:a16="http://schemas.microsoft.com/office/drawing/2014/main" id="{BEE06B02-6B1C-4E31-B450-26BBB4824E4B}"/>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8" name="AutoShape 7" descr="Story">
          <a:hlinkClick xmlns:r="http://schemas.openxmlformats.org/officeDocument/2006/relationships" r:id="rId3"/>
          <a:extLst>
            <a:ext uri="{FF2B5EF4-FFF2-40B4-BE49-F238E27FC236}">
              <a16:creationId xmlns:a16="http://schemas.microsoft.com/office/drawing/2014/main" id="{B3783AA4-F9A2-4BCB-B33B-588EEE9363C0}"/>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9" name="AutoShape 8" descr="Story">
          <a:hlinkClick xmlns:r="http://schemas.openxmlformats.org/officeDocument/2006/relationships" r:id="rId4"/>
          <a:extLst>
            <a:ext uri="{FF2B5EF4-FFF2-40B4-BE49-F238E27FC236}">
              <a16:creationId xmlns:a16="http://schemas.microsoft.com/office/drawing/2014/main" id="{CE762535-A1D3-4DC8-8BD2-99A44DC0CEBA}"/>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0" name="AutoShape 9" descr="Story">
          <a:hlinkClick xmlns:r="http://schemas.openxmlformats.org/officeDocument/2006/relationships" r:id="rId5"/>
          <a:extLst>
            <a:ext uri="{FF2B5EF4-FFF2-40B4-BE49-F238E27FC236}">
              <a16:creationId xmlns:a16="http://schemas.microsoft.com/office/drawing/2014/main" id="{08EA00CB-BA26-49E9-A417-F4E8A6BD46E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1" name="AutoShape 10" descr="Story">
          <a:hlinkClick xmlns:r="http://schemas.openxmlformats.org/officeDocument/2006/relationships" r:id="rId6"/>
          <a:extLst>
            <a:ext uri="{FF2B5EF4-FFF2-40B4-BE49-F238E27FC236}">
              <a16:creationId xmlns:a16="http://schemas.microsoft.com/office/drawing/2014/main" id="{C3B448EB-88D7-4EE6-8168-153530ED4B65}"/>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2" name="AutoShape 13" descr="Story">
          <a:hlinkClick xmlns:r="http://schemas.openxmlformats.org/officeDocument/2006/relationships" r:id="rId4"/>
          <a:extLst>
            <a:ext uri="{FF2B5EF4-FFF2-40B4-BE49-F238E27FC236}">
              <a16:creationId xmlns:a16="http://schemas.microsoft.com/office/drawing/2014/main" id="{666A6572-027B-4370-8B19-D362B3724D9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3" name="AutoShape 14" descr="Story">
          <a:hlinkClick xmlns:r="http://schemas.openxmlformats.org/officeDocument/2006/relationships" r:id="rId4"/>
          <a:extLst>
            <a:ext uri="{FF2B5EF4-FFF2-40B4-BE49-F238E27FC236}">
              <a16:creationId xmlns:a16="http://schemas.microsoft.com/office/drawing/2014/main" id="{D84725B5-E5DD-4D98-8885-6C00758F9BFE}"/>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4" name="AutoShape 4" descr="Bug">
          <a:hlinkClick xmlns:r="http://schemas.openxmlformats.org/officeDocument/2006/relationships" r:id="rId1"/>
          <a:extLst>
            <a:ext uri="{FF2B5EF4-FFF2-40B4-BE49-F238E27FC236}">
              <a16:creationId xmlns:a16="http://schemas.microsoft.com/office/drawing/2014/main" id="{279D9E9D-A012-44A1-828C-D53E55E82DB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5" name="AutoShape 6" descr="Bug">
          <a:hlinkClick xmlns:r="http://schemas.openxmlformats.org/officeDocument/2006/relationships" r:id="rId2"/>
          <a:extLst>
            <a:ext uri="{FF2B5EF4-FFF2-40B4-BE49-F238E27FC236}">
              <a16:creationId xmlns:a16="http://schemas.microsoft.com/office/drawing/2014/main" id="{972719B3-AA8F-4233-8A1B-12409A19273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6" name="AutoShape 7" descr="Story">
          <a:hlinkClick xmlns:r="http://schemas.openxmlformats.org/officeDocument/2006/relationships" r:id="rId3"/>
          <a:extLst>
            <a:ext uri="{FF2B5EF4-FFF2-40B4-BE49-F238E27FC236}">
              <a16:creationId xmlns:a16="http://schemas.microsoft.com/office/drawing/2014/main" id="{E4337B45-17CD-44DF-A5D8-5CC7C00505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7" name="AutoShape 8" descr="Story">
          <a:hlinkClick xmlns:r="http://schemas.openxmlformats.org/officeDocument/2006/relationships" r:id="rId4"/>
          <a:extLst>
            <a:ext uri="{FF2B5EF4-FFF2-40B4-BE49-F238E27FC236}">
              <a16:creationId xmlns:a16="http://schemas.microsoft.com/office/drawing/2014/main" id="{37B4BE39-1E20-48C3-A954-B6F703E75DF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8" name="AutoShape 9" descr="Story">
          <a:hlinkClick xmlns:r="http://schemas.openxmlformats.org/officeDocument/2006/relationships" r:id="rId5"/>
          <a:extLst>
            <a:ext uri="{FF2B5EF4-FFF2-40B4-BE49-F238E27FC236}">
              <a16:creationId xmlns:a16="http://schemas.microsoft.com/office/drawing/2014/main" id="{95DAF92B-73C8-4AC5-9350-440B6B7C255A}"/>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9" name="AutoShape 10" descr="Story">
          <a:hlinkClick xmlns:r="http://schemas.openxmlformats.org/officeDocument/2006/relationships" r:id="rId6"/>
          <a:extLst>
            <a:ext uri="{FF2B5EF4-FFF2-40B4-BE49-F238E27FC236}">
              <a16:creationId xmlns:a16="http://schemas.microsoft.com/office/drawing/2014/main" id="{DB791ECE-1A39-43BF-B4AE-25D8B250E72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100" name="AutoShape 13" descr="Story">
          <a:hlinkClick xmlns:r="http://schemas.openxmlformats.org/officeDocument/2006/relationships" r:id="rId4"/>
          <a:extLst>
            <a:ext uri="{FF2B5EF4-FFF2-40B4-BE49-F238E27FC236}">
              <a16:creationId xmlns:a16="http://schemas.microsoft.com/office/drawing/2014/main" id="{67FD7270-6249-466B-8D0E-CAED13BBB7D0}"/>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101" name="AutoShape 14" descr="Story">
          <a:hlinkClick xmlns:r="http://schemas.openxmlformats.org/officeDocument/2006/relationships" r:id="rId4"/>
          <a:extLst>
            <a:ext uri="{FF2B5EF4-FFF2-40B4-BE49-F238E27FC236}">
              <a16:creationId xmlns:a16="http://schemas.microsoft.com/office/drawing/2014/main" id="{62DCF3D2-7623-43B2-BA99-829319FC6CC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591</xdr:row>
      <xdr:rowOff>0</xdr:rowOff>
    </xdr:from>
    <xdr:to>
      <xdr:col>1</xdr:col>
      <xdr:colOff>152400</xdr:colOff>
      <xdr:row>591</xdr:row>
      <xdr:rowOff>152400</xdr:rowOff>
    </xdr:to>
    <xdr:sp macro="" textlink="">
      <xdr:nvSpPr>
        <xdr:cNvPr id="102" name="AutoShape 4" descr="Bug">
          <a:hlinkClick xmlns:r="http://schemas.openxmlformats.org/officeDocument/2006/relationships" r:id="rId1"/>
          <a:extLst>
            <a:ext uri="{FF2B5EF4-FFF2-40B4-BE49-F238E27FC236}">
              <a16:creationId xmlns:a16="http://schemas.microsoft.com/office/drawing/2014/main" id="{B310A16B-1CA7-4C47-A675-EA2D7C9E7BDE}"/>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3" name="AutoShape 6" descr="Bug">
          <a:hlinkClick xmlns:r="http://schemas.openxmlformats.org/officeDocument/2006/relationships" r:id="rId2"/>
          <a:extLst>
            <a:ext uri="{FF2B5EF4-FFF2-40B4-BE49-F238E27FC236}">
              <a16:creationId xmlns:a16="http://schemas.microsoft.com/office/drawing/2014/main" id="{65419750-A371-4B1E-96C2-31005D5988FA}"/>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4" name="AutoShape 7" descr="Story">
          <a:hlinkClick xmlns:r="http://schemas.openxmlformats.org/officeDocument/2006/relationships" r:id="rId3"/>
          <a:extLst>
            <a:ext uri="{FF2B5EF4-FFF2-40B4-BE49-F238E27FC236}">
              <a16:creationId xmlns:a16="http://schemas.microsoft.com/office/drawing/2014/main" id="{010C0E71-C79D-4719-B9E1-5BA0970881A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5" name="AutoShape 8" descr="Story">
          <a:hlinkClick xmlns:r="http://schemas.openxmlformats.org/officeDocument/2006/relationships" r:id="rId4"/>
          <a:extLst>
            <a:ext uri="{FF2B5EF4-FFF2-40B4-BE49-F238E27FC236}">
              <a16:creationId xmlns:a16="http://schemas.microsoft.com/office/drawing/2014/main" id="{F65C1ACE-66C4-461A-8D5A-F42DC538102D}"/>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6" name="AutoShape 9" descr="Story">
          <a:hlinkClick xmlns:r="http://schemas.openxmlformats.org/officeDocument/2006/relationships" r:id="rId5"/>
          <a:extLst>
            <a:ext uri="{FF2B5EF4-FFF2-40B4-BE49-F238E27FC236}">
              <a16:creationId xmlns:a16="http://schemas.microsoft.com/office/drawing/2014/main" id="{B37D3508-5879-4E8A-8629-5201DACE6BFA}"/>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7" name="AutoShape 10" descr="Story">
          <a:hlinkClick xmlns:r="http://schemas.openxmlformats.org/officeDocument/2006/relationships" r:id="rId6"/>
          <a:extLst>
            <a:ext uri="{FF2B5EF4-FFF2-40B4-BE49-F238E27FC236}">
              <a16:creationId xmlns:a16="http://schemas.microsoft.com/office/drawing/2014/main" id="{E8E258EE-2B2B-4FA7-9172-64F64F2D0AE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8" name="AutoShape 13" descr="Story">
          <a:hlinkClick xmlns:r="http://schemas.openxmlformats.org/officeDocument/2006/relationships" r:id="rId4"/>
          <a:extLst>
            <a:ext uri="{FF2B5EF4-FFF2-40B4-BE49-F238E27FC236}">
              <a16:creationId xmlns:a16="http://schemas.microsoft.com/office/drawing/2014/main" id="{1F3BA034-F841-4751-B89E-0B19634024E7}"/>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9" name="AutoShape 14" descr="Story">
          <a:hlinkClick xmlns:r="http://schemas.openxmlformats.org/officeDocument/2006/relationships" r:id="rId4"/>
          <a:extLst>
            <a:ext uri="{FF2B5EF4-FFF2-40B4-BE49-F238E27FC236}">
              <a16:creationId xmlns:a16="http://schemas.microsoft.com/office/drawing/2014/main" id="{43DB6DEB-1E88-4C8F-932B-0D0EB57526C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0" name="AutoShape 4" descr="Bug">
          <a:hlinkClick xmlns:r="http://schemas.openxmlformats.org/officeDocument/2006/relationships" r:id="rId1"/>
          <a:extLst>
            <a:ext uri="{FF2B5EF4-FFF2-40B4-BE49-F238E27FC236}">
              <a16:creationId xmlns:a16="http://schemas.microsoft.com/office/drawing/2014/main" id="{98AC3B90-9A99-4BBE-A362-479D6E74188B}"/>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1" name="AutoShape 6" descr="Bug">
          <a:hlinkClick xmlns:r="http://schemas.openxmlformats.org/officeDocument/2006/relationships" r:id="rId2"/>
          <a:extLst>
            <a:ext uri="{FF2B5EF4-FFF2-40B4-BE49-F238E27FC236}">
              <a16:creationId xmlns:a16="http://schemas.microsoft.com/office/drawing/2014/main" id="{9910DA5F-1E86-4FAC-B28A-17DB9AF9B2D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2" name="AutoShape 7" descr="Story">
          <a:hlinkClick xmlns:r="http://schemas.openxmlformats.org/officeDocument/2006/relationships" r:id="rId3"/>
          <a:extLst>
            <a:ext uri="{FF2B5EF4-FFF2-40B4-BE49-F238E27FC236}">
              <a16:creationId xmlns:a16="http://schemas.microsoft.com/office/drawing/2014/main" id="{EBA9982A-BE5C-4E9E-AE96-E80304D13C7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3" name="AutoShape 8" descr="Story">
          <a:hlinkClick xmlns:r="http://schemas.openxmlformats.org/officeDocument/2006/relationships" r:id="rId4"/>
          <a:extLst>
            <a:ext uri="{FF2B5EF4-FFF2-40B4-BE49-F238E27FC236}">
              <a16:creationId xmlns:a16="http://schemas.microsoft.com/office/drawing/2014/main" id="{F9451C55-E641-41E5-AADF-BD5C27A46EFE}"/>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4" name="AutoShape 9" descr="Story">
          <a:hlinkClick xmlns:r="http://schemas.openxmlformats.org/officeDocument/2006/relationships" r:id="rId5"/>
          <a:extLst>
            <a:ext uri="{FF2B5EF4-FFF2-40B4-BE49-F238E27FC236}">
              <a16:creationId xmlns:a16="http://schemas.microsoft.com/office/drawing/2014/main" id="{06C11D51-C36D-4BF6-AA25-578A4B2A2F2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5" name="AutoShape 10" descr="Story">
          <a:hlinkClick xmlns:r="http://schemas.openxmlformats.org/officeDocument/2006/relationships" r:id="rId6"/>
          <a:extLst>
            <a:ext uri="{FF2B5EF4-FFF2-40B4-BE49-F238E27FC236}">
              <a16:creationId xmlns:a16="http://schemas.microsoft.com/office/drawing/2014/main" id="{AA49CF8C-F8AB-41F2-9A0F-605C6E575E2F}"/>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6" name="AutoShape 13" descr="Story">
          <a:hlinkClick xmlns:r="http://schemas.openxmlformats.org/officeDocument/2006/relationships" r:id="rId4"/>
          <a:extLst>
            <a:ext uri="{FF2B5EF4-FFF2-40B4-BE49-F238E27FC236}">
              <a16:creationId xmlns:a16="http://schemas.microsoft.com/office/drawing/2014/main" id="{3A41DF87-820F-4061-9870-9F17D66A57C4}"/>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7" name="AutoShape 14" descr="Story">
          <a:hlinkClick xmlns:r="http://schemas.openxmlformats.org/officeDocument/2006/relationships" r:id="rId4"/>
          <a:extLst>
            <a:ext uri="{FF2B5EF4-FFF2-40B4-BE49-F238E27FC236}">
              <a16:creationId xmlns:a16="http://schemas.microsoft.com/office/drawing/2014/main" id="{A8FE93B5-3DF8-46D5-8226-A0C07798EB9F}"/>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18" name="AutoShape 4" descr="Bug">
          <a:hlinkClick xmlns:r="http://schemas.openxmlformats.org/officeDocument/2006/relationships" r:id="rId1"/>
          <a:extLst>
            <a:ext uri="{FF2B5EF4-FFF2-40B4-BE49-F238E27FC236}">
              <a16:creationId xmlns:a16="http://schemas.microsoft.com/office/drawing/2014/main" id="{8BCB508F-D7DC-407F-AC93-9FC65E7906A6}"/>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19" name="AutoShape 6" descr="Bug">
          <a:hlinkClick xmlns:r="http://schemas.openxmlformats.org/officeDocument/2006/relationships" r:id="rId2"/>
          <a:extLst>
            <a:ext uri="{FF2B5EF4-FFF2-40B4-BE49-F238E27FC236}">
              <a16:creationId xmlns:a16="http://schemas.microsoft.com/office/drawing/2014/main" id="{C19E06A0-DB63-45E4-8A6A-4E24A30F713C}"/>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0" name="AutoShape 7" descr="Story">
          <a:hlinkClick xmlns:r="http://schemas.openxmlformats.org/officeDocument/2006/relationships" r:id="rId3"/>
          <a:extLst>
            <a:ext uri="{FF2B5EF4-FFF2-40B4-BE49-F238E27FC236}">
              <a16:creationId xmlns:a16="http://schemas.microsoft.com/office/drawing/2014/main" id="{11B9A31F-79E9-4F5A-A086-68E772052165}"/>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1" name="AutoShape 8" descr="Story">
          <a:hlinkClick xmlns:r="http://schemas.openxmlformats.org/officeDocument/2006/relationships" r:id="rId4"/>
          <a:extLst>
            <a:ext uri="{FF2B5EF4-FFF2-40B4-BE49-F238E27FC236}">
              <a16:creationId xmlns:a16="http://schemas.microsoft.com/office/drawing/2014/main" id="{CADA7EFF-C594-4490-862E-62D33561ADE1}"/>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2" name="AutoShape 9" descr="Story">
          <a:hlinkClick xmlns:r="http://schemas.openxmlformats.org/officeDocument/2006/relationships" r:id="rId5"/>
          <a:extLst>
            <a:ext uri="{FF2B5EF4-FFF2-40B4-BE49-F238E27FC236}">
              <a16:creationId xmlns:a16="http://schemas.microsoft.com/office/drawing/2014/main" id="{2CCA5D1B-30AF-4989-8264-5AC0A3FCD5D8}"/>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3" name="AutoShape 10" descr="Story">
          <a:hlinkClick xmlns:r="http://schemas.openxmlformats.org/officeDocument/2006/relationships" r:id="rId6"/>
          <a:extLst>
            <a:ext uri="{FF2B5EF4-FFF2-40B4-BE49-F238E27FC236}">
              <a16:creationId xmlns:a16="http://schemas.microsoft.com/office/drawing/2014/main" id="{18864014-4E56-4024-B79C-09C56BD5E7E4}"/>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4" name="AutoShape 13" descr="Story">
          <a:hlinkClick xmlns:r="http://schemas.openxmlformats.org/officeDocument/2006/relationships" r:id="rId4"/>
          <a:extLst>
            <a:ext uri="{FF2B5EF4-FFF2-40B4-BE49-F238E27FC236}">
              <a16:creationId xmlns:a16="http://schemas.microsoft.com/office/drawing/2014/main" id="{1E850D65-5FD6-4CBE-BCBD-BB818E89DB99}"/>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5" name="AutoShape 14" descr="Story">
          <a:hlinkClick xmlns:r="http://schemas.openxmlformats.org/officeDocument/2006/relationships" r:id="rId4"/>
          <a:extLst>
            <a:ext uri="{FF2B5EF4-FFF2-40B4-BE49-F238E27FC236}">
              <a16:creationId xmlns:a16="http://schemas.microsoft.com/office/drawing/2014/main" id="{DD25F81F-4596-4272-8317-D3FAB2C93C06}"/>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6" name="AutoShape 4" descr="Bug">
          <a:hlinkClick xmlns:r="http://schemas.openxmlformats.org/officeDocument/2006/relationships" r:id="rId1"/>
          <a:extLst>
            <a:ext uri="{FF2B5EF4-FFF2-40B4-BE49-F238E27FC236}">
              <a16:creationId xmlns:a16="http://schemas.microsoft.com/office/drawing/2014/main" id="{D9C15470-82DC-4989-AE1A-A7A33450462F}"/>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7" name="AutoShape 6" descr="Bug">
          <a:hlinkClick xmlns:r="http://schemas.openxmlformats.org/officeDocument/2006/relationships" r:id="rId2"/>
          <a:extLst>
            <a:ext uri="{FF2B5EF4-FFF2-40B4-BE49-F238E27FC236}">
              <a16:creationId xmlns:a16="http://schemas.microsoft.com/office/drawing/2014/main" id="{7F105B7F-89B3-473A-A579-DE9269673622}"/>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8" name="AutoShape 7" descr="Story">
          <a:hlinkClick xmlns:r="http://schemas.openxmlformats.org/officeDocument/2006/relationships" r:id="rId3"/>
          <a:extLst>
            <a:ext uri="{FF2B5EF4-FFF2-40B4-BE49-F238E27FC236}">
              <a16:creationId xmlns:a16="http://schemas.microsoft.com/office/drawing/2014/main" id="{64F31E9F-4F96-4C98-915F-F7CC103F3CAE}"/>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9" name="AutoShape 8" descr="Story">
          <a:hlinkClick xmlns:r="http://schemas.openxmlformats.org/officeDocument/2006/relationships" r:id="rId4"/>
          <a:extLst>
            <a:ext uri="{FF2B5EF4-FFF2-40B4-BE49-F238E27FC236}">
              <a16:creationId xmlns:a16="http://schemas.microsoft.com/office/drawing/2014/main" id="{1E81E11C-D8B4-46B9-BAE7-3D8C9F3649ED}"/>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0" name="AutoShape 9" descr="Story">
          <a:hlinkClick xmlns:r="http://schemas.openxmlformats.org/officeDocument/2006/relationships" r:id="rId5"/>
          <a:extLst>
            <a:ext uri="{FF2B5EF4-FFF2-40B4-BE49-F238E27FC236}">
              <a16:creationId xmlns:a16="http://schemas.microsoft.com/office/drawing/2014/main" id="{A14559E0-4711-4CD6-8889-CE470A257A1E}"/>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1" name="AutoShape 10" descr="Story">
          <a:hlinkClick xmlns:r="http://schemas.openxmlformats.org/officeDocument/2006/relationships" r:id="rId6"/>
          <a:extLst>
            <a:ext uri="{FF2B5EF4-FFF2-40B4-BE49-F238E27FC236}">
              <a16:creationId xmlns:a16="http://schemas.microsoft.com/office/drawing/2014/main" id="{ADB3A4F2-E68B-4525-877C-52C88DAAF4D4}"/>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2" name="AutoShape 13" descr="Story">
          <a:hlinkClick xmlns:r="http://schemas.openxmlformats.org/officeDocument/2006/relationships" r:id="rId4"/>
          <a:extLst>
            <a:ext uri="{FF2B5EF4-FFF2-40B4-BE49-F238E27FC236}">
              <a16:creationId xmlns:a16="http://schemas.microsoft.com/office/drawing/2014/main" id="{9A71EE7A-BEAB-4FBF-AC88-CB69358F26B8}"/>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3" name="AutoShape 14" descr="Story">
          <a:hlinkClick xmlns:r="http://schemas.openxmlformats.org/officeDocument/2006/relationships" r:id="rId4"/>
          <a:extLst>
            <a:ext uri="{FF2B5EF4-FFF2-40B4-BE49-F238E27FC236}">
              <a16:creationId xmlns:a16="http://schemas.microsoft.com/office/drawing/2014/main" id="{56447A47-85A1-4ABB-A454-679676A75C42}"/>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631</xdr:row>
      <xdr:rowOff>0</xdr:rowOff>
    </xdr:from>
    <xdr:ext cx="152400" cy="152400"/>
    <xdr:sp macro="" textlink="">
      <xdr:nvSpPr>
        <xdr:cNvPr id="134" name="AutoShape 4" descr="Bug">
          <a:hlinkClick xmlns:r="http://schemas.openxmlformats.org/officeDocument/2006/relationships" r:id="rId1"/>
          <a:extLst>
            <a:ext uri="{FF2B5EF4-FFF2-40B4-BE49-F238E27FC236}">
              <a16:creationId xmlns:a16="http://schemas.microsoft.com/office/drawing/2014/main" id="{37AEDF84-E863-40C2-ABBD-2C36A99F50FD}"/>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5" name="AutoShape 6" descr="Bug">
          <a:hlinkClick xmlns:r="http://schemas.openxmlformats.org/officeDocument/2006/relationships" r:id="rId2"/>
          <a:extLst>
            <a:ext uri="{FF2B5EF4-FFF2-40B4-BE49-F238E27FC236}">
              <a16:creationId xmlns:a16="http://schemas.microsoft.com/office/drawing/2014/main" id="{4CC4C6BE-1681-4E1F-9B7E-75D1AF0D5552}"/>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6" name="AutoShape 7" descr="Story">
          <a:hlinkClick xmlns:r="http://schemas.openxmlformats.org/officeDocument/2006/relationships" r:id="rId3"/>
          <a:extLst>
            <a:ext uri="{FF2B5EF4-FFF2-40B4-BE49-F238E27FC236}">
              <a16:creationId xmlns:a16="http://schemas.microsoft.com/office/drawing/2014/main" id="{5D37C9D0-119F-4FBB-AFB9-1532D52D5CF8}"/>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7" name="AutoShape 8" descr="Story">
          <a:hlinkClick xmlns:r="http://schemas.openxmlformats.org/officeDocument/2006/relationships" r:id="rId4"/>
          <a:extLst>
            <a:ext uri="{FF2B5EF4-FFF2-40B4-BE49-F238E27FC236}">
              <a16:creationId xmlns:a16="http://schemas.microsoft.com/office/drawing/2014/main" id="{C8EEB4C4-58F9-4461-BEF7-21A335E78523}"/>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8" name="AutoShape 9" descr="Story">
          <a:hlinkClick xmlns:r="http://schemas.openxmlformats.org/officeDocument/2006/relationships" r:id="rId5"/>
          <a:extLst>
            <a:ext uri="{FF2B5EF4-FFF2-40B4-BE49-F238E27FC236}">
              <a16:creationId xmlns:a16="http://schemas.microsoft.com/office/drawing/2014/main" id="{A9EDCC0D-82D7-47D3-9778-D7FB79249C76}"/>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9" name="AutoShape 10" descr="Story">
          <a:hlinkClick xmlns:r="http://schemas.openxmlformats.org/officeDocument/2006/relationships" r:id="rId6"/>
          <a:extLst>
            <a:ext uri="{FF2B5EF4-FFF2-40B4-BE49-F238E27FC236}">
              <a16:creationId xmlns:a16="http://schemas.microsoft.com/office/drawing/2014/main" id="{F4D814F0-0BD2-4D97-9ADD-F4C700AF947B}"/>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0" name="AutoShape 13" descr="Story">
          <a:hlinkClick xmlns:r="http://schemas.openxmlformats.org/officeDocument/2006/relationships" r:id="rId4"/>
          <a:extLst>
            <a:ext uri="{FF2B5EF4-FFF2-40B4-BE49-F238E27FC236}">
              <a16:creationId xmlns:a16="http://schemas.microsoft.com/office/drawing/2014/main" id="{7691C7B0-2E75-4747-A313-825E543AF380}"/>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1" name="AutoShape 14" descr="Story">
          <a:hlinkClick xmlns:r="http://schemas.openxmlformats.org/officeDocument/2006/relationships" r:id="rId4"/>
          <a:extLst>
            <a:ext uri="{FF2B5EF4-FFF2-40B4-BE49-F238E27FC236}">
              <a16:creationId xmlns:a16="http://schemas.microsoft.com/office/drawing/2014/main" id="{C1283D90-44BB-4884-9A43-EA1EA87C4CC4}"/>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2" name="AutoShape 4" descr="Bug">
          <a:hlinkClick xmlns:r="http://schemas.openxmlformats.org/officeDocument/2006/relationships" r:id="rId1"/>
          <a:extLst>
            <a:ext uri="{FF2B5EF4-FFF2-40B4-BE49-F238E27FC236}">
              <a16:creationId xmlns:a16="http://schemas.microsoft.com/office/drawing/2014/main" id="{FB3DF6F5-B61E-4A7B-8506-F42642DDF32C}"/>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3" name="AutoShape 6" descr="Bug">
          <a:hlinkClick xmlns:r="http://schemas.openxmlformats.org/officeDocument/2006/relationships" r:id="rId2"/>
          <a:extLst>
            <a:ext uri="{FF2B5EF4-FFF2-40B4-BE49-F238E27FC236}">
              <a16:creationId xmlns:a16="http://schemas.microsoft.com/office/drawing/2014/main" id="{3CD762BC-6254-4DAE-9C53-23AD65E30E6B}"/>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4" name="AutoShape 7" descr="Story">
          <a:hlinkClick xmlns:r="http://schemas.openxmlformats.org/officeDocument/2006/relationships" r:id="rId3"/>
          <a:extLst>
            <a:ext uri="{FF2B5EF4-FFF2-40B4-BE49-F238E27FC236}">
              <a16:creationId xmlns:a16="http://schemas.microsoft.com/office/drawing/2014/main" id="{08DE00DC-7AC1-4FF7-802D-D877A5292749}"/>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5" name="AutoShape 8" descr="Story">
          <a:hlinkClick xmlns:r="http://schemas.openxmlformats.org/officeDocument/2006/relationships" r:id="rId4"/>
          <a:extLst>
            <a:ext uri="{FF2B5EF4-FFF2-40B4-BE49-F238E27FC236}">
              <a16:creationId xmlns:a16="http://schemas.microsoft.com/office/drawing/2014/main" id="{7C307393-7B80-4E6B-A2A0-59015B9582A1}"/>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6" name="AutoShape 9" descr="Story">
          <a:hlinkClick xmlns:r="http://schemas.openxmlformats.org/officeDocument/2006/relationships" r:id="rId5"/>
          <a:extLst>
            <a:ext uri="{FF2B5EF4-FFF2-40B4-BE49-F238E27FC236}">
              <a16:creationId xmlns:a16="http://schemas.microsoft.com/office/drawing/2014/main" id="{5B4AB548-3CE4-433A-8C93-29EBDB18B1D5}"/>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7" name="AutoShape 10" descr="Story">
          <a:hlinkClick xmlns:r="http://schemas.openxmlformats.org/officeDocument/2006/relationships" r:id="rId6"/>
          <a:extLst>
            <a:ext uri="{FF2B5EF4-FFF2-40B4-BE49-F238E27FC236}">
              <a16:creationId xmlns:a16="http://schemas.microsoft.com/office/drawing/2014/main" id="{3A3AEAD3-9644-489D-A614-31916636E5ED}"/>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8" name="AutoShape 13" descr="Story">
          <a:hlinkClick xmlns:r="http://schemas.openxmlformats.org/officeDocument/2006/relationships" r:id="rId4"/>
          <a:extLst>
            <a:ext uri="{FF2B5EF4-FFF2-40B4-BE49-F238E27FC236}">
              <a16:creationId xmlns:a16="http://schemas.microsoft.com/office/drawing/2014/main" id="{5F9BB4BF-A76B-46FB-B5EB-A92D6A17876C}"/>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9" name="AutoShape 14" descr="Story">
          <a:hlinkClick xmlns:r="http://schemas.openxmlformats.org/officeDocument/2006/relationships" r:id="rId4"/>
          <a:extLst>
            <a:ext uri="{FF2B5EF4-FFF2-40B4-BE49-F238E27FC236}">
              <a16:creationId xmlns:a16="http://schemas.microsoft.com/office/drawing/2014/main" id="{F082597C-68B0-4941-8EE8-7EE8C81F68A5}"/>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0" name="AutoShape 4" descr="Bug">
          <a:hlinkClick xmlns:r="http://schemas.openxmlformats.org/officeDocument/2006/relationships" r:id="rId1"/>
          <a:extLst>
            <a:ext uri="{FF2B5EF4-FFF2-40B4-BE49-F238E27FC236}">
              <a16:creationId xmlns:a16="http://schemas.microsoft.com/office/drawing/2014/main" id="{E12954EE-E4DB-43A3-A207-C408C8F4EC8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1" name="AutoShape 6" descr="Bug">
          <a:hlinkClick xmlns:r="http://schemas.openxmlformats.org/officeDocument/2006/relationships" r:id="rId2"/>
          <a:extLst>
            <a:ext uri="{FF2B5EF4-FFF2-40B4-BE49-F238E27FC236}">
              <a16:creationId xmlns:a16="http://schemas.microsoft.com/office/drawing/2014/main" id="{E5F36E20-4FE0-4C4C-84F4-BEEBA05E8D64}"/>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2" name="AutoShape 7" descr="Story">
          <a:hlinkClick xmlns:r="http://schemas.openxmlformats.org/officeDocument/2006/relationships" r:id="rId3"/>
          <a:extLst>
            <a:ext uri="{FF2B5EF4-FFF2-40B4-BE49-F238E27FC236}">
              <a16:creationId xmlns:a16="http://schemas.microsoft.com/office/drawing/2014/main" id="{6F8D248C-2AAA-48E7-A774-87B69C1899B6}"/>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3" name="AutoShape 8" descr="Story">
          <a:hlinkClick xmlns:r="http://schemas.openxmlformats.org/officeDocument/2006/relationships" r:id="rId4"/>
          <a:extLst>
            <a:ext uri="{FF2B5EF4-FFF2-40B4-BE49-F238E27FC236}">
              <a16:creationId xmlns:a16="http://schemas.microsoft.com/office/drawing/2014/main" id="{D7051596-E0A4-4141-93F3-FF0E9020BB50}"/>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4" name="AutoShape 9" descr="Story">
          <a:hlinkClick xmlns:r="http://schemas.openxmlformats.org/officeDocument/2006/relationships" r:id="rId5"/>
          <a:extLst>
            <a:ext uri="{FF2B5EF4-FFF2-40B4-BE49-F238E27FC236}">
              <a16:creationId xmlns:a16="http://schemas.microsoft.com/office/drawing/2014/main" id="{2FF8595A-B3E6-40C5-8900-968DB8410EC5}"/>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5" name="AutoShape 10" descr="Story">
          <a:hlinkClick xmlns:r="http://schemas.openxmlformats.org/officeDocument/2006/relationships" r:id="rId6"/>
          <a:extLst>
            <a:ext uri="{FF2B5EF4-FFF2-40B4-BE49-F238E27FC236}">
              <a16:creationId xmlns:a16="http://schemas.microsoft.com/office/drawing/2014/main" id="{F7057114-A9F2-4663-A242-B09721D90E84}"/>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6" name="AutoShape 13" descr="Story">
          <a:hlinkClick xmlns:r="http://schemas.openxmlformats.org/officeDocument/2006/relationships" r:id="rId4"/>
          <a:extLst>
            <a:ext uri="{FF2B5EF4-FFF2-40B4-BE49-F238E27FC236}">
              <a16:creationId xmlns:a16="http://schemas.microsoft.com/office/drawing/2014/main" id="{7D0BDD6A-2CFF-4C69-ADB5-416AC1656CF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7" name="AutoShape 14" descr="Story">
          <a:hlinkClick xmlns:r="http://schemas.openxmlformats.org/officeDocument/2006/relationships" r:id="rId4"/>
          <a:extLst>
            <a:ext uri="{FF2B5EF4-FFF2-40B4-BE49-F238E27FC236}">
              <a16:creationId xmlns:a16="http://schemas.microsoft.com/office/drawing/2014/main" id="{6655E8AD-4AE1-4356-B2EE-8536D1CB15B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8" name="AutoShape 4" descr="Bug">
          <a:hlinkClick xmlns:r="http://schemas.openxmlformats.org/officeDocument/2006/relationships" r:id="rId1"/>
          <a:extLst>
            <a:ext uri="{FF2B5EF4-FFF2-40B4-BE49-F238E27FC236}">
              <a16:creationId xmlns:a16="http://schemas.microsoft.com/office/drawing/2014/main" id="{14816BAA-1E01-4B4E-92EC-5258E41F78EF}"/>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9" name="AutoShape 6" descr="Bug">
          <a:hlinkClick xmlns:r="http://schemas.openxmlformats.org/officeDocument/2006/relationships" r:id="rId2"/>
          <a:extLst>
            <a:ext uri="{FF2B5EF4-FFF2-40B4-BE49-F238E27FC236}">
              <a16:creationId xmlns:a16="http://schemas.microsoft.com/office/drawing/2014/main" id="{14D5ED28-924F-43EC-8FEC-1DAD80091C31}"/>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0" name="AutoShape 7" descr="Story">
          <a:hlinkClick xmlns:r="http://schemas.openxmlformats.org/officeDocument/2006/relationships" r:id="rId3"/>
          <a:extLst>
            <a:ext uri="{FF2B5EF4-FFF2-40B4-BE49-F238E27FC236}">
              <a16:creationId xmlns:a16="http://schemas.microsoft.com/office/drawing/2014/main" id="{2F944A32-7D81-4528-9387-8677981A8825}"/>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1" name="AutoShape 8" descr="Story">
          <a:hlinkClick xmlns:r="http://schemas.openxmlformats.org/officeDocument/2006/relationships" r:id="rId4"/>
          <a:extLst>
            <a:ext uri="{FF2B5EF4-FFF2-40B4-BE49-F238E27FC236}">
              <a16:creationId xmlns:a16="http://schemas.microsoft.com/office/drawing/2014/main" id="{9C11F564-EBAD-4F21-B355-4B04EDDFE26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2" name="AutoShape 9" descr="Story">
          <a:hlinkClick xmlns:r="http://schemas.openxmlformats.org/officeDocument/2006/relationships" r:id="rId5"/>
          <a:extLst>
            <a:ext uri="{FF2B5EF4-FFF2-40B4-BE49-F238E27FC236}">
              <a16:creationId xmlns:a16="http://schemas.microsoft.com/office/drawing/2014/main" id="{673D6A8A-F023-46CB-B991-157E4A055B8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3" name="AutoShape 10" descr="Story">
          <a:hlinkClick xmlns:r="http://schemas.openxmlformats.org/officeDocument/2006/relationships" r:id="rId6"/>
          <a:extLst>
            <a:ext uri="{FF2B5EF4-FFF2-40B4-BE49-F238E27FC236}">
              <a16:creationId xmlns:a16="http://schemas.microsoft.com/office/drawing/2014/main" id="{2E16CA7E-5AAF-40ED-AF94-36451E2B9280}"/>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4" name="AutoShape 13" descr="Story">
          <a:hlinkClick xmlns:r="http://schemas.openxmlformats.org/officeDocument/2006/relationships" r:id="rId4"/>
          <a:extLst>
            <a:ext uri="{FF2B5EF4-FFF2-40B4-BE49-F238E27FC236}">
              <a16:creationId xmlns:a16="http://schemas.microsoft.com/office/drawing/2014/main" id="{84C6E997-086A-47A9-BB0C-BBCA2D704246}"/>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5" name="AutoShape 14" descr="Story">
          <a:hlinkClick xmlns:r="http://schemas.openxmlformats.org/officeDocument/2006/relationships" r:id="rId4"/>
          <a:extLst>
            <a:ext uri="{FF2B5EF4-FFF2-40B4-BE49-F238E27FC236}">
              <a16:creationId xmlns:a16="http://schemas.microsoft.com/office/drawing/2014/main" id="{BB4BB7F3-C5F3-4A1A-91E8-A5D68FD5A77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6" name="AutoShape 4" descr="Bug">
          <a:hlinkClick xmlns:r="http://schemas.openxmlformats.org/officeDocument/2006/relationships" r:id="rId1"/>
          <a:extLst>
            <a:ext uri="{FF2B5EF4-FFF2-40B4-BE49-F238E27FC236}">
              <a16:creationId xmlns:a16="http://schemas.microsoft.com/office/drawing/2014/main" id="{628FB799-BB5F-4A56-89AA-8601209AA94A}"/>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7" name="AutoShape 6" descr="Bug">
          <a:hlinkClick xmlns:r="http://schemas.openxmlformats.org/officeDocument/2006/relationships" r:id="rId2"/>
          <a:extLst>
            <a:ext uri="{FF2B5EF4-FFF2-40B4-BE49-F238E27FC236}">
              <a16:creationId xmlns:a16="http://schemas.microsoft.com/office/drawing/2014/main" id="{9FC99BDF-993E-4E65-B9EB-B6B33C10E5B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8" name="AutoShape 7" descr="Story">
          <a:hlinkClick xmlns:r="http://schemas.openxmlformats.org/officeDocument/2006/relationships" r:id="rId3"/>
          <a:extLst>
            <a:ext uri="{FF2B5EF4-FFF2-40B4-BE49-F238E27FC236}">
              <a16:creationId xmlns:a16="http://schemas.microsoft.com/office/drawing/2014/main" id="{9B6AD696-C17A-4ED4-991C-867B0B257E13}"/>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9" name="AutoShape 8" descr="Story">
          <a:hlinkClick xmlns:r="http://schemas.openxmlformats.org/officeDocument/2006/relationships" r:id="rId4"/>
          <a:extLst>
            <a:ext uri="{FF2B5EF4-FFF2-40B4-BE49-F238E27FC236}">
              <a16:creationId xmlns:a16="http://schemas.microsoft.com/office/drawing/2014/main" id="{FFC58D8F-3608-40CB-A9A4-A6DDF3B6DBF2}"/>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0" name="AutoShape 9" descr="Story">
          <a:hlinkClick xmlns:r="http://schemas.openxmlformats.org/officeDocument/2006/relationships" r:id="rId5"/>
          <a:extLst>
            <a:ext uri="{FF2B5EF4-FFF2-40B4-BE49-F238E27FC236}">
              <a16:creationId xmlns:a16="http://schemas.microsoft.com/office/drawing/2014/main" id="{B8EE61F8-CBE9-4148-B479-2DC11AE45C9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1" name="AutoShape 10" descr="Story">
          <a:hlinkClick xmlns:r="http://schemas.openxmlformats.org/officeDocument/2006/relationships" r:id="rId6"/>
          <a:extLst>
            <a:ext uri="{FF2B5EF4-FFF2-40B4-BE49-F238E27FC236}">
              <a16:creationId xmlns:a16="http://schemas.microsoft.com/office/drawing/2014/main" id="{22F4B353-86D3-474E-923E-7793307FCA1B}"/>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2" name="AutoShape 13" descr="Story">
          <a:hlinkClick xmlns:r="http://schemas.openxmlformats.org/officeDocument/2006/relationships" r:id="rId4"/>
          <a:extLst>
            <a:ext uri="{FF2B5EF4-FFF2-40B4-BE49-F238E27FC236}">
              <a16:creationId xmlns:a16="http://schemas.microsoft.com/office/drawing/2014/main" id="{AC1564A8-BE3B-472D-985E-0D4178A61A5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3" name="AutoShape 14" descr="Story">
          <a:hlinkClick xmlns:r="http://schemas.openxmlformats.org/officeDocument/2006/relationships" r:id="rId4"/>
          <a:extLst>
            <a:ext uri="{FF2B5EF4-FFF2-40B4-BE49-F238E27FC236}">
              <a16:creationId xmlns:a16="http://schemas.microsoft.com/office/drawing/2014/main" id="{6E8CFE9F-94FD-483D-9752-B0BB51B4613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4" name="AutoShape 4" descr="Bug">
          <a:hlinkClick xmlns:r="http://schemas.openxmlformats.org/officeDocument/2006/relationships" r:id="rId1"/>
          <a:extLst>
            <a:ext uri="{FF2B5EF4-FFF2-40B4-BE49-F238E27FC236}">
              <a16:creationId xmlns:a16="http://schemas.microsoft.com/office/drawing/2014/main" id="{E22F99A1-405B-4929-A7FA-50238A1A98EC}"/>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5" name="AutoShape 6" descr="Bug">
          <a:hlinkClick xmlns:r="http://schemas.openxmlformats.org/officeDocument/2006/relationships" r:id="rId2"/>
          <a:extLst>
            <a:ext uri="{FF2B5EF4-FFF2-40B4-BE49-F238E27FC236}">
              <a16:creationId xmlns:a16="http://schemas.microsoft.com/office/drawing/2014/main" id="{14208A5A-59A4-4DC8-BD2F-ADB33BE18D7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6" name="AutoShape 7" descr="Story">
          <a:hlinkClick xmlns:r="http://schemas.openxmlformats.org/officeDocument/2006/relationships" r:id="rId3"/>
          <a:extLst>
            <a:ext uri="{FF2B5EF4-FFF2-40B4-BE49-F238E27FC236}">
              <a16:creationId xmlns:a16="http://schemas.microsoft.com/office/drawing/2014/main" id="{31971402-AAF8-474F-8E50-6E9F00302772}"/>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7" name="AutoShape 8" descr="Story">
          <a:hlinkClick xmlns:r="http://schemas.openxmlformats.org/officeDocument/2006/relationships" r:id="rId4"/>
          <a:extLst>
            <a:ext uri="{FF2B5EF4-FFF2-40B4-BE49-F238E27FC236}">
              <a16:creationId xmlns:a16="http://schemas.microsoft.com/office/drawing/2014/main" id="{AFFB0B11-E501-4770-AE9F-18291EC8B79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8" name="AutoShape 9" descr="Story">
          <a:hlinkClick xmlns:r="http://schemas.openxmlformats.org/officeDocument/2006/relationships" r:id="rId5"/>
          <a:extLst>
            <a:ext uri="{FF2B5EF4-FFF2-40B4-BE49-F238E27FC236}">
              <a16:creationId xmlns:a16="http://schemas.microsoft.com/office/drawing/2014/main" id="{3D3245C1-29B3-45A6-8536-3A1A77442A67}"/>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9" name="AutoShape 10" descr="Story">
          <a:hlinkClick xmlns:r="http://schemas.openxmlformats.org/officeDocument/2006/relationships" r:id="rId6"/>
          <a:extLst>
            <a:ext uri="{FF2B5EF4-FFF2-40B4-BE49-F238E27FC236}">
              <a16:creationId xmlns:a16="http://schemas.microsoft.com/office/drawing/2014/main" id="{7E2BBC0D-F41F-4146-8C3D-92CE48F0AEFA}"/>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80" name="AutoShape 13" descr="Story">
          <a:hlinkClick xmlns:r="http://schemas.openxmlformats.org/officeDocument/2006/relationships" r:id="rId4"/>
          <a:extLst>
            <a:ext uri="{FF2B5EF4-FFF2-40B4-BE49-F238E27FC236}">
              <a16:creationId xmlns:a16="http://schemas.microsoft.com/office/drawing/2014/main" id="{55FFB8AF-9402-464D-AFFA-5F6278E9CF06}"/>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81" name="AutoShape 14" descr="Story">
          <a:hlinkClick xmlns:r="http://schemas.openxmlformats.org/officeDocument/2006/relationships" r:id="rId4"/>
          <a:extLst>
            <a:ext uri="{FF2B5EF4-FFF2-40B4-BE49-F238E27FC236}">
              <a16:creationId xmlns:a16="http://schemas.microsoft.com/office/drawing/2014/main" id="{EF25272D-29FB-458F-9AEC-22C71F2686C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2" name="AutoShape 4" descr="Bug">
          <a:hlinkClick xmlns:r="http://schemas.openxmlformats.org/officeDocument/2006/relationships" r:id="rId1"/>
          <a:extLst>
            <a:ext uri="{FF2B5EF4-FFF2-40B4-BE49-F238E27FC236}">
              <a16:creationId xmlns:a16="http://schemas.microsoft.com/office/drawing/2014/main" id="{CBD33CB8-85DC-426E-B2DC-9585BC635E6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3" name="AutoShape 6" descr="Bug">
          <a:hlinkClick xmlns:r="http://schemas.openxmlformats.org/officeDocument/2006/relationships" r:id="rId2"/>
          <a:extLst>
            <a:ext uri="{FF2B5EF4-FFF2-40B4-BE49-F238E27FC236}">
              <a16:creationId xmlns:a16="http://schemas.microsoft.com/office/drawing/2014/main" id="{77695C23-4C72-4E54-90EC-06842AD8DA9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4" name="AutoShape 7" descr="Story">
          <a:hlinkClick xmlns:r="http://schemas.openxmlformats.org/officeDocument/2006/relationships" r:id="rId3"/>
          <a:extLst>
            <a:ext uri="{FF2B5EF4-FFF2-40B4-BE49-F238E27FC236}">
              <a16:creationId xmlns:a16="http://schemas.microsoft.com/office/drawing/2014/main" id="{34FC4840-A5F4-4A6B-BE21-EE4BB786AC7B}"/>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5" name="AutoShape 8" descr="Story">
          <a:hlinkClick xmlns:r="http://schemas.openxmlformats.org/officeDocument/2006/relationships" r:id="rId4"/>
          <a:extLst>
            <a:ext uri="{FF2B5EF4-FFF2-40B4-BE49-F238E27FC236}">
              <a16:creationId xmlns:a16="http://schemas.microsoft.com/office/drawing/2014/main" id="{097C22D2-39A3-43BB-BCE3-35BA48AC76CB}"/>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6" name="AutoShape 9" descr="Story">
          <a:hlinkClick xmlns:r="http://schemas.openxmlformats.org/officeDocument/2006/relationships" r:id="rId5"/>
          <a:extLst>
            <a:ext uri="{FF2B5EF4-FFF2-40B4-BE49-F238E27FC236}">
              <a16:creationId xmlns:a16="http://schemas.microsoft.com/office/drawing/2014/main" id="{A7FFCB1D-7CF8-477F-B86B-4620DFF75A4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7" name="AutoShape 10" descr="Story">
          <a:hlinkClick xmlns:r="http://schemas.openxmlformats.org/officeDocument/2006/relationships" r:id="rId6"/>
          <a:extLst>
            <a:ext uri="{FF2B5EF4-FFF2-40B4-BE49-F238E27FC236}">
              <a16:creationId xmlns:a16="http://schemas.microsoft.com/office/drawing/2014/main" id="{77519F24-EA30-40A1-A1A7-0467A48AD55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8" name="AutoShape 13" descr="Story">
          <a:hlinkClick xmlns:r="http://schemas.openxmlformats.org/officeDocument/2006/relationships" r:id="rId4"/>
          <a:extLst>
            <a:ext uri="{FF2B5EF4-FFF2-40B4-BE49-F238E27FC236}">
              <a16:creationId xmlns:a16="http://schemas.microsoft.com/office/drawing/2014/main" id="{2F93E7C0-D8A6-41D2-A885-2373A6A08962}"/>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9" name="AutoShape 14" descr="Story">
          <a:hlinkClick xmlns:r="http://schemas.openxmlformats.org/officeDocument/2006/relationships" r:id="rId4"/>
          <a:extLst>
            <a:ext uri="{FF2B5EF4-FFF2-40B4-BE49-F238E27FC236}">
              <a16:creationId xmlns:a16="http://schemas.microsoft.com/office/drawing/2014/main" id="{68A4CEC8-435E-4900-BE4F-610D00A3568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0" name="AutoShape 4" descr="Bug">
          <a:hlinkClick xmlns:r="http://schemas.openxmlformats.org/officeDocument/2006/relationships" r:id="rId1"/>
          <a:extLst>
            <a:ext uri="{FF2B5EF4-FFF2-40B4-BE49-F238E27FC236}">
              <a16:creationId xmlns:a16="http://schemas.microsoft.com/office/drawing/2014/main" id="{274B40E2-5306-4E13-918A-A8BE9D94CD6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1" name="AutoShape 6" descr="Bug">
          <a:hlinkClick xmlns:r="http://schemas.openxmlformats.org/officeDocument/2006/relationships" r:id="rId2"/>
          <a:extLst>
            <a:ext uri="{FF2B5EF4-FFF2-40B4-BE49-F238E27FC236}">
              <a16:creationId xmlns:a16="http://schemas.microsoft.com/office/drawing/2014/main" id="{0E183912-B8CC-458C-B0EB-C784343C9D7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2" name="AutoShape 7" descr="Story">
          <a:hlinkClick xmlns:r="http://schemas.openxmlformats.org/officeDocument/2006/relationships" r:id="rId3"/>
          <a:extLst>
            <a:ext uri="{FF2B5EF4-FFF2-40B4-BE49-F238E27FC236}">
              <a16:creationId xmlns:a16="http://schemas.microsoft.com/office/drawing/2014/main" id="{59E1AA8F-74A6-43D6-9AE5-85733C508067}"/>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3" name="AutoShape 8" descr="Story">
          <a:hlinkClick xmlns:r="http://schemas.openxmlformats.org/officeDocument/2006/relationships" r:id="rId4"/>
          <a:extLst>
            <a:ext uri="{FF2B5EF4-FFF2-40B4-BE49-F238E27FC236}">
              <a16:creationId xmlns:a16="http://schemas.microsoft.com/office/drawing/2014/main" id="{522E9FDB-FCD9-4F76-9D7A-980AB397F91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4" name="AutoShape 9" descr="Story">
          <a:hlinkClick xmlns:r="http://schemas.openxmlformats.org/officeDocument/2006/relationships" r:id="rId5"/>
          <a:extLst>
            <a:ext uri="{FF2B5EF4-FFF2-40B4-BE49-F238E27FC236}">
              <a16:creationId xmlns:a16="http://schemas.microsoft.com/office/drawing/2014/main" id="{B443E8C3-FEAB-42F9-A86C-8F7F03B55DD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5" name="AutoShape 10" descr="Story">
          <a:hlinkClick xmlns:r="http://schemas.openxmlformats.org/officeDocument/2006/relationships" r:id="rId6"/>
          <a:extLst>
            <a:ext uri="{FF2B5EF4-FFF2-40B4-BE49-F238E27FC236}">
              <a16:creationId xmlns:a16="http://schemas.microsoft.com/office/drawing/2014/main" id="{A64F0267-F819-4A47-ADAB-7C5C84BFDDC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6" name="AutoShape 13" descr="Story">
          <a:hlinkClick xmlns:r="http://schemas.openxmlformats.org/officeDocument/2006/relationships" r:id="rId4"/>
          <a:extLst>
            <a:ext uri="{FF2B5EF4-FFF2-40B4-BE49-F238E27FC236}">
              <a16:creationId xmlns:a16="http://schemas.microsoft.com/office/drawing/2014/main" id="{1B49A7D1-A3BC-48C5-BCFB-1FDADDEDA90E}"/>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7" name="AutoShape 14" descr="Story">
          <a:hlinkClick xmlns:r="http://schemas.openxmlformats.org/officeDocument/2006/relationships" r:id="rId4"/>
          <a:extLst>
            <a:ext uri="{FF2B5EF4-FFF2-40B4-BE49-F238E27FC236}">
              <a16:creationId xmlns:a16="http://schemas.microsoft.com/office/drawing/2014/main" id="{AE314F4F-02A6-4FFE-A8A6-E9C4B73DB908}"/>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98" name="AutoShape 4" descr="Bug">
          <a:hlinkClick xmlns:r="http://schemas.openxmlformats.org/officeDocument/2006/relationships" r:id="rId1"/>
          <a:extLst>
            <a:ext uri="{FF2B5EF4-FFF2-40B4-BE49-F238E27FC236}">
              <a16:creationId xmlns:a16="http://schemas.microsoft.com/office/drawing/2014/main" id="{9BB5AAF7-A4B1-413A-AAFC-267CCEF3699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99" name="AutoShape 6" descr="Bug">
          <a:hlinkClick xmlns:r="http://schemas.openxmlformats.org/officeDocument/2006/relationships" r:id="rId2"/>
          <a:extLst>
            <a:ext uri="{FF2B5EF4-FFF2-40B4-BE49-F238E27FC236}">
              <a16:creationId xmlns:a16="http://schemas.microsoft.com/office/drawing/2014/main" id="{599FA5FC-3036-47D7-A39C-50B72D64D31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0" name="AutoShape 7" descr="Story">
          <a:hlinkClick xmlns:r="http://schemas.openxmlformats.org/officeDocument/2006/relationships" r:id="rId3"/>
          <a:extLst>
            <a:ext uri="{FF2B5EF4-FFF2-40B4-BE49-F238E27FC236}">
              <a16:creationId xmlns:a16="http://schemas.microsoft.com/office/drawing/2014/main" id="{A60E40B0-C900-4CA7-97E1-BE8F16AFAF9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1" name="AutoShape 8" descr="Story">
          <a:hlinkClick xmlns:r="http://schemas.openxmlformats.org/officeDocument/2006/relationships" r:id="rId4"/>
          <a:extLst>
            <a:ext uri="{FF2B5EF4-FFF2-40B4-BE49-F238E27FC236}">
              <a16:creationId xmlns:a16="http://schemas.microsoft.com/office/drawing/2014/main" id="{E6D2EBE8-895F-4E18-A188-9FE5591E8A33}"/>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2" name="AutoShape 9" descr="Story">
          <a:hlinkClick xmlns:r="http://schemas.openxmlformats.org/officeDocument/2006/relationships" r:id="rId5"/>
          <a:extLst>
            <a:ext uri="{FF2B5EF4-FFF2-40B4-BE49-F238E27FC236}">
              <a16:creationId xmlns:a16="http://schemas.microsoft.com/office/drawing/2014/main" id="{1568EB9B-A7CF-4E2C-B7AB-CFDD46E93FBB}"/>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3" name="AutoShape 10" descr="Story">
          <a:hlinkClick xmlns:r="http://schemas.openxmlformats.org/officeDocument/2006/relationships" r:id="rId6"/>
          <a:extLst>
            <a:ext uri="{FF2B5EF4-FFF2-40B4-BE49-F238E27FC236}">
              <a16:creationId xmlns:a16="http://schemas.microsoft.com/office/drawing/2014/main" id="{C7A96571-6C9C-47EB-9B7B-DB347C4433AE}"/>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4" name="AutoShape 13" descr="Story">
          <a:hlinkClick xmlns:r="http://schemas.openxmlformats.org/officeDocument/2006/relationships" r:id="rId4"/>
          <a:extLst>
            <a:ext uri="{FF2B5EF4-FFF2-40B4-BE49-F238E27FC236}">
              <a16:creationId xmlns:a16="http://schemas.microsoft.com/office/drawing/2014/main" id="{21EF5B5D-8438-408C-97D0-E8AC90C63D5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5" name="AutoShape 14" descr="Story">
          <a:hlinkClick xmlns:r="http://schemas.openxmlformats.org/officeDocument/2006/relationships" r:id="rId4"/>
          <a:extLst>
            <a:ext uri="{FF2B5EF4-FFF2-40B4-BE49-F238E27FC236}">
              <a16:creationId xmlns:a16="http://schemas.microsoft.com/office/drawing/2014/main" id="{9C4CEE6E-4CDA-4B10-BCC5-B7E56446970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6" name="AutoShape 4" descr="Bug">
          <a:hlinkClick xmlns:r="http://schemas.openxmlformats.org/officeDocument/2006/relationships" r:id="rId1"/>
          <a:extLst>
            <a:ext uri="{FF2B5EF4-FFF2-40B4-BE49-F238E27FC236}">
              <a16:creationId xmlns:a16="http://schemas.microsoft.com/office/drawing/2014/main" id="{08D19071-EBFD-4E37-A40D-701EDC70DBC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7" name="AutoShape 6" descr="Bug">
          <a:hlinkClick xmlns:r="http://schemas.openxmlformats.org/officeDocument/2006/relationships" r:id="rId2"/>
          <a:extLst>
            <a:ext uri="{FF2B5EF4-FFF2-40B4-BE49-F238E27FC236}">
              <a16:creationId xmlns:a16="http://schemas.microsoft.com/office/drawing/2014/main" id="{16DB049C-802E-454D-904C-94046318074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8" name="AutoShape 7" descr="Story">
          <a:hlinkClick xmlns:r="http://schemas.openxmlformats.org/officeDocument/2006/relationships" r:id="rId3"/>
          <a:extLst>
            <a:ext uri="{FF2B5EF4-FFF2-40B4-BE49-F238E27FC236}">
              <a16:creationId xmlns:a16="http://schemas.microsoft.com/office/drawing/2014/main" id="{B7824BE0-2BF8-4F39-B106-6D804BBCCF8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9" name="AutoShape 8" descr="Story">
          <a:hlinkClick xmlns:r="http://schemas.openxmlformats.org/officeDocument/2006/relationships" r:id="rId4"/>
          <a:extLst>
            <a:ext uri="{FF2B5EF4-FFF2-40B4-BE49-F238E27FC236}">
              <a16:creationId xmlns:a16="http://schemas.microsoft.com/office/drawing/2014/main" id="{50B2F977-C70D-49E0-A85C-48DD2ADC2CC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0" name="AutoShape 9" descr="Story">
          <a:hlinkClick xmlns:r="http://schemas.openxmlformats.org/officeDocument/2006/relationships" r:id="rId5"/>
          <a:extLst>
            <a:ext uri="{FF2B5EF4-FFF2-40B4-BE49-F238E27FC236}">
              <a16:creationId xmlns:a16="http://schemas.microsoft.com/office/drawing/2014/main" id="{854EBE3E-26AF-45F7-B9B8-0D62004F927F}"/>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1" name="AutoShape 10" descr="Story">
          <a:hlinkClick xmlns:r="http://schemas.openxmlformats.org/officeDocument/2006/relationships" r:id="rId6"/>
          <a:extLst>
            <a:ext uri="{FF2B5EF4-FFF2-40B4-BE49-F238E27FC236}">
              <a16:creationId xmlns:a16="http://schemas.microsoft.com/office/drawing/2014/main" id="{5ECB1F3F-25FB-4E74-A4A9-1C13DABEAFC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2" name="AutoShape 13" descr="Story">
          <a:hlinkClick xmlns:r="http://schemas.openxmlformats.org/officeDocument/2006/relationships" r:id="rId4"/>
          <a:extLst>
            <a:ext uri="{FF2B5EF4-FFF2-40B4-BE49-F238E27FC236}">
              <a16:creationId xmlns:a16="http://schemas.microsoft.com/office/drawing/2014/main" id="{CBC0AA18-E86B-4367-B5A9-4EFC1B241AF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3" name="AutoShape 14" descr="Story">
          <a:hlinkClick xmlns:r="http://schemas.openxmlformats.org/officeDocument/2006/relationships" r:id="rId4"/>
          <a:extLst>
            <a:ext uri="{FF2B5EF4-FFF2-40B4-BE49-F238E27FC236}">
              <a16:creationId xmlns:a16="http://schemas.microsoft.com/office/drawing/2014/main" id="{BB4DABE4-4167-495F-BF52-C1A8AD25762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4" name="AutoShape 4" descr="Bug">
          <a:hlinkClick xmlns:r="http://schemas.openxmlformats.org/officeDocument/2006/relationships" r:id="rId1"/>
          <a:extLst>
            <a:ext uri="{FF2B5EF4-FFF2-40B4-BE49-F238E27FC236}">
              <a16:creationId xmlns:a16="http://schemas.microsoft.com/office/drawing/2014/main" id="{9F210737-EDB0-46A7-AEC5-1B19D039E56B}"/>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5" name="AutoShape 6" descr="Bug">
          <a:hlinkClick xmlns:r="http://schemas.openxmlformats.org/officeDocument/2006/relationships" r:id="rId2"/>
          <a:extLst>
            <a:ext uri="{FF2B5EF4-FFF2-40B4-BE49-F238E27FC236}">
              <a16:creationId xmlns:a16="http://schemas.microsoft.com/office/drawing/2014/main" id="{F3829AA6-191B-4CAD-A0B1-B71D0C7121AC}"/>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6" name="AutoShape 7" descr="Story">
          <a:hlinkClick xmlns:r="http://schemas.openxmlformats.org/officeDocument/2006/relationships" r:id="rId3"/>
          <a:extLst>
            <a:ext uri="{FF2B5EF4-FFF2-40B4-BE49-F238E27FC236}">
              <a16:creationId xmlns:a16="http://schemas.microsoft.com/office/drawing/2014/main" id="{E9337DF4-19E1-4793-900E-B1D85F3CCCFF}"/>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7" name="AutoShape 8" descr="Story">
          <a:hlinkClick xmlns:r="http://schemas.openxmlformats.org/officeDocument/2006/relationships" r:id="rId4"/>
          <a:extLst>
            <a:ext uri="{FF2B5EF4-FFF2-40B4-BE49-F238E27FC236}">
              <a16:creationId xmlns:a16="http://schemas.microsoft.com/office/drawing/2014/main" id="{43410F87-6D83-40BD-84EA-181503A4EAF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8" name="AutoShape 9" descr="Story">
          <a:hlinkClick xmlns:r="http://schemas.openxmlformats.org/officeDocument/2006/relationships" r:id="rId5"/>
          <a:extLst>
            <a:ext uri="{FF2B5EF4-FFF2-40B4-BE49-F238E27FC236}">
              <a16:creationId xmlns:a16="http://schemas.microsoft.com/office/drawing/2014/main" id="{89360C01-8FCA-4FDF-B615-A3A46FFC4312}"/>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9" name="AutoShape 10" descr="Story">
          <a:hlinkClick xmlns:r="http://schemas.openxmlformats.org/officeDocument/2006/relationships" r:id="rId6"/>
          <a:extLst>
            <a:ext uri="{FF2B5EF4-FFF2-40B4-BE49-F238E27FC236}">
              <a16:creationId xmlns:a16="http://schemas.microsoft.com/office/drawing/2014/main" id="{7B084B2C-928D-419A-BAAF-2915D4A570D0}"/>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0" name="AutoShape 13" descr="Story">
          <a:hlinkClick xmlns:r="http://schemas.openxmlformats.org/officeDocument/2006/relationships" r:id="rId4"/>
          <a:extLst>
            <a:ext uri="{FF2B5EF4-FFF2-40B4-BE49-F238E27FC236}">
              <a16:creationId xmlns:a16="http://schemas.microsoft.com/office/drawing/2014/main" id="{1BCDC904-5E4D-4264-8D58-21B85D7F9A1B}"/>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1" name="AutoShape 14" descr="Story">
          <a:hlinkClick xmlns:r="http://schemas.openxmlformats.org/officeDocument/2006/relationships" r:id="rId4"/>
          <a:extLst>
            <a:ext uri="{FF2B5EF4-FFF2-40B4-BE49-F238E27FC236}">
              <a16:creationId xmlns:a16="http://schemas.microsoft.com/office/drawing/2014/main" id="{8204EAFD-6F0D-4EEF-A715-A9BA7C396C22}"/>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2" name="AutoShape 4" descr="Bug">
          <a:hlinkClick xmlns:r="http://schemas.openxmlformats.org/officeDocument/2006/relationships" r:id="rId1"/>
          <a:extLst>
            <a:ext uri="{FF2B5EF4-FFF2-40B4-BE49-F238E27FC236}">
              <a16:creationId xmlns:a16="http://schemas.microsoft.com/office/drawing/2014/main" id="{D745EAF7-ED6C-409C-91DE-A7A9B6FB9E95}"/>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3" name="AutoShape 6" descr="Bug">
          <a:hlinkClick xmlns:r="http://schemas.openxmlformats.org/officeDocument/2006/relationships" r:id="rId2"/>
          <a:extLst>
            <a:ext uri="{FF2B5EF4-FFF2-40B4-BE49-F238E27FC236}">
              <a16:creationId xmlns:a16="http://schemas.microsoft.com/office/drawing/2014/main" id="{1F160770-BA53-4F3A-A61A-22227A894CED}"/>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4" name="AutoShape 7" descr="Story">
          <a:hlinkClick xmlns:r="http://schemas.openxmlformats.org/officeDocument/2006/relationships" r:id="rId3"/>
          <a:extLst>
            <a:ext uri="{FF2B5EF4-FFF2-40B4-BE49-F238E27FC236}">
              <a16:creationId xmlns:a16="http://schemas.microsoft.com/office/drawing/2014/main" id="{A59E9EAB-8896-4ECA-83EF-C3514286664E}"/>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5" name="AutoShape 8" descr="Story">
          <a:hlinkClick xmlns:r="http://schemas.openxmlformats.org/officeDocument/2006/relationships" r:id="rId4"/>
          <a:extLst>
            <a:ext uri="{FF2B5EF4-FFF2-40B4-BE49-F238E27FC236}">
              <a16:creationId xmlns:a16="http://schemas.microsoft.com/office/drawing/2014/main" id="{092AF99F-8AD6-4C6A-A8B0-F6E64F0E329F}"/>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6" name="AutoShape 9" descr="Story">
          <a:hlinkClick xmlns:r="http://schemas.openxmlformats.org/officeDocument/2006/relationships" r:id="rId5"/>
          <a:extLst>
            <a:ext uri="{FF2B5EF4-FFF2-40B4-BE49-F238E27FC236}">
              <a16:creationId xmlns:a16="http://schemas.microsoft.com/office/drawing/2014/main" id="{E1D92F1B-6650-4D53-8B7C-6B1D4137DD6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7" name="AutoShape 10" descr="Story">
          <a:hlinkClick xmlns:r="http://schemas.openxmlformats.org/officeDocument/2006/relationships" r:id="rId6"/>
          <a:extLst>
            <a:ext uri="{FF2B5EF4-FFF2-40B4-BE49-F238E27FC236}">
              <a16:creationId xmlns:a16="http://schemas.microsoft.com/office/drawing/2014/main" id="{39268FE3-B5D2-44D3-A9B3-6C9BB9F6E91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8" name="AutoShape 13" descr="Story">
          <a:hlinkClick xmlns:r="http://schemas.openxmlformats.org/officeDocument/2006/relationships" r:id="rId4"/>
          <a:extLst>
            <a:ext uri="{FF2B5EF4-FFF2-40B4-BE49-F238E27FC236}">
              <a16:creationId xmlns:a16="http://schemas.microsoft.com/office/drawing/2014/main" id="{F16DCC21-2AC5-45FE-A748-272DF857962D}"/>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9" name="AutoShape 14" descr="Story">
          <a:hlinkClick xmlns:r="http://schemas.openxmlformats.org/officeDocument/2006/relationships" r:id="rId4"/>
          <a:extLst>
            <a:ext uri="{FF2B5EF4-FFF2-40B4-BE49-F238E27FC236}">
              <a16:creationId xmlns:a16="http://schemas.microsoft.com/office/drawing/2014/main" id="{3389C228-6999-4794-A7A2-E4C990AF43B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0" name="AutoShape 4" descr="Bug">
          <a:hlinkClick xmlns:r="http://schemas.openxmlformats.org/officeDocument/2006/relationships" r:id="rId1"/>
          <a:extLst>
            <a:ext uri="{FF2B5EF4-FFF2-40B4-BE49-F238E27FC236}">
              <a16:creationId xmlns:a16="http://schemas.microsoft.com/office/drawing/2014/main" id="{8AAF2E57-48A1-4924-B96E-84EE7494C8AC}"/>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1" name="AutoShape 6" descr="Bug">
          <a:hlinkClick xmlns:r="http://schemas.openxmlformats.org/officeDocument/2006/relationships" r:id="rId2"/>
          <a:extLst>
            <a:ext uri="{FF2B5EF4-FFF2-40B4-BE49-F238E27FC236}">
              <a16:creationId xmlns:a16="http://schemas.microsoft.com/office/drawing/2014/main" id="{254AE5E1-BB58-40C1-8D7A-6ABB4A17826B}"/>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2" name="AutoShape 7" descr="Story">
          <a:hlinkClick xmlns:r="http://schemas.openxmlformats.org/officeDocument/2006/relationships" r:id="rId3"/>
          <a:extLst>
            <a:ext uri="{FF2B5EF4-FFF2-40B4-BE49-F238E27FC236}">
              <a16:creationId xmlns:a16="http://schemas.microsoft.com/office/drawing/2014/main" id="{243D4E1C-F919-4443-BC31-822D4D8452C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3" name="AutoShape 8" descr="Story">
          <a:hlinkClick xmlns:r="http://schemas.openxmlformats.org/officeDocument/2006/relationships" r:id="rId4"/>
          <a:extLst>
            <a:ext uri="{FF2B5EF4-FFF2-40B4-BE49-F238E27FC236}">
              <a16:creationId xmlns:a16="http://schemas.microsoft.com/office/drawing/2014/main" id="{B8091BAD-2510-4A23-A574-8DC35085786A}"/>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4" name="AutoShape 9" descr="Story">
          <a:hlinkClick xmlns:r="http://schemas.openxmlformats.org/officeDocument/2006/relationships" r:id="rId5"/>
          <a:extLst>
            <a:ext uri="{FF2B5EF4-FFF2-40B4-BE49-F238E27FC236}">
              <a16:creationId xmlns:a16="http://schemas.microsoft.com/office/drawing/2014/main" id="{152856EE-A569-4EDE-BA5B-9B21714DE17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5" name="AutoShape 10" descr="Story">
          <a:hlinkClick xmlns:r="http://schemas.openxmlformats.org/officeDocument/2006/relationships" r:id="rId6"/>
          <a:extLst>
            <a:ext uri="{FF2B5EF4-FFF2-40B4-BE49-F238E27FC236}">
              <a16:creationId xmlns:a16="http://schemas.microsoft.com/office/drawing/2014/main" id="{17C1FB5C-D7BD-49E4-BE09-857D6A62F837}"/>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6" name="AutoShape 13" descr="Story">
          <a:hlinkClick xmlns:r="http://schemas.openxmlformats.org/officeDocument/2006/relationships" r:id="rId4"/>
          <a:extLst>
            <a:ext uri="{FF2B5EF4-FFF2-40B4-BE49-F238E27FC236}">
              <a16:creationId xmlns:a16="http://schemas.microsoft.com/office/drawing/2014/main" id="{35377312-CA21-4D58-8BA4-422DB0D3091C}"/>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7" name="AutoShape 14" descr="Story">
          <a:hlinkClick xmlns:r="http://schemas.openxmlformats.org/officeDocument/2006/relationships" r:id="rId4"/>
          <a:extLst>
            <a:ext uri="{FF2B5EF4-FFF2-40B4-BE49-F238E27FC236}">
              <a16:creationId xmlns:a16="http://schemas.microsoft.com/office/drawing/2014/main" id="{934BF50D-2F0A-48F6-96FA-04A6E084F16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8" name="AutoShape 4" descr="Bug">
          <a:hlinkClick xmlns:r="http://schemas.openxmlformats.org/officeDocument/2006/relationships" r:id="rId1"/>
          <a:extLst>
            <a:ext uri="{FF2B5EF4-FFF2-40B4-BE49-F238E27FC236}">
              <a16:creationId xmlns:a16="http://schemas.microsoft.com/office/drawing/2014/main" id="{3AF7E0DC-05A2-4BFA-87E0-B148A81F62E4}"/>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9" name="AutoShape 6" descr="Bug">
          <a:hlinkClick xmlns:r="http://schemas.openxmlformats.org/officeDocument/2006/relationships" r:id="rId2"/>
          <a:extLst>
            <a:ext uri="{FF2B5EF4-FFF2-40B4-BE49-F238E27FC236}">
              <a16:creationId xmlns:a16="http://schemas.microsoft.com/office/drawing/2014/main" id="{DD8F4608-082E-4D3C-A17D-8930DF92D994}"/>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0" name="AutoShape 7" descr="Story">
          <a:hlinkClick xmlns:r="http://schemas.openxmlformats.org/officeDocument/2006/relationships" r:id="rId3"/>
          <a:extLst>
            <a:ext uri="{FF2B5EF4-FFF2-40B4-BE49-F238E27FC236}">
              <a16:creationId xmlns:a16="http://schemas.microsoft.com/office/drawing/2014/main" id="{A465E7E6-D5E3-4E8A-A8B6-465C8C017830}"/>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1" name="AutoShape 8" descr="Story">
          <a:hlinkClick xmlns:r="http://schemas.openxmlformats.org/officeDocument/2006/relationships" r:id="rId4"/>
          <a:extLst>
            <a:ext uri="{FF2B5EF4-FFF2-40B4-BE49-F238E27FC236}">
              <a16:creationId xmlns:a16="http://schemas.microsoft.com/office/drawing/2014/main" id="{D5306DB4-BD7F-4C7B-83C4-8DE4D4E13E4D}"/>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2" name="AutoShape 9" descr="Story">
          <a:hlinkClick xmlns:r="http://schemas.openxmlformats.org/officeDocument/2006/relationships" r:id="rId5"/>
          <a:extLst>
            <a:ext uri="{FF2B5EF4-FFF2-40B4-BE49-F238E27FC236}">
              <a16:creationId xmlns:a16="http://schemas.microsoft.com/office/drawing/2014/main" id="{B5D61D44-2939-455E-A3C4-B170E78C3C6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3" name="AutoShape 10" descr="Story">
          <a:hlinkClick xmlns:r="http://schemas.openxmlformats.org/officeDocument/2006/relationships" r:id="rId6"/>
          <a:extLst>
            <a:ext uri="{FF2B5EF4-FFF2-40B4-BE49-F238E27FC236}">
              <a16:creationId xmlns:a16="http://schemas.microsoft.com/office/drawing/2014/main" id="{AE051A0F-1090-47D9-A783-6B3F639EB7F3}"/>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4" name="AutoShape 13" descr="Story">
          <a:hlinkClick xmlns:r="http://schemas.openxmlformats.org/officeDocument/2006/relationships" r:id="rId4"/>
          <a:extLst>
            <a:ext uri="{FF2B5EF4-FFF2-40B4-BE49-F238E27FC236}">
              <a16:creationId xmlns:a16="http://schemas.microsoft.com/office/drawing/2014/main" id="{B1DCAF2F-06B7-47EE-A19F-BC9951591C08}"/>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5" name="AutoShape 14" descr="Story">
          <a:hlinkClick xmlns:r="http://schemas.openxmlformats.org/officeDocument/2006/relationships" r:id="rId4"/>
          <a:extLst>
            <a:ext uri="{FF2B5EF4-FFF2-40B4-BE49-F238E27FC236}">
              <a16:creationId xmlns:a16="http://schemas.microsoft.com/office/drawing/2014/main" id="{B5F6F361-6295-4782-8868-33D73D105627}"/>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880</xdr:row>
      <xdr:rowOff>0</xdr:rowOff>
    </xdr:from>
    <xdr:to>
      <xdr:col>1</xdr:col>
      <xdr:colOff>152400</xdr:colOff>
      <xdr:row>880</xdr:row>
      <xdr:rowOff>152400</xdr:rowOff>
    </xdr:to>
    <xdr:sp macro="" textlink="">
      <xdr:nvSpPr>
        <xdr:cNvPr id="246" name="AutoShape 4" descr="Bug">
          <a:hlinkClick xmlns:r="http://schemas.openxmlformats.org/officeDocument/2006/relationships" r:id="rId1"/>
          <a:extLst>
            <a:ext uri="{FF2B5EF4-FFF2-40B4-BE49-F238E27FC236}">
              <a16:creationId xmlns:a16="http://schemas.microsoft.com/office/drawing/2014/main" id="{FB58DD9E-6EA1-4355-8C6C-E255ECF48243}"/>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7" name="AutoShape 6" descr="Bug">
          <a:hlinkClick xmlns:r="http://schemas.openxmlformats.org/officeDocument/2006/relationships" r:id="rId2"/>
          <a:extLst>
            <a:ext uri="{FF2B5EF4-FFF2-40B4-BE49-F238E27FC236}">
              <a16:creationId xmlns:a16="http://schemas.microsoft.com/office/drawing/2014/main" id="{31361658-D626-4FD0-8B41-280F2006CC3C}"/>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8" name="AutoShape 7" descr="Story">
          <a:hlinkClick xmlns:r="http://schemas.openxmlformats.org/officeDocument/2006/relationships" r:id="rId3"/>
          <a:extLst>
            <a:ext uri="{FF2B5EF4-FFF2-40B4-BE49-F238E27FC236}">
              <a16:creationId xmlns:a16="http://schemas.microsoft.com/office/drawing/2014/main" id="{9E45F7AD-9A51-4298-8DC8-982E36409311}"/>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9" name="AutoShape 8" descr="Story">
          <a:hlinkClick xmlns:r="http://schemas.openxmlformats.org/officeDocument/2006/relationships" r:id="rId4"/>
          <a:extLst>
            <a:ext uri="{FF2B5EF4-FFF2-40B4-BE49-F238E27FC236}">
              <a16:creationId xmlns:a16="http://schemas.microsoft.com/office/drawing/2014/main" id="{2734958D-DE35-4F26-8C33-5F1637E41769}"/>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0" name="AutoShape 9" descr="Story">
          <a:hlinkClick xmlns:r="http://schemas.openxmlformats.org/officeDocument/2006/relationships" r:id="rId5"/>
          <a:extLst>
            <a:ext uri="{FF2B5EF4-FFF2-40B4-BE49-F238E27FC236}">
              <a16:creationId xmlns:a16="http://schemas.microsoft.com/office/drawing/2014/main" id="{DFA641AB-0060-4B73-8130-B99FBD1F455E}"/>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1" name="AutoShape 10" descr="Story">
          <a:hlinkClick xmlns:r="http://schemas.openxmlformats.org/officeDocument/2006/relationships" r:id="rId6"/>
          <a:extLst>
            <a:ext uri="{FF2B5EF4-FFF2-40B4-BE49-F238E27FC236}">
              <a16:creationId xmlns:a16="http://schemas.microsoft.com/office/drawing/2014/main" id="{9A84C015-93BD-4064-B66D-3CC3CA232822}"/>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2" name="AutoShape 13" descr="Story">
          <a:hlinkClick xmlns:r="http://schemas.openxmlformats.org/officeDocument/2006/relationships" r:id="rId4"/>
          <a:extLst>
            <a:ext uri="{FF2B5EF4-FFF2-40B4-BE49-F238E27FC236}">
              <a16:creationId xmlns:a16="http://schemas.microsoft.com/office/drawing/2014/main" id="{276EC01E-792A-4210-9222-3E3B5F54874D}"/>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3" name="AutoShape 14" descr="Story">
          <a:hlinkClick xmlns:r="http://schemas.openxmlformats.org/officeDocument/2006/relationships" r:id="rId4"/>
          <a:extLst>
            <a:ext uri="{FF2B5EF4-FFF2-40B4-BE49-F238E27FC236}">
              <a16:creationId xmlns:a16="http://schemas.microsoft.com/office/drawing/2014/main" id="{41DE91DE-FFA8-4D17-BB70-2DB673B2899E}"/>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4" name="AutoShape 4" descr="Bug">
          <a:hlinkClick xmlns:r="http://schemas.openxmlformats.org/officeDocument/2006/relationships" r:id="rId1"/>
          <a:extLst>
            <a:ext uri="{FF2B5EF4-FFF2-40B4-BE49-F238E27FC236}">
              <a16:creationId xmlns:a16="http://schemas.microsoft.com/office/drawing/2014/main" id="{D38BF3F4-D3FF-4C70-B99F-1532EE0C3354}"/>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5" name="AutoShape 6" descr="Bug">
          <a:hlinkClick xmlns:r="http://schemas.openxmlformats.org/officeDocument/2006/relationships" r:id="rId2"/>
          <a:extLst>
            <a:ext uri="{FF2B5EF4-FFF2-40B4-BE49-F238E27FC236}">
              <a16:creationId xmlns:a16="http://schemas.microsoft.com/office/drawing/2014/main" id="{FB582AF4-E04C-4981-B91C-E63BB4FB93CB}"/>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6" name="AutoShape 7" descr="Story">
          <a:hlinkClick xmlns:r="http://schemas.openxmlformats.org/officeDocument/2006/relationships" r:id="rId3"/>
          <a:extLst>
            <a:ext uri="{FF2B5EF4-FFF2-40B4-BE49-F238E27FC236}">
              <a16:creationId xmlns:a16="http://schemas.microsoft.com/office/drawing/2014/main" id="{FB394E87-966B-440D-B086-AF31049D3B33}"/>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7" name="AutoShape 8" descr="Story">
          <a:hlinkClick xmlns:r="http://schemas.openxmlformats.org/officeDocument/2006/relationships" r:id="rId4"/>
          <a:extLst>
            <a:ext uri="{FF2B5EF4-FFF2-40B4-BE49-F238E27FC236}">
              <a16:creationId xmlns:a16="http://schemas.microsoft.com/office/drawing/2014/main" id="{D82828BE-6784-4ED0-933D-63870BDA729C}"/>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8" name="AutoShape 9" descr="Story">
          <a:hlinkClick xmlns:r="http://schemas.openxmlformats.org/officeDocument/2006/relationships" r:id="rId5"/>
          <a:extLst>
            <a:ext uri="{FF2B5EF4-FFF2-40B4-BE49-F238E27FC236}">
              <a16:creationId xmlns:a16="http://schemas.microsoft.com/office/drawing/2014/main" id="{5F82224B-53AF-491D-9EA6-C17A5864159D}"/>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9" name="AutoShape 10" descr="Story">
          <a:hlinkClick xmlns:r="http://schemas.openxmlformats.org/officeDocument/2006/relationships" r:id="rId6"/>
          <a:extLst>
            <a:ext uri="{FF2B5EF4-FFF2-40B4-BE49-F238E27FC236}">
              <a16:creationId xmlns:a16="http://schemas.microsoft.com/office/drawing/2014/main" id="{AA2E2001-44D9-4BE4-8F49-0E8F43B040F7}"/>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60" name="AutoShape 13" descr="Story">
          <a:hlinkClick xmlns:r="http://schemas.openxmlformats.org/officeDocument/2006/relationships" r:id="rId4"/>
          <a:extLst>
            <a:ext uri="{FF2B5EF4-FFF2-40B4-BE49-F238E27FC236}">
              <a16:creationId xmlns:a16="http://schemas.microsoft.com/office/drawing/2014/main" id="{9423B9DF-640E-430B-9FA1-1D39E5717BD1}"/>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61" name="AutoShape 14" descr="Story">
          <a:hlinkClick xmlns:r="http://schemas.openxmlformats.org/officeDocument/2006/relationships" r:id="rId4"/>
          <a:extLst>
            <a:ext uri="{FF2B5EF4-FFF2-40B4-BE49-F238E27FC236}">
              <a16:creationId xmlns:a16="http://schemas.microsoft.com/office/drawing/2014/main" id="{69B5184A-DF4A-44A7-A789-0CDC62E697A2}"/>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2" name="AutoShape 4" descr="Bug">
          <a:hlinkClick xmlns:r="http://schemas.openxmlformats.org/officeDocument/2006/relationships" r:id="rId1"/>
          <a:extLst>
            <a:ext uri="{FF2B5EF4-FFF2-40B4-BE49-F238E27FC236}">
              <a16:creationId xmlns:a16="http://schemas.microsoft.com/office/drawing/2014/main" id="{668DFB98-8DBD-49E9-8605-5BE50A6403C7}"/>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3" name="AutoShape 6" descr="Bug">
          <a:hlinkClick xmlns:r="http://schemas.openxmlformats.org/officeDocument/2006/relationships" r:id="rId2"/>
          <a:extLst>
            <a:ext uri="{FF2B5EF4-FFF2-40B4-BE49-F238E27FC236}">
              <a16:creationId xmlns:a16="http://schemas.microsoft.com/office/drawing/2014/main" id="{C157B421-9932-4AC7-9E3F-73CAF494F6A5}"/>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4" name="AutoShape 7" descr="Story">
          <a:hlinkClick xmlns:r="http://schemas.openxmlformats.org/officeDocument/2006/relationships" r:id="rId3"/>
          <a:extLst>
            <a:ext uri="{FF2B5EF4-FFF2-40B4-BE49-F238E27FC236}">
              <a16:creationId xmlns:a16="http://schemas.microsoft.com/office/drawing/2014/main" id="{AA5F99A2-4287-4F4F-9B59-69ECEDB99D83}"/>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5" name="AutoShape 8" descr="Story">
          <a:hlinkClick xmlns:r="http://schemas.openxmlformats.org/officeDocument/2006/relationships" r:id="rId4"/>
          <a:extLst>
            <a:ext uri="{FF2B5EF4-FFF2-40B4-BE49-F238E27FC236}">
              <a16:creationId xmlns:a16="http://schemas.microsoft.com/office/drawing/2014/main" id="{10D65C2A-B244-46D7-9F9E-79F3FE2DFDD8}"/>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6" name="AutoShape 9" descr="Story">
          <a:hlinkClick xmlns:r="http://schemas.openxmlformats.org/officeDocument/2006/relationships" r:id="rId5"/>
          <a:extLst>
            <a:ext uri="{FF2B5EF4-FFF2-40B4-BE49-F238E27FC236}">
              <a16:creationId xmlns:a16="http://schemas.microsoft.com/office/drawing/2014/main" id="{2EACCCF7-0768-4322-BE74-D4A17F33977A}"/>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7" name="AutoShape 10" descr="Story">
          <a:hlinkClick xmlns:r="http://schemas.openxmlformats.org/officeDocument/2006/relationships" r:id="rId6"/>
          <a:extLst>
            <a:ext uri="{FF2B5EF4-FFF2-40B4-BE49-F238E27FC236}">
              <a16:creationId xmlns:a16="http://schemas.microsoft.com/office/drawing/2014/main" id="{284E8E0E-F272-436E-811F-24739DD2AB86}"/>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8" name="AutoShape 13" descr="Story">
          <a:hlinkClick xmlns:r="http://schemas.openxmlformats.org/officeDocument/2006/relationships" r:id="rId4"/>
          <a:extLst>
            <a:ext uri="{FF2B5EF4-FFF2-40B4-BE49-F238E27FC236}">
              <a16:creationId xmlns:a16="http://schemas.microsoft.com/office/drawing/2014/main" id="{2A578111-424C-41FE-A724-D51677C2A1C4}"/>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9" name="AutoShape 14" descr="Story">
          <a:hlinkClick xmlns:r="http://schemas.openxmlformats.org/officeDocument/2006/relationships" r:id="rId4"/>
          <a:extLst>
            <a:ext uri="{FF2B5EF4-FFF2-40B4-BE49-F238E27FC236}">
              <a16:creationId xmlns:a16="http://schemas.microsoft.com/office/drawing/2014/main" id="{3D1A6353-6988-49CE-9BB4-3A4BC13CB436}"/>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70" name="AutoShape 4" descr="Bug">
          <a:hlinkClick xmlns:r="http://schemas.openxmlformats.org/officeDocument/2006/relationships" r:id="rId1"/>
          <a:extLst>
            <a:ext uri="{FF2B5EF4-FFF2-40B4-BE49-F238E27FC236}">
              <a16:creationId xmlns:a16="http://schemas.microsoft.com/office/drawing/2014/main" id="{647D75D3-7D84-4A13-8F6F-B2EED1E7C472}"/>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74" name="AutoShape 9" descr="Story">
          <a:extLst>
            <a:ext uri="{FF2B5EF4-FFF2-40B4-BE49-F238E27FC236}">
              <a16:creationId xmlns:a16="http://schemas.microsoft.com/office/drawing/2014/main" id="{70ED6BCC-FB3E-46CA-AA1B-7148B1B678F8}"/>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78" name="AutoShape 4" descr="Bug">
          <a:hlinkClick xmlns:r="http://schemas.openxmlformats.org/officeDocument/2006/relationships" r:id="rId1"/>
          <a:extLst>
            <a:ext uri="{FF2B5EF4-FFF2-40B4-BE49-F238E27FC236}">
              <a16:creationId xmlns:a16="http://schemas.microsoft.com/office/drawing/2014/main" id="{18CB5BFC-B9F9-4277-9286-789D55F378B1}"/>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79" name="AutoShape 6" descr="Bug">
          <a:hlinkClick xmlns:r="http://schemas.openxmlformats.org/officeDocument/2006/relationships" r:id="rId2"/>
          <a:extLst>
            <a:ext uri="{FF2B5EF4-FFF2-40B4-BE49-F238E27FC236}">
              <a16:creationId xmlns:a16="http://schemas.microsoft.com/office/drawing/2014/main" id="{27C8EEB2-A9EE-4555-AEFD-7BBD3E25602F}"/>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0" name="AutoShape 7" descr="Story">
          <a:hlinkClick xmlns:r="http://schemas.openxmlformats.org/officeDocument/2006/relationships" r:id="rId3"/>
          <a:extLst>
            <a:ext uri="{FF2B5EF4-FFF2-40B4-BE49-F238E27FC236}">
              <a16:creationId xmlns:a16="http://schemas.microsoft.com/office/drawing/2014/main" id="{8CE7F50A-1F9B-4213-A4C7-86544A1A8AA0}"/>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1" name="AutoShape 8" descr="Story">
          <a:hlinkClick xmlns:r="http://schemas.openxmlformats.org/officeDocument/2006/relationships" r:id="rId4"/>
          <a:extLst>
            <a:ext uri="{FF2B5EF4-FFF2-40B4-BE49-F238E27FC236}">
              <a16:creationId xmlns:a16="http://schemas.microsoft.com/office/drawing/2014/main" id="{A68D0DAE-A477-4EC8-A8A4-10066AD8CDF1}"/>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2" name="AutoShape 9" descr="Story">
          <a:hlinkClick xmlns:r="http://schemas.openxmlformats.org/officeDocument/2006/relationships" r:id="rId5"/>
          <a:extLst>
            <a:ext uri="{FF2B5EF4-FFF2-40B4-BE49-F238E27FC236}">
              <a16:creationId xmlns:a16="http://schemas.microsoft.com/office/drawing/2014/main" id="{68804382-4F5D-4457-9DC2-5BAE4D267864}"/>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3" name="AutoShape 10" descr="Story">
          <a:hlinkClick xmlns:r="http://schemas.openxmlformats.org/officeDocument/2006/relationships" r:id="rId6"/>
          <a:extLst>
            <a:ext uri="{FF2B5EF4-FFF2-40B4-BE49-F238E27FC236}">
              <a16:creationId xmlns:a16="http://schemas.microsoft.com/office/drawing/2014/main" id="{0907BB2D-9544-4016-AA00-FB41D7DA5E96}"/>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4" name="AutoShape 13" descr="Story">
          <a:hlinkClick xmlns:r="http://schemas.openxmlformats.org/officeDocument/2006/relationships" r:id="rId4"/>
          <a:extLst>
            <a:ext uri="{FF2B5EF4-FFF2-40B4-BE49-F238E27FC236}">
              <a16:creationId xmlns:a16="http://schemas.microsoft.com/office/drawing/2014/main" id="{E14DCE6F-5205-4129-AE0F-481D9350D10E}"/>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5" name="AutoShape 14" descr="Story">
          <a:hlinkClick xmlns:r="http://schemas.openxmlformats.org/officeDocument/2006/relationships" r:id="rId4"/>
          <a:extLst>
            <a:ext uri="{FF2B5EF4-FFF2-40B4-BE49-F238E27FC236}">
              <a16:creationId xmlns:a16="http://schemas.microsoft.com/office/drawing/2014/main" id="{1B785DC8-559C-4D0E-8246-3AA6F7565277}"/>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6" name="AutoShape 4" descr="Bug">
          <a:hlinkClick xmlns:r="http://schemas.openxmlformats.org/officeDocument/2006/relationships" r:id="rId1"/>
          <a:extLst>
            <a:ext uri="{FF2B5EF4-FFF2-40B4-BE49-F238E27FC236}">
              <a16:creationId xmlns:a16="http://schemas.microsoft.com/office/drawing/2014/main" id="{DA1E70DE-EF44-4A0F-A350-D93CA23FEE90}"/>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7" name="AutoShape 6" descr="Bug">
          <a:hlinkClick xmlns:r="http://schemas.openxmlformats.org/officeDocument/2006/relationships" r:id="rId2"/>
          <a:extLst>
            <a:ext uri="{FF2B5EF4-FFF2-40B4-BE49-F238E27FC236}">
              <a16:creationId xmlns:a16="http://schemas.microsoft.com/office/drawing/2014/main" id="{6A63E17C-2254-4EC3-9C92-58CDC381DDD8}"/>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8" name="AutoShape 7" descr="Story">
          <a:hlinkClick xmlns:r="http://schemas.openxmlformats.org/officeDocument/2006/relationships" r:id="rId3"/>
          <a:extLst>
            <a:ext uri="{FF2B5EF4-FFF2-40B4-BE49-F238E27FC236}">
              <a16:creationId xmlns:a16="http://schemas.microsoft.com/office/drawing/2014/main" id="{7AE6E901-5218-4E3F-A2D3-BBCFDEC1F363}"/>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9" name="AutoShape 8" descr="Story">
          <a:hlinkClick xmlns:r="http://schemas.openxmlformats.org/officeDocument/2006/relationships" r:id="rId4"/>
          <a:extLst>
            <a:ext uri="{FF2B5EF4-FFF2-40B4-BE49-F238E27FC236}">
              <a16:creationId xmlns:a16="http://schemas.microsoft.com/office/drawing/2014/main" id="{ED39D52E-B5EE-4B0B-B713-285ED802EC73}"/>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0" name="AutoShape 9" descr="Story">
          <a:hlinkClick xmlns:r="http://schemas.openxmlformats.org/officeDocument/2006/relationships" r:id="rId5"/>
          <a:extLst>
            <a:ext uri="{FF2B5EF4-FFF2-40B4-BE49-F238E27FC236}">
              <a16:creationId xmlns:a16="http://schemas.microsoft.com/office/drawing/2014/main" id="{CAAE592E-761D-4AFA-9B9F-02F0F2B96979}"/>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1" name="AutoShape 10" descr="Story">
          <a:hlinkClick xmlns:r="http://schemas.openxmlformats.org/officeDocument/2006/relationships" r:id="rId6"/>
          <a:extLst>
            <a:ext uri="{FF2B5EF4-FFF2-40B4-BE49-F238E27FC236}">
              <a16:creationId xmlns:a16="http://schemas.microsoft.com/office/drawing/2014/main" id="{15C3791E-EE63-4CAF-AF9B-8034FA84D644}"/>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2" name="AutoShape 13" descr="Story">
          <a:hlinkClick xmlns:r="http://schemas.openxmlformats.org/officeDocument/2006/relationships" r:id="rId4"/>
          <a:extLst>
            <a:ext uri="{FF2B5EF4-FFF2-40B4-BE49-F238E27FC236}">
              <a16:creationId xmlns:a16="http://schemas.microsoft.com/office/drawing/2014/main" id="{3261A2AD-B735-4F6B-94D2-5F500F57B50F}"/>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3" name="AutoShape 14" descr="Story">
          <a:hlinkClick xmlns:r="http://schemas.openxmlformats.org/officeDocument/2006/relationships" r:id="rId4"/>
          <a:extLst>
            <a:ext uri="{FF2B5EF4-FFF2-40B4-BE49-F238E27FC236}">
              <a16:creationId xmlns:a16="http://schemas.microsoft.com/office/drawing/2014/main" id="{94BCE70E-583B-4864-90DC-8B6C6F8FC7C2}"/>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660</xdr:row>
      <xdr:rowOff>0</xdr:rowOff>
    </xdr:from>
    <xdr:ext cx="152400" cy="152400"/>
    <xdr:sp macro="" textlink="">
      <xdr:nvSpPr>
        <xdr:cNvPr id="294" name="AutoShape 4" descr="Bug">
          <a:hlinkClick xmlns:r="http://schemas.openxmlformats.org/officeDocument/2006/relationships" r:id="rId1"/>
          <a:extLst>
            <a:ext uri="{FF2B5EF4-FFF2-40B4-BE49-F238E27FC236}">
              <a16:creationId xmlns:a16="http://schemas.microsoft.com/office/drawing/2014/main" id="{BA32B1FC-12D2-482A-99FE-2CE9C684E7C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5" name="AutoShape 6" descr="Bug">
          <a:hlinkClick xmlns:r="http://schemas.openxmlformats.org/officeDocument/2006/relationships" r:id="rId2"/>
          <a:extLst>
            <a:ext uri="{FF2B5EF4-FFF2-40B4-BE49-F238E27FC236}">
              <a16:creationId xmlns:a16="http://schemas.microsoft.com/office/drawing/2014/main" id="{C4ADB4AA-D0EA-4E4D-ADED-43D0FA43B8D3}"/>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6" name="AutoShape 7" descr="Story">
          <a:hlinkClick xmlns:r="http://schemas.openxmlformats.org/officeDocument/2006/relationships" r:id="rId3"/>
          <a:extLst>
            <a:ext uri="{FF2B5EF4-FFF2-40B4-BE49-F238E27FC236}">
              <a16:creationId xmlns:a16="http://schemas.microsoft.com/office/drawing/2014/main" id="{F21E7D50-73AE-4C31-B161-0CF5A38EB53F}"/>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7" name="AutoShape 8" descr="Story">
          <a:hlinkClick xmlns:r="http://schemas.openxmlformats.org/officeDocument/2006/relationships" r:id="rId4"/>
          <a:extLst>
            <a:ext uri="{FF2B5EF4-FFF2-40B4-BE49-F238E27FC236}">
              <a16:creationId xmlns:a16="http://schemas.microsoft.com/office/drawing/2014/main" id="{7DE14BE4-0E9B-4058-81C0-7EB93E8D203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8" name="AutoShape 9" descr="Story">
          <a:hlinkClick xmlns:r="http://schemas.openxmlformats.org/officeDocument/2006/relationships" r:id="rId5"/>
          <a:extLst>
            <a:ext uri="{FF2B5EF4-FFF2-40B4-BE49-F238E27FC236}">
              <a16:creationId xmlns:a16="http://schemas.microsoft.com/office/drawing/2014/main" id="{BEBFA6CC-82DE-4874-942D-065A24A44C7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9" name="AutoShape 10" descr="Story">
          <a:hlinkClick xmlns:r="http://schemas.openxmlformats.org/officeDocument/2006/relationships" r:id="rId6"/>
          <a:extLst>
            <a:ext uri="{FF2B5EF4-FFF2-40B4-BE49-F238E27FC236}">
              <a16:creationId xmlns:a16="http://schemas.microsoft.com/office/drawing/2014/main" id="{AD784C5E-4CFD-42FD-AA46-AC743920905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0" name="AutoShape 13" descr="Story">
          <a:hlinkClick xmlns:r="http://schemas.openxmlformats.org/officeDocument/2006/relationships" r:id="rId4"/>
          <a:extLst>
            <a:ext uri="{FF2B5EF4-FFF2-40B4-BE49-F238E27FC236}">
              <a16:creationId xmlns:a16="http://schemas.microsoft.com/office/drawing/2014/main" id="{5F7ADADD-8F7B-41AB-B894-11AE2237B137}"/>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1" name="AutoShape 14" descr="Story">
          <a:hlinkClick xmlns:r="http://schemas.openxmlformats.org/officeDocument/2006/relationships" r:id="rId4"/>
          <a:extLst>
            <a:ext uri="{FF2B5EF4-FFF2-40B4-BE49-F238E27FC236}">
              <a16:creationId xmlns:a16="http://schemas.microsoft.com/office/drawing/2014/main" id="{3D5F382B-1A0C-491D-A583-2CA238D53EE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2" name="AutoShape 4" descr="Bug">
          <a:hlinkClick xmlns:r="http://schemas.openxmlformats.org/officeDocument/2006/relationships" r:id="rId1"/>
          <a:extLst>
            <a:ext uri="{FF2B5EF4-FFF2-40B4-BE49-F238E27FC236}">
              <a16:creationId xmlns:a16="http://schemas.microsoft.com/office/drawing/2014/main" id="{6600DAD2-F923-4482-9819-D0A5D79C357C}"/>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3" name="AutoShape 6" descr="Bug">
          <a:hlinkClick xmlns:r="http://schemas.openxmlformats.org/officeDocument/2006/relationships" r:id="rId2"/>
          <a:extLst>
            <a:ext uri="{FF2B5EF4-FFF2-40B4-BE49-F238E27FC236}">
              <a16:creationId xmlns:a16="http://schemas.microsoft.com/office/drawing/2014/main" id="{CE5A86B1-186D-496D-9B78-8A95F0AE96F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4" name="AutoShape 7" descr="Story">
          <a:hlinkClick xmlns:r="http://schemas.openxmlformats.org/officeDocument/2006/relationships" r:id="rId3"/>
          <a:extLst>
            <a:ext uri="{FF2B5EF4-FFF2-40B4-BE49-F238E27FC236}">
              <a16:creationId xmlns:a16="http://schemas.microsoft.com/office/drawing/2014/main" id="{F13CC54F-13D3-44FE-A2DA-684AAB1DEA2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5" name="AutoShape 8" descr="Story">
          <a:hlinkClick xmlns:r="http://schemas.openxmlformats.org/officeDocument/2006/relationships" r:id="rId4"/>
          <a:extLst>
            <a:ext uri="{FF2B5EF4-FFF2-40B4-BE49-F238E27FC236}">
              <a16:creationId xmlns:a16="http://schemas.microsoft.com/office/drawing/2014/main" id="{900E912C-C7C7-4094-B53B-A7DE865C5775}"/>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6" name="AutoShape 9" descr="Story">
          <a:hlinkClick xmlns:r="http://schemas.openxmlformats.org/officeDocument/2006/relationships" r:id="rId5"/>
          <a:extLst>
            <a:ext uri="{FF2B5EF4-FFF2-40B4-BE49-F238E27FC236}">
              <a16:creationId xmlns:a16="http://schemas.microsoft.com/office/drawing/2014/main" id="{26CB0725-0237-4042-960C-9DB4779492C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7" name="AutoShape 10" descr="Story">
          <a:hlinkClick xmlns:r="http://schemas.openxmlformats.org/officeDocument/2006/relationships" r:id="rId6"/>
          <a:extLst>
            <a:ext uri="{FF2B5EF4-FFF2-40B4-BE49-F238E27FC236}">
              <a16:creationId xmlns:a16="http://schemas.microsoft.com/office/drawing/2014/main" id="{DCDEA1E2-5357-497A-8BEB-DA76B561AE16}"/>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8" name="AutoShape 13" descr="Story">
          <a:hlinkClick xmlns:r="http://schemas.openxmlformats.org/officeDocument/2006/relationships" r:id="rId4"/>
          <a:extLst>
            <a:ext uri="{FF2B5EF4-FFF2-40B4-BE49-F238E27FC236}">
              <a16:creationId xmlns:a16="http://schemas.microsoft.com/office/drawing/2014/main" id="{CF534255-62B3-4B43-8C94-45903B2E37A3}"/>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9" name="AutoShape 14" descr="Story">
          <a:hlinkClick xmlns:r="http://schemas.openxmlformats.org/officeDocument/2006/relationships" r:id="rId4"/>
          <a:extLst>
            <a:ext uri="{FF2B5EF4-FFF2-40B4-BE49-F238E27FC236}">
              <a16:creationId xmlns:a16="http://schemas.microsoft.com/office/drawing/2014/main" id="{6B47C23F-F762-400A-822D-561B9C858B3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0" name="AutoShape 4" descr="Bug">
          <a:hlinkClick xmlns:r="http://schemas.openxmlformats.org/officeDocument/2006/relationships" r:id="rId1"/>
          <a:extLst>
            <a:ext uri="{FF2B5EF4-FFF2-40B4-BE49-F238E27FC236}">
              <a16:creationId xmlns:a16="http://schemas.microsoft.com/office/drawing/2014/main" id="{9F2263A3-0AA8-4D18-8036-42E353904F1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1" name="AutoShape 6" descr="Bug">
          <a:hlinkClick xmlns:r="http://schemas.openxmlformats.org/officeDocument/2006/relationships" r:id="rId2"/>
          <a:extLst>
            <a:ext uri="{FF2B5EF4-FFF2-40B4-BE49-F238E27FC236}">
              <a16:creationId xmlns:a16="http://schemas.microsoft.com/office/drawing/2014/main" id="{87F2B9EF-A833-48AF-8C38-75A5AC0252F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2" name="AutoShape 7" descr="Story">
          <a:hlinkClick xmlns:r="http://schemas.openxmlformats.org/officeDocument/2006/relationships" r:id="rId3"/>
          <a:extLst>
            <a:ext uri="{FF2B5EF4-FFF2-40B4-BE49-F238E27FC236}">
              <a16:creationId xmlns:a16="http://schemas.microsoft.com/office/drawing/2014/main" id="{047E4E68-7C2D-4CD4-9181-29A655BFD8C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3" name="AutoShape 8" descr="Story">
          <a:hlinkClick xmlns:r="http://schemas.openxmlformats.org/officeDocument/2006/relationships" r:id="rId4"/>
          <a:extLst>
            <a:ext uri="{FF2B5EF4-FFF2-40B4-BE49-F238E27FC236}">
              <a16:creationId xmlns:a16="http://schemas.microsoft.com/office/drawing/2014/main" id="{08930A05-22A6-4D8D-A3A3-8B1C0BC3A35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4" name="AutoShape 9" descr="Story">
          <a:hlinkClick xmlns:r="http://schemas.openxmlformats.org/officeDocument/2006/relationships" r:id="rId5"/>
          <a:extLst>
            <a:ext uri="{FF2B5EF4-FFF2-40B4-BE49-F238E27FC236}">
              <a16:creationId xmlns:a16="http://schemas.microsoft.com/office/drawing/2014/main" id="{4C5B555E-6486-4F82-874B-9C1AA55475D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5" name="AutoShape 10" descr="Story">
          <a:hlinkClick xmlns:r="http://schemas.openxmlformats.org/officeDocument/2006/relationships" r:id="rId6"/>
          <a:extLst>
            <a:ext uri="{FF2B5EF4-FFF2-40B4-BE49-F238E27FC236}">
              <a16:creationId xmlns:a16="http://schemas.microsoft.com/office/drawing/2014/main" id="{DA823705-6055-4432-AFAF-91154D5D601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6" name="AutoShape 13" descr="Story">
          <a:hlinkClick xmlns:r="http://schemas.openxmlformats.org/officeDocument/2006/relationships" r:id="rId4"/>
          <a:extLst>
            <a:ext uri="{FF2B5EF4-FFF2-40B4-BE49-F238E27FC236}">
              <a16:creationId xmlns:a16="http://schemas.microsoft.com/office/drawing/2014/main" id="{99C715A1-E332-475B-BA64-DB195B398352}"/>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7" name="AutoShape 14" descr="Story">
          <a:hlinkClick xmlns:r="http://schemas.openxmlformats.org/officeDocument/2006/relationships" r:id="rId4"/>
          <a:extLst>
            <a:ext uri="{FF2B5EF4-FFF2-40B4-BE49-F238E27FC236}">
              <a16:creationId xmlns:a16="http://schemas.microsoft.com/office/drawing/2014/main" id="{D04C7F3D-9DF4-44CB-A530-7B3B1D6BD177}"/>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8" name="AutoShape 4" descr="Bug">
          <a:hlinkClick xmlns:r="http://schemas.openxmlformats.org/officeDocument/2006/relationships" r:id="rId1"/>
          <a:extLst>
            <a:ext uri="{FF2B5EF4-FFF2-40B4-BE49-F238E27FC236}">
              <a16:creationId xmlns:a16="http://schemas.microsoft.com/office/drawing/2014/main" id="{933B92C4-8083-4510-BF5C-DE4B3ECE00E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9" name="AutoShape 6" descr="Bug">
          <a:hlinkClick xmlns:r="http://schemas.openxmlformats.org/officeDocument/2006/relationships" r:id="rId2"/>
          <a:extLst>
            <a:ext uri="{FF2B5EF4-FFF2-40B4-BE49-F238E27FC236}">
              <a16:creationId xmlns:a16="http://schemas.microsoft.com/office/drawing/2014/main" id="{E7235A6D-608F-4A48-B3BF-5F399F9FFCE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0" name="AutoShape 7" descr="Story">
          <a:hlinkClick xmlns:r="http://schemas.openxmlformats.org/officeDocument/2006/relationships" r:id="rId3"/>
          <a:extLst>
            <a:ext uri="{FF2B5EF4-FFF2-40B4-BE49-F238E27FC236}">
              <a16:creationId xmlns:a16="http://schemas.microsoft.com/office/drawing/2014/main" id="{E9578FA1-8548-47A5-BE77-A5217F997C45}"/>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1" name="AutoShape 8" descr="Story">
          <a:hlinkClick xmlns:r="http://schemas.openxmlformats.org/officeDocument/2006/relationships" r:id="rId4"/>
          <a:extLst>
            <a:ext uri="{FF2B5EF4-FFF2-40B4-BE49-F238E27FC236}">
              <a16:creationId xmlns:a16="http://schemas.microsoft.com/office/drawing/2014/main" id="{D15B4F54-5EDB-4780-8F8E-DAA0E49AFE76}"/>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2" name="AutoShape 9" descr="Story">
          <a:hlinkClick xmlns:r="http://schemas.openxmlformats.org/officeDocument/2006/relationships" r:id="rId5"/>
          <a:extLst>
            <a:ext uri="{FF2B5EF4-FFF2-40B4-BE49-F238E27FC236}">
              <a16:creationId xmlns:a16="http://schemas.microsoft.com/office/drawing/2014/main" id="{8016744C-3CE1-4732-99DA-A0A667A36BFD}"/>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3" name="AutoShape 10" descr="Story">
          <a:hlinkClick xmlns:r="http://schemas.openxmlformats.org/officeDocument/2006/relationships" r:id="rId6"/>
          <a:extLst>
            <a:ext uri="{FF2B5EF4-FFF2-40B4-BE49-F238E27FC236}">
              <a16:creationId xmlns:a16="http://schemas.microsoft.com/office/drawing/2014/main" id="{591723FA-BB1C-4347-847F-3733D460D06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4" name="AutoShape 13" descr="Story">
          <a:hlinkClick xmlns:r="http://schemas.openxmlformats.org/officeDocument/2006/relationships" r:id="rId4"/>
          <a:extLst>
            <a:ext uri="{FF2B5EF4-FFF2-40B4-BE49-F238E27FC236}">
              <a16:creationId xmlns:a16="http://schemas.microsoft.com/office/drawing/2014/main" id="{54EEDCBC-715C-402E-A5E8-E8B3DA56B23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5" name="AutoShape 14" descr="Story">
          <a:hlinkClick xmlns:r="http://schemas.openxmlformats.org/officeDocument/2006/relationships" r:id="rId4"/>
          <a:extLst>
            <a:ext uri="{FF2B5EF4-FFF2-40B4-BE49-F238E27FC236}">
              <a16:creationId xmlns:a16="http://schemas.microsoft.com/office/drawing/2014/main" id="{D2A90031-37A7-45BE-A6F3-ABBF152D9AA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881</xdr:row>
      <xdr:rowOff>0</xdr:rowOff>
    </xdr:from>
    <xdr:to>
      <xdr:col>1</xdr:col>
      <xdr:colOff>152400</xdr:colOff>
      <xdr:row>881</xdr:row>
      <xdr:rowOff>152400</xdr:rowOff>
    </xdr:to>
    <xdr:sp macro="" textlink="">
      <xdr:nvSpPr>
        <xdr:cNvPr id="326" name="AutoShape 4" descr="Bug">
          <a:hlinkClick xmlns:r="http://schemas.openxmlformats.org/officeDocument/2006/relationships" r:id="rId1"/>
          <a:extLst>
            <a:ext uri="{FF2B5EF4-FFF2-40B4-BE49-F238E27FC236}">
              <a16:creationId xmlns:a16="http://schemas.microsoft.com/office/drawing/2014/main" id="{8F8917D5-D7BB-49CF-833A-E42C98F6C5E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7" name="AutoShape 6" descr="Bug">
          <a:hlinkClick xmlns:r="http://schemas.openxmlformats.org/officeDocument/2006/relationships" r:id="rId2"/>
          <a:extLst>
            <a:ext uri="{FF2B5EF4-FFF2-40B4-BE49-F238E27FC236}">
              <a16:creationId xmlns:a16="http://schemas.microsoft.com/office/drawing/2014/main" id="{826A5759-A892-46E4-8F4B-589EEAA1B0B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8" name="AutoShape 7" descr="Story">
          <a:hlinkClick xmlns:r="http://schemas.openxmlformats.org/officeDocument/2006/relationships" r:id="rId3"/>
          <a:extLst>
            <a:ext uri="{FF2B5EF4-FFF2-40B4-BE49-F238E27FC236}">
              <a16:creationId xmlns:a16="http://schemas.microsoft.com/office/drawing/2014/main" id="{44B35E35-AF4D-4C8C-9E9D-4136FD32BF82}"/>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9" name="AutoShape 8" descr="Story">
          <a:hlinkClick xmlns:r="http://schemas.openxmlformats.org/officeDocument/2006/relationships" r:id="rId4"/>
          <a:extLst>
            <a:ext uri="{FF2B5EF4-FFF2-40B4-BE49-F238E27FC236}">
              <a16:creationId xmlns:a16="http://schemas.microsoft.com/office/drawing/2014/main" id="{6B1B86FB-8A81-4751-A580-15A4569C92CF}"/>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0" name="AutoShape 9" descr="Story">
          <a:hlinkClick xmlns:r="http://schemas.openxmlformats.org/officeDocument/2006/relationships" r:id="rId5"/>
          <a:extLst>
            <a:ext uri="{FF2B5EF4-FFF2-40B4-BE49-F238E27FC236}">
              <a16:creationId xmlns:a16="http://schemas.microsoft.com/office/drawing/2014/main" id="{69E4DFD6-666E-45FF-8ED9-68A5F482A034}"/>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1" name="AutoShape 10" descr="Story">
          <a:hlinkClick xmlns:r="http://schemas.openxmlformats.org/officeDocument/2006/relationships" r:id="rId6"/>
          <a:extLst>
            <a:ext uri="{FF2B5EF4-FFF2-40B4-BE49-F238E27FC236}">
              <a16:creationId xmlns:a16="http://schemas.microsoft.com/office/drawing/2014/main" id="{CC6B28A6-9C8D-4790-A075-E91BF1B34CE3}"/>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2" name="AutoShape 13" descr="Story">
          <a:hlinkClick xmlns:r="http://schemas.openxmlformats.org/officeDocument/2006/relationships" r:id="rId4"/>
          <a:extLst>
            <a:ext uri="{FF2B5EF4-FFF2-40B4-BE49-F238E27FC236}">
              <a16:creationId xmlns:a16="http://schemas.microsoft.com/office/drawing/2014/main" id="{462271A5-F66D-4A60-8B31-55B5DDC983CD}"/>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3" name="AutoShape 14" descr="Story">
          <a:hlinkClick xmlns:r="http://schemas.openxmlformats.org/officeDocument/2006/relationships" r:id="rId4"/>
          <a:extLst>
            <a:ext uri="{FF2B5EF4-FFF2-40B4-BE49-F238E27FC236}">
              <a16:creationId xmlns:a16="http://schemas.microsoft.com/office/drawing/2014/main" id="{C196CF0E-189E-404C-9D51-FFF04C45A6DA}"/>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4" name="AutoShape 4" descr="Bug">
          <a:hlinkClick xmlns:r="http://schemas.openxmlformats.org/officeDocument/2006/relationships" r:id="rId1"/>
          <a:extLst>
            <a:ext uri="{FF2B5EF4-FFF2-40B4-BE49-F238E27FC236}">
              <a16:creationId xmlns:a16="http://schemas.microsoft.com/office/drawing/2014/main" id="{FACBCF3E-151F-42B4-B8B2-C6B70F14969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2" name="AutoShape 4" descr="Bug">
          <a:hlinkClick xmlns:r="http://schemas.openxmlformats.org/officeDocument/2006/relationships" r:id="rId1"/>
          <a:extLst>
            <a:ext uri="{FF2B5EF4-FFF2-40B4-BE49-F238E27FC236}">
              <a16:creationId xmlns:a16="http://schemas.microsoft.com/office/drawing/2014/main" id="{A4BDFD39-7727-43F4-B271-AB549842E461}"/>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3" name="AutoShape 6" descr="Bug">
          <a:hlinkClick xmlns:r="http://schemas.openxmlformats.org/officeDocument/2006/relationships" r:id="rId2"/>
          <a:extLst>
            <a:ext uri="{FF2B5EF4-FFF2-40B4-BE49-F238E27FC236}">
              <a16:creationId xmlns:a16="http://schemas.microsoft.com/office/drawing/2014/main" id="{91316B80-454D-4A27-84B1-25F2A1BC22FF}"/>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4" name="AutoShape 7" descr="Story">
          <a:hlinkClick xmlns:r="http://schemas.openxmlformats.org/officeDocument/2006/relationships" r:id="rId3"/>
          <a:extLst>
            <a:ext uri="{FF2B5EF4-FFF2-40B4-BE49-F238E27FC236}">
              <a16:creationId xmlns:a16="http://schemas.microsoft.com/office/drawing/2014/main" id="{7FDF691A-12C1-4428-BACA-DFADE2EB04A5}"/>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5" name="AutoShape 8" descr="Story">
          <a:hlinkClick xmlns:r="http://schemas.openxmlformats.org/officeDocument/2006/relationships" r:id="rId4"/>
          <a:extLst>
            <a:ext uri="{FF2B5EF4-FFF2-40B4-BE49-F238E27FC236}">
              <a16:creationId xmlns:a16="http://schemas.microsoft.com/office/drawing/2014/main" id="{6E9D595B-8FD2-4351-8E35-4B4AA456922D}"/>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6" name="AutoShape 9" descr="Story">
          <a:hlinkClick xmlns:r="http://schemas.openxmlformats.org/officeDocument/2006/relationships" r:id="rId5"/>
          <a:extLst>
            <a:ext uri="{FF2B5EF4-FFF2-40B4-BE49-F238E27FC236}">
              <a16:creationId xmlns:a16="http://schemas.microsoft.com/office/drawing/2014/main" id="{888096AB-AE14-4403-8233-736CBB6464FB}"/>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7" name="AutoShape 10" descr="Story">
          <a:hlinkClick xmlns:r="http://schemas.openxmlformats.org/officeDocument/2006/relationships" r:id="rId6"/>
          <a:extLst>
            <a:ext uri="{FF2B5EF4-FFF2-40B4-BE49-F238E27FC236}">
              <a16:creationId xmlns:a16="http://schemas.microsoft.com/office/drawing/2014/main" id="{78053E70-B8AC-4EE7-BE5A-E167FAA0B8AD}"/>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8" name="AutoShape 13" descr="Story">
          <a:hlinkClick xmlns:r="http://schemas.openxmlformats.org/officeDocument/2006/relationships" r:id="rId4"/>
          <a:extLst>
            <a:ext uri="{FF2B5EF4-FFF2-40B4-BE49-F238E27FC236}">
              <a16:creationId xmlns:a16="http://schemas.microsoft.com/office/drawing/2014/main" id="{7DAAFBBD-092C-4F69-90F1-B56FC5FB7EC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9" name="AutoShape 14" descr="Story">
          <a:hlinkClick xmlns:r="http://schemas.openxmlformats.org/officeDocument/2006/relationships" r:id="rId4"/>
          <a:extLst>
            <a:ext uri="{FF2B5EF4-FFF2-40B4-BE49-F238E27FC236}">
              <a16:creationId xmlns:a16="http://schemas.microsoft.com/office/drawing/2014/main" id="{C0A90804-6372-4957-806E-C83FF382838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0" name="AutoShape 4" descr="Bug">
          <a:hlinkClick xmlns:r="http://schemas.openxmlformats.org/officeDocument/2006/relationships" r:id="rId1"/>
          <a:extLst>
            <a:ext uri="{FF2B5EF4-FFF2-40B4-BE49-F238E27FC236}">
              <a16:creationId xmlns:a16="http://schemas.microsoft.com/office/drawing/2014/main" id="{F149D2BE-2A66-441B-857F-8250A897EBD3}"/>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1" name="AutoShape 6" descr="Bug">
          <a:hlinkClick xmlns:r="http://schemas.openxmlformats.org/officeDocument/2006/relationships" r:id="rId2"/>
          <a:extLst>
            <a:ext uri="{FF2B5EF4-FFF2-40B4-BE49-F238E27FC236}">
              <a16:creationId xmlns:a16="http://schemas.microsoft.com/office/drawing/2014/main" id="{59F71F58-8F6E-40FD-B7C0-DFDBB634AE47}"/>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2" name="AutoShape 7" descr="Story">
          <a:hlinkClick xmlns:r="http://schemas.openxmlformats.org/officeDocument/2006/relationships" r:id="rId3"/>
          <a:extLst>
            <a:ext uri="{FF2B5EF4-FFF2-40B4-BE49-F238E27FC236}">
              <a16:creationId xmlns:a16="http://schemas.microsoft.com/office/drawing/2014/main" id="{84B67BD6-EA3C-4B53-88AD-369E40DBDB6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3" name="AutoShape 8" descr="Story">
          <a:hlinkClick xmlns:r="http://schemas.openxmlformats.org/officeDocument/2006/relationships" r:id="rId4"/>
          <a:extLst>
            <a:ext uri="{FF2B5EF4-FFF2-40B4-BE49-F238E27FC236}">
              <a16:creationId xmlns:a16="http://schemas.microsoft.com/office/drawing/2014/main" id="{C1999619-2A55-4C95-A7AC-F07D9D6D758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4" name="AutoShape 9" descr="Story">
          <a:hlinkClick xmlns:r="http://schemas.openxmlformats.org/officeDocument/2006/relationships" r:id="rId5"/>
          <a:extLst>
            <a:ext uri="{FF2B5EF4-FFF2-40B4-BE49-F238E27FC236}">
              <a16:creationId xmlns:a16="http://schemas.microsoft.com/office/drawing/2014/main" id="{6649AFBF-2764-47C3-A2A4-74060EA92DAB}"/>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5" name="AutoShape 10" descr="Story">
          <a:hlinkClick xmlns:r="http://schemas.openxmlformats.org/officeDocument/2006/relationships" r:id="rId6"/>
          <a:extLst>
            <a:ext uri="{FF2B5EF4-FFF2-40B4-BE49-F238E27FC236}">
              <a16:creationId xmlns:a16="http://schemas.microsoft.com/office/drawing/2014/main" id="{7674752C-CCC5-4C89-88AB-DDC0FF596DF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6" name="AutoShape 13" descr="Story">
          <a:hlinkClick xmlns:r="http://schemas.openxmlformats.org/officeDocument/2006/relationships" r:id="rId4"/>
          <a:extLst>
            <a:ext uri="{FF2B5EF4-FFF2-40B4-BE49-F238E27FC236}">
              <a16:creationId xmlns:a16="http://schemas.microsoft.com/office/drawing/2014/main" id="{67DE7517-22DE-45B6-AFB0-037E957D7D6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7" name="AutoShape 14" descr="Story">
          <a:hlinkClick xmlns:r="http://schemas.openxmlformats.org/officeDocument/2006/relationships" r:id="rId4"/>
          <a:extLst>
            <a:ext uri="{FF2B5EF4-FFF2-40B4-BE49-F238E27FC236}">
              <a16:creationId xmlns:a16="http://schemas.microsoft.com/office/drawing/2014/main" id="{98ACFF67-E3FF-4BAD-BC47-FF6A97749974}"/>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58" name="AutoShape 4" descr="Bug">
          <a:hlinkClick xmlns:r="http://schemas.openxmlformats.org/officeDocument/2006/relationships" r:id="rId1"/>
          <a:extLst>
            <a:ext uri="{FF2B5EF4-FFF2-40B4-BE49-F238E27FC236}">
              <a16:creationId xmlns:a16="http://schemas.microsoft.com/office/drawing/2014/main" id="{60A42B08-2BEE-4317-A3C1-4D8C2D600A6A}"/>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59" name="AutoShape 6" descr="Bug">
          <a:hlinkClick xmlns:r="http://schemas.openxmlformats.org/officeDocument/2006/relationships" r:id="rId2"/>
          <a:extLst>
            <a:ext uri="{FF2B5EF4-FFF2-40B4-BE49-F238E27FC236}">
              <a16:creationId xmlns:a16="http://schemas.microsoft.com/office/drawing/2014/main" id="{D29D8789-C8D3-4038-B8ED-9A9AA4715B44}"/>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0" name="AutoShape 7" descr="Story">
          <a:hlinkClick xmlns:r="http://schemas.openxmlformats.org/officeDocument/2006/relationships" r:id="rId3"/>
          <a:extLst>
            <a:ext uri="{FF2B5EF4-FFF2-40B4-BE49-F238E27FC236}">
              <a16:creationId xmlns:a16="http://schemas.microsoft.com/office/drawing/2014/main" id="{4B4CC5A6-DD3D-46E2-8F3B-75F427E1C98F}"/>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1" name="AutoShape 8" descr="Story">
          <a:hlinkClick xmlns:r="http://schemas.openxmlformats.org/officeDocument/2006/relationships" r:id="rId4"/>
          <a:extLst>
            <a:ext uri="{FF2B5EF4-FFF2-40B4-BE49-F238E27FC236}">
              <a16:creationId xmlns:a16="http://schemas.microsoft.com/office/drawing/2014/main" id="{9E14F5BF-6E60-46CD-A71D-31A5F22DF894}"/>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2" name="AutoShape 9" descr="Story">
          <a:hlinkClick xmlns:r="http://schemas.openxmlformats.org/officeDocument/2006/relationships" r:id="rId5"/>
          <a:extLst>
            <a:ext uri="{FF2B5EF4-FFF2-40B4-BE49-F238E27FC236}">
              <a16:creationId xmlns:a16="http://schemas.microsoft.com/office/drawing/2014/main" id="{4E71BA5F-C28C-424B-940C-4D9D59E936D2}"/>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3" name="AutoShape 10" descr="Story">
          <a:hlinkClick xmlns:r="http://schemas.openxmlformats.org/officeDocument/2006/relationships" r:id="rId6"/>
          <a:extLst>
            <a:ext uri="{FF2B5EF4-FFF2-40B4-BE49-F238E27FC236}">
              <a16:creationId xmlns:a16="http://schemas.microsoft.com/office/drawing/2014/main" id="{C9BC2DC3-67D3-4F33-933B-ADE8DD2C6681}"/>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4" name="AutoShape 13" descr="Story">
          <a:hlinkClick xmlns:r="http://schemas.openxmlformats.org/officeDocument/2006/relationships" r:id="rId4"/>
          <a:extLst>
            <a:ext uri="{FF2B5EF4-FFF2-40B4-BE49-F238E27FC236}">
              <a16:creationId xmlns:a16="http://schemas.microsoft.com/office/drawing/2014/main" id="{6E8CC049-BF3C-436B-A3F1-D669131A7A79}"/>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5" name="AutoShape 14" descr="Story">
          <a:hlinkClick xmlns:r="http://schemas.openxmlformats.org/officeDocument/2006/relationships" r:id="rId4"/>
          <a:extLst>
            <a:ext uri="{FF2B5EF4-FFF2-40B4-BE49-F238E27FC236}">
              <a16:creationId xmlns:a16="http://schemas.microsoft.com/office/drawing/2014/main" id="{19C5FB19-AEF9-4CD5-BC0C-89158F3D2420}"/>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6" name="AutoShape 4" descr="Bug">
          <a:hlinkClick xmlns:r="http://schemas.openxmlformats.org/officeDocument/2006/relationships" r:id="rId1"/>
          <a:extLst>
            <a:ext uri="{FF2B5EF4-FFF2-40B4-BE49-F238E27FC236}">
              <a16:creationId xmlns:a16="http://schemas.microsoft.com/office/drawing/2014/main" id="{A6B995D2-64D8-4632-BFE4-7F51C08FC27C}"/>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7" name="AutoShape 6" descr="Bug">
          <a:hlinkClick xmlns:r="http://schemas.openxmlformats.org/officeDocument/2006/relationships" r:id="rId2"/>
          <a:extLst>
            <a:ext uri="{FF2B5EF4-FFF2-40B4-BE49-F238E27FC236}">
              <a16:creationId xmlns:a16="http://schemas.microsoft.com/office/drawing/2014/main" id="{FEDF289F-DF53-405B-816A-6CB4ACAF65C3}"/>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8" name="AutoShape 7" descr="Story">
          <a:hlinkClick xmlns:r="http://schemas.openxmlformats.org/officeDocument/2006/relationships" r:id="rId3"/>
          <a:extLst>
            <a:ext uri="{FF2B5EF4-FFF2-40B4-BE49-F238E27FC236}">
              <a16:creationId xmlns:a16="http://schemas.microsoft.com/office/drawing/2014/main" id="{CA4F5978-7F2E-4635-91DA-1ACC21B01185}"/>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9" name="AutoShape 8" descr="Story">
          <a:hlinkClick xmlns:r="http://schemas.openxmlformats.org/officeDocument/2006/relationships" r:id="rId4"/>
          <a:extLst>
            <a:ext uri="{FF2B5EF4-FFF2-40B4-BE49-F238E27FC236}">
              <a16:creationId xmlns:a16="http://schemas.microsoft.com/office/drawing/2014/main" id="{10940601-1845-472C-B33F-968F8C0D5FDD}"/>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0" name="AutoShape 9" descr="Story">
          <a:hlinkClick xmlns:r="http://schemas.openxmlformats.org/officeDocument/2006/relationships" r:id="rId5"/>
          <a:extLst>
            <a:ext uri="{FF2B5EF4-FFF2-40B4-BE49-F238E27FC236}">
              <a16:creationId xmlns:a16="http://schemas.microsoft.com/office/drawing/2014/main" id="{9D50C2C5-AF4C-45D7-ABDF-4E21A5863086}"/>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1" name="AutoShape 10" descr="Story">
          <a:hlinkClick xmlns:r="http://schemas.openxmlformats.org/officeDocument/2006/relationships" r:id="rId6"/>
          <a:extLst>
            <a:ext uri="{FF2B5EF4-FFF2-40B4-BE49-F238E27FC236}">
              <a16:creationId xmlns:a16="http://schemas.microsoft.com/office/drawing/2014/main" id="{7F5D9A1A-1019-4C30-91C4-161618AA72DC}"/>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2" name="AutoShape 13" descr="Story">
          <a:hlinkClick xmlns:r="http://schemas.openxmlformats.org/officeDocument/2006/relationships" r:id="rId4"/>
          <a:extLst>
            <a:ext uri="{FF2B5EF4-FFF2-40B4-BE49-F238E27FC236}">
              <a16:creationId xmlns:a16="http://schemas.microsoft.com/office/drawing/2014/main" id="{AD166B4C-7179-43F9-AD4D-EC5B60778C57}"/>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3" name="AutoShape 14" descr="Story">
          <a:hlinkClick xmlns:r="http://schemas.openxmlformats.org/officeDocument/2006/relationships" r:id="rId4"/>
          <a:extLst>
            <a:ext uri="{FF2B5EF4-FFF2-40B4-BE49-F238E27FC236}">
              <a16:creationId xmlns:a16="http://schemas.microsoft.com/office/drawing/2014/main" id="{789699BA-A1B2-4EC9-B8B4-C8A572DB0BA9}"/>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740</xdr:row>
      <xdr:rowOff>0</xdr:rowOff>
    </xdr:from>
    <xdr:ext cx="152400" cy="152400"/>
    <xdr:sp macro="" textlink="">
      <xdr:nvSpPr>
        <xdr:cNvPr id="374" name="AutoShape 4" descr="Bug">
          <a:hlinkClick xmlns:r="http://schemas.openxmlformats.org/officeDocument/2006/relationships" r:id="rId1"/>
          <a:extLst>
            <a:ext uri="{FF2B5EF4-FFF2-40B4-BE49-F238E27FC236}">
              <a16:creationId xmlns:a16="http://schemas.microsoft.com/office/drawing/2014/main" id="{A4738B06-345E-4E04-8E67-40E731955D7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5" name="AutoShape 6" descr="Bug">
          <a:hlinkClick xmlns:r="http://schemas.openxmlformats.org/officeDocument/2006/relationships" r:id="rId2"/>
          <a:extLst>
            <a:ext uri="{FF2B5EF4-FFF2-40B4-BE49-F238E27FC236}">
              <a16:creationId xmlns:a16="http://schemas.microsoft.com/office/drawing/2014/main" id="{3A7643A8-BC8E-4659-86D2-3FF3BE553A1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6" name="AutoShape 7" descr="Story">
          <a:hlinkClick xmlns:r="http://schemas.openxmlformats.org/officeDocument/2006/relationships" r:id="rId3"/>
          <a:extLst>
            <a:ext uri="{FF2B5EF4-FFF2-40B4-BE49-F238E27FC236}">
              <a16:creationId xmlns:a16="http://schemas.microsoft.com/office/drawing/2014/main" id="{A0F3861D-EDDB-4858-A7D0-0F56EEB3991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7" name="AutoShape 8" descr="Story">
          <a:hlinkClick xmlns:r="http://schemas.openxmlformats.org/officeDocument/2006/relationships" r:id="rId4"/>
          <a:extLst>
            <a:ext uri="{FF2B5EF4-FFF2-40B4-BE49-F238E27FC236}">
              <a16:creationId xmlns:a16="http://schemas.microsoft.com/office/drawing/2014/main" id="{1912B5B1-5E23-4AF2-A100-716DC6034B8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8" name="AutoShape 9" descr="Story">
          <a:hlinkClick xmlns:r="http://schemas.openxmlformats.org/officeDocument/2006/relationships" r:id="rId5"/>
          <a:extLst>
            <a:ext uri="{FF2B5EF4-FFF2-40B4-BE49-F238E27FC236}">
              <a16:creationId xmlns:a16="http://schemas.microsoft.com/office/drawing/2014/main" id="{5130F00A-33E0-4933-BE28-EE97CEEC6B6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9" name="AutoShape 10" descr="Story">
          <a:hlinkClick xmlns:r="http://schemas.openxmlformats.org/officeDocument/2006/relationships" r:id="rId6"/>
          <a:extLst>
            <a:ext uri="{FF2B5EF4-FFF2-40B4-BE49-F238E27FC236}">
              <a16:creationId xmlns:a16="http://schemas.microsoft.com/office/drawing/2014/main" id="{2DABEA51-E881-4106-A70C-DB1FF772F76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0" name="AutoShape 13" descr="Story">
          <a:hlinkClick xmlns:r="http://schemas.openxmlformats.org/officeDocument/2006/relationships" r:id="rId4"/>
          <a:extLst>
            <a:ext uri="{FF2B5EF4-FFF2-40B4-BE49-F238E27FC236}">
              <a16:creationId xmlns:a16="http://schemas.microsoft.com/office/drawing/2014/main" id="{BF8AF201-E00D-48E3-82FE-36FC06CAA9B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1" name="AutoShape 14" descr="Story">
          <a:hlinkClick xmlns:r="http://schemas.openxmlformats.org/officeDocument/2006/relationships" r:id="rId4"/>
          <a:extLst>
            <a:ext uri="{FF2B5EF4-FFF2-40B4-BE49-F238E27FC236}">
              <a16:creationId xmlns:a16="http://schemas.microsoft.com/office/drawing/2014/main" id="{955A0653-8358-42E4-B2C4-F2A693606A2F}"/>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2" name="AutoShape 4" descr="Bug">
          <a:hlinkClick xmlns:r="http://schemas.openxmlformats.org/officeDocument/2006/relationships" r:id="rId1"/>
          <a:extLst>
            <a:ext uri="{FF2B5EF4-FFF2-40B4-BE49-F238E27FC236}">
              <a16:creationId xmlns:a16="http://schemas.microsoft.com/office/drawing/2014/main" id="{F134D1CE-7719-415A-B7BA-C8D6C9E5339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3" name="AutoShape 6" descr="Bug">
          <a:hlinkClick xmlns:r="http://schemas.openxmlformats.org/officeDocument/2006/relationships" r:id="rId2"/>
          <a:extLst>
            <a:ext uri="{FF2B5EF4-FFF2-40B4-BE49-F238E27FC236}">
              <a16:creationId xmlns:a16="http://schemas.microsoft.com/office/drawing/2014/main" id="{FDFCDBA9-E3B1-4078-A01E-6DF95AD2484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4" name="AutoShape 7" descr="Story">
          <a:hlinkClick xmlns:r="http://schemas.openxmlformats.org/officeDocument/2006/relationships" r:id="rId3"/>
          <a:extLst>
            <a:ext uri="{FF2B5EF4-FFF2-40B4-BE49-F238E27FC236}">
              <a16:creationId xmlns:a16="http://schemas.microsoft.com/office/drawing/2014/main" id="{B8EB66F9-ED05-4959-AE7E-FBB1BC67A02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5" name="AutoShape 8" descr="Story">
          <a:hlinkClick xmlns:r="http://schemas.openxmlformats.org/officeDocument/2006/relationships" r:id="rId4"/>
          <a:extLst>
            <a:ext uri="{FF2B5EF4-FFF2-40B4-BE49-F238E27FC236}">
              <a16:creationId xmlns:a16="http://schemas.microsoft.com/office/drawing/2014/main" id="{AF22FCFC-ECA3-40A0-83A0-7EE233258576}"/>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6" name="AutoShape 9" descr="Story">
          <a:hlinkClick xmlns:r="http://schemas.openxmlformats.org/officeDocument/2006/relationships" r:id="rId5"/>
          <a:extLst>
            <a:ext uri="{FF2B5EF4-FFF2-40B4-BE49-F238E27FC236}">
              <a16:creationId xmlns:a16="http://schemas.microsoft.com/office/drawing/2014/main" id="{8FCDEEF9-598E-4736-930F-BD20AB5C459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7" name="AutoShape 10" descr="Story">
          <a:hlinkClick xmlns:r="http://schemas.openxmlformats.org/officeDocument/2006/relationships" r:id="rId6"/>
          <a:extLst>
            <a:ext uri="{FF2B5EF4-FFF2-40B4-BE49-F238E27FC236}">
              <a16:creationId xmlns:a16="http://schemas.microsoft.com/office/drawing/2014/main" id="{0F3C229B-19D2-4C0D-BC46-7F1705C6ED9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8" name="AutoShape 13" descr="Story">
          <a:hlinkClick xmlns:r="http://schemas.openxmlformats.org/officeDocument/2006/relationships" r:id="rId4"/>
          <a:extLst>
            <a:ext uri="{FF2B5EF4-FFF2-40B4-BE49-F238E27FC236}">
              <a16:creationId xmlns:a16="http://schemas.microsoft.com/office/drawing/2014/main" id="{04C8B98B-DCC7-41B7-A0E5-9363CB35FD1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9" name="AutoShape 14" descr="Story">
          <a:hlinkClick xmlns:r="http://schemas.openxmlformats.org/officeDocument/2006/relationships" r:id="rId4"/>
          <a:extLst>
            <a:ext uri="{FF2B5EF4-FFF2-40B4-BE49-F238E27FC236}">
              <a16:creationId xmlns:a16="http://schemas.microsoft.com/office/drawing/2014/main" id="{3AB6C48C-3648-4F1A-B09E-638079A3AB0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0" name="AutoShape 4" descr="Bug">
          <a:hlinkClick xmlns:r="http://schemas.openxmlformats.org/officeDocument/2006/relationships" r:id="rId1"/>
          <a:extLst>
            <a:ext uri="{FF2B5EF4-FFF2-40B4-BE49-F238E27FC236}">
              <a16:creationId xmlns:a16="http://schemas.microsoft.com/office/drawing/2014/main" id="{BF0B649A-B99B-4203-AC72-7B2F5D5FA84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1" name="AutoShape 6" descr="Bug">
          <a:hlinkClick xmlns:r="http://schemas.openxmlformats.org/officeDocument/2006/relationships" r:id="rId2"/>
          <a:extLst>
            <a:ext uri="{FF2B5EF4-FFF2-40B4-BE49-F238E27FC236}">
              <a16:creationId xmlns:a16="http://schemas.microsoft.com/office/drawing/2014/main" id="{6EB0FE14-E4EE-4159-9622-20817DE2CF1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2" name="AutoShape 7" descr="Story">
          <a:hlinkClick xmlns:r="http://schemas.openxmlformats.org/officeDocument/2006/relationships" r:id="rId3"/>
          <a:extLst>
            <a:ext uri="{FF2B5EF4-FFF2-40B4-BE49-F238E27FC236}">
              <a16:creationId xmlns:a16="http://schemas.microsoft.com/office/drawing/2014/main" id="{50E3BFDF-13D7-41CF-A002-B272270A20AD}"/>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3" name="AutoShape 8" descr="Story">
          <a:hlinkClick xmlns:r="http://schemas.openxmlformats.org/officeDocument/2006/relationships" r:id="rId4"/>
          <a:extLst>
            <a:ext uri="{FF2B5EF4-FFF2-40B4-BE49-F238E27FC236}">
              <a16:creationId xmlns:a16="http://schemas.microsoft.com/office/drawing/2014/main" id="{8D2DAC4A-1C17-491D-9935-86E8EDAFD54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4" name="AutoShape 9" descr="Story">
          <a:hlinkClick xmlns:r="http://schemas.openxmlformats.org/officeDocument/2006/relationships" r:id="rId5"/>
          <a:extLst>
            <a:ext uri="{FF2B5EF4-FFF2-40B4-BE49-F238E27FC236}">
              <a16:creationId xmlns:a16="http://schemas.microsoft.com/office/drawing/2014/main" id="{0CBA8AA8-6A57-4538-9129-5C65E66CDD8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5" name="AutoShape 10" descr="Story">
          <a:hlinkClick xmlns:r="http://schemas.openxmlformats.org/officeDocument/2006/relationships" r:id="rId6"/>
          <a:extLst>
            <a:ext uri="{FF2B5EF4-FFF2-40B4-BE49-F238E27FC236}">
              <a16:creationId xmlns:a16="http://schemas.microsoft.com/office/drawing/2014/main" id="{152CA752-5EF0-41CF-9679-A2AB3DEE9D1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6" name="AutoShape 13" descr="Story">
          <a:hlinkClick xmlns:r="http://schemas.openxmlformats.org/officeDocument/2006/relationships" r:id="rId4"/>
          <a:extLst>
            <a:ext uri="{FF2B5EF4-FFF2-40B4-BE49-F238E27FC236}">
              <a16:creationId xmlns:a16="http://schemas.microsoft.com/office/drawing/2014/main" id="{DF22CCAB-AA29-4C47-B760-8C32234599C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7" name="AutoShape 14" descr="Story">
          <a:hlinkClick xmlns:r="http://schemas.openxmlformats.org/officeDocument/2006/relationships" r:id="rId4"/>
          <a:extLst>
            <a:ext uri="{FF2B5EF4-FFF2-40B4-BE49-F238E27FC236}">
              <a16:creationId xmlns:a16="http://schemas.microsoft.com/office/drawing/2014/main" id="{75A29784-994A-4C63-8987-52FD23343D8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8" name="AutoShape 4" descr="Bug">
          <a:hlinkClick xmlns:r="http://schemas.openxmlformats.org/officeDocument/2006/relationships" r:id="rId1"/>
          <a:extLst>
            <a:ext uri="{FF2B5EF4-FFF2-40B4-BE49-F238E27FC236}">
              <a16:creationId xmlns:a16="http://schemas.microsoft.com/office/drawing/2014/main" id="{479AADF8-59AC-4C4E-85A0-D0E759D3D2D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9" name="AutoShape 6" descr="Bug">
          <a:hlinkClick xmlns:r="http://schemas.openxmlformats.org/officeDocument/2006/relationships" r:id="rId2"/>
          <a:extLst>
            <a:ext uri="{FF2B5EF4-FFF2-40B4-BE49-F238E27FC236}">
              <a16:creationId xmlns:a16="http://schemas.microsoft.com/office/drawing/2014/main" id="{9AAE3BCC-1A44-446C-A1BD-FE79997DFCC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0" name="AutoShape 7" descr="Story">
          <a:hlinkClick xmlns:r="http://schemas.openxmlformats.org/officeDocument/2006/relationships" r:id="rId3"/>
          <a:extLst>
            <a:ext uri="{FF2B5EF4-FFF2-40B4-BE49-F238E27FC236}">
              <a16:creationId xmlns:a16="http://schemas.microsoft.com/office/drawing/2014/main" id="{5B13BC4D-9008-4613-8ADD-80A538E887BF}"/>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1" name="AutoShape 8" descr="Story">
          <a:hlinkClick xmlns:r="http://schemas.openxmlformats.org/officeDocument/2006/relationships" r:id="rId4"/>
          <a:extLst>
            <a:ext uri="{FF2B5EF4-FFF2-40B4-BE49-F238E27FC236}">
              <a16:creationId xmlns:a16="http://schemas.microsoft.com/office/drawing/2014/main" id="{DF9C5C87-B3B4-41A9-9659-32A01582CE4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2" name="AutoShape 9" descr="Story">
          <a:hlinkClick xmlns:r="http://schemas.openxmlformats.org/officeDocument/2006/relationships" r:id="rId5"/>
          <a:extLst>
            <a:ext uri="{FF2B5EF4-FFF2-40B4-BE49-F238E27FC236}">
              <a16:creationId xmlns:a16="http://schemas.microsoft.com/office/drawing/2014/main" id="{F83614CB-D9E6-448C-B0A6-15BFB21E526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3" name="AutoShape 10" descr="Story">
          <a:hlinkClick xmlns:r="http://schemas.openxmlformats.org/officeDocument/2006/relationships" r:id="rId6"/>
          <a:extLst>
            <a:ext uri="{FF2B5EF4-FFF2-40B4-BE49-F238E27FC236}">
              <a16:creationId xmlns:a16="http://schemas.microsoft.com/office/drawing/2014/main" id="{0782D740-4DD9-4BDF-B8E0-95C63D88D1C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4" name="AutoShape 13" descr="Story">
          <a:hlinkClick xmlns:r="http://schemas.openxmlformats.org/officeDocument/2006/relationships" r:id="rId4"/>
          <a:extLst>
            <a:ext uri="{FF2B5EF4-FFF2-40B4-BE49-F238E27FC236}">
              <a16:creationId xmlns:a16="http://schemas.microsoft.com/office/drawing/2014/main" id="{9281FEF8-DC52-4B7F-8178-26F027E81F5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5" name="AutoShape 14" descr="Story">
          <a:hlinkClick xmlns:r="http://schemas.openxmlformats.org/officeDocument/2006/relationships" r:id="rId4"/>
          <a:extLst>
            <a:ext uri="{FF2B5EF4-FFF2-40B4-BE49-F238E27FC236}">
              <a16:creationId xmlns:a16="http://schemas.microsoft.com/office/drawing/2014/main" id="{A28F7D69-365C-4618-B2B4-15BD777FA40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6" name="AutoShape 4" descr="Bug">
          <a:hlinkClick xmlns:r="http://schemas.openxmlformats.org/officeDocument/2006/relationships" r:id="rId1"/>
          <a:extLst>
            <a:ext uri="{FF2B5EF4-FFF2-40B4-BE49-F238E27FC236}">
              <a16:creationId xmlns:a16="http://schemas.microsoft.com/office/drawing/2014/main" id="{7BBE15D1-93D1-4271-AC58-B877478808A9}"/>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7" name="AutoShape 6" descr="Bug">
          <a:hlinkClick xmlns:r="http://schemas.openxmlformats.org/officeDocument/2006/relationships" r:id="rId2"/>
          <a:extLst>
            <a:ext uri="{FF2B5EF4-FFF2-40B4-BE49-F238E27FC236}">
              <a16:creationId xmlns:a16="http://schemas.microsoft.com/office/drawing/2014/main" id="{E947521E-7BEB-470E-A237-7A34B9CDDC8A}"/>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8" name="AutoShape 7" descr="Story">
          <a:hlinkClick xmlns:r="http://schemas.openxmlformats.org/officeDocument/2006/relationships" r:id="rId3"/>
          <a:extLst>
            <a:ext uri="{FF2B5EF4-FFF2-40B4-BE49-F238E27FC236}">
              <a16:creationId xmlns:a16="http://schemas.microsoft.com/office/drawing/2014/main" id="{FD8BAC29-20CA-4F9E-AB3D-F3E38814631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9" name="AutoShape 8" descr="Story">
          <a:hlinkClick xmlns:r="http://schemas.openxmlformats.org/officeDocument/2006/relationships" r:id="rId4"/>
          <a:extLst>
            <a:ext uri="{FF2B5EF4-FFF2-40B4-BE49-F238E27FC236}">
              <a16:creationId xmlns:a16="http://schemas.microsoft.com/office/drawing/2014/main" id="{6D0987C5-4DA8-4100-A0EF-616E57768A1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0" name="AutoShape 9" descr="Story">
          <a:hlinkClick xmlns:r="http://schemas.openxmlformats.org/officeDocument/2006/relationships" r:id="rId5"/>
          <a:extLst>
            <a:ext uri="{FF2B5EF4-FFF2-40B4-BE49-F238E27FC236}">
              <a16:creationId xmlns:a16="http://schemas.microsoft.com/office/drawing/2014/main" id="{794D9AE0-0C54-4ACF-93D3-D6913F88CA6A}"/>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1" name="AutoShape 10" descr="Story">
          <a:hlinkClick xmlns:r="http://schemas.openxmlformats.org/officeDocument/2006/relationships" r:id="rId6"/>
          <a:extLst>
            <a:ext uri="{FF2B5EF4-FFF2-40B4-BE49-F238E27FC236}">
              <a16:creationId xmlns:a16="http://schemas.microsoft.com/office/drawing/2014/main" id="{660E5B4E-6838-44A2-9A05-279C8F14FED4}"/>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2" name="AutoShape 13" descr="Story">
          <a:hlinkClick xmlns:r="http://schemas.openxmlformats.org/officeDocument/2006/relationships" r:id="rId4"/>
          <a:extLst>
            <a:ext uri="{FF2B5EF4-FFF2-40B4-BE49-F238E27FC236}">
              <a16:creationId xmlns:a16="http://schemas.microsoft.com/office/drawing/2014/main" id="{3981BEAC-3E63-4964-81FE-A0B83C5A502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3" name="AutoShape 14" descr="Story">
          <a:hlinkClick xmlns:r="http://schemas.openxmlformats.org/officeDocument/2006/relationships" r:id="rId4"/>
          <a:extLst>
            <a:ext uri="{FF2B5EF4-FFF2-40B4-BE49-F238E27FC236}">
              <a16:creationId xmlns:a16="http://schemas.microsoft.com/office/drawing/2014/main" id="{25886565-26DF-42DD-82A4-534D8B60DC4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4" name="AutoShape 4" descr="Bug">
          <a:hlinkClick xmlns:r="http://schemas.openxmlformats.org/officeDocument/2006/relationships" r:id="rId1"/>
          <a:extLst>
            <a:ext uri="{FF2B5EF4-FFF2-40B4-BE49-F238E27FC236}">
              <a16:creationId xmlns:a16="http://schemas.microsoft.com/office/drawing/2014/main" id="{1182CA6A-19BB-4DD2-9F98-77DCE5E7D12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5" name="AutoShape 6" descr="Bug">
          <a:hlinkClick xmlns:r="http://schemas.openxmlformats.org/officeDocument/2006/relationships" r:id="rId2"/>
          <a:extLst>
            <a:ext uri="{FF2B5EF4-FFF2-40B4-BE49-F238E27FC236}">
              <a16:creationId xmlns:a16="http://schemas.microsoft.com/office/drawing/2014/main" id="{ED8BF4CF-A42C-47FB-B863-23CA55A28C99}"/>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6" name="AutoShape 7" descr="Story">
          <a:hlinkClick xmlns:r="http://schemas.openxmlformats.org/officeDocument/2006/relationships" r:id="rId3"/>
          <a:extLst>
            <a:ext uri="{FF2B5EF4-FFF2-40B4-BE49-F238E27FC236}">
              <a16:creationId xmlns:a16="http://schemas.microsoft.com/office/drawing/2014/main" id="{9FFBD63F-4780-4D35-9138-8A5C1AFFDEE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7" name="AutoShape 8" descr="Story">
          <a:hlinkClick xmlns:r="http://schemas.openxmlformats.org/officeDocument/2006/relationships" r:id="rId4"/>
          <a:extLst>
            <a:ext uri="{FF2B5EF4-FFF2-40B4-BE49-F238E27FC236}">
              <a16:creationId xmlns:a16="http://schemas.microsoft.com/office/drawing/2014/main" id="{9B982918-A181-4ADE-A194-CEE5A7068720}"/>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8" name="AutoShape 9" descr="Story">
          <a:hlinkClick xmlns:r="http://schemas.openxmlformats.org/officeDocument/2006/relationships" r:id="rId5"/>
          <a:extLst>
            <a:ext uri="{FF2B5EF4-FFF2-40B4-BE49-F238E27FC236}">
              <a16:creationId xmlns:a16="http://schemas.microsoft.com/office/drawing/2014/main" id="{C5F10B1C-1ED3-4854-B527-320790E856C2}"/>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9" name="AutoShape 10" descr="Story">
          <a:hlinkClick xmlns:r="http://schemas.openxmlformats.org/officeDocument/2006/relationships" r:id="rId6"/>
          <a:extLst>
            <a:ext uri="{FF2B5EF4-FFF2-40B4-BE49-F238E27FC236}">
              <a16:creationId xmlns:a16="http://schemas.microsoft.com/office/drawing/2014/main" id="{32899A03-C3A9-41E6-8248-3538F911940F}"/>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20" name="AutoShape 13" descr="Story">
          <a:hlinkClick xmlns:r="http://schemas.openxmlformats.org/officeDocument/2006/relationships" r:id="rId4"/>
          <a:extLst>
            <a:ext uri="{FF2B5EF4-FFF2-40B4-BE49-F238E27FC236}">
              <a16:creationId xmlns:a16="http://schemas.microsoft.com/office/drawing/2014/main" id="{6E111C78-224B-47ED-9FF7-4A373ECFFC6F}"/>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21" name="AutoShape 14" descr="Story">
          <a:hlinkClick xmlns:r="http://schemas.openxmlformats.org/officeDocument/2006/relationships" r:id="rId4"/>
          <a:extLst>
            <a:ext uri="{FF2B5EF4-FFF2-40B4-BE49-F238E27FC236}">
              <a16:creationId xmlns:a16="http://schemas.microsoft.com/office/drawing/2014/main" id="{474CD409-9FF7-4F7C-A390-25E62E8A5DA2}"/>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740</xdr:row>
      <xdr:rowOff>0</xdr:rowOff>
    </xdr:from>
    <xdr:to>
      <xdr:col>1</xdr:col>
      <xdr:colOff>152400</xdr:colOff>
      <xdr:row>740</xdr:row>
      <xdr:rowOff>152400</xdr:rowOff>
    </xdr:to>
    <xdr:sp macro="" textlink="">
      <xdr:nvSpPr>
        <xdr:cNvPr id="422" name="AutoShape 4" descr="Bug">
          <a:hlinkClick xmlns:r="http://schemas.openxmlformats.org/officeDocument/2006/relationships" r:id="rId1"/>
          <a:extLst>
            <a:ext uri="{FF2B5EF4-FFF2-40B4-BE49-F238E27FC236}">
              <a16:creationId xmlns:a16="http://schemas.microsoft.com/office/drawing/2014/main" id="{22347651-69C2-41AC-873F-DB7C718E109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3" name="AutoShape 6" descr="Bug">
          <a:hlinkClick xmlns:r="http://schemas.openxmlformats.org/officeDocument/2006/relationships" r:id="rId2"/>
          <a:extLst>
            <a:ext uri="{FF2B5EF4-FFF2-40B4-BE49-F238E27FC236}">
              <a16:creationId xmlns:a16="http://schemas.microsoft.com/office/drawing/2014/main" id="{36142D9C-7128-47CF-A46B-A0B45F1D33D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4" name="AutoShape 7" descr="Story">
          <a:hlinkClick xmlns:r="http://schemas.openxmlformats.org/officeDocument/2006/relationships" r:id="rId3"/>
          <a:extLst>
            <a:ext uri="{FF2B5EF4-FFF2-40B4-BE49-F238E27FC236}">
              <a16:creationId xmlns:a16="http://schemas.microsoft.com/office/drawing/2014/main" id="{387F42C4-9F40-4F52-B6B5-96347BE9DC0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5" name="AutoShape 8" descr="Story">
          <a:hlinkClick xmlns:r="http://schemas.openxmlformats.org/officeDocument/2006/relationships" r:id="rId4"/>
          <a:extLst>
            <a:ext uri="{FF2B5EF4-FFF2-40B4-BE49-F238E27FC236}">
              <a16:creationId xmlns:a16="http://schemas.microsoft.com/office/drawing/2014/main" id="{5E271763-8C77-464A-96EA-92F59918897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6" name="AutoShape 9" descr="Story">
          <a:hlinkClick xmlns:r="http://schemas.openxmlformats.org/officeDocument/2006/relationships" r:id="rId5"/>
          <a:extLst>
            <a:ext uri="{FF2B5EF4-FFF2-40B4-BE49-F238E27FC236}">
              <a16:creationId xmlns:a16="http://schemas.microsoft.com/office/drawing/2014/main" id="{C7EFA65D-57F2-4436-9A7B-269C1081EC2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7" name="AutoShape 10" descr="Story">
          <a:hlinkClick xmlns:r="http://schemas.openxmlformats.org/officeDocument/2006/relationships" r:id="rId6"/>
          <a:extLst>
            <a:ext uri="{FF2B5EF4-FFF2-40B4-BE49-F238E27FC236}">
              <a16:creationId xmlns:a16="http://schemas.microsoft.com/office/drawing/2014/main" id="{FE05CE0B-8A62-41CB-926B-299C5AAACA9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8" name="AutoShape 13" descr="Story">
          <a:hlinkClick xmlns:r="http://schemas.openxmlformats.org/officeDocument/2006/relationships" r:id="rId4"/>
          <a:extLst>
            <a:ext uri="{FF2B5EF4-FFF2-40B4-BE49-F238E27FC236}">
              <a16:creationId xmlns:a16="http://schemas.microsoft.com/office/drawing/2014/main" id="{C35BB6B9-FA39-4D33-8D02-578778D8ABC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9" name="AutoShape 14" descr="Story">
          <a:hlinkClick xmlns:r="http://schemas.openxmlformats.org/officeDocument/2006/relationships" r:id="rId4"/>
          <a:extLst>
            <a:ext uri="{FF2B5EF4-FFF2-40B4-BE49-F238E27FC236}">
              <a16:creationId xmlns:a16="http://schemas.microsoft.com/office/drawing/2014/main" id="{D1F7733B-B49D-4238-9268-0652807F3E1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0" name="AutoShape 4" descr="Bug">
          <a:hlinkClick xmlns:r="http://schemas.openxmlformats.org/officeDocument/2006/relationships" r:id="rId1"/>
          <a:extLst>
            <a:ext uri="{FF2B5EF4-FFF2-40B4-BE49-F238E27FC236}">
              <a16:creationId xmlns:a16="http://schemas.microsoft.com/office/drawing/2014/main" id="{EACD8F8E-9FA5-4FA9-B856-7BD5FE92272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1" name="AutoShape 6" descr="Bug">
          <a:hlinkClick xmlns:r="http://schemas.openxmlformats.org/officeDocument/2006/relationships" r:id="rId2"/>
          <a:extLst>
            <a:ext uri="{FF2B5EF4-FFF2-40B4-BE49-F238E27FC236}">
              <a16:creationId xmlns:a16="http://schemas.microsoft.com/office/drawing/2014/main" id="{894B338D-9B39-4FC7-BD36-A369E6BEDAA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2" name="AutoShape 7" descr="Story">
          <a:hlinkClick xmlns:r="http://schemas.openxmlformats.org/officeDocument/2006/relationships" r:id="rId3"/>
          <a:extLst>
            <a:ext uri="{FF2B5EF4-FFF2-40B4-BE49-F238E27FC236}">
              <a16:creationId xmlns:a16="http://schemas.microsoft.com/office/drawing/2014/main" id="{AB1F6D7A-3E03-46BD-B17C-CAAE7C933116}"/>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3" name="AutoShape 8" descr="Story">
          <a:hlinkClick xmlns:r="http://schemas.openxmlformats.org/officeDocument/2006/relationships" r:id="rId4"/>
          <a:extLst>
            <a:ext uri="{FF2B5EF4-FFF2-40B4-BE49-F238E27FC236}">
              <a16:creationId xmlns:a16="http://schemas.microsoft.com/office/drawing/2014/main" id="{FF35ECEB-9D83-458A-912F-4F48FD1BDC5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4" name="AutoShape 9" descr="Story">
          <a:hlinkClick xmlns:r="http://schemas.openxmlformats.org/officeDocument/2006/relationships" r:id="rId5"/>
          <a:extLst>
            <a:ext uri="{FF2B5EF4-FFF2-40B4-BE49-F238E27FC236}">
              <a16:creationId xmlns:a16="http://schemas.microsoft.com/office/drawing/2014/main" id="{A9F84B65-FC65-4759-8E5B-5F9F6D3C7A7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5" name="AutoShape 10" descr="Story">
          <a:hlinkClick xmlns:r="http://schemas.openxmlformats.org/officeDocument/2006/relationships" r:id="rId6"/>
          <a:extLst>
            <a:ext uri="{FF2B5EF4-FFF2-40B4-BE49-F238E27FC236}">
              <a16:creationId xmlns:a16="http://schemas.microsoft.com/office/drawing/2014/main" id="{DF6EE6F9-79BD-4301-9E73-F7B3026530D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6" name="AutoShape 13" descr="Story">
          <a:hlinkClick xmlns:r="http://schemas.openxmlformats.org/officeDocument/2006/relationships" r:id="rId4"/>
          <a:extLst>
            <a:ext uri="{FF2B5EF4-FFF2-40B4-BE49-F238E27FC236}">
              <a16:creationId xmlns:a16="http://schemas.microsoft.com/office/drawing/2014/main" id="{524B701B-7315-44B3-870B-2F48706BD04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7" name="AutoShape 14" descr="Story">
          <a:hlinkClick xmlns:r="http://schemas.openxmlformats.org/officeDocument/2006/relationships" r:id="rId4"/>
          <a:extLst>
            <a:ext uri="{FF2B5EF4-FFF2-40B4-BE49-F238E27FC236}">
              <a16:creationId xmlns:a16="http://schemas.microsoft.com/office/drawing/2014/main" id="{4E31AF53-8DB9-4F68-801D-248ED9204A2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38" name="AutoShape 4" descr="Bug">
          <a:hlinkClick xmlns:r="http://schemas.openxmlformats.org/officeDocument/2006/relationships" r:id="rId1"/>
          <a:extLst>
            <a:ext uri="{FF2B5EF4-FFF2-40B4-BE49-F238E27FC236}">
              <a16:creationId xmlns:a16="http://schemas.microsoft.com/office/drawing/2014/main" id="{57573E0B-5D85-4ECC-BCA1-6A77BBB17CA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39" name="AutoShape 6" descr="Bug">
          <a:hlinkClick xmlns:r="http://schemas.openxmlformats.org/officeDocument/2006/relationships" r:id="rId2"/>
          <a:extLst>
            <a:ext uri="{FF2B5EF4-FFF2-40B4-BE49-F238E27FC236}">
              <a16:creationId xmlns:a16="http://schemas.microsoft.com/office/drawing/2014/main" id="{967001F2-D51C-4AAB-9251-8AD2364C87A9}"/>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0" name="AutoShape 7" descr="Story">
          <a:hlinkClick xmlns:r="http://schemas.openxmlformats.org/officeDocument/2006/relationships" r:id="rId3"/>
          <a:extLst>
            <a:ext uri="{FF2B5EF4-FFF2-40B4-BE49-F238E27FC236}">
              <a16:creationId xmlns:a16="http://schemas.microsoft.com/office/drawing/2014/main" id="{2993BF1C-5D20-44F0-BD76-A78F675CDE83}"/>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1" name="AutoShape 8" descr="Story">
          <a:hlinkClick xmlns:r="http://schemas.openxmlformats.org/officeDocument/2006/relationships" r:id="rId4"/>
          <a:extLst>
            <a:ext uri="{FF2B5EF4-FFF2-40B4-BE49-F238E27FC236}">
              <a16:creationId xmlns:a16="http://schemas.microsoft.com/office/drawing/2014/main" id="{D49B6F0E-392F-4DE0-91C2-3161632C5D3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2" name="AutoShape 9" descr="Story">
          <a:hlinkClick xmlns:r="http://schemas.openxmlformats.org/officeDocument/2006/relationships" r:id="rId5"/>
          <a:extLst>
            <a:ext uri="{FF2B5EF4-FFF2-40B4-BE49-F238E27FC236}">
              <a16:creationId xmlns:a16="http://schemas.microsoft.com/office/drawing/2014/main" id="{DDB4BB4D-0B83-4B28-8BCD-CADD2036B5AA}"/>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3" name="AutoShape 10" descr="Story">
          <a:hlinkClick xmlns:r="http://schemas.openxmlformats.org/officeDocument/2006/relationships" r:id="rId6"/>
          <a:extLst>
            <a:ext uri="{FF2B5EF4-FFF2-40B4-BE49-F238E27FC236}">
              <a16:creationId xmlns:a16="http://schemas.microsoft.com/office/drawing/2014/main" id="{9A5BB809-6F1F-4C92-9946-5685BCE32C2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4" name="AutoShape 13" descr="Story">
          <a:hlinkClick xmlns:r="http://schemas.openxmlformats.org/officeDocument/2006/relationships" r:id="rId4"/>
          <a:extLst>
            <a:ext uri="{FF2B5EF4-FFF2-40B4-BE49-F238E27FC236}">
              <a16:creationId xmlns:a16="http://schemas.microsoft.com/office/drawing/2014/main" id="{ED53F124-82AF-49B9-A44B-23DF35BC032B}"/>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5" name="AutoShape 14" descr="Story">
          <a:hlinkClick xmlns:r="http://schemas.openxmlformats.org/officeDocument/2006/relationships" r:id="rId4"/>
          <a:extLst>
            <a:ext uri="{FF2B5EF4-FFF2-40B4-BE49-F238E27FC236}">
              <a16:creationId xmlns:a16="http://schemas.microsoft.com/office/drawing/2014/main" id="{FEAC74C4-66AA-410F-9742-132364A632E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6" name="AutoShape 4" descr="Bug">
          <a:hlinkClick xmlns:r="http://schemas.openxmlformats.org/officeDocument/2006/relationships" r:id="rId1"/>
          <a:extLst>
            <a:ext uri="{FF2B5EF4-FFF2-40B4-BE49-F238E27FC236}">
              <a16:creationId xmlns:a16="http://schemas.microsoft.com/office/drawing/2014/main" id="{B4AADCA2-5018-46D9-A0A5-E2188AF5E50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7" name="AutoShape 6" descr="Bug">
          <a:hlinkClick xmlns:r="http://schemas.openxmlformats.org/officeDocument/2006/relationships" r:id="rId2"/>
          <a:extLst>
            <a:ext uri="{FF2B5EF4-FFF2-40B4-BE49-F238E27FC236}">
              <a16:creationId xmlns:a16="http://schemas.microsoft.com/office/drawing/2014/main" id="{417AFDDE-77A3-4BE7-90B8-3C5BA0084A7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8" name="AutoShape 7" descr="Story">
          <a:hlinkClick xmlns:r="http://schemas.openxmlformats.org/officeDocument/2006/relationships" r:id="rId3"/>
          <a:extLst>
            <a:ext uri="{FF2B5EF4-FFF2-40B4-BE49-F238E27FC236}">
              <a16:creationId xmlns:a16="http://schemas.microsoft.com/office/drawing/2014/main" id="{1CB1668B-BB08-455D-A41A-1947C12BE199}"/>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9" name="AutoShape 8" descr="Story">
          <a:hlinkClick xmlns:r="http://schemas.openxmlformats.org/officeDocument/2006/relationships" r:id="rId4"/>
          <a:extLst>
            <a:ext uri="{FF2B5EF4-FFF2-40B4-BE49-F238E27FC236}">
              <a16:creationId xmlns:a16="http://schemas.microsoft.com/office/drawing/2014/main" id="{0D3CF655-432C-44AB-9EC7-85B3B653E4E4}"/>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0" name="AutoShape 9" descr="Story">
          <a:hlinkClick xmlns:r="http://schemas.openxmlformats.org/officeDocument/2006/relationships" r:id="rId5"/>
          <a:extLst>
            <a:ext uri="{FF2B5EF4-FFF2-40B4-BE49-F238E27FC236}">
              <a16:creationId xmlns:a16="http://schemas.microsoft.com/office/drawing/2014/main" id="{6CA6A4A5-8CD8-4B7E-BC0E-0B3CAD027881}"/>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1" name="AutoShape 10" descr="Story">
          <a:hlinkClick xmlns:r="http://schemas.openxmlformats.org/officeDocument/2006/relationships" r:id="rId6"/>
          <a:extLst>
            <a:ext uri="{FF2B5EF4-FFF2-40B4-BE49-F238E27FC236}">
              <a16:creationId xmlns:a16="http://schemas.microsoft.com/office/drawing/2014/main" id="{587CCA94-92BB-4D93-AD5A-0C54CCDA4BCE}"/>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2" name="AutoShape 13" descr="Story">
          <a:hlinkClick xmlns:r="http://schemas.openxmlformats.org/officeDocument/2006/relationships" r:id="rId4"/>
          <a:extLst>
            <a:ext uri="{FF2B5EF4-FFF2-40B4-BE49-F238E27FC236}">
              <a16:creationId xmlns:a16="http://schemas.microsoft.com/office/drawing/2014/main" id="{0F1BB834-1293-4043-9270-90BB1D237144}"/>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3" name="AutoShape 14" descr="Story">
          <a:hlinkClick xmlns:r="http://schemas.openxmlformats.org/officeDocument/2006/relationships" r:id="rId4"/>
          <a:extLst>
            <a:ext uri="{FF2B5EF4-FFF2-40B4-BE49-F238E27FC236}">
              <a16:creationId xmlns:a16="http://schemas.microsoft.com/office/drawing/2014/main" id="{87EA7C03-99B5-43C1-A156-F22EA692BC60}"/>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4" name="AutoShape 4" descr="Bug">
          <a:hlinkClick xmlns:r="http://schemas.openxmlformats.org/officeDocument/2006/relationships" r:id="rId1"/>
          <a:extLst>
            <a:ext uri="{FF2B5EF4-FFF2-40B4-BE49-F238E27FC236}">
              <a16:creationId xmlns:a16="http://schemas.microsoft.com/office/drawing/2014/main" id="{4FB6FDA7-D62A-403A-9578-D2C8FA9B47E6}"/>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5" name="AutoShape 6" descr="Bug">
          <a:hlinkClick xmlns:r="http://schemas.openxmlformats.org/officeDocument/2006/relationships" r:id="rId2"/>
          <a:extLst>
            <a:ext uri="{FF2B5EF4-FFF2-40B4-BE49-F238E27FC236}">
              <a16:creationId xmlns:a16="http://schemas.microsoft.com/office/drawing/2014/main" id="{6843F5BA-17C0-4088-B5EE-CE1804CEE62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6" name="AutoShape 7" descr="Story">
          <a:hlinkClick xmlns:r="http://schemas.openxmlformats.org/officeDocument/2006/relationships" r:id="rId3"/>
          <a:extLst>
            <a:ext uri="{FF2B5EF4-FFF2-40B4-BE49-F238E27FC236}">
              <a16:creationId xmlns:a16="http://schemas.microsoft.com/office/drawing/2014/main" id="{B6C1A29E-EB10-401A-BDB6-A53A4447DC18}"/>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7" name="AutoShape 8" descr="Story">
          <a:hlinkClick xmlns:r="http://schemas.openxmlformats.org/officeDocument/2006/relationships" r:id="rId4"/>
          <a:extLst>
            <a:ext uri="{FF2B5EF4-FFF2-40B4-BE49-F238E27FC236}">
              <a16:creationId xmlns:a16="http://schemas.microsoft.com/office/drawing/2014/main" id="{3457C60B-90DF-42E9-BDAF-AFF3BB70A3D1}"/>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8" name="AutoShape 9" descr="Story">
          <a:hlinkClick xmlns:r="http://schemas.openxmlformats.org/officeDocument/2006/relationships" r:id="rId5"/>
          <a:extLst>
            <a:ext uri="{FF2B5EF4-FFF2-40B4-BE49-F238E27FC236}">
              <a16:creationId xmlns:a16="http://schemas.microsoft.com/office/drawing/2014/main" id="{F5CC2398-F8A5-4692-8D50-FD5566B8ED6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9" name="AutoShape 10" descr="Story">
          <a:hlinkClick xmlns:r="http://schemas.openxmlformats.org/officeDocument/2006/relationships" r:id="rId6"/>
          <a:extLst>
            <a:ext uri="{FF2B5EF4-FFF2-40B4-BE49-F238E27FC236}">
              <a16:creationId xmlns:a16="http://schemas.microsoft.com/office/drawing/2014/main" id="{20DCF0AA-FFFA-4699-9B23-CDAE0AE0938A}"/>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0" name="AutoShape 13" descr="Story">
          <a:hlinkClick xmlns:r="http://schemas.openxmlformats.org/officeDocument/2006/relationships" r:id="rId4"/>
          <a:extLst>
            <a:ext uri="{FF2B5EF4-FFF2-40B4-BE49-F238E27FC236}">
              <a16:creationId xmlns:a16="http://schemas.microsoft.com/office/drawing/2014/main" id="{7E2B1E02-5272-4C29-B545-CC8B5BAD8497}"/>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1" name="AutoShape 14" descr="Story">
          <a:hlinkClick xmlns:r="http://schemas.openxmlformats.org/officeDocument/2006/relationships" r:id="rId4"/>
          <a:extLst>
            <a:ext uri="{FF2B5EF4-FFF2-40B4-BE49-F238E27FC236}">
              <a16:creationId xmlns:a16="http://schemas.microsoft.com/office/drawing/2014/main" id="{C8FCF8DB-8B76-403C-9A8F-E03F5472AB8E}"/>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2" name="AutoShape 4" descr="Bug">
          <a:hlinkClick xmlns:r="http://schemas.openxmlformats.org/officeDocument/2006/relationships" r:id="rId1"/>
          <a:extLst>
            <a:ext uri="{FF2B5EF4-FFF2-40B4-BE49-F238E27FC236}">
              <a16:creationId xmlns:a16="http://schemas.microsoft.com/office/drawing/2014/main" id="{C5B91DDE-6BC3-4CA1-84A3-D5320A6E7E3C}"/>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3" name="AutoShape 6" descr="Bug">
          <a:hlinkClick xmlns:r="http://schemas.openxmlformats.org/officeDocument/2006/relationships" r:id="rId2"/>
          <a:extLst>
            <a:ext uri="{FF2B5EF4-FFF2-40B4-BE49-F238E27FC236}">
              <a16:creationId xmlns:a16="http://schemas.microsoft.com/office/drawing/2014/main" id="{916AF844-089A-4B82-A535-F8A8B1BC917F}"/>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4" name="AutoShape 7" descr="Story">
          <a:hlinkClick xmlns:r="http://schemas.openxmlformats.org/officeDocument/2006/relationships" r:id="rId3"/>
          <a:extLst>
            <a:ext uri="{FF2B5EF4-FFF2-40B4-BE49-F238E27FC236}">
              <a16:creationId xmlns:a16="http://schemas.microsoft.com/office/drawing/2014/main" id="{D6A1E425-BAE7-490A-B277-ADFC51F2DF2C}"/>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5" name="AutoShape 8" descr="Story">
          <a:hlinkClick xmlns:r="http://schemas.openxmlformats.org/officeDocument/2006/relationships" r:id="rId4"/>
          <a:extLst>
            <a:ext uri="{FF2B5EF4-FFF2-40B4-BE49-F238E27FC236}">
              <a16:creationId xmlns:a16="http://schemas.microsoft.com/office/drawing/2014/main" id="{95AB613A-7749-4DB6-B583-24DAAEF06F8F}"/>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6" name="AutoShape 9" descr="Story">
          <a:hlinkClick xmlns:r="http://schemas.openxmlformats.org/officeDocument/2006/relationships" r:id="rId5"/>
          <a:extLst>
            <a:ext uri="{FF2B5EF4-FFF2-40B4-BE49-F238E27FC236}">
              <a16:creationId xmlns:a16="http://schemas.microsoft.com/office/drawing/2014/main" id="{6793E168-6B64-419D-87E0-E5E9B46305D0}"/>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7" name="AutoShape 10" descr="Story">
          <a:hlinkClick xmlns:r="http://schemas.openxmlformats.org/officeDocument/2006/relationships" r:id="rId6"/>
          <a:extLst>
            <a:ext uri="{FF2B5EF4-FFF2-40B4-BE49-F238E27FC236}">
              <a16:creationId xmlns:a16="http://schemas.microsoft.com/office/drawing/2014/main" id="{93526D0C-2F90-4CA1-A409-C05DBC71B4D8}"/>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8" name="AutoShape 13" descr="Story">
          <a:hlinkClick xmlns:r="http://schemas.openxmlformats.org/officeDocument/2006/relationships" r:id="rId4"/>
          <a:extLst>
            <a:ext uri="{FF2B5EF4-FFF2-40B4-BE49-F238E27FC236}">
              <a16:creationId xmlns:a16="http://schemas.microsoft.com/office/drawing/2014/main" id="{C466CBED-6E6B-46A2-9343-E5BF46EFADA1}"/>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9" name="AutoShape 14" descr="Story">
          <a:hlinkClick xmlns:r="http://schemas.openxmlformats.org/officeDocument/2006/relationships" r:id="rId4"/>
          <a:extLst>
            <a:ext uri="{FF2B5EF4-FFF2-40B4-BE49-F238E27FC236}">
              <a16:creationId xmlns:a16="http://schemas.microsoft.com/office/drawing/2014/main" id="{79A2FD1A-8DAF-4F88-B3A6-A94F222ED09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0" name="AutoShape 4" descr="Bug">
          <a:hlinkClick xmlns:r="http://schemas.openxmlformats.org/officeDocument/2006/relationships" r:id="rId1"/>
          <a:extLst>
            <a:ext uri="{FF2B5EF4-FFF2-40B4-BE49-F238E27FC236}">
              <a16:creationId xmlns:a16="http://schemas.microsoft.com/office/drawing/2014/main" id="{37597961-C27E-4106-AEF7-6D7A9E01EEDA}"/>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1" name="AutoShape 6" descr="Bug">
          <a:hlinkClick xmlns:r="http://schemas.openxmlformats.org/officeDocument/2006/relationships" r:id="rId2"/>
          <a:extLst>
            <a:ext uri="{FF2B5EF4-FFF2-40B4-BE49-F238E27FC236}">
              <a16:creationId xmlns:a16="http://schemas.microsoft.com/office/drawing/2014/main" id="{7A0A2668-A7C8-425B-8A5E-60F3B3FD5B86}"/>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2" name="AutoShape 7" descr="Story">
          <a:hlinkClick xmlns:r="http://schemas.openxmlformats.org/officeDocument/2006/relationships" r:id="rId3"/>
          <a:extLst>
            <a:ext uri="{FF2B5EF4-FFF2-40B4-BE49-F238E27FC236}">
              <a16:creationId xmlns:a16="http://schemas.microsoft.com/office/drawing/2014/main" id="{4A86749E-EEA6-4D28-825B-CF74CD0F7747}"/>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3" name="AutoShape 8" descr="Story">
          <a:hlinkClick xmlns:r="http://schemas.openxmlformats.org/officeDocument/2006/relationships" r:id="rId4"/>
          <a:extLst>
            <a:ext uri="{FF2B5EF4-FFF2-40B4-BE49-F238E27FC236}">
              <a16:creationId xmlns:a16="http://schemas.microsoft.com/office/drawing/2014/main" id="{3E20DD0B-CF79-4C58-9541-9F352858C60C}"/>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4" name="AutoShape 9" descr="Story">
          <a:hlinkClick xmlns:r="http://schemas.openxmlformats.org/officeDocument/2006/relationships" r:id="rId5"/>
          <a:extLst>
            <a:ext uri="{FF2B5EF4-FFF2-40B4-BE49-F238E27FC236}">
              <a16:creationId xmlns:a16="http://schemas.microsoft.com/office/drawing/2014/main" id="{2A7A3AD0-5B05-4632-981B-ED445D6671EA}"/>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5" name="AutoShape 10" descr="Story">
          <a:hlinkClick xmlns:r="http://schemas.openxmlformats.org/officeDocument/2006/relationships" r:id="rId6"/>
          <a:extLst>
            <a:ext uri="{FF2B5EF4-FFF2-40B4-BE49-F238E27FC236}">
              <a16:creationId xmlns:a16="http://schemas.microsoft.com/office/drawing/2014/main" id="{E5A29CBA-DB98-4340-848A-D5A54C434E7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6" name="AutoShape 13" descr="Story">
          <a:hlinkClick xmlns:r="http://schemas.openxmlformats.org/officeDocument/2006/relationships" r:id="rId4"/>
          <a:extLst>
            <a:ext uri="{FF2B5EF4-FFF2-40B4-BE49-F238E27FC236}">
              <a16:creationId xmlns:a16="http://schemas.microsoft.com/office/drawing/2014/main" id="{1E48FF5A-C1A0-4C59-B5BE-FEBF30FC2C71}"/>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7" name="AutoShape 14" descr="Story">
          <a:hlinkClick xmlns:r="http://schemas.openxmlformats.org/officeDocument/2006/relationships" r:id="rId4"/>
          <a:extLst>
            <a:ext uri="{FF2B5EF4-FFF2-40B4-BE49-F238E27FC236}">
              <a16:creationId xmlns:a16="http://schemas.microsoft.com/office/drawing/2014/main" id="{D709A57E-572F-4210-8235-9D7ECEF1D73F}"/>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8" name="AutoShape 4" descr="Bug">
          <a:hlinkClick xmlns:r="http://schemas.openxmlformats.org/officeDocument/2006/relationships" r:id="rId1"/>
          <a:extLst>
            <a:ext uri="{FF2B5EF4-FFF2-40B4-BE49-F238E27FC236}">
              <a16:creationId xmlns:a16="http://schemas.microsoft.com/office/drawing/2014/main" id="{30A57971-DC12-4B92-9BD1-96386035AC75}"/>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9" name="AutoShape 6" descr="Bug">
          <a:hlinkClick xmlns:r="http://schemas.openxmlformats.org/officeDocument/2006/relationships" r:id="rId2"/>
          <a:extLst>
            <a:ext uri="{FF2B5EF4-FFF2-40B4-BE49-F238E27FC236}">
              <a16:creationId xmlns:a16="http://schemas.microsoft.com/office/drawing/2014/main" id="{EF7CD3CE-314A-46AD-A478-BE256EC8C26E}"/>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0" name="AutoShape 7" descr="Story">
          <a:hlinkClick xmlns:r="http://schemas.openxmlformats.org/officeDocument/2006/relationships" r:id="rId3"/>
          <a:extLst>
            <a:ext uri="{FF2B5EF4-FFF2-40B4-BE49-F238E27FC236}">
              <a16:creationId xmlns:a16="http://schemas.microsoft.com/office/drawing/2014/main" id="{B1AA3156-FD2C-4537-91DA-327E7A14BF1C}"/>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1" name="AutoShape 8" descr="Story">
          <a:hlinkClick xmlns:r="http://schemas.openxmlformats.org/officeDocument/2006/relationships" r:id="rId4"/>
          <a:extLst>
            <a:ext uri="{FF2B5EF4-FFF2-40B4-BE49-F238E27FC236}">
              <a16:creationId xmlns:a16="http://schemas.microsoft.com/office/drawing/2014/main" id="{AAF77F75-1640-4744-8848-BD9C6875F2C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2" name="AutoShape 9" descr="Story">
          <a:hlinkClick xmlns:r="http://schemas.openxmlformats.org/officeDocument/2006/relationships" r:id="rId5"/>
          <a:extLst>
            <a:ext uri="{FF2B5EF4-FFF2-40B4-BE49-F238E27FC236}">
              <a16:creationId xmlns:a16="http://schemas.microsoft.com/office/drawing/2014/main" id="{607F5D3B-C127-4E1A-9FBE-53BFADF4DDC4}"/>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3" name="AutoShape 10" descr="Story">
          <a:hlinkClick xmlns:r="http://schemas.openxmlformats.org/officeDocument/2006/relationships" r:id="rId6"/>
          <a:extLst>
            <a:ext uri="{FF2B5EF4-FFF2-40B4-BE49-F238E27FC236}">
              <a16:creationId xmlns:a16="http://schemas.microsoft.com/office/drawing/2014/main" id="{BE51AF5E-D70E-455B-83F0-2350B3BA7DDF}"/>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4" name="AutoShape 13" descr="Story">
          <a:hlinkClick xmlns:r="http://schemas.openxmlformats.org/officeDocument/2006/relationships" r:id="rId4"/>
          <a:extLst>
            <a:ext uri="{FF2B5EF4-FFF2-40B4-BE49-F238E27FC236}">
              <a16:creationId xmlns:a16="http://schemas.microsoft.com/office/drawing/2014/main" id="{4CF88932-53CD-4E4C-887D-16076159D1F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5" name="AutoShape 14" descr="Story">
          <a:hlinkClick xmlns:r="http://schemas.openxmlformats.org/officeDocument/2006/relationships" r:id="rId4"/>
          <a:extLst>
            <a:ext uri="{FF2B5EF4-FFF2-40B4-BE49-F238E27FC236}">
              <a16:creationId xmlns:a16="http://schemas.microsoft.com/office/drawing/2014/main" id="{16335F6C-C17F-4AE9-9154-1935FE4FE3E4}"/>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6" name="AutoShape 4" descr="Bug">
          <a:hlinkClick xmlns:r="http://schemas.openxmlformats.org/officeDocument/2006/relationships" r:id="rId1"/>
          <a:extLst>
            <a:ext uri="{FF2B5EF4-FFF2-40B4-BE49-F238E27FC236}">
              <a16:creationId xmlns:a16="http://schemas.microsoft.com/office/drawing/2014/main" id="{500C51E8-EDFF-4329-A04A-F5EAAB85B9B9}"/>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7" name="AutoShape 6" descr="Bug">
          <a:hlinkClick xmlns:r="http://schemas.openxmlformats.org/officeDocument/2006/relationships" r:id="rId2"/>
          <a:extLst>
            <a:ext uri="{FF2B5EF4-FFF2-40B4-BE49-F238E27FC236}">
              <a16:creationId xmlns:a16="http://schemas.microsoft.com/office/drawing/2014/main" id="{0DFA7B46-32C7-4A47-97CA-B03F5587F80A}"/>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8" name="AutoShape 7" descr="Story">
          <a:hlinkClick xmlns:r="http://schemas.openxmlformats.org/officeDocument/2006/relationships" r:id="rId3"/>
          <a:extLst>
            <a:ext uri="{FF2B5EF4-FFF2-40B4-BE49-F238E27FC236}">
              <a16:creationId xmlns:a16="http://schemas.microsoft.com/office/drawing/2014/main" id="{17DCDBEB-086E-48EA-85F4-63AAFFE57911}"/>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9" name="AutoShape 8" descr="Story">
          <a:hlinkClick xmlns:r="http://schemas.openxmlformats.org/officeDocument/2006/relationships" r:id="rId4"/>
          <a:extLst>
            <a:ext uri="{FF2B5EF4-FFF2-40B4-BE49-F238E27FC236}">
              <a16:creationId xmlns:a16="http://schemas.microsoft.com/office/drawing/2014/main" id="{604DEF05-D465-4FA6-A18E-4DD191C90D2E}"/>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0" name="AutoShape 9" descr="Story">
          <a:hlinkClick xmlns:r="http://schemas.openxmlformats.org/officeDocument/2006/relationships" r:id="rId5"/>
          <a:extLst>
            <a:ext uri="{FF2B5EF4-FFF2-40B4-BE49-F238E27FC236}">
              <a16:creationId xmlns:a16="http://schemas.microsoft.com/office/drawing/2014/main" id="{E445B205-67D8-45C1-8CE2-F7AAEC5AC7B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1" name="AutoShape 10" descr="Story">
          <a:hlinkClick xmlns:r="http://schemas.openxmlformats.org/officeDocument/2006/relationships" r:id="rId6"/>
          <a:extLst>
            <a:ext uri="{FF2B5EF4-FFF2-40B4-BE49-F238E27FC236}">
              <a16:creationId xmlns:a16="http://schemas.microsoft.com/office/drawing/2014/main" id="{F7589D43-A836-4958-A83B-DA2CEC65017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2" name="AutoShape 13" descr="Story">
          <a:hlinkClick xmlns:r="http://schemas.openxmlformats.org/officeDocument/2006/relationships" r:id="rId4"/>
          <a:extLst>
            <a:ext uri="{FF2B5EF4-FFF2-40B4-BE49-F238E27FC236}">
              <a16:creationId xmlns:a16="http://schemas.microsoft.com/office/drawing/2014/main" id="{984C2B4F-F428-4F81-9F1A-8CBF379552DB}"/>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3" name="AutoShape 14" descr="Story">
          <a:hlinkClick xmlns:r="http://schemas.openxmlformats.org/officeDocument/2006/relationships" r:id="rId4"/>
          <a:extLst>
            <a:ext uri="{FF2B5EF4-FFF2-40B4-BE49-F238E27FC236}">
              <a16:creationId xmlns:a16="http://schemas.microsoft.com/office/drawing/2014/main" id="{29C4E7C7-E265-4E3C-AEDE-EC607E754712}"/>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4" name="AutoShape 4" descr="Bug">
          <a:hlinkClick xmlns:r="http://schemas.openxmlformats.org/officeDocument/2006/relationships" r:id="rId1"/>
          <a:extLst>
            <a:ext uri="{FF2B5EF4-FFF2-40B4-BE49-F238E27FC236}">
              <a16:creationId xmlns:a16="http://schemas.microsoft.com/office/drawing/2014/main" id="{29DF649D-5CD0-4E5D-838C-68508A604841}"/>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5" name="AutoShape 6" descr="Bug">
          <a:hlinkClick xmlns:r="http://schemas.openxmlformats.org/officeDocument/2006/relationships" r:id="rId2"/>
          <a:extLst>
            <a:ext uri="{FF2B5EF4-FFF2-40B4-BE49-F238E27FC236}">
              <a16:creationId xmlns:a16="http://schemas.microsoft.com/office/drawing/2014/main" id="{1198D444-86A5-40C2-96B1-04C443A2C1A5}"/>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6" name="AutoShape 7" descr="Story">
          <a:hlinkClick xmlns:r="http://schemas.openxmlformats.org/officeDocument/2006/relationships" r:id="rId3"/>
          <a:extLst>
            <a:ext uri="{FF2B5EF4-FFF2-40B4-BE49-F238E27FC236}">
              <a16:creationId xmlns:a16="http://schemas.microsoft.com/office/drawing/2014/main" id="{2F52E2BB-674D-4D01-83A7-8098C7993C7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7" name="AutoShape 8" descr="Story">
          <a:hlinkClick xmlns:r="http://schemas.openxmlformats.org/officeDocument/2006/relationships" r:id="rId4"/>
          <a:extLst>
            <a:ext uri="{FF2B5EF4-FFF2-40B4-BE49-F238E27FC236}">
              <a16:creationId xmlns:a16="http://schemas.microsoft.com/office/drawing/2014/main" id="{972F691B-5416-4026-A756-B70DAC89304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8" name="AutoShape 9" descr="Story">
          <a:hlinkClick xmlns:r="http://schemas.openxmlformats.org/officeDocument/2006/relationships" r:id="rId5"/>
          <a:extLst>
            <a:ext uri="{FF2B5EF4-FFF2-40B4-BE49-F238E27FC236}">
              <a16:creationId xmlns:a16="http://schemas.microsoft.com/office/drawing/2014/main" id="{81A945E4-A55E-42F8-9182-4C94D45BDF29}"/>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9" name="AutoShape 10" descr="Story">
          <a:hlinkClick xmlns:r="http://schemas.openxmlformats.org/officeDocument/2006/relationships" r:id="rId6"/>
          <a:extLst>
            <a:ext uri="{FF2B5EF4-FFF2-40B4-BE49-F238E27FC236}">
              <a16:creationId xmlns:a16="http://schemas.microsoft.com/office/drawing/2014/main" id="{55B5A80C-D8CF-4F74-9306-4F33613146F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500" name="AutoShape 13" descr="Story">
          <a:hlinkClick xmlns:r="http://schemas.openxmlformats.org/officeDocument/2006/relationships" r:id="rId4"/>
          <a:extLst>
            <a:ext uri="{FF2B5EF4-FFF2-40B4-BE49-F238E27FC236}">
              <a16:creationId xmlns:a16="http://schemas.microsoft.com/office/drawing/2014/main" id="{311B05DC-0D9C-4FAF-8BA3-6BCBC4C324C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501" name="AutoShape 14" descr="Story">
          <a:hlinkClick xmlns:r="http://schemas.openxmlformats.org/officeDocument/2006/relationships" r:id="rId4"/>
          <a:extLst>
            <a:ext uri="{FF2B5EF4-FFF2-40B4-BE49-F238E27FC236}">
              <a16:creationId xmlns:a16="http://schemas.microsoft.com/office/drawing/2014/main" id="{9EA44BB6-AC1D-48D2-862C-A05388FA0394}"/>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752</xdr:row>
      <xdr:rowOff>0</xdr:rowOff>
    </xdr:from>
    <xdr:ext cx="152400" cy="152400"/>
    <xdr:sp macro="" textlink="">
      <xdr:nvSpPr>
        <xdr:cNvPr id="502" name="AutoShape 4" descr="Bug">
          <a:hlinkClick xmlns:r="http://schemas.openxmlformats.org/officeDocument/2006/relationships" r:id="rId1"/>
          <a:extLst>
            <a:ext uri="{FF2B5EF4-FFF2-40B4-BE49-F238E27FC236}">
              <a16:creationId xmlns:a16="http://schemas.microsoft.com/office/drawing/2014/main" id="{8E22B3E1-5541-44CE-9E5C-7C6B8D22AC0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3" name="AutoShape 6" descr="Bug">
          <a:hlinkClick xmlns:r="http://schemas.openxmlformats.org/officeDocument/2006/relationships" r:id="rId2"/>
          <a:extLst>
            <a:ext uri="{FF2B5EF4-FFF2-40B4-BE49-F238E27FC236}">
              <a16:creationId xmlns:a16="http://schemas.microsoft.com/office/drawing/2014/main" id="{850AA1AF-1D04-45D9-AA35-3A28BA8426B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4" name="AutoShape 7" descr="Story">
          <a:hlinkClick xmlns:r="http://schemas.openxmlformats.org/officeDocument/2006/relationships" r:id="rId3"/>
          <a:extLst>
            <a:ext uri="{FF2B5EF4-FFF2-40B4-BE49-F238E27FC236}">
              <a16:creationId xmlns:a16="http://schemas.microsoft.com/office/drawing/2014/main" id="{B9E40994-E7F5-4C11-B504-05C8110C10C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5" name="AutoShape 8" descr="Story">
          <a:hlinkClick xmlns:r="http://schemas.openxmlformats.org/officeDocument/2006/relationships" r:id="rId4"/>
          <a:extLst>
            <a:ext uri="{FF2B5EF4-FFF2-40B4-BE49-F238E27FC236}">
              <a16:creationId xmlns:a16="http://schemas.microsoft.com/office/drawing/2014/main" id="{ACD95ED5-E1CF-43BE-B0CA-61C3182DEA5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6" name="AutoShape 9" descr="Story">
          <a:hlinkClick xmlns:r="http://schemas.openxmlformats.org/officeDocument/2006/relationships" r:id="rId5"/>
          <a:extLst>
            <a:ext uri="{FF2B5EF4-FFF2-40B4-BE49-F238E27FC236}">
              <a16:creationId xmlns:a16="http://schemas.microsoft.com/office/drawing/2014/main" id="{6EA826C0-E989-41D8-8B38-A151B4974B4B}"/>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7" name="AutoShape 10" descr="Story">
          <a:hlinkClick xmlns:r="http://schemas.openxmlformats.org/officeDocument/2006/relationships" r:id="rId6"/>
          <a:extLst>
            <a:ext uri="{FF2B5EF4-FFF2-40B4-BE49-F238E27FC236}">
              <a16:creationId xmlns:a16="http://schemas.microsoft.com/office/drawing/2014/main" id="{7112DB33-27ED-4710-A87F-43CC8ED170A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8" name="AutoShape 13" descr="Story">
          <a:hlinkClick xmlns:r="http://schemas.openxmlformats.org/officeDocument/2006/relationships" r:id="rId4"/>
          <a:extLst>
            <a:ext uri="{FF2B5EF4-FFF2-40B4-BE49-F238E27FC236}">
              <a16:creationId xmlns:a16="http://schemas.microsoft.com/office/drawing/2014/main" id="{DB62D4ED-0BAB-4043-8F03-73AC6500C64C}"/>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9" name="AutoShape 14" descr="Story">
          <a:hlinkClick xmlns:r="http://schemas.openxmlformats.org/officeDocument/2006/relationships" r:id="rId4"/>
          <a:extLst>
            <a:ext uri="{FF2B5EF4-FFF2-40B4-BE49-F238E27FC236}">
              <a16:creationId xmlns:a16="http://schemas.microsoft.com/office/drawing/2014/main" id="{9F38FE41-62B0-472B-A4AE-5E9A2622003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0" name="AutoShape 4" descr="Bug">
          <a:hlinkClick xmlns:r="http://schemas.openxmlformats.org/officeDocument/2006/relationships" r:id="rId1"/>
          <a:extLst>
            <a:ext uri="{FF2B5EF4-FFF2-40B4-BE49-F238E27FC236}">
              <a16:creationId xmlns:a16="http://schemas.microsoft.com/office/drawing/2014/main" id="{BA9E444F-FFC4-48A0-99B2-AFAA9AE078A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1" name="AutoShape 6" descr="Bug">
          <a:hlinkClick xmlns:r="http://schemas.openxmlformats.org/officeDocument/2006/relationships" r:id="rId2"/>
          <a:extLst>
            <a:ext uri="{FF2B5EF4-FFF2-40B4-BE49-F238E27FC236}">
              <a16:creationId xmlns:a16="http://schemas.microsoft.com/office/drawing/2014/main" id="{8649BFDB-7594-4B59-BCAD-608AF68447C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2" name="AutoShape 7" descr="Story">
          <a:hlinkClick xmlns:r="http://schemas.openxmlformats.org/officeDocument/2006/relationships" r:id="rId3"/>
          <a:extLst>
            <a:ext uri="{FF2B5EF4-FFF2-40B4-BE49-F238E27FC236}">
              <a16:creationId xmlns:a16="http://schemas.microsoft.com/office/drawing/2014/main" id="{883F16C1-7C5E-4F74-8F53-50B51ADEADC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3" name="AutoShape 8" descr="Story">
          <a:hlinkClick xmlns:r="http://schemas.openxmlformats.org/officeDocument/2006/relationships" r:id="rId4"/>
          <a:extLst>
            <a:ext uri="{FF2B5EF4-FFF2-40B4-BE49-F238E27FC236}">
              <a16:creationId xmlns:a16="http://schemas.microsoft.com/office/drawing/2014/main" id="{3617F66A-9B61-4945-8195-A1146488CA1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4" name="AutoShape 9" descr="Story">
          <a:hlinkClick xmlns:r="http://schemas.openxmlformats.org/officeDocument/2006/relationships" r:id="rId5"/>
          <a:extLst>
            <a:ext uri="{FF2B5EF4-FFF2-40B4-BE49-F238E27FC236}">
              <a16:creationId xmlns:a16="http://schemas.microsoft.com/office/drawing/2014/main" id="{8FD6EEDF-F8F8-42DF-8F49-293C2716777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5" name="AutoShape 10" descr="Story">
          <a:hlinkClick xmlns:r="http://schemas.openxmlformats.org/officeDocument/2006/relationships" r:id="rId6"/>
          <a:extLst>
            <a:ext uri="{FF2B5EF4-FFF2-40B4-BE49-F238E27FC236}">
              <a16:creationId xmlns:a16="http://schemas.microsoft.com/office/drawing/2014/main" id="{190072DB-91B0-4B67-9E65-366ED1B0969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6" name="AutoShape 13" descr="Story">
          <a:hlinkClick xmlns:r="http://schemas.openxmlformats.org/officeDocument/2006/relationships" r:id="rId4"/>
          <a:extLst>
            <a:ext uri="{FF2B5EF4-FFF2-40B4-BE49-F238E27FC236}">
              <a16:creationId xmlns:a16="http://schemas.microsoft.com/office/drawing/2014/main" id="{84941C9F-9CC3-40CA-872F-0D1A13AA941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7" name="AutoShape 14" descr="Story">
          <a:hlinkClick xmlns:r="http://schemas.openxmlformats.org/officeDocument/2006/relationships" r:id="rId4"/>
          <a:extLst>
            <a:ext uri="{FF2B5EF4-FFF2-40B4-BE49-F238E27FC236}">
              <a16:creationId xmlns:a16="http://schemas.microsoft.com/office/drawing/2014/main" id="{299E0392-039F-4B82-A4DE-C50760CB2D2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8" name="AutoShape 4" descr="Bug">
          <a:hlinkClick xmlns:r="http://schemas.openxmlformats.org/officeDocument/2006/relationships" r:id="rId1"/>
          <a:extLst>
            <a:ext uri="{FF2B5EF4-FFF2-40B4-BE49-F238E27FC236}">
              <a16:creationId xmlns:a16="http://schemas.microsoft.com/office/drawing/2014/main" id="{9B752923-F1A4-411A-BA03-52782198F57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9" name="AutoShape 6" descr="Bug">
          <a:hlinkClick xmlns:r="http://schemas.openxmlformats.org/officeDocument/2006/relationships" r:id="rId2"/>
          <a:extLst>
            <a:ext uri="{FF2B5EF4-FFF2-40B4-BE49-F238E27FC236}">
              <a16:creationId xmlns:a16="http://schemas.microsoft.com/office/drawing/2014/main" id="{7B6C2DFB-0C47-459E-95A8-5A3DDF5D083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0" name="AutoShape 7" descr="Story">
          <a:hlinkClick xmlns:r="http://schemas.openxmlformats.org/officeDocument/2006/relationships" r:id="rId3"/>
          <a:extLst>
            <a:ext uri="{FF2B5EF4-FFF2-40B4-BE49-F238E27FC236}">
              <a16:creationId xmlns:a16="http://schemas.microsoft.com/office/drawing/2014/main" id="{AACF963F-43CA-4BA2-BD9D-CAF6FC01D64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1" name="AutoShape 8" descr="Story">
          <a:hlinkClick xmlns:r="http://schemas.openxmlformats.org/officeDocument/2006/relationships" r:id="rId4"/>
          <a:extLst>
            <a:ext uri="{FF2B5EF4-FFF2-40B4-BE49-F238E27FC236}">
              <a16:creationId xmlns:a16="http://schemas.microsoft.com/office/drawing/2014/main" id="{E6E33276-BC99-4636-B697-3754E2C0868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2" name="AutoShape 9" descr="Story">
          <a:hlinkClick xmlns:r="http://schemas.openxmlformats.org/officeDocument/2006/relationships" r:id="rId5"/>
          <a:extLst>
            <a:ext uri="{FF2B5EF4-FFF2-40B4-BE49-F238E27FC236}">
              <a16:creationId xmlns:a16="http://schemas.microsoft.com/office/drawing/2014/main" id="{F7C66C14-948F-4953-B48F-0DC17F144F7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3" name="AutoShape 10" descr="Story">
          <a:hlinkClick xmlns:r="http://schemas.openxmlformats.org/officeDocument/2006/relationships" r:id="rId6"/>
          <a:extLst>
            <a:ext uri="{FF2B5EF4-FFF2-40B4-BE49-F238E27FC236}">
              <a16:creationId xmlns:a16="http://schemas.microsoft.com/office/drawing/2014/main" id="{34D60CF4-6C03-44DF-9261-BB5B3191410C}"/>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4" name="AutoShape 13" descr="Story">
          <a:hlinkClick xmlns:r="http://schemas.openxmlformats.org/officeDocument/2006/relationships" r:id="rId4"/>
          <a:extLst>
            <a:ext uri="{FF2B5EF4-FFF2-40B4-BE49-F238E27FC236}">
              <a16:creationId xmlns:a16="http://schemas.microsoft.com/office/drawing/2014/main" id="{7A2F8CEF-81FF-445F-A026-FF158644169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5" name="AutoShape 14" descr="Story">
          <a:hlinkClick xmlns:r="http://schemas.openxmlformats.org/officeDocument/2006/relationships" r:id="rId4"/>
          <a:extLst>
            <a:ext uri="{FF2B5EF4-FFF2-40B4-BE49-F238E27FC236}">
              <a16:creationId xmlns:a16="http://schemas.microsoft.com/office/drawing/2014/main" id="{26AC1A1E-69A2-44E1-B988-A95076FF568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6" name="AutoShape 4" descr="Bug">
          <a:hlinkClick xmlns:r="http://schemas.openxmlformats.org/officeDocument/2006/relationships" r:id="rId1"/>
          <a:extLst>
            <a:ext uri="{FF2B5EF4-FFF2-40B4-BE49-F238E27FC236}">
              <a16:creationId xmlns:a16="http://schemas.microsoft.com/office/drawing/2014/main" id="{7861ADCB-57E7-4BEF-BB3B-2BE1BAF8E3A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7" name="AutoShape 6" descr="Bug">
          <a:hlinkClick xmlns:r="http://schemas.openxmlformats.org/officeDocument/2006/relationships" r:id="rId2"/>
          <a:extLst>
            <a:ext uri="{FF2B5EF4-FFF2-40B4-BE49-F238E27FC236}">
              <a16:creationId xmlns:a16="http://schemas.microsoft.com/office/drawing/2014/main" id="{0A8448AB-1F63-4EE2-96A1-1884E979838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8" name="AutoShape 7" descr="Story">
          <a:hlinkClick xmlns:r="http://schemas.openxmlformats.org/officeDocument/2006/relationships" r:id="rId3"/>
          <a:extLst>
            <a:ext uri="{FF2B5EF4-FFF2-40B4-BE49-F238E27FC236}">
              <a16:creationId xmlns:a16="http://schemas.microsoft.com/office/drawing/2014/main" id="{56D480D5-BEE4-4BB8-BD17-8196EC23435A}"/>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9" name="AutoShape 8" descr="Story">
          <a:hlinkClick xmlns:r="http://schemas.openxmlformats.org/officeDocument/2006/relationships" r:id="rId4"/>
          <a:extLst>
            <a:ext uri="{FF2B5EF4-FFF2-40B4-BE49-F238E27FC236}">
              <a16:creationId xmlns:a16="http://schemas.microsoft.com/office/drawing/2014/main" id="{3FE58FDE-2CB4-465E-8757-78C646C73D0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0" name="AutoShape 9" descr="Story">
          <a:hlinkClick xmlns:r="http://schemas.openxmlformats.org/officeDocument/2006/relationships" r:id="rId5"/>
          <a:extLst>
            <a:ext uri="{FF2B5EF4-FFF2-40B4-BE49-F238E27FC236}">
              <a16:creationId xmlns:a16="http://schemas.microsoft.com/office/drawing/2014/main" id="{92A42F90-C161-41B1-9376-99C6058C923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1" name="AutoShape 10" descr="Story">
          <a:hlinkClick xmlns:r="http://schemas.openxmlformats.org/officeDocument/2006/relationships" r:id="rId6"/>
          <a:extLst>
            <a:ext uri="{FF2B5EF4-FFF2-40B4-BE49-F238E27FC236}">
              <a16:creationId xmlns:a16="http://schemas.microsoft.com/office/drawing/2014/main" id="{A35CFE51-21D9-464D-A985-5389EFEB476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2" name="AutoShape 13" descr="Story">
          <a:hlinkClick xmlns:r="http://schemas.openxmlformats.org/officeDocument/2006/relationships" r:id="rId4"/>
          <a:extLst>
            <a:ext uri="{FF2B5EF4-FFF2-40B4-BE49-F238E27FC236}">
              <a16:creationId xmlns:a16="http://schemas.microsoft.com/office/drawing/2014/main" id="{B0A95CE0-8183-43C6-A49B-BC11BBD8AB77}"/>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3" name="AutoShape 14" descr="Story">
          <a:hlinkClick xmlns:r="http://schemas.openxmlformats.org/officeDocument/2006/relationships" r:id="rId4"/>
          <a:extLst>
            <a:ext uri="{FF2B5EF4-FFF2-40B4-BE49-F238E27FC236}">
              <a16:creationId xmlns:a16="http://schemas.microsoft.com/office/drawing/2014/main" id="{B2F46C3B-67C1-4CD8-9221-D281B4240EB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4" name="AutoShape 4" descr="Bug">
          <a:hlinkClick xmlns:r="http://schemas.openxmlformats.org/officeDocument/2006/relationships" r:id="rId1"/>
          <a:extLst>
            <a:ext uri="{FF2B5EF4-FFF2-40B4-BE49-F238E27FC236}">
              <a16:creationId xmlns:a16="http://schemas.microsoft.com/office/drawing/2014/main" id="{CE12228A-CE46-4C86-9405-0038B3D1B627}"/>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5" name="AutoShape 6" descr="Bug">
          <a:hlinkClick xmlns:r="http://schemas.openxmlformats.org/officeDocument/2006/relationships" r:id="rId2"/>
          <a:extLst>
            <a:ext uri="{FF2B5EF4-FFF2-40B4-BE49-F238E27FC236}">
              <a16:creationId xmlns:a16="http://schemas.microsoft.com/office/drawing/2014/main" id="{C9A01397-18E1-41A8-86BB-10A1412CD32F}"/>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6" name="AutoShape 7" descr="Story">
          <a:hlinkClick xmlns:r="http://schemas.openxmlformats.org/officeDocument/2006/relationships" r:id="rId3"/>
          <a:extLst>
            <a:ext uri="{FF2B5EF4-FFF2-40B4-BE49-F238E27FC236}">
              <a16:creationId xmlns:a16="http://schemas.microsoft.com/office/drawing/2014/main" id="{1C7951B7-11A3-408F-9E07-8C6AD64314A0}"/>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7" name="AutoShape 8" descr="Story">
          <a:hlinkClick xmlns:r="http://schemas.openxmlformats.org/officeDocument/2006/relationships" r:id="rId4"/>
          <a:extLst>
            <a:ext uri="{FF2B5EF4-FFF2-40B4-BE49-F238E27FC236}">
              <a16:creationId xmlns:a16="http://schemas.microsoft.com/office/drawing/2014/main" id="{0A2D3FD2-8761-4025-A322-AFE3DA9FBB3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8" name="AutoShape 9" descr="Story">
          <a:hlinkClick xmlns:r="http://schemas.openxmlformats.org/officeDocument/2006/relationships" r:id="rId5"/>
          <a:extLst>
            <a:ext uri="{FF2B5EF4-FFF2-40B4-BE49-F238E27FC236}">
              <a16:creationId xmlns:a16="http://schemas.microsoft.com/office/drawing/2014/main" id="{ECBABA55-0549-49F4-B2AB-C7AA431A35A6}"/>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9" name="AutoShape 10" descr="Story">
          <a:hlinkClick xmlns:r="http://schemas.openxmlformats.org/officeDocument/2006/relationships" r:id="rId6"/>
          <a:extLst>
            <a:ext uri="{FF2B5EF4-FFF2-40B4-BE49-F238E27FC236}">
              <a16:creationId xmlns:a16="http://schemas.microsoft.com/office/drawing/2014/main" id="{BA2F7635-FCFD-44E8-B2F0-05A42D4D1BB8}"/>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0" name="AutoShape 13" descr="Story">
          <a:hlinkClick xmlns:r="http://schemas.openxmlformats.org/officeDocument/2006/relationships" r:id="rId4"/>
          <a:extLst>
            <a:ext uri="{FF2B5EF4-FFF2-40B4-BE49-F238E27FC236}">
              <a16:creationId xmlns:a16="http://schemas.microsoft.com/office/drawing/2014/main" id="{1F157A32-7562-438D-80E5-9BAB6AA81B61}"/>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1" name="AutoShape 14" descr="Story">
          <a:hlinkClick xmlns:r="http://schemas.openxmlformats.org/officeDocument/2006/relationships" r:id="rId4"/>
          <a:extLst>
            <a:ext uri="{FF2B5EF4-FFF2-40B4-BE49-F238E27FC236}">
              <a16:creationId xmlns:a16="http://schemas.microsoft.com/office/drawing/2014/main" id="{A43AC6FF-02A2-4E96-BF3B-C2A927E0A12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2" name="AutoShape 4" descr="Bug">
          <a:hlinkClick xmlns:r="http://schemas.openxmlformats.org/officeDocument/2006/relationships" r:id="rId1"/>
          <a:extLst>
            <a:ext uri="{FF2B5EF4-FFF2-40B4-BE49-F238E27FC236}">
              <a16:creationId xmlns:a16="http://schemas.microsoft.com/office/drawing/2014/main" id="{51155563-F47B-4C0C-BA6F-5E9483A536EB}"/>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3" name="AutoShape 6" descr="Bug">
          <a:hlinkClick xmlns:r="http://schemas.openxmlformats.org/officeDocument/2006/relationships" r:id="rId2"/>
          <a:extLst>
            <a:ext uri="{FF2B5EF4-FFF2-40B4-BE49-F238E27FC236}">
              <a16:creationId xmlns:a16="http://schemas.microsoft.com/office/drawing/2014/main" id="{327E5139-7DC3-4313-ABA0-979E599B7676}"/>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4" name="AutoShape 7" descr="Story">
          <a:hlinkClick xmlns:r="http://schemas.openxmlformats.org/officeDocument/2006/relationships" r:id="rId3"/>
          <a:extLst>
            <a:ext uri="{FF2B5EF4-FFF2-40B4-BE49-F238E27FC236}">
              <a16:creationId xmlns:a16="http://schemas.microsoft.com/office/drawing/2014/main" id="{B3256900-FB67-4A55-A26C-1F5F3AF0F381}"/>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5" name="AutoShape 8" descr="Story">
          <a:hlinkClick xmlns:r="http://schemas.openxmlformats.org/officeDocument/2006/relationships" r:id="rId4"/>
          <a:extLst>
            <a:ext uri="{FF2B5EF4-FFF2-40B4-BE49-F238E27FC236}">
              <a16:creationId xmlns:a16="http://schemas.microsoft.com/office/drawing/2014/main" id="{D93BBE4F-CE3B-4208-B3A4-E788653E6299}"/>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6" name="AutoShape 9" descr="Story">
          <a:hlinkClick xmlns:r="http://schemas.openxmlformats.org/officeDocument/2006/relationships" r:id="rId5"/>
          <a:extLst>
            <a:ext uri="{FF2B5EF4-FFF2-40B4-BE49-F238E27FC236}">
              <a16:creationId xmlns:a16="http://schemas.microsoft.com/office/drawing/2014/main" id="{4CAC9BF6-030E-47CD-805B-BB5D72385878}"/>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7" name="AutoShape 10" descr="Story">
          <a:hlinkClick xmlns:r="http://schemas.openxmlformats.org/officeDocument/2006/relationships" r:id="rId6"/>
          <a:extLst>
            <a:ext uri="{FF2B5EF4-FFF2-40B4-BE49-F238E27FC236}">
              <a16:creationId xmlns:a16="http://schemas.microsoft.com/office/drawing/2014/main" id="{B192CA57-1A7D-4954-A7A9-89A6B07E439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8" name="AutoShape 13" descr="Story">
          <a:hlinkClick xmlns:r="http://schemas.openxmlformats.org/officeDocument/2006/relationships" r:id="rId4"/>
          <a:extLst>
            <a:ext uri="{FF2B5EF4-FFF2-40B4-BE49-F238E27FC236}">
              <a16:creationId xmlns:a16="http://schemas.microsoft.com/office/drawing/2014/main" id="{1EF0F838-3FCD-45BC-8CDD-52F503FD8427}"/>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9" name="AutoShape 14" descr="Story">
          <a:hlinkClick xmlns:r="http://schemas.openxmlformats.org/officeDocument/2006/relationships" r:id="rId4"/>
          <a:extLst>
            <a:ext uri="{FF2B5EF4-FFF2-40B4-BE49-F238E27FC236}">
              <a16:creationId xmlns:a16="http://schemas.microsoft.com/office/drawing/2014/main" id="{16B0FBB9-D6F2-4C6C-A602-ABA238216BF5}"/>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752</xdr:row>
      <xdr:rowOff>0</xdr:rowOff>
    </xdr:from>
    <xdr:to>
      <xdr:col>1</xdr:col>
      <xdr:colOff>152400</xdr:colOff>
      <xdr:row>752</xdr:row>
      <xdr:rowOff>152400</xdr:rowOff>
    </xdr:to>
    <xdr:sp macro="" textlink="">
      <xdr:nvSpPr>
        <xdr:cNvPr id="550" name="AutoShape 4" descr="Bug">
          <a:hlinkClick xmlns:r="http://schemas.openxmlformats.org/officeDocument/2006/relationships" r:id="rId1"/>
          <a:extLst>
            <a:ext uri="{FF2B5EF4-FFF2-40B4-BE49-F238E27FC236}">
              <a16:creationId xmlns:a16="http://schemas.microsoft.com/office/drawing/2014/main" id="{2E0A2431-D880-44EA-AB6F-BFAED78BF134}"/>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1" name="AutoShape 6" descr="Bug">
          <a:hlinkClick xmlns:r="http://schemas.openxmlformats.org/officeDocument/2006/relationships" r:id="rId2"/>
          <a:extLst>
            <a:ext uri="{FF2B5EF4-FFF2-40B4-BE49-F238E27FC236}">
              <a16:creationId xmlns:a16="http://schemas.microsoft.com/office/drawing/2014/main" id="{A86FB06A-BE79-4523-BFDD-94FCFCE24FF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2" name="AutoShape 7" descr="Story">
          <a:hlinkClick xmlns:r="http://schemas.openxmlformats.org/officeDocument/2006/relationships" r:id="rId3"/>
          <a:extLst>
            <a:ext uri="{FF2B5EF4-FFF2-40B4-BE49-F238E27FC236}">
              <a16:creationId xmlns:a16="http://schemas.microsoft.com/office/drawing/2014/main" id="{37171695-A8B3-48D5-8844-B0074CC29A5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3" name="AutoShape 8" descr="Story">
          <a:hlinkClick xmlns:r="http://schemas.openxmlformats.org/officeDocument/2006/relationships" r:id="rId4"/>
          <a:extLst>
            <a:ext uri="{FF2B5EF4-FFF2-40B4-BE49-F238E27FC236}">
              <a16:creationId xmlns:a16="http://schemas.microsoft.com/office/drawing/2014/main" id="{E5FF843A-63FD-49E8-AC7D-143A541D8387}"/>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4" name="AutoShape 9" descr="Story">
          <a:hlinkClick xmlns:r="http://schemas.openxmlformats.org/officeDocument/2006/relationships" r:id="rId5"/>
          <a:extLst>
            <a:ext uri="{FF2B5EF4-FFF2-40B4-BE49-F238E27FC236}">
              <a16:creationId xmlns:a16="http://schemas.microsoft.com/office/drawing/2014/main" id="{2071D4DC-22CC-4B79-9492-59CCEDB55E6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5" name="AutoShape 10" descr="Story">
          <a:hlinkClick xmlns:r="http://schemas.openxmlformats.org/officeDocument/2006/relationships" r:id="rId6"/>
          <a:extLst>
            <a:ext uri="{FF2B5EF4-FFF2-40B4-BE49-F238E27FC236}">
              <a16:creationId xmlns:a16="http://schemas.microsoft.com/office/drawing/2014/main" id="{7F1C94F4-3E4C-478B-87E2-3675B5D247F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6" name="AutoShape 13" descr="Story">
          <a:hlinkClick xmlns:r="http://schemas.openxmlformats.org/officeDocument/2006/relationships" r:id="rId4"/>
          <a:extLst>
            <a:ext uri="{FF2B5EF4-FFF2-40B4-BE49-F238E27FC236}">
              <a16:creationId xmlns:a16="http://schemas.microsoft.com/office/drawing/2014/main" id="{6273F947-4CD4-4574-AF78-B135224B5754}"/>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7" name="AutoShape 14" descr="Story">
          <a:hlinkClick xmlns:r="http://schemas.openxmlformats.org/officeDocument/2006/relationships" r:id="rId4"/>
          <a:extLst>
            <a:ext uri="{FF2B5EF4-FFF2-40B4-BE49-F238E27FC236}">
              <a16:creationId xmlns:a16="http://schemas.microsoft.com/office/drawing/2014/main" id="{B664B683-681C-4BBE-9832-E8297366AF5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8" name="AutoShape 4" descr="Bug">
          <a:hlinkClick xmlns:r="http://schemas.openxmlformats.org/officeDocument/2006/relationships" r:id="rId1"/>
          <a:extLst>
            <a:ext uri="{FF2B5EF4-FFF2-40B4-BE49-F238E27FC236}">
              <a16:creationId xmlns:a16="http://schemas.microsoft.com/office/drawing/2014/main" id="{28D80709-D264-4845-B63D-B34F2B7D45A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9" name="AutoShape 6" descr="Bug">
          <a:hlinkClick xmlns:r="http://schemas.openxmlformats.org/officeDocument/2006/relationships" r:id="rId2"/>
          <a:extLst>
            <a:ext uri="{FF2B5EF4-FFF2-40B4-BE49-F238E27FC236}">
              <a16:creationId xmlns:a16="http://schemas.microsoft.com/office/drawing/2014/main" id="{BDAC4699-ECB7-4248-86AA-F98849597EF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0" name="AutoShape 7" descr="Story">
          <a:hlinkClick xmlns:r="http://schemas.openxmlformats.org/officeDocument/2006/relationships" r:id="rId3"/>
          <a:extLst>
            <a:ext uri="{FF2B5EF4-FFF2-40B4-BE49-F238E27FC236}">
              <a16:creationId xmlns:a16="http://schemas.microsoft.com/office/drawing/2014/main" id="{C80C4DB0-59DC-4ABB-817F-2F6D3879D74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1" name="AutoShape 8" descr="Story">
          <a:hlinkClick xmlns:r="http://schemas.openxmlformats.org/officeDocument/2006/relationships" r:id="rId4"/>
          <a:extLst>
            <a:ext uri="{FF2B5EF4-FFF2-40B4-BE49-F238E27FC236}">
              <a16:creationId xmlns:a16="http://schemas.microsoft.com/office/drawing/2014/main" id="{FCF10AB3-11F8-4A5F-9811-7E85FC5D3A1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2" name="AutoShape 9" descr="Story">
          <a:hlinkClick xmlns:r="http://schemas.openxmlformats.org/officeDocument/2006/relationships" r:id="rId5"/>
          <a:extLst>
            <a:ext uri="{FF2B5EF4-FFF2-40B4-BE49-F238E27FC236}">
              <a16:creationId xmlns:a16="http://schemas.microsoft.com/office/drawing/2014/main" id="{97AC379E-840F-4B4B-9FC6-5FC70499B3FD}"/>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3" name="AutoShape 10" descr="Story">
          <a:hlinkClick xmlns:r="http://schemas.openxmlformats.org/officeDocument/2006/relationships" r:id="rId6"/>
          <a:extLst>
            <a:ext uri="{FF2B5EF4-FFF2-40B4-BE49-F238E27FC236}">
              <a16:creationId xmlns:a16="http://schemas.microsoft.com/office/drawing/2014/main" id="{A9C1D17C-B094-42A1-A5DC-024EE4FAFB7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4" name="AutoShape 13" descr="Story">
          <a:hlinkClick xmlns:r="http://schemas.openxmlformats.org/officeDocument/2006/relationships" r:id="rId4"/>
          <a:extLst>
            <a:ext uri="{FF2B5EF4-FFF2-40B4-BE49-F238E27FC236}">
              <a16:creationId xmlns:a16="http://schemas.microsoft.com/office/drawing/2014/main" id="{9D7786C9-8D0E-475A-A89E-ADCB2EB8A28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5" name="AutoShape 14" descr="Story">
          <a:hlinkClick xmlns:r="http://schemas.openxmlformats.org/officeDocument/2006/relationships" r:id="rId4"/>
          <a:extLst>
            <a:ext uri="{FF2B5EF4-FFF2-40B4-BE49-F238E27FC236}">
              <a16:creationId xmlns:a16="http://schemas.microsoft.com/office/drawing/2014/main" id="{7F785DBC-720B-4BC1-BBB8-9CCB434EBE0B}"/>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754</xdr:row>
      <xdr:rowOff>0</xdr:rowOff>
    </xdr:from>
    <xdr:to>
      <xdr:col>4</xdr:col>
      <xdr:colOff>304800</xdr:colOff>
      <xdr:row>755</xdr:row>
      <xdr:rowOff>129540</xdr:rowOff>
    </xdr:to>
    <xdr:sp macro="" textlink="">
      <xdr:nvSpPr>
        <xdr:cNvPr id="566" name="AutoShape 4" descr="Profil resmi.">
          <a:extLst>
            <a:ext uri="{FF2B5EF4-FFF2-40B4-BE49-F238E27FC236}">
              <a16:creationId xmlns:a16="http://schemas.microsoft.com/office/drawing/2014/main" id="{7E5A8B04-11E2-413B-9028-B5A7258A23EF}"/>
            </a:ext>
          </a:extLst>
        </xdr:cNvPr>
        <xdr:cNvSpPr>
          <a:spLocks noChangeAspect="1" noChangeArrowheads="1"/>
        </xdr:cNvSpPr>
      </xdr:nvSpPr>
      <xdr:spPr bwMode="auto">
        <a:xfrm>
          <a:off x="10195560" y="13833348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7" name="AutoShape 4" descr="Bug">
          <a:hlinkClick xmlns:r="http://schemas.openxmlformats.org/officeDocument/2006/relationships" r:id="rId1"/>
          <a:extLst>
            <a:ext uri="{FF2B5EF4-FFF2-40B4-BE49-F238E27FC236}">
              <a16:creationId xmlns:a16="http://schemas.microsoft.com/office/drawing/2014/main" id="{451052F5-AD44-42D2-AF01-0EBD40364439}"/>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8" name="AutoShape 6" descr="Bug">
          <a:hlinkClick xmlns:r="http://schemas.openxmlformats.org/officeDocument/2006/relationships" r:id="rId2"/>
          <a:extLst>
            <a:ext uri="{FF2B5EF4-FFF2-40B4-BE49-F238E27FC236}">
              <a16:creationId xmlns:a16="http://schemas.microsoft.com/office/drawing/2014/main" id="{92F36955-C97D-4C9D-916C-7455CF50DE44}"/>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9" name="AutoShape 7" descr="Story">
          <a:hlinkClick xmlns:r="http://schemas.openxmlformats.org/officeDocument/2006/relationships" r:id="rId3"/>
          <a:extLst>
            <a:ext uri="{FF2B5EF4-FFF2-40B4-BE49-F238E27FC236}">
              <a16:creationId xmlns:a16="http://schemas.microsoft.com/office/drawing/2014/main" id="{8C872EBE-39DF-48D5-99A7-772F3B1FEF6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0" name="AutoShape 8" descr="Story">
          <a:hlinkClick xmlns:r="http://schemas.openxmlformats.org/officeDocument/2006/relationships" r:id="rId4"/>
          <a:extLst>
            <a:ext uri="{FF2B5EF4-FFF2-40B4-BE49-F238E27FC236}">
              <a16:creationId xmlns:a16="http://schemas.microsoft.com/office/drawing/2014/main" id="{E0EB564A-2940-4DB0-BA01-E401BA3DB538}"/>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1" name="AutoShape 9" descr="Story">
          <a:hlinkClick xmlns:r="http://schemas.openxmlformats.org/officeDocument/2006/relationships" r:id="rId5"/>
          <a:extLst>
            <a:ext uri="{FF2B5EF4-FFF2-40B4-BE49-F238E27FC236}">
              <a16:creationId xmlns:a16="http://schemas.microsoft.com/office/drawing/2014/main" id="{015B3CC0-901A-4AC0-9AF6-AE58ECA2570F}"/>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2" name="AutoShape 10" descr="Story">
          <a:hlinkClick xmlns:r="http://schemas.openxmlformats.org/officeDocument/2006/relationships" r:id="rId6"/>
          <a:extLst>
            <a:ext uri="{FF2B5EF4-FFF2-40B4-BE49-F238E27FC236}">
              <a16:creationId xmlns:a16="http://schemas.microsoft.com/office/drawing/2014/main" id="{98089CDA-9228-470C-BD35-29AF01F0758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3" name="AutoShape 13" descr="Story">
          <a:hlinkClick xmlns:r="http://schemas.openxmlformats.org/officeDocument/2006/relationships" r:id="rId4"/>
          <a:extLst>
            <a:ext uri="{FF2B5EF4-FFF2-40B4-BE49-F238E27FC236}">
              <a16:creationId xmlns:a16="http://schemas.microsoft.com/office/drawing/2014/main" id="{9F62E0A3-13DC-4985-BFE0-BCB052BFE3A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4" name="AutoShape 14" descr="Story">
          <a:hlinkClick xmlns:r="http://schemas.openxmlformats.org/officeDocument/2006/relationships" r:id="rId4"/>
          <a:extLst>
            <a:ext uri="{FF2B5EF4-FFF2-40B4-BE49-F238E27FC236}">
              <a16:creationId xmlns:a16="http://schemas.microsoft.com/office/drawing/2014/main" id="{7569EA76-B0C9-4CA7-91E0-7ED048D0D858}"/>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5" name="AutoShape 4" descr="Bug">
          <a:hlinkClick xmlns:r="http://schemas.openxmlformats.org/officeDocument/2006/relationships" r:id="rId1"/>
          <a:extLst>
            <a:ext uri="{FF2B5EF4-FFF2-40B4-BE49-F238E27FC236}">
              <a16:creationId xmlns:a16="http://schemas.microsoft.com/office/drawing/2014/main" id="{E8B3C43A-B5FB-4FE1-BBE8-7C23880C3DF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6" name="AutoShape 6" descr="Bug">
          <a:hlinkClick xmlns:r="http://schemas.openxmlformats.org/officeDocument/2006/relationships" r:id="rId2"/>
          <a:extLst>
            <a:ext uri="{FF2B5EF4-FFF2-40B4-BE49-F238E27FC236}">
              <a16:creationId xmlns:a16="http://schemas.microsoft.com/office/drawing/2014/main" id="{24C0BAA0-49B5-402B-802E-36B5B90D482B}"/>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7" name="AutoShape 7" descr="Story">
          <a:hlinkClick xmlns:r="http://schemas.openxmlformats.org/officeDocument/2006/relationships" r:id="rId3"/>
          <a:extLst>
            <a:ext uri="{FF2B5EF4-FFF2-40B4-BE49-F238E27FC236}">
              <a16:creationId xmlns:a16="http://schemas.microsoft.com/office/drawing/2014/main" id="{FD8256DA-D8BA-4D56-968E-2AB8E88B0F17}"/>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8" name="AutoShape 8" descr="Story">
          <a:hlinkClick xmlns:r="http://schemas.openxmlformats.org/officeDocument/2006/relationships" r:id="rId4"/>
          <a:extLst>
            <a:ext uri="{FF2B5EF4-FFF2-40B4-BE49-F238E27FC236}">
              <a16:creationId xmlns:a16="http://schemas.microsoft.com/office/drawing/2014/main" id="{41E539DC-6AC9-4577-BB23-0A46C4C8B465}"/>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9" name="AutoShape 9" descr="Story">
          <a:hlinkClick xmlns:r="http://schemas.openxmlformats.org/officeDocument/2006/relationships" r:id="rId5"/>
          <a:extLst>
            <a:ext uri="{FF2B5EF4-FFF2-40B4-BE49-F238E27FC236}">
              <a16:creationId xmlns:a16="http://schemas.microsoft.com/office/drawing/2014/main" id="{9F608373-00E2-4471-96EC-390D6EDB32F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0" name="AutoShape 10" descr="Story">
          <a:hlinkClick xmlns:r="http://schemas.openxmlformats.org/officeDocument/2006/relationships" r:id="rId6"/>
          <a:extLst>
            <a:ext uri="{FF2B5EF4-FFF2-40B4-BE49-F238E27FC236}">
              <a16:creationId xmlns:a16="http://schemas.microsoft.com/office/drawing/2014/main" id="{99DD9C92-45C8-4D52-98DD-46655EC27C9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1" name="AutoShape 13" descr="Story">
          <a:hlinkClick xmlns:r="http://schemas.openxmlformats.org/officeDocument/2006/relationships" r:id="rId4"/>
          <a:extLst>
            <a:ext uri="{FF2B5EF4-FFF2-40B4-BE49-F238E27FC236}">
              <a16:creationId xmlns:a16="http://schemas.microsoft.com/office/drawing/2014/main" id="{673B869C-DEA4-414E-9026-7F734C3C0674}"/>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2" name="AutoShape 14" descr="Story">
          <a:hlinkClick xmlns:r="http://schemas.openxmlformats.org/officeDocument/2006/relationships" r:id="rId4"/>
          <a:extLst>
            <a:ext uri="{FF2B5EF4-FFF2-40B4-BE49-F238E27FC236}">
              <a16:creationId xmlns:a16="http://schemas.microsoft.com/office/drawing/2014/main" id="{CF962D63-DFE8-43A5-96EC-FF98D665E37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737</xdr:row>
      <xdr:rowOff>0</xdr:rowOff>
    </xdr:from>
    <xdr:ext cx="152400" cy="152400"/>
    <xdr:sp macro="" textlink="">
      <xdr:nvSpPr>
        <xdr:cNvPr id="583" name="AutoShape 4" descr="Bug">
          <a:hlinkClick xmlns:r="http://schemas.openxmlformats.org/officeDocument/2006/relationships" r:id="rId1"/>
          <a:extLst>
            <a:ext uri="{FF2B5EF4-FFF2-40B4-BE49-F238E27FC236}">
              <a16:creationId xmlns:a16="http://schemas.microsoft.com/office/drawing/2014/main" id="{FB2E3976-9013-4A62-AD60-DBE601D737B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4" name="AutoShape 6" descr="Bug">
          <a:hlinkClick xmlns:r="http://schemas.openxmlformats.org/officeDocument/2006/relationships" r:id="rId2"/>
          <a:extLst>
            <a:ext uri="{FF2B5EF4-FFF2-40B4-BE49-F238E27FC236}">
              <a16:creationId xmlns:a16="http://schemas.microsoft.com/office/drawing/2014/main" id="{E59ECD2A-1960-49A0-9384-9D618F9EB95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5" name="AutoShape 7" descr="Story">
          <a:hlinkClick xmlns:r="http://schemas.openxmlformats.org/officeDocument/2006/relationships" r:id="rId3"/>
          <a:extLst>
            <a:ext uri="{FF2B5EF4-FFF2-40B4-BE49-F238E27FC236}">
              <a16:creationId xmlns:a16="http://schemas.microsoft.com/office/drawing/2014/main" id="{35E4914E-B554-4F97-A22D-800EF0446E2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6" name="AutoShape 8" descr="Story">
          <a:hlinkClick xmlns:r="http://schemas.openxmlformats.org/officeDocument/2006/relationships" r:id="rId4"/>
          <a:extLst>
            <a:ext uri="{FF2B5EF4-FFF2-40B4-BE49-F238E27FC236}">
              <a16:creationId xmlns:a16="http://schemas.microsoft.com/office/drawing/2014/main" id="{094B181F-CD94-422E-B2D4-3FB6515E454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7" name="AutoShape 9" descr="Story">
          <a:hlinkClick xmlns:r="http://schemas.openxmlformats.org/officeDocument/2006/relationships" r:id="rId5"/>
          <a:extLst>
            <a:ext uri="{FF2B5EF4-FFF2-40B4-BE49-F238E27FC236}">
              <a16:creationId xmlns:a16="http://schemas.microsoft.com/office/drawing/2014/main" id="{F7539983-917D-43BE-996B-E2DAB787098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8" name="AutoShape 10" descr="Story">
          <a:hlinkClick xmlns:r="http://schemas.openxmlformats.org/officeDocument/2006/relationships" r:id="rId6"/>
          <a:extLst>
            <a:ext uri="{FF2B5EF4-FFF2-40B4-BE49-F238E27FC236}">
              <a16:creationId xmlns:a16="http://schemas.microsoft.com/office/drawing/2014/main" id="{6D4D6BEE-3E28-4C99-AA75-46FED6703372}"/>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9" name="AutoShape 13" descr="Story">
          <a:hlinkClick xmlns:r="http://schemas.openxmlformats.org/officeDocument/2006/relationships" r:id="rId4"/>
          <a:extLst>
            <a:ext uri="{FF2B5EF4-FFF2-40B4-BE49-F238E27FC236}">
              <a16:creationId xmlns:a16="http://schemas.microsoft.com/office/drawing/2014/main" id="{7149B98B-A83E-48DC-AB5A-463ACD8641D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0" name="AutoShape 14" descr="Story">
          <a:hlinkClick xmlns:r="http://schemas.openxmlformats.org/officeDocument/2006/relationships" r:id="rId4"/>
          <a:extLst>
            <a:ext uri="{FF2B5EF4-FFF2-40B4-BE49-F238E27FC236}">
              <a16:creationId xmlns:a16="http://schemas.microsoft.com/office/drawing/2014/main" id="{CAA5A6F4-3B09-442F-A5CC-3B52254A26F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1" name="AutoShape 4" descr="Bug">
          <a:hlinkClick xmlns:r="http://schemas.openxmlformats.org/officeDocument/2006/relationships" r:id="rId1"/>
          <a:extLst>
            <a:ext uri="{FF2B5EF4-FFF2-40B4-BE49-F238E27FC236}">
              <a16:creationId xmlns:a16="http://schemas.microsoft.com/office/drawing/2014/main" id="{EFF406AC-C32C-40BD-A18E-702CCC0AF899}"/>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2" name="AutoShape 6" descr="Bug">
          <a:hlinkClick xmlns:r="http://schemas.openxmlformats.org/officeDocument/2006/relationships" r:id="rId2"/>
          <a:extLst>
            <a:ext uri="{FF2B5EF4-FFF2-40B4-BE49-F238E27FC236}">
              <a16:creationId xmlns:a16="http://schemas.microsoft.com/office/drawing/2014/main" id="{635BD0C0-13EF-49D1-823E-EABC81C9CDD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3" name="AutoShape 7" descr="Story">
          <a:hlinkClick xmlns:r="http://schemas.openxmlformats.org/officeDocument/2006/relationships" r:id="rId3"/>
          <a:extLst>
            <a:ext uri="{FF2B5EF4-FFF2-40B4-BE49-F238E27FC236}">
              <a16:creationId xmlns:a16="http://schemas.microsoft.com/office/drawing/2014/main" id="{613AD1C0-DB11-4FFD-BEE5-7F6BE3F724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4" name="AutoShape 8" descr="Story">
          <a:hlinkClick xmlns:r="http://schemas.openxmlformats.org/officeDocument/2006/relationships" r:id="rId4"/>
          <a:extLst>
            <a:ext uri="{FF2B5EF4-FFF2-40B4-BE49-F238E27FC236}">
              <a16:creationId xmlns:a16="http://schemas.microsoft.com/office/drawing/2014/main" id="{5F461F3F-6ACE-476D-B6BC-8B283E0D4AE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5" name="AutoShape 9" descr="Story">
          <a:hlinkClick xmlns:r="http://schemas.openxmlformats.org/officeDocument/2006/relationships" r:id="rId5"/>
          <a:extLst>
            <a:ext uri="{FF2B5EF4-FFF2-40B4-BE49-F238E27FC236}">
              <a16:creationId xmlns:a16="http://schemas.microsoft.com/office/drawing/2014/main" id="{3D6347A0-18DF-4E46-A250-E9ED0170DF4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6" name="AutoShape 10" descr="Story">
          <a:hlinkClick xmlns:r="http://schemas.openxmlformats.org/officeDocument/2006/relationships" r:id="rId6"/>
          <a:extLst>
            <a:ext uri="{FF2B5EF4-FFF2-40B4-BE49-F238E27FC236}">
              <a16:creationId xmlns:a16="http://schemas.microsoft.com/office/drawing/2014/main" id="{36BD1EB1-2F5D-4C7A-B823-D6F3A68046B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7" name="AutoShape 13" descr="Story">
          <a:hlinkClick xmlns:r="http://schemas.openxmlformats.org/officeDocument/2006/relationships" r:id="rId4"/>
          <a:extLst>
            <a:ext uri="{FF2B5EF4-FFF2-40B4-BE49-F238E27FC236}">
              <a16:creationId xmlns:a16="http://schemas.microsoft.com/office/drawing/2014/main" id="{3C7B8770-5699-4793-A75F-5FED3DC15A3A}"/>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8" name="AutoShape 14" descr="Story">
          <a:hlinkClick xmlns:r="http://schemas.openxmlformats.org/officeDocument/2006/relationships" r:id="rId4"/>
          <a:extLst>
            <a:ext uri="{FF2B5EF4-FFF2-40B4-BE49-F238E27FC236}">
              <a16:creationId xmlns:a16="http://schemas.microsoft.com/office/drawing/2014/main" id="{68959A93-0EDB-47CB-BCD2-7921B871DA3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599" name="AutoShape 4" descr="Bug">
          <a:hlinkClick xmlns:r="http://schemas.openxmlformats.org/officeDocument/2006/relationships" r:id="rId1"/>
          <a:extLst>
            <a:ext uri="{FF2B5EF4-FFF2-40B4-BE49-F238E27FC236}">
              <a16:creationId xmlns:a16="http://schemas.microsoft.com/office/drawing/2014/main" id="{86EE55A9-ABAE-4EA9-93EE-06DC57D73CD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0" name="AutoShape 6" descr="Bug">
          <a:hlinkClick xmlns:r="http://schemas.openxmlformats.org/officeDocument/2006/relationships" r:id="rId2"/>
          <a:extLst>
            <a:ext uri="{FF2B5EF4-FFF2-40B4-BE49-F238E27FC236}">
              <a16:creationId xmlns:a16="http://schemas.microsoft.com/office/drawing/2014/main" id="{4C558769-CEB6-4547-A41F-1D76337F3F8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1" name="AutoShape 7" descr="Story">
          <a:hlinkClick xmlns:r="http://schemas.openxmlformats.org/officeDocument/2006/relationships" r:id="rId3"/>
          <a:extLst>
            <a:ext uri="{FF2B5EF4-FFF2-40B4-BE49-F238E27FC236}">
              <a16:creationId xmlns:a16="http://schemas.microsoft.com/office/drawing/2014/main" id="{E7462EB9-F882-4EE5-8937-36B118F26E0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2" name="AutoShape 8" descr="Story">
          <a:hlinkClick xmlns:r="http://schemas.openxmlformats.org/officeDocument/2006/relationships" r:id="rId4"/>
          <a:extLst>
            <a:ext uri="{FF2B5EF4-FFF2-40B4-BE49-F238E27FC236}">
              <a16:creationId xmlns:a16="http://schemas.microsoft.com/office/drawing/2014/main" id="{F5385351-D3A6-4090-804F-A9C25EB1908A}"/>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3" name="AutoShape 9" descr="Story">
          <a:hlinkClick xmlns:r="http://schemas.openxmlformats.org/officeDocument/2006/relationships" r:id="rId5"/>
          <a:extLst>
            <a:ext uri="{FF2B5EF4-FFF2-40B4-BE49-F238E27FC236}">
              <a16:creationId xmlns:a16="http://schemas.microsoft.com/office/drawing/2014/main" id="{1A94E89B-1B2A-44BF-8B44-FD547D5827B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4" name="AutoShape 10" descr="Story">
          <a:hlinkClick xmlns:r="http://schemas.openxmlformats.org/officeDocument/2006/relationships" r:id="rId6"/>
          <a:extLst>
            <a:ext uri="{FF2B5EF4-FFF2-40B4-BE49-F238E27FC236}">
              <a16:creationId xmlns:a16="http://schemas.microsoft.com/office/drawing/2014/main" id="{2224CB72-67AE-4062-8A22-1B4BC0B48090}"/>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5" name="AutoShape 13" descr="Story">
          <a:hlinkClick xmlns:r="http://schemas.openxmlformats.org/officeDocument/2006/relationships" r:id="rId4"/>
          <a:extLst>
            <a:ext uri="{FF2B5EF4-FFF2-40B4-BE49-F238E27FC236}">
              <a16:creationId xmlns:a16="http://schemas.microsoft.com/office/drawing/2014/main" id="{EA809D2A-E5A6-452A-B529-51C0D753ACD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6" name="AutoShape 14" descr="Story">
          <a:hlinkClick xmlns:r="http://schemas.openxmlformats.org/officeDocument/2006/relationships" r:id="rId4"/>
          <a:extLst>
            <a:ext uri="{FF2B5EF4-FFF2-40B4-BE49-F238E27FC236}">
              <a16:creationId xmlns:a16="http://schemas.microsoft.com/office/drawing/2014/main" id="{D1A8E62D-3C57-4318-A088-CA389EBA25A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7" name="AutoShape 4" descr="Bug">
          <a:hlinkClick xmlns:r="http://schemas.openxmlformats.org/officeDocument/2006/relationships" r:id="rId1"/>
          <a:extLst>
            <a:ext uri="{FF2B5EF4-FFF2-40B4-BE49-F238E27FC236}">
              <a16:creationId xmlns:a16="http://schemas.microsoft.com/office/drawing/2014/main" id="{EB43C0B3-0464-49D8-96C9-15B2B756E46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8" name="AutoShape 6" descr="Bug">
          <a:hlinkClick xmlns:r="http://schemas.openxmlformats.org/officeDocument/2006/relationships" r:id="rId2"/>
          <a:extLst>
            <a:ext uri="{FF2B5EF4-FFF2-40B4-BE49-F238E27FC236}">
              <a16:creationId xmlns:a16="http://schemas.microsoft.com/office/drawing/2014/main" id="{D76DCDA5-65B2-42CF-8A1F-0253B4D7B2C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9" name="AutoShape 7" descr="Story">
          <a:hlinkClick xmlns:r="http://schemas.openxmlformats.org/officeDocument/2006/relationships" r:id="rId3"/>
          <a:extLst>
            <a:ext uri="{FF2B5EF4-FFF2-40B4-BE49-F238E27FC236}">
              <a16:creationId xmlns:a16="http://schemas.microsoft.com/office/drawing/2014/main" id="{3F63DE53-0C90-46C6-B855-1822BF84C08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0" name="AutoShape 8" descr="Story">
          <a:hlinkClick xmlns:r="http://schemas.openxmlformats.org/officeDocument/2006/relationships" r:id="rId4"/>
          <a:extLst>
            <a:ext uri="{FF2B5EF4-FFF2-40B4-BE49-F238E27FC236}">
              <a16:creationId xmlns:a16="http://schemas.microsoft.com/office/drawing/2014/main" id="{285B9729-A509-4C4F-B166-234CAA127EA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1" name="AutoShape 9" descr="Story">
          <a:hlinkClick xmlns:r="http://schemas.openxmlformats.org/officeDocument/2006/relationships" r:id="rId5"/>
          <a:extLst>
            <a:ext uri="{FF2B5EF4-FFF2-40B4-BE49-F238E27FC236}">
              <a16:creationId xmlns:a16="http://schemas.microsoft.com/office/drawing/2014/main" id="{C94162C8-779D-4575-A268-BD4C352B89C1}"/>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2" name="AutoShape 10" descr="Story">
          <a:hlinkClick xmlns:r="http://schemas.openxmlformats.org/officeDocument/2006/relationships" r:id="rId6"/>
          <a:extLst>
            <a:ext uri="{FF2B5EF4-FFF2-40B4-BE49-F238E27FC236}">
              <a16:creationId xmlns:a16="http://schemas.microsoft.com/office/drawing/2014/main" id="{CEC0F7FA-E5FD-4BE8-BFFF-DC4D609539B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3" name="AutoShape 13" descr="Story">
          <a:hlinkClick xmlns:r="http://schemas.openxmlformats.org/officeDocument/2006/relationships" r:id="rId4"/>
          <a:extLst>
            <a:ext uri="{FF2B5EF4-FFF2-40B4-BE49-F238E27FC236}">
              <a16:creationId xmlns:a16="http://schemas.microsoft.com/office/drawing/2014/main" id="{58940144-A965-43A1-9DD9-0E5CF6A22AF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4" name="AutoShape 14" descr="Story">
          <a:hlinkClick xmlns:r="http://schemas.openxmlformats.org/officeDocument/2006/relationships" r:id="rId4"/>
          <a:extLst>
            <a:ext uri="{FF2B5EF4-FFF2-40B4-BE49-F238E27FC236}">
              <a16:creationId xmlns:a16="http://schemas.microsoft.com/office/drawing/2014/main" id="{7DA1FC7A-A3D5-4692-986F-D17D345A518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5" name="AutoShape 4" descr="Bug">
          <a:hlinkClick xmlns:r="http://schemas.openxmlformats.org/officeDocument/2006/relationships" r:id="rId1"/>
          <a:extLst>
            <a:ext uri="{FF2B5EF4-FFF2-40B4-BE49-F238E27FC236}">
              <a16:creationId xmlns:a16="http://schemas.microsoft.com/office/drawing/2014/main" id="{50BF237E-11DD-4F98-951D-70C1BAA8CDD3}"/>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6" name="AutoShape 6" descr="Bug">
          <a:hlinkClick xmlns:r="http://schemas.openxmlformats.org/officeDocument/2006/relationships" r:id="rId2"/>
          <a:extLst>
            <a:ext uri="{FF2B5EF4-FFF2-40B4-BE49-F238E27FC236}">
              <a16:creationId xmlns:a16="http://schemas.microsoft.com/office/drawing/2014/main" id="{69EBC046-5B7C-4D15-AD8C-E4825428907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7" name="AutoShape 7" descr="Story">
          <a:hlinkClick xmlns:r="http://schemas.openxmlformats.org/officeDocument/2006/relationships" r:id="rId3"/>
          <a:extLst>
            <a:ext uri="{FF2B5EF4-FFF2-40B4-BE49-F238E27FC236}">
              <a16:creationId xmlns:a16="http://schemas.microsoft.com/office/drawing/2014/main" id="{6142A85B-BE8D-4885-81BE-14157DC41CB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8" name="AutoShape 8" descr="Story">
          <a:hlinkClick xmlns:r="http://schemas.openxmlformats.org/officeDocument/2006/relationships" r:id="rId4"/>
          <a:extLst>
            <a:ext uri="{FF2B5EF4-FFF2-40B4-BE49-F238E27FC236}">
              <a16:creationId xmlns:a16="http://schemas.microsoft.com/office/drawing/2014/main" id="{55000407-7E4B-4490-AD53-E965FDBAB10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9" name="AutoShape 9" descr="Story">
          <a:hlinkClick xmlns:r="http://schemas.openxmlformats.org/officeDocument/2006/relationships" r:id="rId5"/>
          <a:extLst>
            <a:ext uri="{FF2B5EF4-FFF2-40B4-BE49-F238E27FC236}">
              <a16:creationId xmlns:a16="http://schemas.microsoft.com/office/drawing/2014/main" id="{0453E99D-3F7A-4CCA-85A5-C74F04FFB26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0" name="AutoShape 10" descr="Story">
          <a:hlinkClick xmlns:r="http://schemas.openxmlformats.org/officeDocument/2006/relationships" r:id="rId6"/>
          <a:extLst>
            <a:ext uri="{FF2B5EF4-FFF2-40B4-BE49-F238E27FC236}">
              <a16:creationId xmlns:a16="http://schemas.microsoft.com/office/drawing/2014/main" id="{3FEDBCD0-A266-42C4-B9F0-18DE7AFACB2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1" name="AutoShape 13" descr="Story">
          <a:hlinkClick xmlns:r="http://schemas.openxmlformats.org/officeDocument/2006/relationships" r:id="rId4"/>
          <a:extLst>
            <a:ext uri="{FF2B5EF4-FFF2-40B4-BE49-F238E27FC236}">
              <a16:creationId xmlns:a16="http://schemas.microsoft.com/office/drawing/2014/main" id="{1C9D1BEB-C9F9-42B3-9429-3CBB6C36CE7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2" name="AutoShape 14" descr="Story">
          <a:hlinkClick xmlns:r="http://schemas.openxmlformats.org/officeDocument/2006/relationships" r:id="rId4"/>
          <a:extLst>
            <a:ext uri="{FF2B5EF4-FFF2-40B4-BE49-F238E27FC236}">
              <a16:creationId xmlns:a16="http://schemas.microsoft.com/office/drawing/2014/main" id="{1610DAAD-D996-40AF-AC4A-68957669CA3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3" name="AutoShape 4" descr="Bug">
          <a:hlinkClick xmlns:r="http://schemas.openxmlformats.org/officeDocument/2006/relationships" r:id="rId1"/>
          <a:extLst>
            <a:ext uri="{FF2B5EF4-FFF2-40B4-BE49-F238E27FC236}">
              <a16:creationId xmlns:a16="http://schemas.microsoft.com/office/drawing/2014/main" id="{B72C1BEA-3F54-4DA5-9B9C-A4CF36B6459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4" name="AutoShape 6" descr="Bug">
          <a:hlinkClick xmlns:r="http://schemas.openxmlformats.org/officeDocument/2006/relationships" r:id="rId2"/>
          <a:extLst>
            <a:ext uri="{FF2B5EF4-FFF2-40B4-BE49-F238E27FC236}">
              <a16:creationId xmlns:a16="http://schemas.microsoft.com/office/drawing/2014/main" id="{43628C13-AF03-456D-9096-1F1123567CB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5" name="AutoShape 7" descr="Story">
          <a:hlinkClick xmlns:r="http://schemas.openxmlformats.org/officeDocument/2006/relationships" r:id="rId3"/>
          <a:extLst>
            <a:ext uri="{FF2B5EF4-FFF2-40B4-BE49-F238E27FC236}">
              <a16:creationId xmlns:a16="http://schemas.microsoft.com/office/drawing/2014/main" id="{AECC9B41-F31B-4E0B-836B-D0379B03A4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6" name="AutoShape 8" descr="Story">
          <a:hlinkClick xmlns:r="http://schemas.openxmlformats.org/officeDocument/2006/relationships" r:id="rId4"/>
          <a:extLst>
            <a:ext uri="{FF2B5EF4-FFF2-40B4-BE49-F238E27FC236}">
              <a16:creationId xmlns:a16="http://schemas.microsoft.com/office/drawing/2014/main" id="{DEEF0EA5-3855-4DE5-A758-17167BB8A66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7" name="AutoShape 9" descr="Story">
          <a:hlinkClick xmlns:r="http://schemas.openxmlformats.org/officeDocument/2006/relationships" r:id="rId5"/>
          <a:extLst>
            <a:ext uri="{FF2B5EF4-FFF2-40B4-BE49-F238E27FC236}">
              <a16:creationId xmlns:a16="http://schemas.microsoft.com/office/drawing/2014/main" id="{CCB7855C-B476-4376-8AFA-65A22D8D1A8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8" name="AutoShape 10" descr="Story">
          <a:hlinkClick xmlns:r="http://schemas.openxmlformats.org/officeDocument/2006/relationships" r:id="rId6"/>
          <a:extLst>
            <a:ext uri="{FF2B5EF4-FFF2-40B4-BE49-F238E27FC236}">
              <a16:creationId xmlns:a16="http://schemas.microsoft.com/office/drawing/2014/main" id="{9B941256-933F-48D7-BA40-D542DF452E4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9" name="AutoShape 13" descr="Story">
          <a:hlinkClick xmlns:r="http://schemas.openxmlformats.org/officeDocument/2006/relationships" r:id="rId4"/>
          <a:extLst>
            <a:ext uri="{FF2B5EF4-FFF2-40B4-BE49-F238E27FC236}">
              <a16:creationId xmlns:a16="http://schemas.microsoft.com/office/drawing/2014/main" id="{AD08D053-985C-4C02-A388-FDB75C2F692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30" name="AutoShape 14" descr="Story">
          <a:hlinkClick xmlns:r="http://schemas.openxmlformats.org/officeDocument/2006/relationships" r:id="rId4"/>
          <a:extLst>
            <a:ext uri="{FF2B5EF4-FFF2-40B4-BE49-F238E27FC236}">
              <a16:creationId xmlns:a16="http://schemas.microsoft.com/office/drawing/2014/main" id="{5B580194-5675-4E4B-B904-B8EABA612F7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1" name="AutoShape 4" descr="Bug">
          <a:hlinkClick xmlns:r="http://schemas.openxmlformats.org/officeDocument/2006/relationships" r:id="rId1"/>
          <a:extLst>
            <a:ext uri="{FF2B5EF4-FFF2-40B4-BE49-F238E27FC236}">
              <a16:creationId xmlns:a16="http://schemas.microsoft.com/office/drawing/2014/main" id="{139376A1-6D78-4FDD-89C4-D3092608CEB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2" name="AutoShape 6" descr="Bug">
          <a:hlinkClick xmlns:r="http://schemas.openxmlformats.org/officeDocument/2006/relationships" r:id="rId2"/>
          <a:extLst>
            <a:ext uri="{FF2B5EF4-FFF2-40B4-BE49-F238E27FC236}">
              <a16:creationId xmlns:a16="http://schemas.microsoft.com/office/drawing/2014/main" id="{3D2EC35B-619C-4380-B882-5AE8B19D1DC1}"/>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3" name="AutoShape 7" descr="Story">
          <a:hlinkClick xmlns:r="http://schemas.openxmlformats.org/officeDocument/2006/relationships" r:id="rId3"/>
          <a:extLst>
            <a:ext uri="{FF2B5EF4-FFF2-40B4-BE49-F238E27FC236}">
              <a16:creationId xmlns:a16="http://schemas.microsoft.com/office/drawing/2014/main" id="{98953CB6-4104-4268-ABBD-5A3A382F3CA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4" name="AutoShape 8" descr="Story">
          <a:hlinkClick xmlns:r="http://schemas.openxmlformats.org/officeDocument/2006/relationships" r:id="rId4"/>
          <a:extLst>
            <a:ext uri="{FF2B5EF4-FFF2-40B4-BE49-F238E27FC236}">
              <a16:creationId xmlns:a16="http://schemas.microsoft.com/office/drawing/2014/main" id="{2ACF3928-EB0E-4A0F-8960-830B085D225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5" name="AutoShape 9" descr="Story">
          <a:hlinkClick xmlns:r="http://schemas.openxmlformats.org/officeDocument/2006/relationships" r:id="rId5"/>
          <a:extLst>
            <a:ext uri="{FF2B5EF4-FFF2-40B4-BE49-F238E27FC236}">
              <a16:creationId xmlns:a16="http://schemas.microsoft.com/office/drawing/2014/main" id="{724CF932-5E4A-4AAA-BAD1-A07103B0D14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6" name="AutoShape 10" descr="Story">
          <a:hlinkClick xmlns:r="http://schemas.openxmlformats.org/officeDocument/2006/relationships" r:id="rId6"/>
          <a:extLst>
            <a:ext uri="{FF2B5EF4-FFF2-40B4-BE49-F238E27FC236}">
              <a16:creationId xmlns:a16="http://schemas.microsoft.com/office/drawing/2014/main" id="{4A7BBF9E-389A-4FBE-A010-F8173C5A7C9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7" name="AutoShape 13" descr="Story">
          <a:hlinkClick xmlns:r="http://schemas.openxmlformats.org/officeDocument/2006/relationships" r:id="rId4"/>
          <a:extLst>
            <a:ext uri="{FF2B5EF4-FFF2-40B4-BE49-F238E27FC236}">
              <a16:creationId xmlns:a16="http://schemas.microsoft.com/office/drawing/2014/main" id="{35B15124-C2F8-4E78-B8FD-3DC4174C0C2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8" name="AutoShape 14" descr="Story">
          <a:hlinkClick xmlns:r="http://schemas.openxmlformats.org/officeDocument/2006/relationships" r:id="rId4"/>
          <a:extLst>
            <a:ext uri="{FF2B5EF4-FFF2-40B4-BE49-F238E27FC236}">
              <a16:creationId xmlns:a16="http://schemas.microsoft.com/office/drawing/2014/main" id="{B19CF495-0EC0-4CED-900B-793B075D4DB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9" name="AutoShape 4" descr="Bug">
          <a:hlinkClick xmlns:r="http://schemas.openxmlformats.org/officeDocument/2006/relationships" r:id="rId1"/>
          <a:extLst>
            <a:ext uri="{FF2B5EF4-FFF2-40B4-BE49-F238E27FC236}">
              <a16:creationId xmlns:a16="http://schemas.microsoft.com/office/drawing/2014/main" id="{F0C92703-D6E0-4221-9CDC-C80E43FD0B4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0" name="AutoShape 6" descr="Bug">
          <a:hlinkClick xmlns:r="http://schemas.openxmlformats.org/officeDocument/2006/relationships" r:id="rId2"/>
          <a:extLst>
            <a:ext uri="{FF2B5EF4-FFF2-40B4-BE49-F238E27FC236}">
              <a16:creationId xmlns:a16="http://schemas.microsoft.com/office/drawing/2014/main" id="{9EE6D07D-D509-4264-931C-D92713B1A99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1" name="AutoShape 7" descr="Story">
          <a:hlinkClick xmlns:r="http://schemas.openxmlformats.org/officeDocument/2006/relationships" r:id="rId3"/>
          <a:extLst>
            <a:ext uri="{FF2B5EF4-FFF2-40B4-BE49-F238E27FC236}">
              <a16:creationId xmlns:a16="http://schemas.microsoft.com/office/drawing/2014/main" id="{42E4247B-44FF-4AD8-B9F9-CB5843FC952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2" name="AutoShape 8" descr="Story">
          <a:hlinkClick xmlns:r="http://schemas.openxmlformats.org/officeDocument/2006/relationships" r:id="rId4"/>
          <a:extLst>
            <a:ext uri="{FF2B5EF4-FFF2-40B4-BE49-F238E27FC236}">
              <a16:creationId xmlns:a16="http://schemas.microsoft.com/office/drawing/2014/main" id="{355CE48B-5638-456B-8B68-C5417EFB606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3" name="AutoShape 9" descr="Story">
          <a:hlinkClick xmlns:r="http://schemas.openxmlformats.org/officeDocument/2006/relationships" r:id="rId5"/>
          <a:extLst>
            <a:ext uri="{FF2B5EF4-FFF2-40B4-BE49-F238E27FC236}">
              <a16:creationId xmlns:a16="http://schemas.microsoft.com/office/drawing/2014/main" id="{C653D397-2A81-4A70-A602-78AAE9FD275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4" name="AutoShape 10" descr="Story">
          <a:hlinkClick xmlns:r="http://schemas.openxmlformats.org/officeDocument/2006/relationships" r:id="rId6"/>
          <a:extLst>
            <a:ext uri="{FF2B5EF4-FFF2-40B4-BE49-F238E27FC236}">
              <a16:creationId xmlns:a16="http://schemas.microsoft.com/office/drawing/2014/main" id="{7B812B14-38AC-4E0A-94B2-31C639DBD7C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5" name="AutoShape 13" descr="Story">
          <a:hlinkClick xmlns:r="http://schemas.openxmlformats.org/officeDocument/2006/relationships" r:id="rId4"/>
          <a:extLst>
            <a:ext uri="{FF2B5EF4-FFF2-40B4-BE49-F238E27FC236}">
              <a16:creationId xmlns:a16="http://schemas.microsoft.com/office/drawing/2014/main" id="{9FDE9228-0CEB-406F-97A0-EBB5278CEB1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6" name="AutoShape 14" descr="Story">
          <a:hlinkClick xmlns:r="http://schemas.openxmlformats.org/officeDocument/2006/relationships" r:id="rId4"/>
          <a:extLst>
            <a:ext uri="{FF2B5EF4-FFF2-40B4-BE49-F238E27FC236}">
              <a16:creationId xmlns:a16="http://schemas.microsoft.com/office/drawing/2014/main" id="{BEC102AB-79C6-4879-B048-5DBA1EAC108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7" name="AutoShape 4" descr="Bug">
          <a:hlinkClick xmlns:r="http://schemas.openxmlformats.org/officeDocument/2006/relationships" r:id="rId1"/>
          <a:extLst>
            <a:ext uri="{FF2B5EF4-FFF2-40B4-BE49-F238E27FC236}">
              <a16:creationId xmlns:a16="http://schemas.microsoft.com/office/drawing/2014/main" id="{1A7DDBE2-4EA5-4FDE-B2EA-54456F1E0BE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8" name="AutoShape 6" descr="Bug">
          <a:hlinkClick xmlns:r="http://schemas.openxmlformats.org/officeDocument/2006/relationships" r:id="rId2"/>
          <a:extLst>
            <a:ext uri="{FF2B5EF4-FFF2-40B4-BE49-F238E27FC236}">
              <a16:creationId xmlns:a16="http://schemas.microsoft.com/office/drawing/2014/main" id="{563AB9E7-6F0A-448E-9D57-6FB9BD331572}"/>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9" name="AutoShape 7" descr="Story">
          <a:hlinkClick xmlns:r="http://schemas.openxmlformats.org/officeDocument/2006/relationships" r:id="rId3"/>
          <a:extLst>
            <a:ext uri="{FF2B5EF4-FFF2-40B4-BE49-F238E27FC236}">
              <a16:creationId xmlns:a16="http://schemas.microsoft.com/office/drawing/2014/main" id="{50539550-F759-46EA-9CF3-8527DB61A423}"/>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0" name="AutoShape 8" descr="Story">
          <a:hlinkClick xmlns:r="http://schemas.openxmlformats.org/officeDocument/2006/relationships" r:id="rId4"/>
          <a:extLst>
            <a:ext uri="{FF2B5EF4-FFF2-40B4-BE49-F238E27FC236}">
              <a16:creationId xmlns:a16="http://schemas.microsoft.com/office/drawing/2014/main" id="{24AEAE22-013A-4373-9696-D03F088AED3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1" name="AutoShape 9" descr="Story">
          <a:hlinkClick xmlns:r="http://schemas.openxmlformats.org/officeDocument/2006/relationships" r:id="rId5"/>
          <a:extLst>
            <a:ext uri="{FF2B5EF4-FFF2-40B4-BE49-F238E27FC236}">
              <a16:creationId xmlns:a16="http://schemas.microsoft.com/office/drawing/2014/main" id="{AD47C76B-5276-484D-932F-DD23795B006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2" name="AutoShape 10" descr="Story">
          <a:hlinkClick xmlns:r="http://schemas.openxmlformats.org/officeDocument/2006/relationships" r:id="rId6"/>
          <a:extLst>
            <a:ext uri="{FF2B5EF4-FFF2-40B4-BE49-F238E27FC236}">
              <a16:creationId xmlns:a16="http://schemas.microsoft.com/office/drawing/2014/main" id="{D94F770C-5735-4398-88BE-939740AC617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3" name="AutoShape 13" descr="Story">
          <a:hlinkClick xmlns:r="http://schemas.openxmlformats.org/officeDocument/2006/relationships" r:id="rId4"/>
          <a:extLst>
            <a:ext uri="{FF2B5EF4-FFF2-40B4-BE49-F238E27FC236}">
              <a16:creationId xmlns:a16="http://schemas.microsoft.com/office/drawing/2014/main" id="{0B974577-3D6A-4727-8A8F-960901BE256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4" name="AutoShape 14" descr="Story">
          <a:hlinkClick xmlns:r="http://schemas.openxmlformats.org/officeDocument/2006/relationships" r:id="rId4"/>
          <a:extLst>
            <a:ext uri="{FF2B5EF4-FFF2-40B4-BE49-F238E27FC236}">
              <a16:creationId xmlns:a16="http://schemas.microsoft.com/office/drawing/2014/main" id="{D99D937A-429B-4D22-9D77-DDAC4180019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5" name="AutoShape 4" descr="Bug">
          <a:hlinkClick xmlns:r="http://schemas.openxmlformats.org/officeDocument/2006/relationships" r:id="rId1"/>
          <a:extLst>
            <a:ext uri="{FF2B5EF4-FFF2-40B4-BE49-F238E27FC236}">
              <a16:creationId xmlns:a16="http://schemas.microsoft.com/office/drawing/2014/main" id="{2B228749-6AB2-4653-B4AF-3548B1CA6F8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6" name="AutoShape 6" descr="Bug">
          <a:hlinkClick xmlns:r="http://schemas.openxmlformats.org/officeDocument/2006/relationships" r:id="rId2"/>
          <a:extLst>
            <a:ext uri="{FF2B5EF4-FFF2-40B4-BE49-F238E27FC236}">
              <a16:creationId xmlns:a16="http://schemas.microsoft.com/office/drawing/2014/main" id="{BD5230F6-288F-4719-94BB-8DD2A3809E2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7" name="AutoShape 7" descr="Story">
          <a:hlinkClick xmlns:r="http://schemas.openxmlformats.org/officeDocument/2006/relationships" r:id="rId3"/>
          <a:extLst>
            <a:ext uri="{FF2B5EF4-FFF2-40B4-BE49-F238E27FC236}">
              <a16:creationId xmlns:a16="http://schemas.microsoft.com/office/drawing/2014/main" id="{CB0CCEF4-05AF-41A1-87A1-72B422E88FF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8" name="AutoShape 8" descr="Story">
          <a:hlinkClick xmlns:r="http://schemas.openxmlformats.org/officeDocument/2006/relationships" r:id="rId4"/>
          <a:extLst>
            <a:ext uri="{FF2B5EF4-FFF2-40B4-BE49-F238E27FC236}">
              <a16:creationId xmlns:a16="http://schemas.microsoft.com/office/drawing/2014/main" id="{D23F7BB3-D5F7-4440-BE97-1BCA9F1FD0B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9" name="AutoShape 9" descr="Story">
          <a:hlinkClick xmlns:r="http://schemas.openxmlformats.org/officeDocument/2006/relationships" r:id="rId5"/>
          <a:extLst>
            <a:ext uri="{FF2B5EF4-FFF2-40B4-BE49-F238E27FC236}">
              <a16:creationId xmlns:a16="http://schemas.microsoft.com/office/drawing/2014/main" id="{F379B5AF-89F9-4607-90AE-0DB61F97F6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0" name="AutoShape 10" descr="Story">
          <a:hlinkClick xmlns:r="http://schemas.openxmlformats.org/officeDocument/2006/relationships" r:id="rId6"/>
          <a:extLst>
            <a:ext uri="{FF2B5EF4-FFF2-40B4-BE49-F238E27FC236}">
              <a16:creationId xmlns:a16="http://schemas.microsoft.com/office/drawing/2014/main" id="{F7E1446C-85E0-41F7-B6A5-7BE2CB243B4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1" name="AutoShape 13" descr="Story">
          <a:hlinkClick xmlns:r="http://schemas.openxmlformats.org/officeDocument/2006/relationships" r:id="rId4"/>
          <a:extLst>
            <a:ext uri="{FF2B5EF4-FFF2-40B4-BE49-F238E27FC236}">
              <a16:creationId xmlns:a16="http://schemas.microsoft.com/office/drawing/2014/main" id="{BE4ADFC8-88A1-4DCC-8CF9-54715DD5DC7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2" name="AutoShape 14" descr="Story">
          <a:hlinkClick xmlns:r="http://schemas.openxmlformats.org/officeDocument/2006/relationships" r:id="rId4"/>
          <a:extLst>
            <a:ext uri="{FF2B5EF4-FFF2-40B4-BE49-F238E27FC236}">
              <a16:creationId xmlns:a16="http://schemas.microsoft.com/office/drawing/2014/main" id="{EB4F5BBA-BCD6-4CFD-B950-6BC36327D35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3" name="AutoShape 4" descr="Bug">
          <a:hlinkClick xmlns:r="http://schemas.openxmlformats.org/officeDocument/2006/relationships" r:id="rId1"/>
          <a:extLst>
            <a:ext uri="{FF2B5EF4-FFF2-40B4-BE49-F238E27FC236}">
              <a16:creationId xmlns:a16="http://schemas.microsoft.com/office/drawing/2014/main" id="{461FB3E7-312C-4156-8ED9-5602A2D7F241}"/>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4" name="AutoShape 6" descr="Bug">
          <a:hlinkClick xmlns:r="http://schemas.openxmlformats.org/officeDocument/2006/relationships" r:id="rId2"/>
          <a:extLst>
            <a:ext uri="{FF2B5EF4-FFF2-40B4-BE49-F238E27FC236}">
              <a16:creationId xmlns:a16="http://schemas.microsoft.com/office/drawing/2014/main" id="{3A32543E-CF05-4570-A71C-00DCAB9E7CC3}"/>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5" name="AutoShape 7" descr="Story">
          <a:hlinkClick xmlns:r="http://schemas.openxmlformats.org/officeDocument/2006/relationships" r:id="rId3"/>
          <a:extLst>
            <a:ext uri="{FF2B5EF4-FFF2-40B4-BE49-F238E27FC236}">
              <a16:creationId xmlns:a16="http://schemas.microsoft.com/office/drawing/2014/main" id="{D1683F8D-CF94-4B54-BF53-F15F82F2D50E}"/>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6" name="AutoShape 8" descr="Story">
          <a:hlinkClick xmlns:r="http://schemas.openxmlformats.org/officeDocument/2006/relationships" r:id="rId4"/>
          <a:extLst>
            <a:ext uri="{FF2B5EF4-FFF2-40B4-BE49-F238E27FC236}">
              <a16:creationId xmlns:a16="http://schemas.microsoft.com/office/drawing/2014/main" id="{17F06569-66C8-4F15-B7D3-B9659F4D9F7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7" name="AutoShape 9" descr="Story">
          <a:hlinkClick xmlns:r="http://schemas.openxmlformats.org/officeDocument/2006/relationships" r:id="rId5"/>
          <a:extLst>
            <a:ext uri="{FF2B5EF4-FFF2-40B4-BE49-F238E27FC236}">
              <a16:creationId xmlns:a16="http://schemas.microsoft.com/office/drawing/2014/main" id="{7519CAAE-7063-4756-9973-79A9BDE82128}"/>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8" name="AutoShape 10" descr="Story">
          <a:hlinkClick xmlns:r="http://schemas.openxmlformats.org/officeDocument/2006/relationships" r:id="rId6"/>
          <a:extLst>
            <a:ext uri="{FF2B5EF4-FFF2-40B4-BE49-F238E27FC236}">
              <a16:creationId xmlns:a16="http://schemas.microsoft.com/office/drawing/2014/main" id="{39DD2860-0AD2-4C19-A548-FA29B887B80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9" name="AutoShape 13" descr="Story">
          <a:hlinkClick xmlns:r="http://schemas.openxmlformats.org/officeDocument/2006/relationships" r:id="rId4"/>
          <a:extLst>
            <a:ext uri="{FF2B5EF4-FFF2-40B4-BE49-F238E27FC236}">
              <a16:creationId xmlns:a16="http://schemas.microsoft.com/office/drawing/2014/main" id="{FB01F997-54B0-4E96-ACB5-B53BD66D4822}"/>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0" name="AutoShape 14" descr="Story">
          <a:hlinkClick xmlns:r="http://schemas.openxmlformats.org/officeDocument/2006/relationships" r:id="rId4"/>
          <a:extLst>
            <a:ext uri="{FF2B5EF4-FFF2-40B4-BE49-F238E27FC236}">
              <a16:creationId xmlns:a16="http://schemas.microsoft.com/office/drawing/2014/main" id="{64502F45-358B-4ED8-84BC-AB97B4781A58}"/>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1" name="AutoShape 4" descr="Bug">
          <a:hlinkClick xmlns:r="http://schemas.openxmlformats.org/officeDocument/2006/relationships" r:id="rId1"/>
          <a:extLst>
            <a:ext uri="{FF2B5EF4-FFF2-40B4-BE49-F238E27FC236}">
              <a16:creationId xmlns:a16="http://schemas.microsoft.com/office/drawing/2014/main" id="{C4D40E68-31FB-4376-A0E1-91F47E233AD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2" name="AutoShape 6" descr="Bug">
          <a:hlinkClick xmlns:r="http://schemas.openxmlformats.org/officeDocument/2006/relationships" r:id="rId2"/>
          <a:extLst>
            <a:ext uri="{FF2B5EF4-FFF2-40B4-BE49-F238E27FC236}">
              <a16:creationId xmlns:a16="http://schemas.microsoft.com/office/drawing/2014/main" id="{7FAEB135-A4D3-4B59-8699-5E3ADB9E6391}"/>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3" name="AutoShape 7" descr="Story">
          <a:hlinkClick xmlns:r="http://schemas.openxmlformats.org/officeDocument/2006/relationships" r:id="rId3"/>
          <a:extLst>
            <a:ext uri="{FF2B5EF4-FFF2-40B4-BE49-F238E27FC236}">
              <a16:creationId xmlns:a16="http://schemas.microsoft.com/office/drawing/2014/main" id="{124C7BED-5AD3-46C1-AEB7-AAF44CF75E8D}"/>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4" name="AutoShape 8" descr="Story">
          <a:hlinkClick xmlns:r="http://schemas.openxmlformats.org/officeDocument/2006/relationships" r:id="rId4"/>
          <a:extLst>
            <a:ext uri="{FF2B5EF4-FFF2-40B4-BE49-F238E27FC236}">
              <a16:creationId xmlns:a16="http://schemas.microsoft.com/office/drawing/2014/main" id="{7015E557-2407-4B8C-A1EF-29FE22B1BD04}"/>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5" name="AutoShape 9" descr="Story">
          <a:hlinkClick xmlns:r="http://schemas.openxmlformats.org/officeDocument/2006/relationships" r:id="rId5"/>
          <a:extLst>
            <a:ext uri="{FF2B5EF4-FFF2-40B4-BE49-F238E27FC236}">
              <a16:creationId xmlns:a16="http://schemas.microsoft.com/office/drawing/2014/main" id="{5AE98EEF-6BD6-4EF7-95F6-1F82576C6B24}"/>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6" name="AutoShape 10" descr="Story">
          <a:hlinkClick xmlns:r="http://schemas.openxmlformats.org/officeDocument/2006/relationships" r:id="rId6"/>
          <a:extLst>
            <a:ext uri="{FF2B5EF4-FFF2-40B4-BE49-F238E27FC236}">
              <a16:creationId xmlns:a16="http://schemas.microsoft.com/office/drawing/2014/main" id="{8DC5E9F1-13E7-4827-BD22-3A190C15951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7" name="AutoShape 13" descr="Story">
          <a:hlinkClick xmlns:r="http://schemas.openxmlformats.org/officeDocument/2006/relationships" r:id="rId4"/>
          <a:extLst>
            <a:ext uri="{FF2B5EF4-FFF2-40B4-BE49-F238E27FC236}">
              <a16:creationId xmlns:a16="http://schemas.microsoft.com/office/drawing/2014/main" id="{6AE18616-1BE9-409C-A742-939EAB49D88B}"/>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8" name="AutoShape 14" descr="Story">
          <a:hlinkClick xmlns:r="http://schemas.openxmlformats.org/officeDocument/2006/relationships" r:id="rId4"/>
          <a:extLst>
            <a:ext uri="{FF2B5EF4-FFF2-40B4-BE49-F238E27FC236}">
              <a16:creationId xmlns:a16="http://schemas.microsoft.com/office/drawing/2014/main" id="{053C102C-8A2E-4E6C-AF4A-F00076BE628B}"/>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79" name="AutoShape 4" descr="Bug">
          <a:hlinkClick xmlns:r="http://schemas.openxmlformats.org/officeDocument/2006/relationships" r:id="rId1"/>
          <a:extLst>
            <a:ext uri="{FF2B5EF4-FFF2-40B4-BE49-F238E27FC236}">
              <a16:creationId xmlns:a16="http://schemas.microsoft.com/office/drawing/2014/main" id="{F61DDBF3-55DE-4F54-8E61-0E086C36524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0" name="AutoShape 6" descr="Bug">
          <a:hlinkClick xmlns:r="http://schemas.openxmlformats.org/officeDocument/2006/relationships" r:id="rId2"/>
          <a:extLst>
            <a:ext uri="{FF2B5EF4-FFF2-40B4-BE49-F238E27FC236}">
              <a16:creationId xmlns:a16="http://schemas.microsoft.com/office/drawing/2014/main" id="{361DAC37-FA32-4C5F-8592-9CE59610222E}"/>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1" name="AutoShape 7" descr="Story">
          <a:hlinkClick xmlns:r="http://schemas.openxmlformats.org/officeDocument/2006/relationships" r:id="rId3"/>
          <a:extLst>
            <a:ext uri="{FF2B5EF4-FFF2-40B4-BE49-F238E27FC236}">
              <a16:creationId xmlns:a16="http://schemas.microsoft.com/office/drawing/2014/main" id="{F71DD8A6-8D29-4A08-AA96-1D688E417449}"/>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2" name="AutoShape 8" descr="Story">
          <a:hlinkClick xmlns:r="http://schemas.openxmlformats.org/officeDocument/2006/relationships" r:id="rId4"/>
          <a:extLst>
            <a:ext uri="{FF2B5EF4-FFF2-40B4-BE49-F238E27FC236}">
              <a16:creationId xmlns:a16="http://schemas.microsoft.com/office/drawing/2014/main" id="{E7333AE0-D947-4D6A-B51F-13DCF93528E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3" name="AutoShape 9" descr="Story">
          <a:hlinkClick xmlns:r="http://schemas.openxmlformats.org/officeDocument/2006/relationships" r:id="rId5"/>
          <a:extLst>
            <a:ext uri="{FF2B5EF4-FFF2-40B4-BE49-F238E27FC236}">
              <a16:creationId xmlns:a16="http://schemas.microsoft.com/office/drawing/2014/main" id="{F0792669-C9DA-47CB-BB05-7CDF3ACEB08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4" name="AutoShape 10" descr="Story">
          <a:hlinkClick xmlns:r="http://schemas.openxmlformats.org/officeDocument/2006/relationships" r:id="rId6"/>
          <a:extLst>
            <a:ext uri="{FF2B5EF4-FFF2-40B4-BE49-F238E27FC236}">
              <a16:creationId xmlns:a16="http://schemas.microsoft.com/office/drawing/2014/main" id="{F29C4816-69E8-478A-90DE-D5E29EB1DFE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5" name="AutoShape 13" descr="Story">
          <a:hlinkClick xmlns:r="http://schemas.openxmlformats.org/officeDocument/2006/relationships" r:id="rId4"/>
          <a:extLst>
            <a:ext uri="{FF2B5EF4-FFF2-40B4-BE49-F238E27FC236}">
              <a16:creationId xmlns:a16="http://schemas.microsoft.com/office/drawing/2014/main" id="{56D06791-BEBC-4064-BB78-186C0418C34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6" name="AutoShape 14" descr="Story">
          <a:hlinkClick xmlns:r="http://schemas.openxmlformats.org/officeDocument/2006/relationships" r:id="rId4"/>
          <a:extLst>
            <a:ext uri="{FF2B5EF4-FFF2-40B4-BE49-F238E27FC236}">
              <a16:creationId xmlns:a16="http://schemas.microsoft.com/office/drawing/2014/main" id="{F408D7FE-D813-4660-B66B-87ADFE26D59E}"/>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7" name="AutoShape 4" descr="Bug">
          <a:hlinkClick xmlns:r="http://schemas.openxmlformats.org/officeDocument/2006/relationships" r:id="rId1"/>
          <a:extLst>
            <a:ext uri="{FF2B5EF4-FFF2-40B4-BE49-F238E27FC236}">
              <a16:creationId xmlns:a16="http://schemas.microsoft.com/office/drawing/2014/main" id="{11323616-DC39-4FD7-AF6A-8E6961A1652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8" name="AutoShape 6" descr="Bug">
          <a:hlinkClick xmlns:r="http://schemas.openxmlformats.org/officeDocument/2006/relationships" r:id="rId2"/>
          <a:extLst>
            <a:ext uri="{FF2B5EF4-FFF2-40B4-BE49-F238E27FC236}">
              <a16:creationId xmlns:a16="http://schemas.microsoft.com/office/drawing/2014/main" id="{A9073875-80D1-4B1C-8961-336AF3246D0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9" name="AutoShape 7" descr="Story">
          <a:hlinkClick xmlns:r="http://schemas.openxmlformats.org/officeDocument/2006/relationships" r:id="rId3"/>
          <a:extLst>
            <a:ext uri="{FF2B5EF4-FFF2-40B4-BE49-F238E27FC236}">
              <a16:creationId xmlns:a16="http://schemas.microsoft.com/office/drawing/2014/main" id="{A8541D81-012F-4D7F-9DC5-3D6ABF9E68F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0" name="AutoShape 8" descr="Story">
          <a:hlinkClick xmlns:r="http://schemas.openxmlformats.org/officeDocument/2006/relationships" r:id="rId4"/>
          <a:extLst>
            <a:ext uri="{FF2B5EF4-FFF2-40B4-BE49-F238E27FC236}">
              <a16:creationId xmlns:a16="http://schemas.microsoft.com/office/drawing/2014/main" id="{39043A96-5632-4605-A571-F530248FC21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1" name="AutoShape 9" descr="Story">
          <a:hlinkClick xmlns:r="http://schemas.openxmlformats.org/officeDocument/2006/relationships" r:id="rId5"/>
          <a:extLst>
            <a:ext uri="{FF2B5EF4-FFF2-40B4-BE49-F238E27FC236}">
              <a16:creationId xmlns:a16="http://schemas.microsoft.com/office/drawing/2014/main" id="{E335C2FE-C377-453A-A67A-70E0AFBF9C7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2" name="AutoShape 10" descr="Story">
          <a:hlinkClick xmlns:r="http://schemas.openxmlformats.org/officeDocument/2006/relationships" r:id="rId6"/>
          <a:extLst>
            <a:ext uri="{FF2B5EF4-FFF2-40B4-BE49-F238E27FC236}">
              <a16:creationId xmlns:a16="http://schemas.microsoft.com/office/drawing/2014/main" id="{68658AB3-AE76-45FA-AD7E-A8174362837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3" name="AutoShape 13" descr="Story">
          <a:hlinkClick xmlns:r="http://schemas.openxmlformats.org/officeDocument/2006/relationships" r:id="rId4"/>
          <a:extLst>
            <a:ext uri="{FF2B5EF4-FFF2-40B4-BE49-F238E27FC236}">
              <a16:creationId xmlns:a16="http://schemas.microsoft.com/office/drawing/2014/main" id="{8C56C01D-67D2-46C6-90E3-15E807C3B70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4" name="AutoShape 14" descr="Story">
          <a:hlinkClick xmlns:r="http://schemas.openxmlformats.org/officeDocument/2006/relationships" r:id="rId4"/>
          <a:extLst>
            <a:ext uri="{FF2B5EF4-FFF2-40B4-BE49-F238E27FC236}">
              <a16:creationId xmlns:a16="http://schemas.microsoft.com/office/drawing/2014/main" id="{E194BD6B-1C87-4116-A9D8-C2DB74C8FC2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734</xdr:row>
      <xdr:rowOff>0</xdr:rowOff>
    </xdr:from>
    <xdr:to>
      <xdr:col>1</xdr:col>
      <xdr:colOff>152400</xdr:colOff>
      <xdr:row>734</xdr:row>
      <xdr:rowOff>152400</xdr:rowOff>
    </xdr:to>
    <xdr:sp macro="" textlink="">
      <xdr:nvSpPr>
        <xdr:cNvPr id="695" name="AutoShape 4" descr="Bug">
          <a:hlinkClick xmlns:r="http://schemas.openxmlformats.org/officeDocument/2006/relationships" r:id="rId1"/>
          <a:extLst>
            <a:ext uri="{FF2B5EF4-FFF2-40B4-BE49-F238E27FC236}">
              <a16:creationId xmlns:a16="http://schemas.microsoft.com/office/drawing/2014/main" id="{8B167B1A-BB51-4397-A37D-09E4E03C5CC1}"/>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6" name="AutoShape 6" descr="Bug">
          <a:hlinkClick xmlns:r="http://schemas.openxmlformats.org/officeDocument/2006/relationships" r:id="rId2"/>
          <a:extLst>
            <a:ext uri="{FF2B5EF4-FFF2-40B4-BE49-F238E27FC236}">
              <a16:creationId xmlns:a16="http://schemas.microsoft.com/office/drawing/2014/main" id="{7A63196C-95C1-4BC8-B8FB-89A1502EF874}"/>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7" name="AutoShape 7" descr="Story">
          <a:hlinkClick xmlns:r="http://schemas.openxmlformats.org/officeDocument/2006/relationships" r:id="rId3"/>
          <a:extLst>
            <a:ext uri="{FF2B5EF4-FFF2-40B4-BE49-F238E27FC236}">
              <a16:creationId xmlns:a16="http://schemas.microsoft.com/office/drawing/2014/main" id="{13420FC9-FC13-4AF2-9C7C-EE47AE8A1CD0}"/>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8" name="AutoShape 8" descr="Story">
          <a:hlinkClick xmlns:r="http://schemas.openxmlformats.org/officeDocument/2006/relationships" r:id="rId4"/>
          <a:extLst>
            <a:ext uri="{FF2B5EF4-FFF2-40B4-BE49-F238E27FC236}">
              <a16:creationId xmlns:a16="http://schemas.microsoft.com/office/drawing/2014/main" id="{05315046-78D3-4A8F-B26E-EA99DEDE508A}"/>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9" name="AutoShape 9" descr="Story">
          <a:hlinkClick xmlns:r="http://schemas.openxmlformats.org/officeDocument/2006/relationships" r:id="rId5"/>
          <a:extLst>
            <a:ext uri="{FF2B5EF4-FFF2-40B4-BE49-F238E27FC236}">
              <a16:creationId xmlns:a16="http://schemas.microsoft.com/office/drawing/2014/main" id="{906FCE8A-BCBA-4CD8-B063-977DD92CC032}"/>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0" name="AutoShape 10" descr="Story">
          <a:hlinkClick xmlns:r="http://schemas.openxmlformats.org/officeDocument/2006/relationships" r:id="rId6"/>
          <a:extLst>
            <a:ext uri="{FF2B5EF4-FFF2-40B4-BE49-F238E27FC236}">
              <a16:creationId xmlns:a16="http://schemas.microsoft.com/office/drawing/2014/main" id="{14CE72E1-E139-447A-BE79-9E1DCD2DA3AB}"/>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1" name="AutoShape 13" descr="Story">
          <a:hlinkClick xmlns:r="http://schemas.openxmlformats.org/officeDocument/2006/relationships" r:id="rId4"/>
          <a:extLst>
            <a:ext uri="{FF2B5EF4-FFF2-40B4-BE49-F238E27FC236}">
              <a16:creationId xmlns:a16="http://schemas.microsoft.com/office/drawing/2014/main" id="{56912731-6B3D-4B83-B632-A12E08C2B0A9}"/>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2" name="AutoShape 14" descr="Story">
          <a:hlinkClick xmlns:r="http://schemas.openxmlformats.org/officeDocument/2006/relationships" r:id="rId4"/>
          <a:extLst>
            <a:ext uri="{FF2B5EF4-FFF2-40B4-BE49-F238E27FC236}">
              <a16:creationId xmlns:a16="http://schemas.microsoft.com/office/drawing/2014/main" id="{0ECD199B-0083-4EEA-9644-12BABF8D4F7F}"/>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3" name="AutoShape 4" descr="Bug">
          <a:hlinkClick xmlns:r="http://schemas.openxmlformats.org/officeDocument/2006/relationships" r:id="rId1"/>
          <a:extLst>
            <a:ext uri="{FF2B5EF4-FFF2-40B4-BE49-F238E27FC236}">
              <a16:creationId xmlns:a16="http://schemas.microsoft.com/office/drawing/2014/main" id="{C5E7187B-0CE6-4162-8F66-0468AA33E7E7}"/>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4" name="AutoShape 6" descr="Bug">
          <a:hlinkClick xmlns:r="http://schemas.openxmlformats.org/officeDocument/2006/relationships" r:id="rId2"/>
          <a:extLst>
            <a:ext uri="{FF2B5EF4-FFF2-40B4-BE49-F238E27FC236}">
              <a16:creationId xmlns:a16="http://schemas.microsoft.com/office/drawing/2014/main" id="{19F3C725-01AD-42A5-98C5-729D06191646}"/>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5" name="AutoShape 7" descr="Story">
          <a:hlinkClick xmlns:r="http://schemas.openxmlformats.org/officeDocument/2006/relationships" r:id="rId3"/>
          <a:extLst>
            <a:ext uri="{FF2B5EF4-FFF2-40B4-BE49-F238E27FC236}">
              <a16:creationId xmlns:a16="http://schemas.microsoft.com/office/drawing/2014/main" id="{A5768B3E-1F09-4D69-A4E0-78FB69E5B9A8}"/>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6" name="AutoShape 8" descr="Story">
          <a:hlinkClick xmlns:r="http://schemas.openxmlformats.org/officeDocument/2006/relationships" r:id="rId4"/>
          <a:extLst>
            <a:ext uri="{FF2B5EF4-FFF2-40B4-BE49-F238E27FC236}">
              <a16:creationId xmlns:a16="http://schemas.microsoft.com/office/drawing/2014/main" id="{0958FC1E-78E5-4496-8D61-10EEDB9B0B71}"/>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7" name="AutoShape 9" descr="Story">
          <a:hlinkClick xmlns:r="http://schemas.openxmlformats.org/officeDocument/2006/relationships" r:id="rId5"/>
          <a:extLst>
            <a:ext uri="{FF2B5EF4-FFF2-40B4-BE49-F238E27FC236}">
              <a16:creationId xmlns:a16="http://schemas.microsoft.com/office/drawing/2014/main" id="{D2AC0353-7AD0-4311-87F3-AF5673D0882B}"/>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8" name="AutoShape 10" descr="Story">
          <a:hlinkClick xmlns:r="http://schemas.openxmlformats.org/officeDocument/2006/relationships" r:id="rId6"/>
          <a:extLst>
            <a:ext uri="{FF2B5EF4-FFF2-40B4-BE49-F238E27FC236}">
              <a16:creationId xmlns:a16="http://schemas.microsoft.com/office/drawing/2014/main" id="{AF0ADB1D-86E5-4449-A22B-9C26FB99B38E}"/>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9" name="AutoShape 13" descr="Story">
          <a:hlinkClick xmlns:r="http://schemas.openxmlformats.org/officeDocument/2006/relationships" r:id="rId4"/>
          <a:extLst>
            <a:ext uri="{FF2B5EF4-FFF2-40B4-BE49-F238E27FC236}">
              <a16:creationId xmlns:a16="http://schemas.microsoft.com/office/drawing/2014/main" id="{7A3D3D2A-FE78-42DA-96AE-67AE047A9593}"/>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10" name="AutoShape 14" descr="Story">
          <a:hlinkClick xmlns:r="http://schemas.openxmlformats.org/officeDocument/2006/relationships" r:id="rId4"/>
          <a:extLst>
            <a:ext uri="{FF2B5EF4-FFF2-40B4-BE49-F238E27FC236}">
              <a16:creationId xmlns:a16="http://schemas.microsoft.com/office/drawing/2014/main" id="{B17DC75B-62E1-4DFA-8AFE-B3DED97253AF}"/>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1" name="AutoShape 4" descr="Bug">
          <a:hlinkClick xmlns:r="http://schemas.openxmlformats.org/officeDocument/2006/relationships" r:id="rId1"/>
          <a:extLst>
            <a:ext uri="{FF2B5EF4-FFF2-40B4-BE49-F238E27FC236}">
              <a16:creationId xmlns:a16="http://schemas.microsoft.com/office/drawing/2014/main" id="{67F18C21-FB36-4EF2-9478-623207E8E6C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2" name="AutoShape 6" descr="Bug">
          <a:hlinkClick xmlns:r="http://schemas.openxmlformats.org/officeDocument/2006/relationships" r:id="rId2"/>
          <a:extLst>
            <a:ext uri="{FF2B5EF4-FFF2-40B4-BE49-F238E27FC236}">
              <a16:creationId xmlns:a16="http://schemas.microsoft.com/office/drawing/2014/main" id="{368EA950-8C86-4681-BF3D-6F81F6FF0F2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3" name="AutoShape 7" descr="Story">
          <a:hlinkClick xmlns:r="http://schemas.openxmlformats.org/officeDocument/2006/relationships" r:id="rId3"/>
          <a:extLst>
            <a:ext uri="{FF2B5EF4-FFF2-40B4-BE49-F238E27FC236}">
              <a16:creationId xmlns:a16="http://schemas.microsoft.com/office/drawing/2014/main" id="{7B8E6069-2BAA-4463-81FA-B5EA7A8F10E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4" name="AutoShape 8" descr="Story">
          <a:hlinkClick xmlns:r="http://schemas.openxmlformats.org/officeDocument/2006/relationships" r:id="rId4"/>
          <a:extLst>
            <a:ext uri="{FF2B5EF4-FFF2-40B4-BE49-F238E27FC236}">
              <a16:creationId xmlns:a16="http://schemas.microsoft.com/office/drawing/2014/main" id="{586FAED9-106C-46E6-AD2D-8B3C17E18B4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5" name="AutoShape 9" descr="Story">
          <a:hlinkClick xmlns:r="http://schemas.openxmlformats.org/officeDocument/2006/relationships" r:id="rId5"/>
          <a:extLst>
            <a:ext uri="{FF2B5EF4-FFF2-40B4-BE49-F238E27FC236}">
              <a16:creationId xmlns:a16="http://schemas.microsoft.com/office/drawing/2014/main" id="{DB2F5E2B-CBFD-4AE8-8911-3DDC74120F5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6" name="AutoShape 10" descr="Story">
          <a:hlinkClick xmlns:r="http://schemas.openxmlformats.org/officeDocument/2006/relationships" r:id="rId6"/>
          <a:extLst>
            <a:ext uri="{FF2B5EF4-FFF2-40B4-BE49-F238E27FC236}">
              <a16:creationId xmlns:a16="http://schemas.microsoft.com/office/drawing/2014/main" id="{956AB148-114C-4434-A2B4-2295BEB561B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7" name="AutoShape 13" descr="Story">
          <a:hlinkClick xmlns:r="http://schemas.openxmlformats.org/officeDocument/2006/relationships" r:id="rId4"/>
          <a:extLst>
            <a:ext uri="{FF2B5EF4-FFF2-40B4-BE49-F238E27FC236}">
              <a16:creationId xmlns:a16="http://schemas.microsoft.com/office/drawing/2014/main" id="{1F08E4D6-5FC2-4D87-93BB-60FD40BD427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8" name="AutoShape 14" descr="Story">
          <a:hlinkClick xmlns:r="http://schemas.openxmlformats.org/officeDocument/2006/relationships" r:id="rId4"/>
          <a:extLst>
            <a:ext uri="{FF2B5EF4-FFF2-40B4-BE49-F238E27FC236}">
              <a16:creationId xmlns:a16="http://schemas.microsoft.com/office/drawing/2014/main" id="{FC40AA64-DA7B-412C-9204-E9AB1D517248}"/>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9" name="AutoShape 4" descr="Bug">
          <a:hlinkClick xmlns:r="http://schemas.openxmlformats.org/officeDocument/2006/relationships" r:id="rId1"/>
          <a:extLst>
            <a:ext uri="{FF2B5EF4-FFF2-40B4-BE49-F238E27FC236}">
              <a16:creationId xmlns:a16="http://schemas.microsoft.com/office/drawing/2014/main" id="{156A5D0F-52DE-4FE5-B89C-80BD0E99F53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0" name="AutoShape 6" descr="Bug">
          <a:hlinkClick xmlns:r="http://schemas.openxmlformats.org/officeDocument/2006/relationships" r:id="rId2"/>
          <a:extLst>
            <a:ext uri="{FF2B5EF4-FFF2-40B4-BE49-F238E27FC236}">
              <a16:creationId xmlns:a16="http://schemas.microsoft.com/office/drawing/2014/main" id="{458852F9-5B64-46B8-A138-4C52F73AF6BA}"/>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1" name="AutoShape 7" descr="Story">
          <a:hlinkClick xmlns:r="http://schemas.openxmlformats.org/officeDocument/2006/relationships" r:id="rId3"/>
          <a:extLst>
            <a:ext uri="{FF2B5EF4-FFF2-40B4-BE49-F238E27FC236}">
              <a16:creationId xmlns:a16="http://schemas.microsoft.com/office/drawing/2014/main" id="{A26A7002-FAD4-4969-A71D-BD3E4F4C759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2" name="AutoShape 8" descr="Story">
          <a:hlinkClick xmlns:r="http://schemas.openxmlformats.org/officeDocument/2006/relationships" r:id="rId4"/>
          <a:extLst>
            <a:ext uri="{FF2B5EF4-FFF2-40B4-BE49-F238E27FC236}">
              <a16:creationId xmlns:a16="http://schemas.microsoft.com/office/drawing/2014/main" id="{7ABC07D8-F69E-42A0-BB58-2582A74DF53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3" name="AutoShape 9" descr="Story">
          <a:hlinkClick xmlns:r="http://schemas.openxmlformats.org/officeDocument/2006/relationships" r:id="rId5"/>
          <a:extLst>
            <a:ext uri="{FF2B5EF4-FFF2-40B4-BE49-F238E27FC236}">
              <a16:creationId xmlns:a16="http://schemas.microsoft.com/office/drawing/2014/main" id="{13C5D4E4-8339-4F44-9536-0F3410B76A3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4" name="AutoShape 10" descr="Story">
          <a:hlinkClick xmlns:r="http://schemas.openxmlformats.org/officeDocument/2006/relationships" r:id="rId6"/>
          <a:extLst>
            <a:ext uri="{FF2B5EF4-FFF2-40B4-BE49-F238E27FC236}">
              <a16:creationId xmlns:a16="http://schemas.microsoft.com/office/drawing/2014/main" id="{0814041E-A2BD-4BF9-AF82-7C3C2C016B5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5" name="AutoShape 13" descr="Story">
          <a:hlinkClick xmlns:r="http://schemas.openxmlformats.org/officeDocument/2006/relationships" r:id="rId4"/>
          <a:extLst>
            <a:ext uri="{FF2B5EF4-FFF2-40B4-BE49-F238E27FC236}">
              <a16:creationId xmlns:a16="http://schemas.microsoft.com/office/drawing/2014/main" id="{73B061DE-5777-4CA4-B46F-9A7E535296E0}"/>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6" name="AutoShape 14" descr="Story">
          <a:hlinkClick xmlns:r="http://schemas.openxmlformats.org/officeDocument/2006/relationships" r:id="rId4"/>
          <a:extLst>
            <a:ext uri="{FF2B5EF4-FFF2-40B4-BE49-F238E27FC236}">
              <a16:creationId xmlns:a16="http://schemas.microsoft.com/office/drawing/2014/main" id="{95DFAF6E-4772-44CD-A1F9-A5553D3B38C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7" name="AutoShape 4" descr="Bug">
          <a:hlinkClick xmlns:r="http://schemas.openxmlformats.org/officeDocument/2006/relationships" r:id="rId1"/>
          <a:extLst>
            <a:ext uri="{FF2B5EF4-FFF2-40B4-BE49-F238E27FC236}">
              <a16:creationId xmlns:a16="http://schemas.microsoft.com/office/drawing/2014/main" id="{A1B15274-AFDD-404A-A887-10F0E6D700F2}"/>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8" name="AutoShape 6" descr="Bug">
          <a:hlinkClick xmlns:r="http://schemas.openxmlformats.org/officeDocument/2006/relationships" r:id="rId2"/>
          <a:extLst>
            <a:ext uri="{FF2B5EF4-FFF2-40B4-BE49-F238E27FC236}">
              <a16:creationId xmlns:a16="http://schemas.microsoft.com/office/drawing/2014/main" id="{926C1616-88BB-47A1-8B0A-373337BEF933}"/>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9" name="AutoShape 7" descr="Story">
          <a:hlinkClick xmlns:r="http://schemas.openxmlformats.org/officeDocument/2006/relationships" r:id="rId3"/>
          <a:extLst>
            <a:ext uri="{FF2B5EF4-FFF2-40B4-BE49-F238E27FC236}">
              <a16:creationId xmlns:a16="http://schemas.microsoft.com/office/drawing/2014/main" id="{28886F70-A35B-4DA0-BE0E-4EDEB1679A9C}"/>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0" name="AutoShape 8" descr="Story">
          <a:hlinkClick xmlns:r="http://schemas.openxmlformats.org/officeDocument/2006/relationships" r:id="rId4"/>
          <a:extLst>
            <a:ext uri="{FF2B5EF4-FFF2-40B4-BE49-F238E27FC236}">
              <a16:creationId xmlns:a16="http://schemas.microsoft.com/office/drawing/2014/main" id="{0BAC3EBB-872D-447B-A0BB-A0D0078167C3}"/>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1" name="AutoShape 9" descr="Story">
          <a:hlinkClick xmlns:r="http://schemas.openxmlformats.org/officeDocument/2006/relationships" r:id="rId5"/>
          <a:extLst>
            <a:ext uri="{FF2B5EF4-FFF2-40B4-BE49-F238E27FC236}">
              <a16:creationId xmlns:a16="http://schemas.microsoft.com/office/drawing/2014/main" id="{3D9C924E-928F-4424-AD2A-2D6FB6BDEAB1}"/>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2" name="AutoShape 10" descr="Story">
          <a:hlinkClick xmlns:r="http://schemas.openxmlformats.org/officeDocument/2006/relationships" r:id="rId6"/>
          <a:extLst>
            <a:ext uri="{FF2B5EF4-FFF2-40B4-BE49-F238E27FC236}">
              <a16:creationId xmlns:a16="http://schemas.microsoft.com/office/drawing/2014/main" id="{67010496-5DBF-4054-9EF7-8A1D6373531B}"/>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3" name="AutoShape 13" descr="Story">
          <a:hlinkClick xmlns:r="http://schemas.openxmlformats.org/officeDocument/2006/relationships" r:id="rId4"/>
          <a:extLst>
            <a:ext uri="{FF2B5EF4-FFF2-40B4-BE49-F238E27FC236}">
              <a16:creationId xmlns:a16="http://schemas.microsoft.com/office/drawing/2014/main" id="{C2598DED-C06F-4B93-8C6E-33D0A223212F}"/>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4" name="AutoShape 14" descr="Story">
          <a:hlinkClick xmlns:r="http://schemas.openxmlformats.org/officeDocument/2006/relationships" r:id="rId4"/>
          <a:extLst>
            <a:ext uri="{FF2B5EF4-FFF2-40B4-BE49-F238E27FC236}">
              <a16:creationId xmlns:a16="http://schemas.microsoft.com/office/drawing/2014/main" id="{DC6AE841-1908-4839-B491-63A4523A0CFB}"/>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5" name="AutoShape 4" descr="Bug">
          <a:hlinkClick xmlns:r="http://schemas.openxmlformats.org/officeDocument/2006/relationships" r:id="rId1"/>
          <a:extLst>
            <a:ext uri="{FF2B5EF4-FFF2-40B4-BE49-F238E27FC236}">
              <a16:creationId xmlns:a16="http://schemas.microsoft.com/office/drawing/2014/main" id="{43F1A802-1627-4130-93B7-1F688017B86E}"/>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6" name="AutoShape 6" descr="Bug">
          <a:hlinkClick xmlns:r="http://schemas.openxmlformats.org/officeDocument/2006/relationships" r:id="rId2"/>
          <a:extLst>
            <a:ext uri="{FF2B5EF4-FFF2-40B4-BE49-F238E27FC236}">
              <a16:creationId xmlns:a16="http://schemas.microsoft.com/office/drawing/2014/main" id="{75FC5688-67E2-4304-B65C-7BE9A4C92CF1}"/>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7" name="AutoShape 7" descr="Story">
          <a:hlinkClick xmlns:r="http://schemas.openxmlformats.org/officeDocument/2006/relationships" r:id="rId3"/>
          <a:extLst>
            <a:ext uri="{FF2B5EF4-FFF2-40B4-BE49-F238E27FC236}">
              <a16:creationId xmlns:a16="http://schemas.microsoft.com/office/drawing/2014/main" id="{0E01C196-73DD-456E-8205-C8FCBA845C42}"/>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8" name="AutoShape 8" descr="Story">
          <a:hlinkClick xmlns:r="http://schemas.openxmlformats.org/officeDocument/2006/relationships" r:id="rId4"/>
          <a:extLst>
            <a:ext uri="{FF2B5EF4-FFF2-40B4-BE49-F238E27FC236}">
              <a16:creationId xmlns:a16="http://schemas.microsoft.com/office/drawing/2014/main" id="{5735CF10-9216-4596-A94C-995658917E25}"/>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9" name="AutoShape 9" descr="Story">
          <a:hlinkClick xmlns:r="http://schemas.openxmlformats.org/officeDocument/2006/relationships" r:id="rId5"/>
          <a:extLst>
            <a:ext uri="{FF2B5EF4-FFF2-40B4-BE49-F238E27FC236}">
              <a16:creationId xmlns:a16="http://schemas.microsoft.com/office/drawing/2014/main" id="{18D52B16-DBF2-412B-99D4-B0FB78A18E56}"/>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0" name="AutoShape 10" descr="Story">
          <a:hlinkClick xmlns:r="http://schemas.openxmlformats.org/officeDocument/2006/relationships" r:id="rId6"/>
          <a:extLst>
            <a:ext uri="{FF2B5EF4-FFF2-40B4-BE49-F238E27FC236}">
              <a16:creationId xmlns:a16="http://schemas.microsoft.com/office/drawing/2014/main" id="{40D2C422-10DA-486B-BF02-A59F0D55BB40}"/>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1" name="AutoShape 13" descr="Story">
          <a:hlinkClick xmlns:r="http://schemas.openxmlformats.org/officeDocument/2006/relationships" r:id="rId4"/>
          <a:extLst>
            <a:ext uri="{FF2B5EF4-FFF2-40B4-BE49-F238E27FC236}">
              <a16:creationId xmlns:a16="http://schemas.microsoft.com/office/drawing/2014/main" id="{21AAA166-2585-4765-A632-7AFC747A1CC7}"/>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2" name="AutoShape 14" descr="Story">
          <a:hlinkClick xmlns:r="http://schemas.openxmlformats.org/officeDocument/2006/relationships" r:id="rId4"/>
          <a:extLst>
            <a:ext uri="{FF2B5EF4-FFF2-40B4-BE49-F238E27FC236}">
              <a16:creationId xmlns:a16="http://schemas.microsoft.com/office/drawing/2014/main" id="{2EB3A5C4-D81E-44CB-BEDA-72F75B07BD69}"/>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3" name="AutoShape 4" descr="Bug">
          <a:hlinkClick xmlns:r="http://schemas.openxmlformats.org/officeDocument/2006/relationships" r:id="rId1"/>
          <a:extLst>
            <a:ext uri="{FF2B5EF4-FFF2-40B4-BE49-F238E27FC236}">
              <a16:creationId xmlns:a16="http://schemas.microsoft.com/office/drawing/2014/main" id="{E075E57F-AB19-431E-BDB4-90E0137DF7A8}"/>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4" name="AutoShape 6" descr="Bug">
          <a:hlinkClick xmlns:r="http://schemas.openxmlformats.org/officeDocument/2006/relationships" r:id="rId2"/>
          <a:extLst>
            <a:ext uri="{FF2B5EF4-FFF2-40B4-BE49-F238E27FC236}">
              <a16:creationId xmlns:a16="http://schemas.microsoft.com/office/drawing/2014/main" id="{A3B1E757-3046-4AA5-88C1-98C03037AB2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5" name="AutoShape 7" descr="Story">
          <a:hlinkClick xmlns:r="http://schemas.openxmlformats.org/officeDocument/2006/relationships" r:id="rId3"/>
          <a:extLst>
            <a:ext uri="{FF2B5EF4-FFF2-40B4-BE49-F238E27FC236}">
              <a16:creationId xmlns:a16="http://schemas.microsoft.com/office/drawing/2014/main" id="{182505A7-C8CE-4510-917B-006B20E4042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6" name="AutoShape 8" descr="Story">
          <a:hlinkClick xmlns:r="http://schemas.openxmlformats.org/officeDocument/2006/relationships" r:id="rId4"/>
          <a:extLst>
            <a:ext uri="{FF2B5EF4-FFF2-40B4-BE49-F238E27FC236}">
              <a16:creationId xmlns:a16="http://schemas.microsoft.com/office/drawing/2014/main" id="{40ABD7EE-8452-4FA2-9752-382C78DFF7E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7" name="AutoShape 9" descr="Story">
          <a:hlinkClick xmlns:r="http://schemas.openxmlformats.org/officeDocument/2006/relationships" r:id="rId5"/>
          <a:extLst>
            <a:ext uri="{FF2B5EF4-FFF2-40B4-BE49-F238E27FC236}">
              <a16:creationId xmlns:a16="http://schemas.microsoft.com/office/drawing/2014/main" id="{1EAC5C51-6EA6-4F2D-B146-B87AF31A06E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8" name="AutoShape 10" descr="Story">
          <a:hlinkClick xmlns:r="http://schemas.openxmlformats.org/officeDocument/2006/relationships" r:id="rId6"/>
          <a:extLst>
            <a:ext uri="{FF2B5EF4-FFF2-40B4-BE49-F238E27FC236}">
              <a16:creationId xmlns:a16="http://schemas.microsoft.com/office/drawing/2014/main" id="{01EDD135-63A0-4DE9-96E2-77CBD856261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9" name="AutoShape 13" descr="Story">
          <a:hlinkClick xmlns:r="http://schemas.openxmlformats.org/officeDocument/2006/relationships" r:id="rId4"/>
          <a:extLst>
            <a:ext uri="{FF2B5EF4-FFF2-40B4-BE49-F238E27FC236}">
              <a16:creationId xmlns:a16="http://schemas.microsoft.com/office/drawing/2014/main" id="{0319AC8B-1387-49E2-9944-5DBACE37F74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0" name="AutoShape 14" descr="Story">
          <a:hlinkClick xmlns:r="http://schemas.openxmlformats.org/officeDocument/2006/relationships" r:id="rId4"/>
          <a:extLst>
            <a:ext uri="{FF2B5EF4-FFF2-40B4-BE49-F238E27FC236}">
              <a16:creationId xmlns:a16="http://schemas.microsoft.com/office/drawing/2014/main" id="{DA53357A-C5A0-47F0-A36E-8B51F99D564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1" name="AutoShape 4" descr="Bug">
          <a:hlinkClick xmlns:r="http://schemas.openxmlformats.org/officeDocument/2006/relationships" r:id="rId1"/>
          <a:extLst>
            <a:ext uri="{FF2B5EF4-FFF2-40B4-BE49-F238E27FC236}">
              <a16:creationId xmlns:a16="http://schemas.microsoft.com/office/drawing/2014/main" id="{57F05691-873C-46E7-BE3E-CFF29F4DF98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2" name="AutoShape 6" descr="Bug">
          <a:hlinkClick xmlns:r="http://schemas.openxmlformats.org/officeDocument/2006/relationships" r:id="rId2"/>
          <a:extLst>
            <a:ext uri="{FF2B5EF4-FFF2-40B4-BE49-F238E27FC236}">
              <a16:creationId xmlns:a16="http://schemas.microsoft.com/office/drawing/2014/main" id="{B089506B-48BD-4B7B-89FB-046D0BBCBA7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3" name="AutoShape 7" descr="Story">
          <a:hlinkClick xmlns:r="http://schemas.openxmlformats.org/officeDocument/2006/relationships" r:id="rId3"/>
          <a:extLst>
            <a:ext uri="{FF2B5EF4-FFF2-40B4-BE49-F238E27FC236}">
              <a16:creationId xmlns:a16="http://schemas.microsoft.com/office/drawing/2014/main" id="{6AFE8DAE-979F-40DA-8230-BC704CB4449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4" name="AutoShape 8" descr="Story">
          <a:hlinkClick xmlns:r="http://schemas.openxmlformats.org/officeDocument/2006/relationships" r:id="rId4"/>
          <a:extLst>
            <a:ext uri="{FF2B5EF4-FFF2-40B4-BE49-F238E27FC236}">
              <a16:creationId xmlns:a16="http://schemas.microsoft.com/office/drawing/2014/main" id="{6B418235-B821-47CF-9CDA-74B84CB63B5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5" name="AutoShape 9" descr="Story">
          <a:hlinkClick xmlns:r="http://schemas.openxmlformats.org/officeDocument/2006/relationships" r:id="rId5"/>
          <a:extLst>
            <a:ext uri="{FF2B5EF4-FFF2-40B4-BE49-F238E27FC236}">
              <a16:creationId xmlns:a16="http://schemas.microsoft.com/office/drawing/2014/main" id="{7E8294B5-CA3E-4DE7-B26A-948CFCF849D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6" name="AutoShape 10" descr="Story">
          <a:hlinkClick xmlns:r="http://schemas.openxmlformats.org/officeDocument/2006/relationships" r:id="rId6"/>
          <a:extLst>
            <a:ext uri="{FF2B5EF4-FFF2-40B4-BE49-F238E27FC236}">
              <a16:creationId xmlns:a16="http://schemas.microsoft.com/office/drawing/2014/main" id="{EF800488-5CDD-4E83-83B1-DCBF789F20E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7" name="AutoShape 13" descr="Story">
          <a:hlinkClick xmlns:r="http://schemas.openxmlformats.org/officeDocument/2006/relationships" r:id="rId4"/>
          <a:extLst>
            <a:ext uri="{FF2B5EF4-FFF2-40B4-BE49-F238E27FC236}">
              <a16:creationId xmlns:a16="http://schemas.microsoft.com/office/drawing/2014/main" id="{6032455E-6936-422B-9740-788257CF07A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8" name="AutoShape 14" descr="Story">
          <a:hlinkClick xmlns:r="http://schemas.openxmlformats.org/officeDocument/2006/relationships" r:id="rId4"/>
          <a:extLst>
            <a:ext uri="{FF2B5EF4-FFF2-40B4-BE49-F238E27FC236}">
              <a16:creationId xmlns:a16="http://schemas.microsoft.com/office/drawing/2014/main" id="{CF11C916-6A72-407B-ABE7-2FD327E7C7A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59" name="AutoShape 4" descr="Bug">
          <a:hlinkClick xmlns:r="http://schemas.openxmlformats.org/officeDocument/2006/relationships" r:id="rId1"/>
          <a:extLst>
            <a:ext uri="{FF2B5EF4-FFF2-40B4-BE49-F238E27FC236}">
              <a16:creationId xmlns:a16="http://schemas.microsoft.com/office/drawing/2014/main" id="{76D274EC-246C-43AE-83F5-B6F4FD4FC09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0" name="AutoShape 6" descr="Bug">
          <a:hlinkClick xmlns:r="http://schemas.openxmlformats.org/officeDocument/2006/relationships" r:id="rId2"/>
          <a:extLst>
            <a:ext uri="{FF2B5EF4-FFF2-40B4-BE49-F238E27FC236}">
              <a16:creationId xmlns:a16="http://schemas.microsoft.com/office/drawing/2014/main" id="{83FEBC9B-B200-4648-B6CA-560C8D4EF8B3}"/>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1" name="AutoShape 7" descr="Story">
          <a:hlinkClick xmlns:r="http://schemas.openxmlformats.org/officeDocument/2006/relationships" r:id="rId3"/>
          <a:extLst>
            <a:ext uri="{FF2B5EF4-FFF2-40B4-BE49-F238E27FC236}">
              <a16:creationId xmlns:a16="http://schemas.microsoft.com/office/drawing/2014/main" id="{B12CC145-BAC2-4CF8-9E50-CAC87D475CB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2" name="AutoShape 8" descr="Story">
          <a:hlinkClick xmlns:r="http://schemas.openxmlformats.org/officeDocument/2006/relationships" r:id="rId4"/>
          <a:extLst>
            <a:ext uri="{FF2B5EF4-FFF2-40B4-BE49-F238E27FC236}">
              <a16:creationId xmlns:a16="http://schemas.microsoft.com/office/drawing/2014/main" id="{EC0DFC35-F404-4B9C-AD79-DC7B1BBDC25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3" name="AutoShape 9" descr="Story">
          <a:hlinkClick xmlns:r="http://schemas.openxmlformats.org/officeDocument/2006/relationships" r:id="rId5"/>
          <a:extLst>
            <a:ext uri="{FF2B5EF4-FFF2-40B4-BE49-F238E27FC236}">
              <a16:creationId xmlns:a16="http://schemas.microsoft.com/office/drawing/2014/main" id="{D43A46B6-97DB-44EB-B0BD-BD1E32BEE138}"/>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4" name="AutoShape 10" descr="Story">
          <a:hlinkClick xmlns:r="http://schemas.openxmlformats.org/officeDocument/2006/relationships" r:id="rId6"/>
          <a:extLst>
            <a:ext uri="{FF2B5EF4-FFF2-40B4-BE49-F238E27FC236}">
              <a16:creationId xmlns:a16="http://schemas.microsoft.com/office/drawing/2014/main" id="{5C97F0CC-849A-476E-997B-702441D2B9D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5" name="AutoShape 13" descr="Story">
          <a:hlinkClick xmlns:r="http://schemas.openxmlformats.org/officeDocument/2006/relationships" r:id="rId4"/>
          <a:extLst>
            <a:ext uri="{FF2B5EF4-FFF2-40B4-BE49-F238E27FC236}">
              <a16:creationId xmlns:a16="http://schemas.microsoft.com/office/drawing/2014/main" id="{47796636-7885-4CDC-BB8C-AFB26C3FD8E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6" name="AutoShape 14" descr="Story">
          <a:hlinkClick xmlns:r="http://schemas.openxmlformats.org/officeDocument/2006/relationships" r:id="rId4"/>
          <a:extLst>
            <a:ext uri="{FF2B5EF4-FFF2-40B4-BE49-F238E27FC236}">
              <a16:creationId xmlns:a16="http://schemas.microsoft.com/office/drawing/2014/main" id="{F31DC6C1-E2E2-4AC4-9A77-FAC5AF89D630}"/>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7" name="AutoShape 4" descr="Bug">
          <a:hlinkClick xmlns:r="http://schemas.openxmlformats.org/officeDocument/2006/relationships" r:id="rId1"/>
          <a:extLst>
            <a:ext uri="{FF2B5EF4-FFF2-40B4-BE49-F238E27FC236}">
              <a16:creationId xmlns:a16="http://schemas.microsoft.com/office/drawing/2014/main" id="{EF4B5199-7825-47AD-9964-FA49CB610C3E}"/>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8" name="AutoShape 6" descr="Bug">
          <a:hlinkClick xmlns:r="http://schemas.openxmlformats.org/officeDocument/2006/relationships" r:id="rId2"/>
          <a:extLst>
            <a:ext uri="{FF2B5EF4-FFF2-40B4-BE49-F238E27FC236}">
              <a16:creationId xmlns:a16="http://schemas.microsoft.com/office/drawing/2014/main" id="{9A230248-3D41-4EA8-9E97-FC6B39AECB1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9" name="AutoShape 7" descr="Story">
          <a:hlinkClick xmlns:r="http://schemas.openxmlformats.org/officeDocument/2006/relationships" r:id="rId3"/>
          <a:extLst>
            <a:ext uri="{FF2B5EF4-FFF2-40B4-BE49-F238E27FC236}">
              <a16:creationId xmlns:a16="http://schemas.microsoft.com/office/drawing/2014/main" id="{9125A05B-7388-48A2-898B-0B94C9B1BFBC}"/>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0" name="AutoShape 8" descr="Story">
          <a:hlinkClick xmlns:r="http://schemas.openxmlformats.org/officeDocument/2006/relationships" r:id="rId4"/>
          <a:extLst>
            <a:ext uri="{FF2B5EF4-FFF2-40B4-BE49-F238E27FC236}">
              <a16:creationId xmlns:a16="http://schemas.microsoft.com/office/drawing/2014/main" id="{5F985BBA-4002-4EAB-9735-2556A8D97E2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1" name="AutoShape 9" descr="Story">
          <a:hlinkClick xmlns:r="http://schemas.openxmlformats.org/officeDocument/2006/relationships" r:id="rId5"/>
          <a:extLst>
            <a:ext uri="{FF2B5EF4-FFF2-40B4-BE49-F238E27FC236}">
              <a16:creationId xmlns:a16="http://schemas.microsoft.com/office/drawing/2014/main" id="{5BB43FA3-C68D-43A3-9D88-AFE29723F53C}"/>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2" name="AutoShape 10" descr="Story">
          <a:hlinkClick xmlns:r="http://schemas.openxmlformats.org/officeDocument/2006/relationships" r:id="rId6"/>
          <a:extLst>
            <a:ext uri="{FF2B5EF4-FFF2-40B4-BE49-F238E27FC236}">
              <a16:creationId xmlns:a16="http://schemas.microsoft.com/office/drawing/2014/main" id="{12411ED6-74CC-4F0D-A893-7932B3991CF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3" name="AutoShape 13" descr="Story">
          <a:hlinkClick xmlns:r="http://schemas.openxmlformats.org/officeDocument/2006/relationships" r:id="rId4"/>
          <a:extLst>
            <a:ext uri="{FF2B5EF4-FFF2-40B4-BE49-F238E27FC236}">
              <a16:creationId xmlns:a16="http://schemas.microsoft.com/office/drawing/2014/main" id="{33DFC267-6D1F-41C3-A809-A749CA72BEDB}"/>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4" name="AutoShape 14" descr="Story">
          <a:hlinkClick xmlns:r="http://schemas.openxmlformats.org/officeDocument/2006/relationships" r:id="rId4"/>
          <a:extLst>
            <a:ext uri="{FF2B5EF4-FFF2-40B4-BE49-F238E27FC236}">
              <a16:creationId xmlns:a16="http://schemas.microsoft.com/office/drawing/2014/main" id="{A740B9AB-281D-41B1-9821-EED5EE7A63C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5" name="AutoShape 4" descr="Bug">
          <a:hlinkClick xmlns:r="http://schemas.openxmlformats.org/officeDocument/2006/relationships" r:id="rId1"/>
          <a:extLst>
            <a:ext uri="{FF2B5EF4-FFF2-40B4-BE49-F238E27FC236}">
              <a16:creationId xmlns:a16="http://schemas.microsoft.com/office/drawing/2014/main" id="{E41BF027-6E5F-420D-9D81-115096AC6EFE}"/>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6" name="AutoShape 6" descr="Bug">
          <a:hlinkClick xmlns:r="http://schemas.openxmlformats.org/officeDocument/2006/relationships" r:id="rId2"/>
          <a:extLst>
            <a:ext uri="{FF2B5EF4-FFF2-40B4-BE49-F238E27FC236}">
              <a16:creationId xmlns:a16="http://schemas.microsoft.com/office/drawing/2014/main" id="{376E1313-E56B-4C98-A885-F8C88B72635B}"/>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7" name="AutoShape 7" descr="Story">
          <a:hlinkClick xmlns:r="http://schemas.openxmlformats.org/officeDocument/2006/relationships" r:id="rId3"/>
          <a:extLst>
            <a:ext uri="{FF2B5EF4-FFF2-40B4-BE49-F238E27FC236}">
              <a16:creationId xmlns:a16="http://schemas.microsoft.com/office/drawing/2014/main" id="{BC86B878-BA5F-4511-A320-1564B5D03FE2}"/>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8" name="AutoShape 8" descr="Story">
          <a:hlinkClick xmlns:r="http://schemas.openxmlformats.org/officeDocument/2006/relationships" r:id="rId4"/>
          <a:extLst>
            <a:ext uri="{FF2B5EF4-FFF2-40B4-BE49-F238E27FC236}">
              <a16:creationId xmlns:a16="http://schemas.microsoft.com/office/drawing/2014/main" id="{E607BB6C-85FA-4BCC-A0AD-5644D6827D34}"/>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9" name="AutoShape 9" descr="Story">
          <a:hlinkClick xmlns:r="http://schemas.openxmlformats.org/officeDocument/2006/relationships" r:id="rId5"/>
          <a:extLst>
            <a:ext uri="{FF2B5EF4-FFF2-40B4-BE49-F238E27FC236}">
              <a16:creationId xmlns:a16="http://schemas.microsoft.com/office/drawing/2014/main" id="{A9463678-9409-4957-AE8D-33A1233066B0}"/>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0" name="AutoShape 10" descr="Story">
          <a:hlinkClick xmlns:r="http://schemas.openxmlformats.org/officeDocument/2006/relationships" r:id="rId6"/>
          <a:extLst>
            <a:ext uri="{FF2B5EF4-FFF2-40B4-BE49-F238E27FC236}">
              <a16:creationId xmlns:a16="http://schemas.microsoft.com/office/drawing/2014/main" id="{580A1435-D2FF-4DB4-AC69-F266CDAD7376}"/>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1" name="AutoShape 13" descr="Story">
          <a:hlinkClick xmlns:r="http://schemas.openxmlformats.org/officeDocument/2006/relationships" r:id="rId4"/>
          <a:extLst>
            <a:ext uri="{FF2B5EF4-FFF2-40B4-BE49-F238E27FC236}">
              <a16:creationId xmlns:a16="http://schemas.microsoft.com/office/drawing/2014/main" id="{C1178C64-6015-4A81-A50E-59A591265981}"/>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2" name="AutoShape 14" descr="Story">
          <a:hlinkClick xmlns:r="http://schemas.openxmlformats.org/officeDocument/2006/relationships" r:id="rId4"/>
          <a:extLst>
            <a:ext uri="{FF2B5EF4-FFF2-40B4-BE49-F238E27FC236}">
              <a16:creationId xmlns:a16="http://schemas.microsoft.com/office/drawing/2014/main" id="{4AC5CC97-CF5D-4148-BE29-2DB5AFBAB619}"/>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3" name="AutoShape 4" descr="Bug">
          <a:hlinkClick xmlns:r="http://schemas.openxmlformats.org/officeDocument/2006/relationships" r:id="rId1"/>
          <a:extLst>
            <a:ext uri="{FF2B5EF4-FFF2-40B4-BE49-F238E27FC236}">
              <a16:creationId xmlns:a16="http://schemas.microsoft.com/office/drawing/2014/main" id="{DEA42DEB-F8DC-4155-A630-BE1360065B21}"/>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4" name="AutoShape 6" descr="Bug">
          <a:hlinkClick xmlns:r="http://schemas.openxmlformats.org/officeDocument/2006/relationships" r:id="rId2"/>
          <a:extLst>
            <a:ext uri="{FF2B5EF4-FFF2-40B4-BE49-F238E27FC236}">
              <a16:creationId xmlns:a16="http://schemas.microsoft.com/office/drawing/2014/main" id="{85E1C968-19B8-41DF-BB37-A90B0499F049}"/>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5" name="AutoShape 7" descr="Story">
          <a:hlinkClick xmlns:r="http://schemas.openxmlformats.org/officeDocument/2006/relationships" r:id="rId3"/>
          <a:extLst>
            <a:ext uri="{FF2B5EF4-FFF2-40B4-BE49-F238E27FC236}">
              <a16:creationId xmlns:a16="http://schemas.microsoft.com/office/drawing/2014/main" id="{194ED9D3-7629-4A27-9DC3-CFE65036B41F}"/>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6" name="AutoShape 8" descr="Story">
          <a:hlinkClick xmlns:r="http://schemas.openxmlformats.org/officeDocument/2006/relationships" r:id="rId4"/>
          <a:extLst>
            <a:ext uri="{FF2B5EF4-FFF2-40B4-BE49-F238E27FC236}">
              <a16:creationId xmlns:a16="http://schemas.microsoft.com/office/drawing/2014/main" id="{4992C5C9-488A-4087-B80C-F448DF0BC847}"/>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7" name="AutoShape 9" descr="Story">
          <a:hlinkClick xmlns:r="http://schemas.openxmlformats.org/officeDocument/2006/relationships" r:id="rId5"/>
          <a:extLst>
            <a:ext uri="{FF2B5EF4-FFF2-40B4-BE49-F238E27FC236}">
              <a16:creationId xmlns:a16="http://schemas.microsoft.com/office/drawing/2014/main" id="{2B3C2FFB-1F17-4B8A-8133-EC90E770644A}"/>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8" name="AutoShape 10" descr="Story">
          <a:hlinkClick xmlns:r="http://schemas.openxmlformats.org/officeDocument/2006/relationships" r:id="rId6"/>
          <a:extLst>
            <a:ext uri="{FF2B5EF4-FFF2-40B4-BE49-F238E27FC236}">
              <a16:creationId xmlns:a16="http://schemas.microsoft.com/office/drawing/2014/main" id="{58B9C81C-5394-4D58-9676-70BE68216366}"/>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9" name="AutoShape 13" descr="Story">
          <a:hlinkClick xmlns:r="http://schemas.openxmlformats.org/officeDocument/2006/relationships" r:id="rId4"/>
          <a:extLst>
            <a:ext uri="{FF2B5EF4-FFF2-40B4-BE49-F238E27FC236}">
              <a16:creationId xmlns:a16="http://schemas.microsoft.com/office/drawing/2014/main" id="{133A17D2-4847-467E-94B9-7EB438F0A928}"/>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90" name="AutoShape 14" descr="Story">
          <a:hlinkClick xmlns:r="http://schemas.openxmlformats.org/officeDocument/2006/relationships" r:id="rId4"/>
          <a:extLst>
            <a:ext uri="{FF2B5EF4-FFF2-40B4-BE49-F238E27FC236}">
              <a16:creationId xmlns:a16="http://schemas.microsoft.com/office/drawing/2014/main" id="{D53E03D1-920B-43C0-B66E-1D0A034B3B4B}"/>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1" name="AutoShape 4" descr="Bug">
          <a:hlinkClick xmlns:r="http://schemas.openxmlformats.org/officeDocument/2006/relationships" r:id="rId1"/>
          <a:extLst>
            <a:ext uri="{FF2B5EF4-FFF2-40B4-BE49-F238E27FC236}">
              <a16:creationId xmlns:a16="http://schemas.microsoft.com/office/drawing/2014/main" id="{E088AF16-1929-47F7-96F3-526A0E6DC685}"/>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2" name="AutoShape 6" descr="Bug">
          <a:hlinkClick xmlns:r="http://schemas.openxmlformats.org/officeDocument/2006/relationships" r:id="rId2"/>
          <a:extLst>
            <a:ext uri="{FF2B5EF4-FFF2-40B4-BE49-F238E27FC236}">
              <a16:creationId xmlns:a16="http://schemas.microsoft.com/office/drawing/2014/main" id="{6CA29D8F-5625-48E6-8640-73D2C4EB180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3" name="AutoShape 7" descr="Story">
          <a:hlinkClick xmlns:r="http://schemas.openxmlformats.org/officeDocument/2006/relationships" r:id="rId3"/>
          <a:extLst>
            <a:ext uri="{FF2B5EF4-FFF2-40B4-BE49-F238E27FC236}">
              <a16:creationId xmlns:a16="http://schemas.microsoft.com/office/drawing/2014/main" id="{B225CDD7-D0E3-43D9-A023-B00F8A24651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4" name="AutoShape 8" descr="Story">
          <a:hlinkClick xmlns:r="http://schemas.openxmlformats.org/officeDocument/2006/relationships" r:id="rId4"/>
          <a:extLst>
            <a:ext uri="{FF2B5EF4-FFF2-40B4-BE49-F238E27FC236}">
              <a16:creationId xmlns:a16="http://schemas.microsoft.com/office/drawing/2014/main" id="{82CB1CD5-659F-4A13-BC4A-17B58346DE2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5" name="AutoShape 9" descr="Story">
          <a:hlinkClick xmlns:r="http://schemas.openxmlformats.org/officeDocument/2006/relationships" r:id="rId5"/>
          <a:extLst>
            <a:ext uri="{FF2B5EF4-FFF2-40B4-BE49-F238E27FC236}">
              <a16:creationId xmlns:a16="http://schemas.microsoft.com/office/drawing/2014/main" id="{A757D0FC-04B7-4384-A8A8-55239B5A4D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6" name="AutoShape 10" descr="Story">
          <a:hlinkClick xmlns:r="http://schemas.openxmlformats.org/officeDocument/2006/relationships" r:id="rId6"/>
          <a:extLst>
            <a:ext uri="{FF2B5EF4-FFF2-40B4-BE49-F238E27FC236}">
              <a16:creationId xmlns:a16="http://schemas.microsoft.com/office/drawing/2014/main" id="{CCE672BD-3A03-4EDF-B25A-9960A22EB63C}"/>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7" name="AutoShape 13" descr="Story">
          <a:hlinkClick xmlns:r="http://schemas.openxmlformats.org/officeDocument/2006/relationships" r:id="rId4"/>
          <a:extLst>
            <a:ext uri="{FF2B5EF4-FFF2-40B4-BE49-F238E27FC236}">
              <a16:creationId xmlns:a16="http://schemas.microsoft.com/office/drawing/2014/main" id="{4D2BA57D-F83B-467E-8C18-5D474A41426D}"/>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8" name="AutoShape 14" descr="Story">
          <a:hlinkClick xmlns:r="http://schemas.openxmlformats.org/officeDocument/2006/relationships" r:id="rId4"/>
          <a:extLst>
            <a:ext uri="{FF2B5EF4-FFF2-40B4-BE49-F238E27FC236}">
              <a16:creationId xmlns:a16="http://schemas.microsoft.com/office/drawing/2014/main" id="{64DFD4AD-23B1-4B6F-ABBC-52565F04067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9" name="AutoShape 4" descr="Bug">
          <a:hlinkClick xmlns:r="http://schemas.openxmlformats.org/officeDocument/2006/relationships" r:id="rId1"/>
          <a:extLst>
            <a:ext uri="{FF2B5EF4-FFF2-40B4-BE49-F238E27FC236}">
              <a16:creationId xmlns:a16="http://schemas.microsoft.com/office/drawing/2014/main" id="{59DC8AD8-544D-4F1A-B03D-8E82CB354C84}"/>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0" name="AutoShape 6" descr="Bug">
          <a:hlinkClick xmlns:r="http://schemas.openxmlformats.org/officeDocument/2006/relationships" r:id="rId2"/>
          <a:extLst>
            <a:ext uri="{FF2B5EF4-FFF2-40B4-BE49-F238E27FC236}">
              <a16:creationId xmlns:a16="http://schemas.microsoft.com/office/drawing/2014/main" id="{5A6205AC-2CE2-4907-808A-FE0B60047FEB}"/>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1" name="AutoShape 7" descr="Story">
          <a:hlinkClick xmlns:r="http://schemas.openxmlformats.org/officeDocument/2006/relationships" r:id="rId3"/>
          <a:extLst>
            <a:ext uri="{FF2B5EF4-FFF2-40B4-BE49-F238E27FC236}">
              <a16:creationId xmlns:a16="http://schemas.microsoft.com/office/drawing/2014/main" id="{208EE434-4A34-4423-8D16-18C6E2C2EF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2" name="AutoShape 8" descr="Story">
          <a:hlinkClick xmlns:r="http://schemas.openxmlformats.org/officeDocument/2006/relationships" r:id="rId4"/>
          <a:extLst>
            <a:ext uri="{FF2B5EF4-FFF2-40B4-BE49-F238E27FC236}">
              <a16:creationId xmlns:a16="http://schemas.microsoft.com/office/drawing/2014/main" id="{15BFFD53-D923-464E-9128-6E604DCB5A4C}"/>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3" name="AutoShape 9" descr="Story">
          <a:hlinkClick xmlns:r="http://schemas.openxmlformats.org/officeDocument/2006/relationships" r:id="rId5"/>
          <a:extLst>
            <a:ext uri="{FF2B5EF4-FFF2-40B4-BE49-F238E27FC236}">
              <a16:creationId xmlns:a16="http://schemas.microsoft.com/office/drawing/2014/main" id="{FC559C44-145B-4778-8540-6B2C28ECC88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4" name="AutoShape 10" descr="Story">
          <a:hlinkClick xmlns:r="http://schemas.openxmlformats.org/officeDocument/2006/relationships" r:id="rId6"/>
          <a:extLst>
            <a:ext uri="{FF2B5EF4-FFF2-40B4-BE49-F238E27FC236}">
              <a16:creationId xmlns:a16="http://schemas.microsoft.com/office/drawing/2014/main" id="{987F1F9F-B5F2-4A48-8A91-4B6F91B56899}"/>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5" name="AutoShape 13" descr="Story">
          <a:hlinkClick xmlns:r="http://schemas.openxmlformats.org/officeDocument/2006/relationships" r:id="rId4"/>
          <a:extLst>
            <a:ext uri="{FF2B5EF4-FFF2-40B4-BE49-F238E27FC236}">
              <a16:creationId xmlns:a16="http://schemas.microsoft.com/office/drawing/2014/main" id="{B550E714-0051-445A-9F9F-E296B491C33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6" name="AutoShape 14" descr="Story">
          <a:hlinkClick xmlns:r="http://schemas.openxmlformats.org/officeDocument/2006/relationships" r:id="rId4"/>
          <a:extLst>
            <a:ext uri="{FF2B5EF4-FFF2-40B4-BE49-F238E27FC236}">
              <a16:creationId xmlns:a16="http://schemas.microsoft.com/office/drawing/2014/main" id="{B0C5F887-7305-4601-9B79-508D59770A2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7" name="AutoShape 4" descr="Bug">
          <a:hlinkClick xmlns:r="http://schemas.openxmlformats.org/officeDocument/2006/relationships" r:id="rId1"/>
          <a:extLst>
            <a:ext uri="{FF2B5EF4-FFF2-40B4-BE49-F238E27FC236}">
              <a16:creationId xmlns:a16="http://schemas.microsoft.com/office/drawing/2014/main" id="{01352B5C-4E4A-4E91-86D5-F52C557F9DF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8" name="AutoShape 6" descr="Bug">
          <a:hlinkClick xmlns:r="http://schemas.openxmlformats.org/officeDocument/2006/relationships" r:id="rId2"/>
          <a:extLst>
            <a:ext uri="{FF2B5EF4-FFF2-40B4-BE49-F238E27FC236}">
              <a16:creationId xmlns:a16="http://schemas.microsoft.com/office/drawing/2014/main" id="{D324F5BD-16B9-4704-A0C5-CD68C0B8097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9" name="AutoShape 7" descr="Story">
          <a:hlinkClick xmlns:r="http://schemas.openxmlformats.org/officeDocument/2006/relationships" r:id="rId3"/>
          <a:extLst>
            <a:ext uri="{FF2B5EF4-FFF2-40B4-BE49-F238E27FC236}">
              <a16:creationId xmlns:a16="http://schemas.microsoft.com/office/drawing/2014/main" id="{A6914D49-006D-43FF-A520-36253E74AEA8}"/>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0" name="AutoShape 8" descr="Story">
          <a:hlinkClick xmlns:r="http://schemas.openxmlformats.org/officeDocument/2006/relationships" r:id="rId4"/>
          <a:extLst>
            <a:ext uri="{FF2B5EF4-FFF2-40B4-BE49-F238E27FC236}">
              <a16:creationId xmlns:a16="http://schemas.microsoft.com/office/drawing/2014/main" id="{7FB65BD4-4B30-4A3F-BBDC-781CD48C8C4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1" name="AutoShape 9" descr="Story">
          <a:hlinkClick xmlns:r="http://schemas.openxmlformats.org/officeDocument/2006/relationships" r:id="rId5"/>
          <a:extLst>
            <a:ext uri="{FF2B5EF4-FFF2-40B4-BE49-F238E27FC236}">
              <a16:creationId xmlns:a16="http://schemas.microsoft.com/office/drawing/2014/main" id="{50BEC057-A3B7-4053-B645-04808EA7F68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2" name="AutoShape 10" descr="Story">
          <a:hlinkClick xmlns:r="http://schemas.openxmlformats.org/officeDocument/2006/relationships" r:id="rId6"/>
          <a:extLst>
            <a:ext uri="{FF2B5EF4-FFF2-40B4-BE49-F238E27FC236}">
              <a16:creationId xmlns:a16="http://schemas.microsoft.com/office/drawing/2014/main" id="{6BC2DF5C-026E-49E6-8215-6EE27CB4D2B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3" name="AutoShape 13" descr="Story">
          <a:hlinkClick xmlns:r="http://schemas.openxmlformats.org/officeDocument/2006/relationships" r:id="rId4"/>
          <a:extLst>
            <a:ext uri="{FF2B5EF4-FFF2-40B4-BE49-F238E27FC236}">
              <a16:creationId xmlns:a16="http://schemas.microsoft.com/office/drawing/2014/main" id="{15FB7BA9-A45E-4F82-9E8D-369670DD94E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4" name="AutoShape 14" descr="Story">
          <a:hlinkClick xmlns:r="http://schemas.openxmlformats.org/officeDocument/2006/relationships" r:id="rId4"/>
          <a:extLst>
            <a:ext uri="{FF2B5EF4-FFF2-40B4-BE49-F238E27FC236}">
              <a16:creationId xmlns:a16="http://schemas.microsoft.com/office/drawing/2014/main" id="{29361667-3689-468B-A16E-E95E85EC94C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5" name="AutoShape 4" descr="Bug">
          <a:hlinkClick xmlns:r="http://schemas.openxmlformats.org/officeDocument/2006/relationships" r:id="rId1"/>
          <a:extLst>
            <a:ext uri="{FF2B5EF4-FFF2-40B4-BE49-F238E27FC236}">
              <a16:creationId xmlns:a16="http://schemas.microsoft.com/office/drawing/2014/main" id="{63C2AD90-9123-4401-9DBB-FC93BD664A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6" name="AutoShape 6" descr="Bug">
          <a:hlinkClick xmlns:r="http://schemas.openxmlformats.org/officeDocument/2006/relationships" r:id="rId2"/>
          <a:extLst>
            <a:ext uri="{FF2B5EF4-FFF2-40B4-BE49-F238E27FC236}">
              <a16:creationId xmlns:a16="http://schemas.microsoft.com/office/drawing/2014/main" id="{0FB9704D-7B7D-41BA-8C1A-A65B718F0DEF}"/>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7" name="AutoShape 7" descr="Story">
          <a:hlinkClick xmlns:r="http://schemas.openxmlformats.org/officeDocument/2006/relationships" r:id="rId3"/>
          <a:extLst>
            <a:ext uri="{FF2B5EF4-FFF2-40B4-BE49-F238E27FC236}">
              <a16:creationId xmlns:a16="http://schemas.microsoft.com/office/drawing/2014/main" id="{7EE753D0-5E37-43B7-BA84-74DD76230772}"/>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8" name="AutoShape 8" descr="Story">
          <a:hlinkClick xmlns:r="http://schemas.openxmlformats.org/officeDocument/2006/relationships" r:id="rId4"/>
          <a:extLst>
            <a:ext uri="{FF2B5EF4-FFF2-40B4-BE49-F238E27FC236}">
              <a16:creationId xmlns:a16="http://schemas.microsoft.com/office/drawing/2014/main" id="{3B586CCE-6397-47B8-9AD0-3E283DF254FE}"/>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9" name="AutoShape 9" descr="Story">
          <a:hlinkClick xmlns:r="http://schemas.openxmlformats.org/officeDocument/2006/relationships" r:id="rId5"/>
          <a:extLst>
            <a:ext uri="{FF2B5EF4-FFF2-40B4-BE49-F238E27FC236}">
              <a16:creationId xmlns:a16="http://schemas.microsoft.com/office/drawing/2014/main" id="{99A76BCD-BBDE-46FC-8234-B11B9F31570F}"/>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0" name="AutoShape 10" descr="Story">
          <a:hlinkClick xmlns:r="http://schemas.openxmlformats.org/officeDocument/2006/relationships" r:id="rId6"/>
          <a:extLst>
            <a:ext uri="{FF2B5EF4-FFF2-40B4-BE49-F238E27FC236}">
              <a16:creationId xmlns:a16="http://schemas.microsoft.com/office/drawing/2014/main" id="{BFC5B7C3-8010-4096-BF0C-762E9CCFB9F5}"/>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1" name="AutoShape 13" descr="Story">
          <a:hlinkClick xmlns:r="http://schemas.openxmlformats.org/officeDocument/2006/relationships" r:id="rId4"/>
          <a:extLst>
            <a:ext uri="{FF2B5EF4-FFF2-40B4-BE49-F238E27FC236}">
              <a16:creationId xmlns:a16="http://schemas.microsoft.com/office/drawing/2014/main" id="{7733952A-3381-44D5-BE39-DD7771124169}"/>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2" name="AutoShape 14" descr="Story">
          <a:hlinkClick xmlns:r="http://schemas.openxmlformats.org/officeDocument/2006/relationships" r:id="rId4"/>
          <a:extLst>
            <a:ext uri="{FF2B5EF4-FFF2-40B4-BE49-F238E27FC236}">
              <a16:creationId xmlns:a16="http://schemas.microsoft.com/office/drawing/2014/main" id="{549544F3-4980-4CFB-B8F4-63270C87BDF3}"/>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3" name="AutoShape 4" descr="Bug">
          <a:hlinkClick xmlns:r="http://schemas.openxmlformats.org/officeDocument/2006/relationships" r:id="rId1"/>
          <a:extLst>
            <a:ext uri="{FF2B5EF4-FFF2-40B4-BE49-F238E27FC236}">
              <a16:creationId xmlns:a16="http://schemas.microsoft.com/office/drawing/2014/main" id="{D20E0EB5-8718-4CA3-9B79-046FDCA06AF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4" name="AutoShape 6" descr="Bug">
          <a:hlinkClick xmlns:r="http://schemas.openxmlformats.org/officeDocument/2006/relationships" r:id="rId2"/>
          <a:extLst>
            <a:ext uri="{FF2B5EF4-FFF2-40B4-BE49-F238E27FC236}">
              <a16:creationId xmlns:a16="http://schemas.microsoft.com/office/drawing/2014/main" id="{CFE45ADE-3439-423A-BF35-570ECC8C6D1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5" name="AutoShape 7" descr="Story">
          <a:hlinkClick xmlns:r="http://schemas.openxmlformats.org/officeDocument/2006/relationships" r:id="rId3"/>
          <a:extLst>
            <a:ext uri="{FF2B5EF4-FFF2-40B4-BE49-F238E27FC236}">
              <a16:creationId xmlns:a16="http://schemas.microsoft.com/office/drawing/2014/main" id="{37646227-0906-4A53-9EC9-EDAF19DF7A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6" name="AutoShape 8" descr="Story">
          <a:hlinkClick xmlns:r="http://schemas.openxmlformats.org/officeDocument/2006/relationships" r:id="rId4"/>
          <a:extLst>
            <a:ext uri="{FF2B5EF4-FFF2-40B4-BE49-F238E27FC236}">
              <a16:creationId xmlns:a16="http://schemas.microsoft.com/office/drawing/2014/main" id="{AA83E9E8-DDD7-4159-8DA6-11DED97BC2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7" name="AutoShape 9" descr="Story">
          <a:hlinkClick xmlns:r="http://schemas.openxmlformats.org/officeDocument/2006/relationships" r:id="rId5"/>
          <a:extLst>
            <a:ext uri="{FF2B5EF4-FFF2-40B4-BE49-F238E27FC236}">
              <a16:creationId xmlns:a16="http://schemas.microsoft.com/office/drawing/2014/main" id="{A6F0410D-E652-4034-93F0-E3ACD219681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8" name="AutoShape 10" descr="Story">
          <a:hlinkClick xmlns:r="http://schemas.openxmlformats.org/officeDocument/2006/relationships" r:id="rId6"/>
          <a:extLst>
            <a:ext uri="{FF2B5EF4-FFF2-40B4-BE49-F238E27FC236}">
              <a16:creationId xmlns:a16="http://schemas.microsoft.com/office/drawing/2014/main" id="{6EA27276-9BFF-4F49-9E10-384E971694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9" name="AutoShape 13" descr="Story">
          <a:hlinkClick xmlns:r="http://schemas.openxmlformats.org/officeDocument/2006/relationships" r:id="rId4"/>
          <a:extLst>
            <a:ext uri="{FF2B5EF4-FFF2-40B4-BE49-F238E27FC236}">
              <a16:creationId xmlns:a16="http://schemas.microsoft.com/office/drawing/2014/main" id="{10952DD4-5A32-4A4D-84A7-B3E61F0B478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0" name="AutoShape 14" descr="Story">
          <a:hlinkClick xmlns:r="http://schemas.openxmlformats.org/officeDocument/2006/relationships" r:id="rId4"/>
          <a:extLst>
            <a:ext uri="{FF2B5EF4-FFF2-40B4-BE49-F238E27FC236}">
              <a16:creationId xmlns:a16="http://schemas.microsoft.com/office/drawing/2014/main" id="{6D058E2D-5033-4E36-900C-1225FEFD06F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1" name="AutoShape 4" descr="Bug">
          <a:hlinkClick xmlns:r="http://schemas.openxmlformats.org/officeDocument/2006/relationships" r:id="rId1"/>
          <a:extLst>
            <a:ext uri="{FF2B5EF4-FFF2-40B4-BE49-F238E27FC236}">
              <a16:creationId xmlns:a16="http://schemas.microsoft.com/office/drawing/2014/main" id="{E1E2E165-3E4F-4668-815B-BAFF4C07AEC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2" name="AutoShape 6" descr="Bug">
          <a:hlinkClick xmlns:r="http://schemas.openxmlformats.org/officeDocument/2006/relationships" r:id="rId2"/>
          <a:extLst>
            <a:ext uri="{FF2B5EF4-FFF2-40B4-BE49-F238E27FC236}">
              <a16:creationId xmlns:a16="http://schemas.microsoft.com/office/drawing/2014/main" id="{7E4058B7-555D-4B32-ABD6-700882DD9A8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3" name="AutoShape 7" descr="Story">
          <a:hlinkClick xmlns:r="http://schemas.openxmlformats.org/officeDocument/2006/relationships" r:id="rId3"/>
          <a:extLst>
            <a:ext uri="{FF2B5EF4-FFF2-40B4-BE49-F238E27FC236}">
              <a16:creationId xmlns:a16="http://schemas.microsoft.com/office/drawing/2014/main" id="{0A7546E4-D896-48EE-BFA0-B7EB34F4A56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4" name="AutoShape 8" descr="Story">
          <a:hlinkClick xmlns:r="http://schemas.openxmlformats.org/officeDocument/2006/relationships" r:id="rId4"/>
          <a:extLst>
            <a:ext uri="{FF2B5EF4-FFF2-40B4-BE49-F238E27FC236}">
              <a16:creationId xmlns:a16="http://schemas.microsoft.com/office/drawing/2014/main" id="{8080F697-5E8A-438A-9624-19BA5815B4D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5" name="AutoShape 9" descr="Story">
          <a:hlinkClick xmlns:r="http://schemas.openxmlformats.org/officeDocument/2006/relationships" r:id="rId5"/>
          <a:extLst>
            <a:ext uri="{FF2B5EF4-FFF2-40B4-BE49-F238E27FC236}">
              <a16:creationId xmlns:a16="http://schemas.microsoft.com/office/drawing/2014/main" id="{B7245855-37D8-47A5-92F3-22F9557399C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6" name="AutoShape 10" descr="Story">
          <a:hlinkClick xmlns:r="http://schemas.openxmlformats.org/officeDocument/2006/relationships" r:id="rId6"/>
          <a:extLst>
            <a:ext uri="{FF2B5EF4-FFF2-40B4-BE49-F238E27FC236}">
              <a16:creationId xmlns:a16="http://schemas.microsoft.com/office/drawing/2014/main" id="{C536C3FB-9941-4C33-988E-B10A367D33B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7" name="AutoShape 13" descr="Story">
          <a:hlinkClick xmlns:r="http://schemas.openxmlformats.org/officeDocument/2006/relationships" r:id="rId4"/>
          <a:extLst>
            <a:ext uri="{FF2B5EF4-FFF2-40B4-BE49-F238E27FC236}">
              <a16:creationId xmlns:a16="http://schemas.microsoft.com/office/drawing/2014/main" id="{06DA17D8-B73E-4DB8-BDCB-EC2606479B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8" name="AutoShape 14" descr="Story">
          <a:hlinkClick xmlns:r="http://schemas.openxmlformats.org/officeDocument/2006/relationships" r:id="rId4"/>
          <a:extLst>
            <a:ext uri="{FF2B5EF4-FFF2-40B4-BE49-F238E27FC236}">
              <a16:creationId xmlns:a16="http://schemas.microsoft.com/office/drawing/2014/main" id="{7A128699-B8DB-43BC-9A00-545839C02B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9" name="AutoShape 4" descr="Bug">
          <a:hlinkClick xmlns:r="http://schemas.openxmlformats.org/officeDocument/2006/relationships" r:id="rId1"/>
          <a:extLst>
            <a:ext uri="{FF2B5EF4-FFF2-40B4-BE49-F238E27FC236}">
              <a16:creationId xmlns:a16="http://schemas.microsoft.com/office/drawing/2014/main" id="{5FEBEC9B-17EA-4EBD-8A0A-E2662029E14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0" name="AutoShape 6" descr="Bug">
          <a:hlinkClick xmlns:r="http://schemas.openxmlformats.org/officeDocument/2006/relationships" r:id="rId2"/>
          <a:extLst>
            <a:ext uri="{FF2B5EF4-FFF2-40B4-BE49-F238E27FC236}">
              <a16:creationId xmlns:a16="http://schemas.microsoft.com/office/drawing/2014/main" id="{933D81F6-79A2-4B2A-8D17-D4EDBC16D81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1" name="AutoShape 7" descr="Story">
          <a:hlinkClick xmlns:r="http://schemas.openxmlformats.org/officeDocument/2006/relationships" r:id="rId3"/>
          <a:extLst>
            <a:ext uri="{FF2B5EF4-FFF2-40B4-BE49-F238E27FC236}">
              <a16:creationId xmlns:a16="http://schemas.microsoft.com/office/drawing/2014/main" id="{B9BEAEF0-E3EC-4048-8EDB-82295D631FC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2" name="AutoShape 8" descr="Story">
          <a:hlinkClick xmlns:r="http://schemas.openxmlformats.org/officeDocument/2006/relationships" r:id="rId4"/>
          <a:extLst>
            <a:ext uri="{FF2B5EF4-FFF2-40B4-BE49-F238E27FC236}">
              <a16:creationId xmlns:a16="http://schemas.microsoft.com/office/drawing/2014/main" id="{4EBB676C-6BE1-49F3-A025-7707AF33C73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3" name="AutoShape 9" descr="Story">
          <a:hlinkClick xmlns:r="http://schemas.openxmlformats.org/officeDocument/2006/relationships" r:id="rId5"/>
          <a:extLst>
            <a:ext uri="{FF2B5EF4-FFF2-40B4-BE49-F238E27FC236}">
              <a16:creationId xmlns:a16="http://schemas.microsoft.com/office/drawing/2014/main" id="{B3B8E93C-D2E2-472B-A04E-312252434F5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4" name="AutoShape 10" descr="Story">
          <a:hlinkClick xmlns:r="http://schemas.openxmlformats.org/officeDocument/2006/relationships" r:id="rId6"/>
          <a:extLst>
            <a:ext uri="{FF2B5EF4-FFF2-40B4-BE49-F238E27FC236}">
              <a16:creationId xmlns:a16="http://schemas.microsoft.com/office/drawing/2014/main" id="{9B64ED5E-BD59-4258-BFEB-057B91B3DB1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5" name="AutoShape 13" descr="Story">
          <a:hlinkClick xmlns:r="http://schemas.openxmlformats.org/officeDocument/2006/relationships" r:id="rId4"/>
          <a:extLst>
            <a:ext uri="{FF2B5EF4-FFF2-40B4-BE49-F238E27FC236}">
              <a16:creationId xmlns:a16="http://schemas.microsoft.com/office/drawing/2014/main" id="{DE0B86DA-6C5B-4B3D-879D-D48B3861895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6" name="AutoShape 14" descr="Story">
          <a:hlinkClick xmlns:r="http://schemas.openxmlformats.org/officeDocument/2006/relationships" r:id="rId4"/>
          <a:extLst>
            <a:ext uri="{FF2B5EF4-FFF2-40B4-BE49-F238E27FC236}">
              <a16:creationId xmlns:a16="http://schemas.microsoft.com/office/drawing/2014/main" id="{481DBDEA-DE00-4D61-8F6E-F6605CEE9F3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7" name="AutoShape 4" descr="Bug">
          <a:hlinkClick xmlns:r="http://schemas.openxmlformats.org/officeDocument/2006/relationships" r:id="rId1"/>
          <a:extLst>
            <a:ext uri="{FF2B5EF4-FFF2-40B4-BE49-F238E27FC236}">
              <a16:creationId xmlns:a16="http://schemas.microsoft.com/office/drawing/2014/main" id="{7FBC3352-E900-4603-B7B2-39344AFA1E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8" name="AutoShape 6" descr="Bug">
          <a:hlinkClick xmlns:r="http://schemas.openxmlformats.org/officeDocument/2006/relationships" r:id="rId2"/>
          <a:extLst>
            <a:ext uri="{FF2B5EF4-FFF2-40B4-BE49-F238E27FC236}">
              <a16:creationId xmlns:a16="http://schemas.microsoft.com/office/drawing/2014/main" id="{B29984D3-BD9E-435D-82B5-9D9E98A7F86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9" name="AutoShape 7" descr="Story">
          <a:hlinkClick xmlns:r="http://schemas.openxmlformats.org/officeDocument/2006/relationships" r:id="rId3"/>
          <a:extLst>
            <a:ext uri="{FF2B5EF4-FFF2-40B4-BE49-F238E27FC236}">
              <a16:creationId xmlns:a16="http://schemas.microsoft.com/office/drawing/2014/main" id="{AEFB0D07-30CA-4887-B2DD-B4F7B2AC4CB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0" name="AutoShape 8" descr="Story">
          <a:hlinkClick xmlns:r="http://schemas.openxmlformats.org/officeDocument/2006/relationships" r:id="rId4"/>
          <a:extLst>
            <a:ext uri="{FF2B5EF4-FFF2-40B4-BE49-F238E27FC236}">
              <a16:creationId xmlns:a16="http://schemas.microsoft.com/office/drawing/2014/main" id="{AB8E35CC-EE39-4279-A05E-344A46B7DBB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1" name="AutoShape 9" descr="Story">
          <a:hlinkClick xmlns:r="http://schemas.openxmlformats.org/officeDocument/2006/relationships" r:id="rId5"/>
          <a:extLst>
            <a:ext uri="{FF2B5EF4-FFF2-40B4-BE49-F238E27FC236}">
              <a16:creationId xmlns:a16="http://schemas.microsoft.com/office/drawing/2014/main" id="{CF503AC2-CE38-4372-B293-984BFB32A4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2" name="AutoShape 10" descr="Story">
          <a:hlinkClick xmlns:r="http://schemas.openxmlformats.org/officeDocument/2006/relationships" r:id="rId6"/>
          <a:extLst>
            <a:ext uri="{FF2B5EF4-FFF2-40B4-BE49-F238E27FC236}">
              <a16:creationId xmlns:a16="http://schemas.microsoft.com/office/drawing/2014/main" id="{0EA1FC4C-3064-4303-BA0F-14313B076A9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3" name="AutoShape 13" descr="Story">
          <a:hlinkClick xmlns:r="http://schemas.openxmlformats.org/officeDocument/2006/relationships" r:id="rId4"/>
          <a:extLst>
            <a:ext uri="{FF2B5EF4-FFF2-40B4-BE49-F238E27FC236}">
              <a16:creationId xmlns:a16="http://schemas.microsoft.com/office/drawing/2014/main" id="{D275D49F-0EB3-412D-A599-0FAED2BF9A6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4" name="AutoShape 14" descr="Story">
          <a:hlinkClick xmlns:r="http://schemas.openxmlformats.org/officeDocument/2006/relationships" r:id="rId4"/>
          <a:extLst>
            <a:ext uri="{FF2B5EF4-FFF2-40B4-BE49-F238E27FC236}">
              <a16:creationId xmlns:a16="http://schemas.microsoft.com/office/drawing/2014/main" id="{644612C4-0BCE-4C6C-952B-81C2075C02B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857</xdr:row>
      <xdr:rowOff>0</xdr:rowOff>
    </xdr:from>
    <xdr:ext cx="152400" cy="152400"/>
    <xdr:sp macro="" textlink="">
      <xdr:nvSpPr>
        <xdr:cNvPr id="855" name="AutoShape 4" descr="Bug">
          <a:hlinkClick xmlns:r="http://schemas.openxmlformats.org/officeDocument/2006/relationships" r:id="rId1"/>
          <a:extLst>
            <a:ext uri="{FF2B5EF4-FFF2-40B4-BE49-F238E27FC236}">
              <a16:creationId xmlns:a16="http://schemas.microsoft.com/office/drawing/2014/main" id="{39762257-BDB6-48A7-BDAD-C59F6C4C254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6" name="AutoShape 6" descr="Bug">
          <a:hlinkClick xmlns:r="http://schemas.openxmlformats.org/officeDocument/2006/relationships" r:id="rId2"/>
          <a:extLst>
            <a:ext uri="{FF2B5EF4-FFF2-40B4-BE49-F238E27FC236}">
              <a16:creationId xmlns:a16="http://schemas.microsoft.com/office/drawing/2014/main" id="{6C63E23F-EA8E-4DB9-9269-DE48337D5A7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7" name="AutoShape 7" descr="Story">
          <a:hlinkClick xmlns:r="http://schemas.openxmlformats.org/officeDocument/2006/relationships" r:id="rId3"/>
          <a:extLst>
            <a:ext uri="{FF2B5EF4-FFF2-40B4-BE49-F238E27FC236}">
              <a16:creationId xmlns:a16="http://schemas.microsoft.com/office/drawing/2014/main" id="{4EDE3CB9-0E87-4275-9ABF-763E0500BB4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8" name="AutoShape 8" descr="Story">
          <a:hlinkClick xmlns:r="http://schemas.openxmlformats.org/officeDocument/2006/relationships" r:id="rId4"/>
          <a:extLst>
            <a:ext uri="{FF2B5EF4-FFF2-40B4-BE49-F238E27FC236}">
              <a16:creationId xmlns:a16="http://schemas.microsoft.com/office/drawing/2014/main" id="{D1F9715E-9D6E-43E5-AB4A-87028F12939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9" name="AutoShape 9" descr="Story">
          <a:hlinkClick xmlns:r="http://schemas.openxmlformats.org/officeDocument/2006/relationships" r:id="rId5"/>
          <a:extLst>
            <a:ext uri="{FF2B5EF4-FFF2-40B4-BE49-F238E27FC236}">
              <a16:creationId xmlns:a16="http://schemas.microsoft.com/office/drawing/2014/main" id="{DB412D0B-C9A7-4611-B3C1-BF88077BFA7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0" name="AutoShape 10" descr="Story">
          <a:hlinkClick xmlns:r="http://schemas.openxmlformats.org/officeDocument/2006/relationships" r:id="rId6"/>
          <a:extLst>
            <a:ext uri="{FF2B5EF4-FFF2-40B4-BE49-F238E27FC236}">
              <a16:creationId xmlns:a16="http://schemas.microsoft.com/office/drawing/2014/main" id="{70394427-1C15-42AE-BD61-CE2FB06D921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1" name="AutoShape 13" descr="Story">
          <a:hlinkClick xmlns:r="http://schemas.openxmlformats.org/officeDocument/2006/relationships" r:id="rId4"/>
          <a:extLst>
            <a:ext uri="{FF2B5EF4-FFF2-40B4-BE49-F238E27FC236}">
              <a16:creationId xmlns:a16="http://schemas.microsoft.com/office/drawing/2014/main" id="{A80207A8-339A-4A39-A0A6-A7B95356A1E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2" name="AutoShape 14" descr="Story">
          <a:hlinkClick xmlns:r="http://schemas.openxmlformats.org/officeDocument/2006/relationships" r:id="rId4"/>
          <a:extLst>
            <a:ext uri="{FF2B5EF4-FFF2-40B4-BE49-F238E27FC236}">
              <a16:creationId xmlns:a16="http://schemas.microsoft.com/office/drawing/2014/main" id="{14E08912-111C-456F-8D7F-CC7D5424908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3" name="AutoShape 4" descr="Bug">
          <a:hlinkClick xmlns:r="http://schemas.openxmlformats.org/officeDocument/2006/relationships" r:id="rId1"/>
          <a:extLst>
            <a:ext uri="{FF2B5EF4-FFF2-40B4-BE49-F238E27FC236}">
              <a16:creationId xmlns:a16="http://schemas.microsoft.com/office/drawing/2014/main" id="{BABC3A15-2B6D-44B7-9CA9-671F3DAE2F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4" name="AutoShape 6" descr="Bug">
          <a:hlinkClick xmlns:r="http://schemas.openxmlformats.org/officeDocument/2006/relationships" r:id="rId2"/>
          <a:extLst>
            <a:ext uri="{FF2B5EF4-FFF2-40B4-BE49-F238E27FC236}">
              <a16:creationId xmlns:a16="http://schemas.microsoft.com/office/drawing/2014/main" id="{8CE7A271-38E7-493F-80CB-DD501546B0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5" name="AutoShape 7" descr="Story">
          <a:hlinkClick xmlns:r="http://schemas.openxmlformats.org/officeDocument/2006/relationships" r:id="rId3"/>
          <a:extLst>
            <a:ext uri="{FF2B5EF4-FFF2-40B4-BE49-F238E27FC236}">
              <a16:creationId xmlns:a16="http://schemas.microsoft.com/office/drawing/2014/main" id="{4E563BF3-5D83-4751-B40E-62779438545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6" name="AutoShape 8" descr="Story">
          <a:hlinkClick xmlns:r="http://schemas.openxmlformats.org/officeDocument/2006/relationships" r:id="rId4"/>
          <a:extLst>
            <a:ext uri="{FF2B5EF4-FFF2-40B4-BE49-F238E27FC236}">
              <a16:creationId xmlns:a16="http://schemas.microsoft.com/office/drawing/2014/main" id="{6CD1C12B-24AE-403A-8531-E9D74059D6A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7" name="AutoShape 9" descr="Story">
          <a:hlinkClick xmlns:r="http://schemas.openxmlformats.org/officeDocument/2006/relationships" r:id="rId5"/>
          <a:extLst>
            <a:ext uri="{FF2B5EF4-FFF2-40B4-BE49-F238E27FC236}">
              <a16:creationId xmlns:a16="http://schemas.microsoft.com/office/drawing/2014/main" id="{BE8D355E-20BE-47F5-A601-30FB668B40C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8" name="AutoShape 10" descr="Story">
          <a:hlinkClick xmlns:r="http://schemas.openxmlformats.org/officeDocument/2006/relationships" r:id="rId6"/>
          <a:extLst>
            <a:ext uri="{FF2B5EF4-FFF2-40B4-BE49-F238E27FC236}">
              <a16:creationId xmlns:a16="http://schemas.microsoft.com/office/drawing/2014/main" id="{515BD63C-54EA-4D89-A422-421948A8144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9" name="AutoShape 13" descr="Story">
          <a:hlinkClick xmlns:r="http://schemas.openxmlformats.org/officeDocument/2006/relationships" r:id="rId4"/>
          <a:extLst>
            <a:ext uri="{FF2B5EF4-FFF2-40B4-BE49-F238E27FC236}">
              <a16:creationId xmlns:a16="http://schemas.microsoft.com/office/drawing/2014/main" id="{22E5C3B2-B2FA-4D42-AFFB-1529F030AD8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0" name="AutoShape 14" descr="Story">
          <a:hlinkClick xmlns:r="http://schemas.openxmlformats.org/officeDocument/2006/relationships" r:id="rId4"/>
          <a:extLst>
            <a:ext uri="{FF2B5EF4-FFF2-40B4-BE49-F238E27FC236}">
              <a16:creationId xmlns:a16="http://schemas.microsoft.com/office/drawing/2014/main" id="{8222FD9E-6D4D-4453-9AFB-67F4838C21D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1" name="AutoShape 4" descr="Bug">
          <a:hlinkClick xmlns:r="http://schemas.openxmlformats.org/officeDocument/2006/relationships" r:id="rId1"/>
          <a:extLst>
            <a:ext uri="{FF2B5EF4-FFF2-40B4-BE49-F238E27FC236}">
              <a16:creationId xmlns:a16="http://schemas.microsoft.com/office/drawing/2014/main" id="{549662D7-109F-4E06-B068-6C6B3F5310D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2" name="AutoShape 6" descr="Bug">
          <a:hlinkClick xmlns:r="http://schemas.openxmlformats.org/officeDocument/2006/relationships" r:id="rId2"/>
          <a:extLst>
            <a:ext uri="{FF2B5EF4-FFF2-40B4-BE49-F238E27FC236}">
              <a16:creationId xmlns:a16="http://schemas.microsoft.com/office/drawing/2014/main" id="{F4E56D0D-0FBB-497A-922E-392E8A8D42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3" name="AutoShape 7" descr="Story">
          <a:hlinkClick xmlns:r="http://schemas.openxmlformats.org/officeDocument/2006/relationships" r:id="rId3"/>
          <a:extLst>
            <a:ext uri="{FF2B5EF4-FFF2-40B4-BE49-F238E27FC236}">
              <a16:creationId xmlns:a16="http://schemas.microsoft.com/office/drawing/2014/main" id="{FB0B849D-3CF3-45A5-B173-D597F9A20B6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4" name="AutoShape 8" descr="Story">
          <a:hlinkClick xmlns:r="http://schemas.openxmlformats.org/officeDocument/2006/relationships" r:id="rId4"/>
          <a:extLst>
            <a:ext uri="{FF2B5EF4-FFF2-40B4-BE49-F238E27FC236}">
              <a16:creationId xmlns:a16="http://schemas.microsoft.com/office/drawing/2014/main" id="{FCAB68E0-2355-4287-9F9D-4EA88D6AACA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5" name="AutoShape 9" descr="Story">
          <a:hlinkClick xmlns:r="http://schemas.openxmlformats.org/officeDocument/2006/relationships" r:id="rId5"/>
          <a:extLst>
            <a:ext uri="{FF2B5EF4-FFF2-40B4-BE49-F238E27FC236}">
              <a16:creationId xmlns:a16="http://schemas.microsoft.com/office/drawing/2014/main" id="{AC78A659-C08B-4D8F-A095-0328F5FD820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6" name="AutoShape 10" descr="Story">
          <a:hlinkClick xmlns:r="http://schemas.openxmlformats.org/officeDocument/2006/relationships" r:id="rId6"/>
          <a:extLst>
            <a:ext uri="{FF2B5EF4-FFF2-40B4-BE49-F238E27FC236}">
              <a16:creationId xmlns:a16="http://schemas.microsoft.com/office/drawing/2014/main" id="{0D99353F-D12F-4818-AA5A-2377EBED62F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7" name="AutoShape 13" descr="Story">
          <a:hlinkClick xmlns:r="http://schemas.openxmlformats.org/officeDocument/2006/relationships" r:id="rId4"/>
          <a:extLst>
            <a:ext uri="{FF2B5EF4-FFF2-40B4-BE49-F238E27FC236}">
              <a16:creationId xmlns:a16="http://schemas.microsoft.com/office/drawing/2014/main" id="{38BAB043-8643-48CD-B527-E952CB1E5B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8" name="AutoShape 14" descr="Story">
          <a:hlinkClick xmlns:r="http://schemas.openxmlformats.org/officeDocument/2006/relationships" r:id="rId4"/>
          <a:extLst>
            <a:ext uri="{FF2B5EF4-FFF2-40B4-BE49-F238E27FC236}">
              <a16:creationId xmlns:a16="http://schemas.microsoft.com/office/drawing/2014/main" id="{2EFE02D0-6AAE-46C6-B61A-E9EAAC02BAA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9" name="AutoShape 4" descr="Bug">
          <a:hlinkClick xmlns:r="http://schemas.openxmlformats.org/officeDocument/2006/relationships" r:id="rId1"/>
          <a:extLst>
            <a:ext uri="{FF2B5EF4-FFF2-40B4-BE49-F238E27FC236}">
              <a16:creationId xmlns:a16="http://schemas.microsoft.com/office/drawing/2014/main" id="{9D8E4921-CE62-4223-80BE-3C438C54052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0" name="AutoShape 6" descr="Bug">
          <a:hlinkClick xmlns:r="http://schemas.openxmlformats.org/officeDocument/2006/relationships" r:id="rId2"/>
          <a:extLst>
            <a:ext uri="{FF2B5EF4-FFF2-40B4-BE49-F238E27FC236}">
              <a16:creationId xmlns:a16="http://schemas.microsoft.com/office/drawing/2014/main" id="{800D291A-52A5-463B-84AC-378F7D27C75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1" name="AutoShape 7" descr="Story">
          <a:hlinkClick xmlns:r="http://schemas.openxmlformats.org/officeDocument/2006/relationships" r:id="rId3"/>
          <a:extLst>
            <a:ext uri="{FF2B5EF4-FFF2-40B4-BE49-F238E27FC236}">
              <a16:creationId xmlns:a16="http://schemas.microsoft.com/office/drawing/2014/main" id="{11714587-D7C3-4C48-A306-2CFDAA99DCF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2" name="AutoShape 8" descr="Story">
          <a:hlinkClick xmlns:r="http://schemas.openxmlformats.org/officeDocument/2006/relationships" r:id="rId4"/>
          <a:extLst>
            <a:ext uri="{FF2B5EF4-FFF2-40B4-BE49-F238E27FC236}">
              <a16:creationId xmlns:a16="http://schemas.microsoft.com/office/drawing/2014/main" id="{246668E3-23CA-4A6D-A3B0-B761BEFCA5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3" name="AutoShape 9" descr="Story">
          <a:hlinkClick xmlns:r="http://schemas.openxmlformats.org/officeDocument/2006/relationships" r:id="rId5"/>
          <a:extLst>
            <a:ext uri="{FF2B5EF4-FFF2-40B4-BE49-F238E27FC236}">
              <a16:creationId xmlns:a16="http://schemas.microsoft.com/office/drawing/2014/main" id="{E6377ED1-7A5C-4FBA-928A-D7CD1568B97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4" name="AutoShape 10" descr="Story">
          <a:hlinkClick xmlns:r="http://schemas.openxmlformats.org/officeDocument/2006/relationships" r:id="rId6"/>
          <a:extLst>
            <a:ext uri="{FF2B5EF4-FFF2-40B4-BE49-F238E27FC236}">
              <a16:creationId xmlns:a16="http://schemas.microsoft.com/office/drawing/2014/main" id="{F281DC1C-7CCE-4612-9CA4-2E3DDF3829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5" name="AutoShape 13" descr="Story">
          <a:hlinkClick xmlns:r="http://schemas.openxmlformats.org/officeDocument/2006/relationships" r:id="rId4"/>
          <a:extLst>
            <a:ext uri="{FF2B5EF4-FFF2-40B4-BE49-F238E27FC236}">
              <a16:creationId xmlns:a16="http://schemas.microsoft.com/office/drawing/2014/main" id="{189A533C-EA4A-4EA4-8F0C-F08DD7AC5AD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6" name="AutoShape 14" descr="Story">
          <a:hlinkClick xmlns:r="http://schemas.openxmlformats.org/officeDocument/2006/relationships" r:id="rId4"/>
          <a:extLst>
            <a:ext uri="{FF2B5EF4-FFF2-40B4-BE49-F238E27FC236}">
              <a16:creationId xmlns:a16="http://schemas.microsoft.com/office/drawing/2014/main" id="{B3247122-FB75-4A46-B0DA-3778D980B3B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7" name="AutoShape 4" descr="Bug">
          <a:hlinkClick xmlns:r="http://schemas.openxmlformats.org/officeDocument/2006/relationships" r:id="rId1"/>
          <a:extLst>
            <a:ext uri="{FF2B5EF4-FFF2-40B4-BE49-F238E27FC236}">
              <a16:creationId xmlns:a16="http://schemas.microsoft.com/office/drawing/2014/main" id="{9ACFF606-1C2F-4512-AEA7-6C1A5141FD5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8" name="AutoShape 6" descr="Bug">
          <a:hlinkClick xmlns:r="http://schemas.openxmlformats.org/officeDocument/2006/relationships" r:id="rId2"/>
          <a:extLst>
            <a:ext uri="{FF2B5EF4-FFF2-40B4-BE49-F238E27FC236}">
              <a16:creationId xmlns:a16="http://schemas.microsoft.com/office/drawing/2014/main" id="{1F344928-7AC1-445C-83B7-D5B910F7235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9" name="AutoShape 7" descr="Story">
          <a:hlinkClick xmlns:r="http://schemas.openxmlformats.org/officeDocument/2006/relationships" r:id="rId3"/>
          <a:extLst>
            <a:ext uri="{FF2B5EF4-FFF2-40B4-BE49-F238E27FC236}">
              <a16:creationId xmlns:a16="http://schemas.microsoft.com/office/drawing/2014/main" id="{28A74E86-98D8-42A8-A8D4-56469522647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0" name="AutoShape 8" descr="Story">
          <a:hlinkClick xmlns:r="http://schemas.openxmlformats.org/officeDocument/2006/relationships" r:id="rId4"/>
          <a:extLst>
            <a:ext uri="{FF2B5EF4-FFF2-40B4-BE49-F238E27FC236}">
              <a16:creationId xmlns:a16="http://schemas.microsoft.com/office/drawing/2014/main" id="{D2FD0D5D-C2DC-4C7A-8753-16C08EB7C8B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1" name="AutoShape 9" descr="Story">
          <a:hlinkClick xmlns:r="http://schemas.openxmlformats.org/officeDocument/2006/relationships" r:id="rId5"/>
          <a:extLst>
            <a:ext uri="{FF2B5EF4-FFF2-40B4-BE49-F238E27FC236}">
              <a16:creationId xmlns:a16="http://schemas.microsoft.com/office/drawing/2014/main" id="{DD72CA45-B9C8-44B9-9323-D4422C11EC2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2" name="AutoShape 10" descr="Story">
          <a:hlinkClick xmlns:r="http://schemas.openxmlformats.org/officeDocument/2006/relationships" r:id="rId6"/>
          <a:extLst>
            <a:ext uri="{FF2B5EF4-FFF2-40B4-BE49-F238E27FC236}">
              <a16:creationId xmlns:a16="http://schemas.microsoft.com/office/drawing/2014/main" id="{5B018983-6878-450D-8902-510CBD0B438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3" name="AutoShape 13" descr="Story">
          <a:hlinkClick xmlns:r="http://schemas.openxmlformats.org/officeDocument/2006/relationships" r:id="rId4"/>
          <a:extLst>
            <a:ext uri="{FF2B5EF4-FFF2-40B4-BE49-F238E27FC236}">
              <a16:creationId xmlns:a16="http://schemas.microsoft.com/office/drawing/2014/main" id="{F3A0FC36-BA5B-4215-BE12-4B40B96F715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4" name="AutoShape 14" descr="Story">
          <a:hlinkClick xmlns:r="http://schemas.openxmlformats.org/officeDocument/2006/relationships" r:id="rId4"/>
          <a:extLst>
            <a:ext uri="{FF2B5EF4-FFF2-40B4-BE49-F238E27FC236}">
              <a16:creationId xmlns:a16="http://schemas.microsoft.com/office/drawing/2014/main" id="{08DDCBE8-8D10-4773-8294-2D9C3D37C9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5" name="AutoShape 4" descr="Bug">
          <a:hlinkClick xmlns:r="http://schemas.openxmlformats.org/officeDocument/2006/relationships" r:id="rId1"/>
          <a:extLst>
            <a:ext uri="{FF2B5EF4-FFF2-40B4-BE49-F238E27FC236}">
              <a16:creationId xmlns:a16="http://schemas.microsoft.com/office/drawing/2014/main" id="{C640FA29-4539-4ED3-8361-DE519C624F8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6" name="AutoShape 6" descr="Bug">
          <a:hlinkClick xmlns:r="http://schemas.openxmlformats.org/officeDocument/2006/relationships" r:id="rId2"/>
          <a:extLst>
            <a:ext uri="{FF2B5EF4-FFF2-40B4-BE49-F238E27FC236}">
              <a16:creationId xmlns:a16="http://schemas.microsoft.com/office/drawing/2014/main" id="{EADE1B88-D753-4077-9C28-96E120137A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7" name="AutoShape 7" descr="Story">
          <a:hlinkClick xmlns:r="http://schemas.openxmlformats.org/officeDocument/2006/relationships" r:id="rId3"/>
          <a:extLst>
            <a:ext uri="{FF2B5EF4-FFF2-40B4-BE49-F238E27FC236}">
              <a16:creationId xmlns:a16="http://schemas.microsoft.com/office/drawing/2014/main" id="{CD5BA7EF-3965-4686-A707-ABA4717385A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8" name="AutoShape 8" descr="Story">
          <a:hlinkClick xmlns:r="http://schemas.openxmlformats.org/officeDocument/2006/relationships" r:id="rId4"/>
          <a:extLst>
            <a:ext uri="{FF2B5EF4-FFF2-40B4-BE49-F238E27FC236}">
              <a16:creationId xmlns:a16="http://schemas.microsoft.com/office/drawing/2014/main" id="{1CA80CCA-A44A-414C-8EFD-604A85E1D41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9" name="AutoShape 9" descr="Story">
          <a:hlinkClick xmlns:r="http://schemas.openxmlformats.org/officeDocument/2006/relationships" r:id="rId5"/>
          <a:extLst>
            <a:ext uri="{FF2B5EF4-FFF2-40B4-BE49-F238E27FC236}">
              <a16:creationId xmlns:a16="http://schemas.microsoft.com/office/drawing/2014/main" id="{A92EF3EE-E393-4340-92A3-B44BABF8047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0" name="AutoShape 10" descr="Story">
          <a:hlinkClick xmlns:r="http://schemas.openxmlformats.org/officeDocument/2006/relationships" r:id="rId6"/>
          <a:extLst>
            <a:ext uri="{FF2B5EF4-FFF2-40B4-BE49-F238E27FC236}">
              <a16:creationId xmlns:a16="http://schemas.microsoft.com/office/drawing/2014/main" id="{32CD3651-B02A-4B62-88F5-FF73E869B52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1" name="AutoShape 13" descr="Story">
          <a:hlinkClick xmlns:r="http://schemas.openxmlformats.org/officeDocument/2006/relationships" r:id="rId4"/>
          <a:extLst>
            <a:ext uri="{FF2B5EF4-FFF2-40B4-BE49-F238E27FC236}">
              <a16:creationId xmlns:a16="http://schemas.microsoft.com/office/drawing/2014/main" id="{6E12FFCD-B600-4FDA-8342-9840C97A719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2" name="AutoShape 14" descr="Story">
          <a:hlinkClick xmlns:r="http://schemas.openxmlformats.org/officeDocument/2006/relationships" r:id="rId4"/>
          <a:extLst>
            <a:ext uri="{FF2B5EF4-FFF2-40B4-BE49-F238E27FC236}">
              <a16:creationId xmlns:a16="http://schemas.microsoft.com/office/drawing/2014/main" id="{DDE62AC6-919B-412B-B942-B5BA6FDD668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3" name="AutoShape 4" descr="Bug">
          <a:hlinkClick xmlns:r="http://schemas.openxmlformats.org/officeDocument/2006/relationships" r:id="rId1"/>
          <a:extLst>
            <a:ext uri="{FF2B5EF4-FFF2-40B4-BE49-F238E27FC236}">
              <a16:creationId xmlns:a16="http://schemas.microsoft.com/office/drawing/2014/main" id="{E3688AF9-CC40-46DB-AB0A-C074D12EB7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4" name="AutoShape 6" descr="Bug">
          <a:hlinkClick xmlns:r="http://schemas.openxmlformats.org/officeDocument/2006/relationships" r:id="rId2"/>
          <a:extLst>
            <a:ext uri="{FF2B5EF4-FFF2-40B4-BE49-F238E27FC236}">
              <a16:creationId xmlns:a16="http://schemas.microsoft.com/office/drawing/2014/main" id="{71583C8E-D372-40DC-8A11-3576FB63E44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5" name="AutoShape 7" descr="Story">
          <a:hlinkClick xmlns:r="http://schemas.openxmlformats.org/officeDocument/2006/relationships" r:id="rId3"/>
          <a:extLst>
            <a:ext uri="{FF2B5EF4-FFF2-40B4-BE49-F238E27FC236}">
              <a16:creationId xmlns:a16="http://schemas.microsoft.com/office/drawing/2014/main" id="{403C643C-AF70-492B-A14A-AB9E93A2545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6" name="AutoShape 8" descr="Story">
          <a:hlinkClick xmlns:r="http://schemas.openxmlformats.org/officeDocument/2006/relationships" r:id="rId4"/>
          <a:extLst>
            <a:ext uri="{FF2B5EF4-FFF2-40B4-BE49-F238E27FC236}">
              <a16:creationId xmlns:a16="http://schemas.microsoft.com/office/drawing/2014/main" id="{85658AC5-7DFA-41D0-B990-143D1EF666D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7" name="AutoShape 9" descr="Story">
          <a:hlinkClick xmlns:r="http://schemas.openxmlformats.org/officeDocument/2006/relationships" r:id="rId5"/>
          <a:extLst>
            <a:ext uri="{FF2B5EF4-FFF2-40B4-BE49-F238E27FC236}">
              <a16:creationId xmlns:a16="http://schemas.microsoft.com/office/drawing/2014/main" id="{5CF57770-3386-4A26-80C6-BFE9B646800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8" name="AutoShape 10" descr="Story">
          <a:hlinkClick xmlns:r="http://schemas.openxmlformats.org/officeDocument/2006/relationships" r:id="rId6"/>
          <a:extLst>
            <a:ext uri="{FF2B5EF4-FFF2-40B4-BE49-F238E27FC236}">
              <a16:creationId xmlns:a16="http://schemas.microsoft.com/office/drawing/2014/main" id="{F488226A-9596-40C3-90B3-58CB141ED32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9" name="AutoShape 13" descr="Story">
          <a:hlinkClick xmlns:r="http://schemas.openxmlformats.org/officeDocument/2006/relationships" r:id="rId4"/>
          <a:extLst>
            <a:ext uri="{FF2B5EF4-FFF2-40B4-BE49-F238E27FC236}">
              <a16:creationId xmlns:a16="http://schemas.microsoft.com/office/drawing/2014/main" id="{6F4E7B9D-DF1D-4B0C-96F5-39BA5A4925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0" name="AutoShape 14" descr="Story">
          <a:hlinkClick xmlns:r="http://schemas.openxmlformats.org/officeDocument/2006/relationships" r:id="rId4"/>
          <a:extLst>
            <a:ext uri="{FF2B5EF4-FFF2-40B4-BE49-F238E27FC236}">
              <a16:creationId xmlns:a16="http://schemas.microsoft.com/office/drawing/2014/main" id="{ACD151C2-1243-4B8A-B968-B2ADDC2F392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1" name="AutoShape 4" descr="Bug">
          <a:hlinkClick xmlns:r="http://schemas.openxmlformats.org/officeDocument/2006/relationships" r:id="rId1"/>
          <a:extLst>
            <a:ext uri="{FF2B5EF4-FFF2-40B4-BE49-F238E27FC236}">
              <a16:creationId xmlns:a16="http://schemas.microsoft.com/office/drawing/2014/main" id="{861FE491-2F53-495C-A974-05E9D719E2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2" name="AutoShape 6" descr="Bug">
          <a:hlinkClick xmlns:r="http://schemas.openxmlformats.org/officeDocument/2006/relationships" r:id="rId2"/>
          <a:extLst>
            <a:ext uri="{FF2B5EF4-FFF2-40B4-BE49-F238E27FC236}">
              <a16:creationId xmlns:a16="http://schemas.microsoft.com/office/drawing/2014/main" id="{65EC6553-4A18-4240-B3E0-31DB8408B55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3" name="AutoShape 7" descr="Story">
          <a:hlinkClick xmlns:r="http://schemas.openxmlformats.org/officeDocument/2006/relationships" r:id="rId3"/>
          <a:extLst>
            <a:ext uri="{FF2B5EF4-FFF2-40B4-BE49-F238E27FC236}">
              <a16:creationId xmlns:a16="http://schemas.microsoft.com/office/drawing/2014/main" id="{1C5F1B12-91BE-425B-9468-0991C06EF17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4" name="AutoShape 8" descr="Story">
          <a:hlinkClick xmlns:r="http://schemas.openxmlformats.org/officeDocument/2006/relationships" r:id="rId4"/>
          <a:extLst>
            <a:ext uri="{FF2B5EF4-FFF2-40B4-BE49-F238E27FC236}">
              <a16:creationId xmlns:a16="http://schemas.microsoft.com/office/drawing/2014/main" id="{139D8D24-DA0F-45DD-B885-DFB0E671137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5" name="AutoShape 9" descr="Story">
          <a:hlinkClick xmlns:r="http://schemas.openxmlformats.org/officeDocument/2006/relationships" r:id="rId5"/>
          <a:extLst>
            <a:ext uri="{FF2B5EF4-FFF2-40B4-BE49-F238E27FC236}">
              <a16:creationId xmlns:a16="http://schemas.microsoft.com/office/drawing/2014/main" id="{68D008A3-3B49-497E-B3B3-FD25B022AF3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6" name="AutoShape 10" descr="Story">
          <a:hlinkClick xmlns:r="http://schemas.openxmlformats.org/officeDocument/2006/relationships" r:id="rId6"/>
          <a:extLst>
            <a:ext uri="{FF2B5EF4-FFF2-40B4-BE49-F238E27FC236}">
              <a16:creationId xmlns:a16="http://schemas.microsoft.com/office/drawing/2014/main" id="{01597C36-7FC9-4014-8AC7-1FCFEB137C0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7" name="AutoShape 13" descr="Story">
          <a:hlinkClick xmlns:r="http://schemas.openxmlformats.org/officeDocument/2006/relationships" r:id="rId4"/>
          <a:extLst>
            <a:ext uri="{FF2B5EF4-FFF2-40B4-BE49-F238E27FC236}">
              <a16:creationId xmlns:a16="http://schemas.microsoft.com/office/drawing/2014/main" id="{95749578-43F8-4CF3-90B3-F476DB1C8A0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8" name="AutoShape 14" descr="Story">
          <a:hlinkClick xmlns:r="http://schemas.openxmlformats.org/officeDocument/2006/relationships" r:id="rId4"/>
          <a:extLst>
            <a:ext uri="{FF2B5EF4-FFF2-40B4-BE49-F238E27FC236}">
              <a16:creationId xmlns:a16="http://schemas.microsoft.com/office/drawing/2014/main" id="{F1E8D62C-B4C1-4E87-8DF3-F4BC2500CC2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9" name="AutoShape 4" descr="Bug">
          <a:hlinkClick xmlns:r="http://schemas.openxmlformats.org/officeDocument/2006/relationships" r:id="rId1"/>
          <a:extLst>
            <a:ext uri="{FF2B5EF4-FFF2-40B4-BE49-F238E27FC236}">
              <a16:creationId xmlns:a16="http://schemas.microsoft.com/office/drawing/2014/main" id="{DF95128D-4C28-4589-95CE-9D0658A74E5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0" name="AutoShape 6" descr="Bug">
          <a:hlinkClick xmlns:r="http://schemas.openxmlformats.org/officeDocument/2006/relationships" r:id="rId2"/>
          <a:extLst>
            <a:ext uri="{FF2B5EF4-FFF2-40B4-BE49-F238E27FC236}">
              <a16:creationId xmlns:a16="http://schemas.microsoft.com/office/drawing/2014/main" id="{59FED2A3-3B7E-48A7-B353-470854322C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1" name="AutoShape 7" descr="Story">
          <a:hlinkClick xmlns:r="http://schemas.openxmlformats.org/officeDocument/2006/relationships" r:id="rId3"/>
          <a:extLst>
            <a:ext uri="{FF2B5EF4-FFF2-40B4-BE49-F238E27FC236}">
              <a16:creationId xmlns:a16="http://schemas.microsoft.com/office/drawing/2014/main" id="{12604EA3-C5BC-4635-8800-40BF5030FEA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2" name="AutoShape 8" descr="Story">
          <a:hlinkClick xmlns:r="http://schemas.openxmlformats.org/officeDocument/2006/relationships" r:id="rId4"/>
          <a:extLst>
            <a:ext uri="{FF2B5EF4-FFF2-40B4-BE49-F238E27FC236}">
              <a16:creationId xmlns:a16="http://schemas.microsoft.com/office/drawing/2014/main" id="{2A62A62F-A96B-4528-81AF-778E1398595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3" name="AutoShape 9" descr="Story">
          <a:hlinkClick xmlns:r="http://schemas.openxmlformats.org/officeDocument/2006/relationships" r:id="rId5"/>
          <a:extLst>
            <a:ext uri="{FF2B5EF4-FFF2-40B4-BE49-F238E27FC236}">
              <a16:creationId xmlns:a16="http://schemas.microsoft.com/office/drawing/2014/main" id="{30C76006-B210-419A-866A-788D5C8D3D1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4" name="AutoShape 10" descr="Story">
          <a:hlinkClick xmlns:r="http://schemas.openxmlformats.org/officeDocument/2006/relationships" r:id="rId6"/>
          <a:extLst>
            <a:ext uri="{FF2B5EF4-FFF2-40B4-BE49-F238E27FC236}">
              <a16:creationId xmlns:a16="http://schemas.microsoft.com/office/drawing/2014/main" id="{D7D69500-CC85-4832-92D8-959686712AD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5" name="AutoShape 13" descr="Story">
          <a:hlinkClick xmlns:r="http://schemas.openxmlformats.org/officeDocument/2006/relationships" r:id="rId4"/>
          <a:extLst>
            <a:ext uri="{FF2B5EF4-FFF2-40B4-BE49-F238E27FC236}">
              <a16:creationId xmlns:a16="http://schemas.microsoft.com/office/drawing/2014/main" id="{6D844140-620A-4731-B5FF-EB9E65512DE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6" name="AutoShape 14" descr="Story">
          <a:hlinkClick xmlns:r="http://schemas.openxmlformats.org/officeDocument/2006/relationships" r:id="rId4"/>
          <a:extLst>
            <a:ext uri="{FF2B5EF4-FFF2-40B4-BE49-F238E27FC236}">
              <a16:creationId xmlns:a16="http://schemas.microsoft.com/office/drawing/2014/main" id="{9FF3A788-CBD3-49A4-ABC7-D929A16C9E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7" name="AutoShape 4" descr="Bug">
          <a:hlinkClick xmlns:r="http://schemas.openxmlformats.org/officeDocument/2006/relationships" r:id="rId1"/>
          <a:extLst>
            <a:ext uri="{FF2B5EF4-FFF2-40B4-BE49-F238E27FC236}">
              <a16:creationId xmlns:a16="http://schemas.microsoft.com/office/drawing/2014/main" id="{26E6924B-C418-4BD5-AB9D-4C72F83CC38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8" name="AutoShape 6" descr="Bug">
          <a:hlinkClick xmlns:r="http://schemas.openxmlformats.org/officeDocument/2006/relationships" r:id="rId2"/>
          <a:extLst>
            <a:ext uri="{FF2B5EF4-FFF2-40B4-BE49-F238E27FC236}">
              <a16:creationId xmlns:a16="http://schemas.microsoft.com/office/drawing/2014/main" id="{C1A6B61E-FFBB-4D9B-9705-F57E0A96B30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9" name="AutoShape 7" descr="Story">
          <a:hlinkClick xmlns:r="http://schemas.openxmlformats.org/officeDocument/2006/relationships" r:id="rId3"/>
          <a:extLst>
            <a:ext uri="{FF2B5EF4-FFF2-40B4-BE49-F238E27FC236}">
              <a16:creationId xmlns:a16="http://schemas.microsoft.com/office/drawing/2014/main" id="{468F66ED-70D3-44A7-9AF0-532D2D2761F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0" name="AutoShape 8" descr="Story">
          <a:hlinkClick xmlns:r="http://schemas.openxmlformats.org/officeDocument/2006/relationships" r:id="rId4"/>
          <a:extLst>
            <a:ext uri="{FF2B5EF4-FFF2-40B4-BE49-F238E27FC236}">
              <a16:creationId xmlns:a16="http://schemas.microsoft.com/office/drawing/2014/main" id="{1370D6BE-3C26-4B2C-B099-F4278ECBE55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1" name="AutoShape 9" descr="Story">
          <a:hlinkClick xmlns:r="http://schemas.openxmlformats.org/officeDocument/2006/relationships" r:id="rId5"/>
          <a:extLst>
            <a:ext uri="{FF2B5EF4-FFF2-40B4-BE49-F238E27FC236}">
              <a16:creationId xmlns:a16="http://schemas.microsoft.com/office/drawing/2014/main" id="{9A8C36C8-77DD-46E3-BACA-C9C192D3B19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2" name="AutoShape 10" descr="Story">
          <a:hlinkClick xmlns:r="http://schemas.openxmlformats.org/officeDocument/2006/relationships" r:id="rId6"/>
          <a:extLst>
            <a:ext uri="{FF2B5EF4-FFF2-40B4-BE49-F238E27FC236}">
              <a16:creationId xmlns:a16="http://schemas.microsoft.com/office/drawing/2014/main" id="{A58FA877-3CA7-4694-9F9C-0B191653338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3" name="AutoShape 13" descr="Story">
          <a:hlinkClick xmlns:r="http://schemas.openxmlformats.org/officeDocument/2006/relationships" r:id="rId4"/>
          <a:extLst>
            <a:ext uri="{FF2B5EF4-FFF2-40B4-BE49-F238E27FC236}">
              <a16:creationId xmlns:a16="http://schemas.microsoft.com/office/drawing/2014/main" id="{660EE638-9FD7-4383-AFB2-04B641FB7F2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4" name="AutoShape 14" descr="Story">
          <a:hlinkClick xmlns:r="http://schemas.openxmlformats.org/officeDocument/2006/relationships" r:id="rId4"/>
          <a:extLst>
            <a:ext uri="{FF2B5EF4-FFF2-40B4-BE49-F238E27FC236}">
              <a16:creationId xmlns:a16="http://schemas.microsoft.com/office/drawing/2014/main" id="{21353A7D-6AAD-4B55-A90F-E70248AE4E7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5" name="AutoShape 4" descr="Bug">
          <a:hlinkClick xmlns:r="http://schemas.openxmlformats.org/officeDocument/2006/relationships" r:id="rId1"/>
          <a:extLst>
            <a:ext uri="{FF2B5EF4-FFF2-40B4-BE49-F238E27FC236}">
              <a16:creationId xmlns:a16="http://schemas.microsoft.com/office/drawing/2014/main" id="{F2AAC3A8-D627-4591-A7FF-F12CC343A20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6" name="AutoShape 6" descr="Bug">
          <a:hlinkClick xmlns:r="http://schemas.openxmlformats.org/officeDocument/2006/relationships" r:id="rId2"/>
          <a:extLst>
            <a:ext uri="{FF2B5EF4-FFF2-40B4-BE49-F238E27FC236}">
              <a16:creationId xmlns:a16="http://schemas.microsoft.com/office/drawing/2014/main" id="{18AD986D-EFBA-4628-9A09-A5EC70672EF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7" name="AutoShape 7" descr="Story">
          <a:hlinkClick xmlns:r="http://schemas.openxmlformats.org/officeDocument/2006/relationships" r:id="rId3"/>
          <a:extLst>
            <a:ext uri="{FF2B5EF4-FFF2-40B4-BE49-F238E27FC236}">
              <a16:creationId xmlns:a16="http://schemas.microsoft.com/office/drawing/2014/main" id="{281DB293-B220-435E-A793-71E581F54BB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8" name="AutoShape 8" descr="Story">
          <a:hlinkClick xmlns:r="http://schemas.openxmlformats.org/officeDocument/2006/relationships" r:id="rId4"/>
          <a:extLst>
            <a:ext uri="{FF2B5EF4-FFF2-40B4-BE49-F238E27FC236}">
              <a16:creationId xmlns:a16="http://schemas.microsoft.com/office/drawing/2014/main" id="{FBA2DEAA-A386-41E8-A1DB-F6D0A99C94C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9" name="AutoShape 9" descr="Story">
          <a:hlinkClick xmlns:r="http://schemas.openxmlformats.org/officeDocument/2006/relationships" r:id="rId5"/>
          <a:extLst>
            <a:ext uri="{FF2B5EF4-FFF2-40B4-BE49-F238E27FC236}">
              <a16:creationId xmlns:a16="http://schemas.microsoft.com/office/drawing/2014/main" id="{7C8CB855-D9B3-43BC-A6C2-6CCB2171A16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0" name="AutoShape 10" descr="Story">
          <a:hlinkClick xmlns:r="http://schemas.openxmlformats.org/officeDocument/2006/relationships" r:id="rId6"/>
          <a:extLst>
            <a:ext uri="{FF2B5EF4-FFF2-40B4-BE49-F238E27FC236}">
              <a16:creationId xmlns:a16="http://schemas.microsoft.com/office/drawing/2014/main" id="{3F46143C-4959-42A0-9200-B59ACEECC0B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1" name="AutoShape 13" descr="Story">
          <a:hlinkClick xmlns:r="http://schemas.openxmlformats.org/officeDocument/2006/relationships" r:id="rId4"/>
          <a:extLst>
            <a:ext uri="{FF2B5EF4-FFF2-40B4-BE49-F238E27FC236}">
              <a16:creationId xmlns:a16="http://schemas.microsoft.com/office/drawing/2014/main" id="{89FB2079-004C-4DC4-A563-5F4F96C068A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2" name="AutoShape 14" descr="Story">
          <a:hlinkClick xmlns:r="http://schemas.openxmlformats.org/officeDocument/2006/relationships" r:id="rId4"/>
          <a:extLst>
            <a:ext uri="{FF2B5EF4-FFF2-40B4-BE49-F238E27FC236}">
              <a16:creationId xmlns:a16="http://schemas.microsoft.com/office/drawing/2014/main" id="{47AF7ECD-7CB6-4127-A501-ABF44873366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3" name="AutoShape 4" descr="Bug">
          <a:hlinkClick xmlns:r="http://schemas.openxmlformats.org/officeDocument/2006/relationships" r:id="rId1"/>
          <a:extLst>
            <a:ext uri="{FF2B5EF4-FFF2-40B4-BE49-F238E27FC236}">
              <a16:creationId xmlns:a16="http://schemas.microsoft.com/office/drawing/2014/main" id="{FAE916C0-E93A-4DE6-AADA-32AB2B03956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4" name="AutoShape 6" descr="Bug">
          <a:hlinkClick xmlns:r="http://schemas.openxmlformats.org/officeDocument/2006/relationships" r:id="rId2"/>
          <a:extLst>
            <a:ext uri="{FF2B5EF4-FFF2-40B4-BE49-F238E27FC236}">
              <a16:creationId xmlns:a16="http://schemas.microsoft.com/office/drawing/2014/main" id="{3B548B60-42C9-4405-A939-30851DF4A3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5" name="AutoShape 7" descr="Story">
          <a:hlinkClick xmlns:r="http://schemas.openxmlformats.org/officeDocument/2006/relationships" r:id="rId3"/>
          <a:extLst>
            <a:ext uri="{FF2B5EF4-FFF2-40B4-BE49-F238E27FC236}">
              <a16:creationId xmlns:a16="http://schemas.microsoft.com/office/drawing/2014/main" id="{1EE730E9-B7A6-4177-9107-8F0AD00AC2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6" name="AutoShape 8" descr="Story">
          <a:hlinkClick xmlns:r="http://schemas.openxmlformats.org/officeDocument/2006/relationships" r:id="rId4"/>
          <a:extLst>
            <a:ext uri="{FF2B5EF4-FFF2-40B4-BE49-F238E27FC236}">
              <a16:creationId xmlns:a16="http://schemas.microsoft.com/office/drawing/2014/main" id="{806EEBF7-DC31-49B4-8800-D5020EF839B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7" name="AutoShape 9" descr="Story">
          <a:hlinkClick xmlns:r="http://schemas.openxmlformats.org/officeDocument/2006/relationships" r:id="rId5"/>
          <a:extLst>
            <a:ext uri="{FF2B5EF4-FFF2-40B4-BE49-F238E27FC236}">
              <a16:creationId xmlns:a16="http://schemas.microsoft.com/office/drawing/2014/main" id="{9823BA30-6094-4A0C-A647-BEE571A6EE8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8" name="AutoShape 10" descr="Story">
          <a:hlinkClick xmlns:r="http://schemas.openxmlformats.org/officeDocument/2006/relationships" r:id="rId6"/>
          <a:extLst>
            <a:ext uri="{FF2B5EF4-FFF2-40B4-BE49-F238E27FC236}">
              <a16:creationId xmlns:a16="http://schemas.microsoft.com/office/drawing/2014/main" id="{06F6209F-8F26-4189-8273-B4BEC6D247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9" name="AutoShape 13" descr="Story">
          <a:hlinkClick xmlns:r="http://schemas.openxmlformats.org/officeDocument/2006/relationships" r:id="rId4"/>
          <a:extLst>
            <a:ext uri="{FF2B5EF4-FFF2-40B4-BE49-F238E27FC236}">
              <a16:creationId xmlns:a16="http://schemas.microsoft.com/office/drawing/2014/main" id="{9EC793AB-2200-49FF-BAD5-B4CFA43955D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0" name="AutoShape 14" descr="Story">
          <a:hlinkClick xmlns:r="http://schemas.openxmlformats.org/officeDocument/2006/relationships" r:id="rId4"/>
          <a:extLst>
            <a:ext uri="{FF2B5EF4-FFF2-40B4-BE49-F238E27FC236}">
              <a16:creationId xmlns:a16="http://schemas.microsoft.com/office/drawing/2014/main" id="{083DFFF2-4A76-438C-AD0E-DFE4EC6B3CB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1" name="AutoShape 4" descr="Bug">
          <a:hlinkClick xmlns:r="http://schemas.openxmlformats.org/officeDocument/2006/relationships" r:id="rId1"/>
          <a:extLst>
            <a:ext uri="{FF2B5EF4-FFF2-40B4-BE49-F238E27FC236}">
              <a16:creationId xmlns:a16="http://schemas.microsoft.com/office/drawing/2014/main" id="{78AA8D21-6834-4647-926A-50F3C5DE150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2" name="AutoShape 6" descr="Bug">
          <a:hlinkClick xmlns:r="http://schemas.openxmlformats.org/officeDocument/2006/relationships" r:id="rId2"/>
          <a:extLst>
            <a:ext uri="{FF2B5EF4-FFF2-40B4-BE49-F238E27FC236}">
              <a16:creationId xmlns:a16="http://schemas.microsoft.com/office/drawing/2014/main" id="{FB9A7B7D-CD3E-4871-93ED-133FBD2DAA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3" name="AutoShape 7" descr="Story">
          <a:hlinkClick xmlns:r="http://schemas.openxmlformats.org/officeDocument/2006/relationships" r:id="rId3"/>
          <a:extLst>
            <a:ext uri="{FF2B5EF4-FFF2-40B4-BE49-F238E27FC236}">
              <a16:creationId xmlns:a16="http://schemas.microsoft.com/office/drawing/2014/main" id="{398E6E39-8506-4468-ABFB-0E65EC6C151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4" name="AutoShape 8" descr="Story">
          <a:hlinkClick xmlns:r="http://schemas.openxmlformats.org/officeDocument/2006/relationships" r:id="rId4"/>
          <a:extLst>
            <a:ext uri="{FF2B5EF4-FFF2-40B4-BE49-F238E27FC236}">
              <a16:creationId xmlns:a16="http://schemas.microsoft.com/office/drawing/2014/main" id="{6AAC055D-C78A-412C-BFF9-C67BAB4A870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5" name="AutoShape 9" descr="Story">
          <a:hlinkClick xmlns:r="http://schemas.openxmlformats.org/officeDocument/2006/relationships" r:id="rId5"/>
          <a:extLst>
            <a:ext uri="{FF2B5EF4-FFF2-40B4-BE49-F238E27FC236}">
              <a16:creationId xmlns:a16="http://schemas.microsoft.com/office/drawing/2014/main" id="{1EBBBBBF-9116-47F6-86DD-A8F5DC5B30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6" name="AutoShape 10" descr="Story">
          <a:hlinkClick xmlns:r="http://schemas.openxmlformats.org/officeDocument/2006/relationships" r:id="rId6"/>
          <a:extLst>
            <a:ext uri="{FF2B5EF4-FFF2-40B4-BE49-F238E27FC236}">
              <a16:creationId xmlns:a16="http://schemas.microsoft.com/office/drawing/2014/main" id="{C54683F7-8D0F-497C-9AEB-52C281459EC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7" name="AutoShape 13" descr="Story">
          <a:hlinkClick xmlns:r="http://schemas.openxmlformats.org/officeDocument/2006/relationships" r:id="rId4"/>
          <a:extLst>
            <a:ext uri="{FF2B5EF4-FFF2-40B4-BE49-F238E27FC236}">
              <a16:creationId xmlns:a16="http://schemas.microsoft.com/office/drawing/2014/main" id="{067AE861-F9B7-40B1-B16B-4CA958F2AE9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8" name="AutoShape 14" descr="Story">
          <a:hlinkClick xmlns:r="http://schemas.openxmlformats.org/officeDocument/2006/relationships" r:id="rId4"/>
          <a:extLst>
            <a:ext uri="{FF2B5EF4-FFF2-40B4-BE49-F238E27FC236}">
              <a16:creationId xmlns:a16="http://schemas.microsoft.com/office/drawing/2014/main" id="{F8AB7C97-A55A-4FEF-93C6-9A4816A9FC3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9" name="AutoShape 4" descr="Bug">
          <a:hlinkClick xmlns:r="http://schemas.openxmlformats.org/officeDocument/2006/relationships" r:id="rId1"/>
          <a:extLst>
            <a:ext uri="{FF2B5EF4-FFF2-40B4-BE49-F238E27FC236}">
              <a16:creationId xmlns:a16="http://schemas.microsoft.com/office/drawing/2014/main" id="{AC0FCDFC-CA4C-41E1-88C9-E3C1F6CC2AA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0" name="AutoShape 6" descr="Bug">
          <a:hlinkClick xmlns:r="http://schemas.openxmlformats.org/officeDocument/2006/relationships" r:id="rId2"/>
          <a:extLst>
            <a:ext uri="{FF2B5EF4-FFF2-40B4-BE49-F238E27FC236}">
              <a16:creationId xmlns:a16="http://schemas.microsoft.com/office/drawing/2014/main" id="{564DB45A-AF27-49E1-8B2C-19C2A952684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1" name="AutoShape 7" descr="Story">
          <a:hlinkClick xmlns:r="http://schemas.openxmlformats.org/officeDocument/2006/relationships" r:id="rId3"/>
          <a:extLst>
            <a:ext uri="{FF2B5EF4-FFF2-40B4-BE49-F238E27FC236}">
              <a16:creationId xmlns:a16="http://schemas.microsoft.com/office/drawing/2014/main" id="{B00C61D2-2A05-4973-82EE-B829EFD4CC2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2" name="AutoShape 8" descr="Story">
          <a:hlinkClick xmlns:r="http://schemas.openxmlformats.org/officeDocument/2006/relationships" r:id="rId4"/>
          <a:extLst>
            <a:ext uri="{FF2B5EF4-FFF2-40B4-BE49-F238E27FC236}">
              <a16:creationId xmlns:a16="http://schemas.microsoft.com/office/drawing/2014/main" id="{DD43A4E4-B761-42DA-B0BF-93C0ABD10CE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3" name="AutoShape 9" descr="Story">
          <a:hlinkClick xmlns:r="http://schemas.openxmlformats.org/officeDocument/2006/relationships" r:id="rId5"/>
          <a:extLst>
            <a:ext uri="{FF2B5EF4-FFF2-40B4-BE49-F238E27FC236}">
              <a16:creationId xmlns:a16="http://schemas.microsoft.com/office/drawing/2014/main" id="{C78DAF27-5C8F-420E-B4ED-8C12C2D1D3C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4" name="AutoShape 10" descr="Story">
          <a:hlinkClick xmlns:r="http://schemas.openxmlformats.org/officeDocument/2006/relationships" r:id="rId6"/>
          <a:extLst>
            <a:ext uri="{FF2B5EF4-FFF2-40B4-BE49-F238E27FC236}">
              <a16:creationId xmlns:a16="http://schemas.microsoft.com/office/drawing/2014/main" id="{3BADB982-B7E7-4725-99F1-9C69D8DD66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5" name="AutoShape 13" descr="Story">
          <a:hlinkClick xmlns:r="http://schemas.openxmlformats.org/officeDocument/2006/relationships" r:id="rId4"/>
          <a:extLst>
            <a:ext uri="{FF2B5EF4-FFF2-40B4-BE49-F238E27FC236}">
              <a16:creationId xmlns:a16="http://schemas.microsoft.com/office/drawing/2014/main" id="{ECC16381-1E56-4D07-B312-D537FEFC00F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6" name="AutoShape 14" descr="Story">
          <a:hlinkClick xmlns:r="http://schemas.openxmlformats.org/officeDocument/2006/relationships" r:id="rId4"/>
          <a:extLst>
            <a:ext uri="{FF2B5EF4-FFF2-40B4-BE49-F238E27FC236}">
              <a16:creationId xmlns:a16="http://schemas.microsoft.com/office/drawing/2014/main" id="{0B895A81-6079-466B-95EB-3B93741867C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857</xdr:row>
      <xdr:rowOff>0</xdr:rowOff>
    </xdr:from>
    <xdr:to>
      <xdr:col>1</xdr:col>
      <xdr:colOff>152400</xdr:colOff>
      <xdr:row>857</xdr:row>
      <xdr:rowOff>152400</xdr:rowOff>
    </xdr:to>
    <xdr:sp macro="" textlink="">
      <xdr:nvSpPr>
        <xdr:cNvPr id="967" name="AutoShape 4" descr="Bug">
          <a:hlinkClick xmlns:r="http://schemas.openxmlformats.org/officeDocument/2006/relationships" r:id="rId1"/>
          <a:extLst>
            <a:ext uri="{FF2B5EF4-FFF2-40B4-BE49-F238E27FC236}">
              <a16:creationId xmlns:a16="http://schemas.microsoft.com/office/drawing/2014/main" id="{4A8CA690-AFB4-46C4-ABEB-265C0136106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68" name="AutoShape 6" descr="Bug">
          <a:hlinkClick xmlns:r="http://schemas.openxmlformats.org/officeDocument/2006/relationships" r:id="rId2"/>
          <a:extLst>
            <a:ext uri="{FF2B5EF4-FFF2-40B4-BE49-F238E27FC236}">
              <a16:creationId xmlns:a16="http://schemas.microsoft.com/office/drawing/2014/main" id="{F828E27E-73C1-496F-94DF-B553A1F326F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69" name="AutoShape 7" descr="Story">
          <a:hlinkClick xmlns:r="http://schemas.openxmlformats.org/officeDocument/2006/relationships" r:id="rId3"/>
          <a:extLst>
            <a:ext uri="{FF2B5EF4-FFF2-40B4-BE49-F238E27FC236}">
              <a16:creationId xmlns:a16="http://schemas.microsoft.com/office/drawing/2014/main" id="{3517ED2C-7FD2-44E2-AA38-7459C97F88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0" name="AutoShape 8" descr="Story">
          <a:hlinkClick xmlns:r="http://schemas.openxmlformats.org/officeDocument/2006/relationships" r:id="rId4"/>
          <a:extLst>
            <a:ext uri="{FF2B5EF4-FFF2-40B4-BE49-F238E27FC236}">
              <a16:creationId xmlns:a16="http://schemas.microsoft.com/office/drawing/2014/main" id="{D7D736AE-75E6-47C3-8B3C-C9770F22F03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1" name="AutoShape 9" descr="Story">
          <a:hlinkClick xmlns:r="http://schemas.openxmlformats.org/officeDocument/2006/relationships" r:id="rId5"/>
          <a:extLst>
            <a:ext uri="{FF2B5EF4-FFF2-40B4-BE49-F238E27FC236}">
              <a16:creationId xmlns:a16="http://schemas.microsoft.com/office/drawing/2014/main" id="{87EE0DF8-8FA6-47F7-B16A-7CAEACBD0F2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2" name="AutoShape 10" descr="Story">
          <a:hlinkClick xmlns:r="http://schemas.openxmlformats.org/officeDocument/2006/relationships" r:id="rId6"/>
          <a:extLst>
            <a:ext uri="{FF2B5EF4-FFF2-40B4-BE49-F238E27FC236}">
              <a16:creationId xmlns:a16="http://schemas.microsoft.com/office/drawing/2014/main" id="{0154CDA6-30CB-4707-A7AD-633BD26BB6F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3" name="AutoShape 13" descr="Story">
          <a:hlinkClick xmlns:r="http://schemas.openxmlformats.org/officeDocument/2006/relationships" r:id="rId4"/>
          <a:extLst>
            <a:ext uri="{FF2B5EF4-FFF2-40B4-BE49-F238E27FC236}">
              <a16:creationId xmlns:a16="http://schemas.microsoft.com/office/drawing/2014/main" id="{68B76FC3-BEFB-4327-B7CC-241DC50080E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4" name="AutoShape 14" descr="Story">
          <a:hlinkClick xmlns:r="http://schemas.openxmlformats.org/officeDocument/2006/relationships" r:id="rId4"/>
          <a:extLst>
            <a:ext uri="{FF2B5EF4-FFF2-40B4-BE49-F238E27FC236}">
              <a16:creationId xmlns:a16="http://schemas.microsoft.com/office/drawing/2014/main" id="{DEB3A106-E3E6-43CA-A55E-B795C7D5EF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5" name="AutoShape 4" descr="Bug">
          <a:hlinkClick xmlns:r="http://schemas.openxmlformats.org/officeDocument/2006/relationships" r:id="rId1"/>
          <a:extLst>
            <a:ext uri="{FF2B5EF4-FFF2-40B4-BE49-F238E27FC236}">
              <a16:creationId xmlns:a16="http://schemas.microsoft.com/office/drawing/2014/main" id="{A9EF5114-FEE3-43A9-8485-5E0F77F48ED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6" name="AutoShape 6" descr="Bug">
          <a:hlinkClick xmlns:r="http://schemas.openxmlformats.org/officeDocument/2006/relationships" r:id="rId2"/>
          <a:extLst>
            <a:ext uri="{FF2B5EF4-FFF2-40B4-BE49-F238E27FC236}">
              <a16:creationId xmlns:a16="http://schemas.microsoft.com/office/drawing/2014/main" id="{07C2D5A5-6A41-4E0A-A86D-8862153068B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7" name="AutoShape 7" descr="Story">
          <a:hlinkClick xmlns:r="http://schemas.openxmlformats.org/officeDocument/2006/relationships" r:id="rId3"/>
          <a:extLst>
            <a:ext uri="{FF2B5EF4-FFF2-40B4-BE49-F238E27FC236}">
              <a16:creationId xmlns:a16="http://schemas.microsoft.com/office/drawing/2014/main" id="{C979BD60-4DC9-493F-BB53-918060BB01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8" name="AutoShape 8" descr="Story">
          <a:hlinkClick xmlns:r="http://schemas.openxmlformats.org/officeDocument/2006/relationships" r:id="rId4"/>
          <a:extLst>
            <a:ext uri="{FF2B5EF4-FFF2-40B4-BE49-F238E27FC236}">
              <a16:creationId xmlns:a16="http://schemas.microsoft.com/office/drawing/2014/main" id="{63DE7F89-CDBC-446B-8109-2CD8FDE9363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9" name="AutoShape 9" descr="Story">
          <a:hlinkClick xmlns:r="http://schemas.openxmlformats.org/officeDocument/2006/relationships" r:id="rId5"/>
          <a:extLst>
            <a:ext uri="{FF2B5EF4-FFF2-40B4-BE49-F238E27FC236}">
              <a16:creationId xmlns:a16="http://schemas.microsoft.com/office/drawing/2014/main" id="{86762D9C-84EF-4B57-AD63-D8C1E26056E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0" name="AutoShape 10" descr="Story">
          <a:hlinkClick xmlns:r="http://schemas.openxmlformats.org/officeDocument/2006/relationships" r:id="rId6"/>
          <a:extLst>
            <a:ext uri="{FF2B5EF4-FFF2-40B4-BE49-F238E27FC236}">
              <a16:creationId xmlns:a16="http://schemas.microsoft.com/office/drawing/2014/main" id="{886C34B0-63A9-4BE1-A273-4EE241AFC0B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1" name="AutoShape 13" descr="Story">
          <a:hlinkClick xmlns:r="http://schemas.openxmlformats.org/officeDocument/2006/relationships" r:id="rId4"/>
          <a:extLst>
            <a:ext uri="{FF2B5EF4-FFF2-40B4-BE49-F238E27FC236}">
              <a16:creationId xmlns:a16="http://schemas.microsoft.com/office/drawing/2014/main" id="{06B69B02-3546-42D4-AFA2-A5CF62A139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2" name="AutoShape 14" descr="Story">
          <a:hlinkClick xmlns:r="http://schemas.openxmlformats.org/officeDocument/2006/relationships" r:id="rId4"/>
          <a:extLst>
            <a:ext uri="{FF2B5EF4-FFF2-40B4-BE49-F238E27FC236}">
              <a16:creationId xmlns:a16="http://schemas.microsoft.com/office/drawing/2014/main" id="{DF601996-9C84-432C-92EF-2AEF46BFFF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3" name="AutoShape 4" descr="Bug">
          <a:hlinkClick xmlns:r="http://schemas.openxmlformats.org/officeDocument/2006/relationships" r:id="rId1"/>
          <a:extLst>
            <a:ext uri="{FF2B5EF4-FFF2-40B4-BE49-F238E27FC236}">
              <a16:creationId xmlns:a16="http://schemas.microsoft.com/office/drawing/2014/main" id="{40B135D6-6E52-4C8D-8A65-71A1EFFAF9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4" name="AutoShape 6" descr="Bug">
          <a:hlinkClick xmlns:r="http://schemas.openxmlformats.org/officeDocument/2006/relationships" r:id="rId2"/>
          <a:extLst>
            <a:ext uri="{FF2B5EF4-FFF2-40B4-BE49-F238E27FC236}">
              <a16:creationId xmlns:a16="http://schemas.microsoft.com/office/drawing/2014/main" id="{21910755-FC3F-4E0E-93C1-356D643F035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5" name="AutoShape 7" descr="Story">
          <a:hlinkClick xmlns:r="http://schemas.openxmlformats.org/officeDocument/2006/relationships" r:id="rId3"/>
          <a:extLst>
            <a:ext uri="{FF2B5EF4-FFF2-40B4-BE49-F238E27FC236}">
              <a16:creationId xmlns:a16="http://schemas.microsoft.com/office/drawing/2014/main" id="{7FA7567B-00F5-4890-9257-1B51739588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6" name="AutoShape 8" descr="Story">
          <a:hlinkClick xmlns:r="http://schemas.openxmlformats.org/officeDocument/2006/relationships" r:id="rId4"/>
          <a:extLst>
            <a:ext uri="{FF2B5EF4-FFF2-40B4-BE49-F238E27FC236}">
              <a16:creationId xmlns:a16="http://schemas.microsoft.com/office/drawing/2014/main" id="{BDCC71CB-273A-4360-9895-03F4394C2F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7" name="AutoShape 9" descr="Story">
          <a:hlinkClick xmlns:r="http://schemas.openxmlformats.org/officeDocument/2006/relationships" r:id="rId5"/>
          <a:extLst>
            <a:ext uri="{FF2B5EF4-FFF2-40B4-BE49-F238E27FC236}">
              <a16:creationId xmlns:a16="http://schemas.microsoft.com/office/drawing/2014/main" id="{93176B5A-137A-47BC-8474-782C474DC8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8" name="AutoShape 10" descr="Story">
          <a:hlinkClick xmlns:r="http://schemas.openxmlformats.org/officeDocument/2006/relationships" r:id="rId6"/>
          <a:extLst>
            <a:ext uri="{FF2B5EF4-FFF2-40B4-BE49-F238E27FC236}">
              <a16:creationId xmlns:a16="http://schemas.microsoft.com/office/drawing/2014/main" id="{860ABC7A-67E8-44A5-AA4D-4DEAD9A3DC7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9" name="AutoShape 13" descr="Story">
          <a:hlinkClick xmlns:r="http://schemas.openxmlformats.org/officeDocument/2006/relationships" r:id="rId4"/>
          <a:extLst>
            <a:ext uri="{FF2B5EF4-FFF2-40B4-BE49-F238E27FC236}">
              <a16:creationId xmlns:a16="http://schemas.microsoft.com/office/drawing/2014/main" id="{55289499-FC22-4849-A6A0-1C28EE6211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0" name="AutoShape 14" descr="Story">
          <a:hlinkClick xmlns:r="http://schemas.openxmlformats.org/officeDocument/2006/relationships" r:id="rId4"/>
          <a:extLst>
            <a:ext uri="{FF2B5EF4-FFF2-40B4-BE49-F238E27FC236}">
              <a16:creationId xmlns:a16="http://schemas.microsoft.com/office/drawing/2014/main" id="{593731A1-A291-4608-B2BC-4430EA7205F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1" name="AutoShape 4" descr="Bug">
          <a:hlinkClick xmlns:r="http://schemas.openxmlformats.org/officeDocument/2006/relationships" r:id="rId1"/>
          <a:extLst>
            <a:ext uri="{FF2B5EF4-FFF2-40B4-BE49-F238E27FC236}">
              <a16:creationId xmlns:a16="http://schemas.microsoft.com/office/drawing/2014/main" id="{9621292B-3CEA-4240-9E29-C2D10ED449A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2" name="AutoShape 6" descr="Bug">
          <a:hlinkClick xmlns:r="http://schemas.openxmlformats.org/officeDocument/2006/relationships" r:id="rId2"/>
          <a:extLst>
            <a:ext uri="{FF2B5EF4-FFF2-40B4-BE49-F238E27FC236}">
              <a16:creationId xmlns:a16="http://schemas.microsoft.com/office/drawing/2014/main" id="{AE1B3F92-2A10-4AAA-A658-EE59BA35BE2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3" name="AutoShape 7" descr="Story">
          <a:hlinkClick xmlns:r="http://schemas.openxmlformats.org/officeDocument/2006/relationships" r:id="rId3"/>
          <a:extLst>
            <a:ext uri="{FF2B5EF4-FFF2-40B4-BE49-F238E27FC236}">
              <a16:creationId xmlns:a16="http://schemas.microsoft.com/office/drawing/2014/main" id="{730D4D8C-A574-4063-9932-1E918C74B45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4" name="AutoShape 8" descr="Story">
          <a:hlinkClick xmlns:r="http://schemas.openxmlformats.org/officeDocument/2006/relationships" r:id="rId4"/>
          <a:extLst>
            <a:ext uri="{FF2B5EF4-FFF2-40B4-BE49-F238E27FC236}">
              <a16:creationId xmlns:a16="http://schemas.microsoft.com/office/drawing/2014/main" id="{5DDF545F-B3B8-41BD-8E88-027678DF500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5" name="AutoShape 9" descr="Story">
          <a:hlinkClick xmlns:r="http://schemas.openxmlformats.org/officeDocument/2006/relationships" r:id="rId5"/>
          <a:extLst>
            <a:ext uri="{FF2B5EF4-FFF2-40B4-BE49-F238E27FC236}">
              <a16:creationId xmlns:a16="http://schemas.microsoft.com/office/drawing/2014/main" id="{B1172F48-9D30-48C2-BCB7-0F7CD4B6CB4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6" name="AutoShape 10" descr="Story">
          <a:hlinkClick xmlns:r="http://schemas.openxmlformats.org/officeDocument/2006/relationships" r:id="rId6"/>
          <a:extLst>
            <a:ext uri="{FF2B5EF4-FFF2-40B4-BE49-F238E27FC236}">
              <a16:creationId xmlns:a16="http://schemas.microsoft.com/office/drawing/2014/main" id="{B3DC9BCC-AAF1-45BB-A06F-71EEAB4E58F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7" name="AutoShape 13" descr="Story">
          <a:hlinkClick xmlns:r="http://schemas.openxmlformats.org/officeDocument/2006/relationships" r:id="rId4"/>
          <a:extLst>
            <a:ext uri="{FF2B5EF4-FFF2-40B4-BE49-F238E27FC236}">
              <a16:creationId xmlns:a16="http://schemas.microsoft.com/office/drawing/2014/main" id="{7F68190B-7AC2-4BF2-B76E-1062626888E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8" name="AutoShape 14" descr="Story">
          <a:hlinkClick xmlns:r="http://schemas.openxmlformats.org/officeDocument/2006/relationships" r:id="rId4"/>
          <a:extLst>
            <a:ext uri="{FF2B5EF4-FFF2-40B4-BE49-F238E27FC236}">
              <a16:creationId xmlns:a16="http://schemas.microsoft.com/office/drawing/2014/main" id="{B95FA46A-0C7A-476D-B52D-27865762707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9" name="AutoShape 4" descr="Bug">
          <a:hlinkClick xmlns:r="http://schemas.openxmlformats.org/officeDocument/2006/relationships" r:id="rId1"/>
          <a:extLst>
            <a:ext uri="{FF2B5EF4-FFF2-40B4-BE49-F238E27FC236}">
              <a16:creationId xmlns:a16="http://schemas.microsoft.com/office/drawing/2014/main" id="{694D33D7-C3ED-4C11-BEB0-FBAF4074B98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0" name="AutoShape 6" descr="Bug">
          <a:hlinkClick xmlns:r="http://schemas.openxmlformats.org/officeDocument/2006/relationships" r:id="rId2"/>
          <a:extLst>
            <a:ext uri="{FF2B5EF4-FFF2-40B4-BE49-F238E27FC236}">
              <a16:creationId xmlns:a16="http://schemas.microsoft.com/office/drawing/2014/main" id="{A6BECE9A-8697-47F6-8644-44AB047E17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1" name="AutoShape 7" descr="Story">
          <a:hlinkClick xmlns:r="http://schemas.openxmlformats.org/officeDocument/2006/relationships" r:id="rId3"/>
          <a:extLst>
            <a:ext uri="{FF2B5EF4-FFF2-40B4-BE49-F238E27FC236}">
              <a16:creationId xmlns:a16="http://schemas.microsoft.com/office/drawing/2014/main" id="{06C922D0-1ED1-4886-846A-A675E9E2ADD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2" name="AutoShape 8" descr="Story">
          <a:hlinkClick xmlns:r="http://schemas.openxmlformats.org/officeDocument/2006/relationships" r:id="rId4"/>
          <a:extLst>
            <a:ext uri="{FF2B5EF4-FFF2-40B4-BE49-F238E27FC236}">
              <a16:creationId xmlns:a16="http://schemas.microsoft.com/office/drawing/2014/main" id="{9BF2BC18-C3F6-4C03-A0AD-A79F019CE5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3" name="AutoShape 9" descr="Story">
          <a:hlinkClick xmlns:r="http://schemas.openxmlformats.org/officeDocument/2006/relationships" r:id="rId5"/>
          <a:extLst>
            <a:ext uri="{FF2B5EF4-FFF2-40B4-BE49-F238E27FC236}">
              <a16:creationId xmlns:a16="http://schemas.microsoft.com/office/drawing/2014/main" id="{BA771BEE-649C-4271-9D5A-5A8E2E8E7F2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4" name="AutoShape 10" descr="Story">
          <a:hlinkClick xmlns:r="http://schemas.openxmlformats.org/officeDocument/2006/relationships" r:id="rId6"/>
          <a:extLst>
            <a:ext uri="{FF2B5EF4-FFF2-40B4-BE49-F238E27FC236}">
              <a16:creationId xmlns:a16="http://schemas.microsoft.com/office/drawing/2014/main" id="{18894E5E-D4F8-452E-A2CC-1CDF365B014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5" name="AutoShape 13" descr="Story">
          <a:hlinkClick xmlns:r="http://schemas.openxmlformats.org/officeDocument/2006/relationships" r:id="rId4"/>
          <a:extLst>
            <a:ext uri="{FF2B5EF4-FFF2-40B4-BE49-F238E27FC236}">
              <a16:creationId xmlns:a16="http://schemas.microsoft.com/office/drawing/2014/main" id="{7E72F634-A547-41C6-B985-08BCC616E70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6" name="AutoShape 14" descr="Story">
          <a:hlinkClick xmlns:r="http://schemas.openxmlformats.org/officeDocument/2006/relationships" r:id="rId4"/>
          <a:extLst>
            <a:ext uri="{FF2B5EF4-FFF2-40B4-BE49-F238E27FC236}">
              <a16:creationId xmlns:a16="http://schemas.microsoft.com/office/drawing/2014/main" id="{C6A47AB0-DB0F-499A-85B8-D5F64FF170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7" name="AutoShape 4" descr="Bug">
          <a:hlinkClick xmlns:r="http://schemas.openxmlformats.org/officeDocument/2006/relationships" r:id="rId1"/>
          <a:extLst>
            <a:ext uri="{FF2B5EF4-FFF2-40B4-BE49-F238E27FC236}">
              <a16:creationId xmlns:a16="http://schemas.microsoft.com/office/drawing/2014/main" id="{838FD149-D860-458B-A982-6F5E7F7677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8" name="AutoShape 6" descr="Bug">
          <a:hlinkClick xmlns:r="http://schemas.openxmlformats.org/officeDocument/2006/relationships" r:id="rId2"/>
          <a:extLst>
            <a:ext uri="{FF2B5EF4-FFF2-40B4-BE49-F238E27FC236}">
              <a16:creationId xmlns:a16="http://schemas.microsoft.com/office/drawing/2014/main" id="{4945B8B2-7324-4518-B533-E7BAEC0BEF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9" name="AutoShape 7" descr="Story">
          <a:hlinkClick xmlns:r="http://schemas.openxmlformats.org/officeDocument/2006/relationships" r:id="rId3"/>
          <a:extLst>
            <a:ext uri="{FF2B5EF4-FFF2-40B4-BE49-F238E27FC236}">
              <a16:creationId xmlns:a16="http://schemas.microsoft.com/office/drawing/2014/main" id="{6BB668A0-E46B-4475-A9E0-8113D0A1798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0" name="AutoShape 8" descr="Story">
          <a:hlinkClick xmlns:r="http://schemas.openxmlformats.org/officeDocument/2006/relationships" r:id="rId4"/>
          <a:extLst>
            <a:ext uri="{FF2B5EF4-FFF2-40B4-BE49-F238E27FC236}">
              <a16:creationId xmlns:a16="http://schemas.microsoft.com/office/drawing/2014/main" id="{E78EE769-DBAA-481A-BE13-5426D63082F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1" name="AutoShape 9" descr="Story">
          <a:hlinkClick xmlns:r="http://schemas.openxmlformats.org/officeDocument/2006/relationships" r:id="rId5"/>
          <a:extLst>
            <a:ext uri="{FF2B5EF4-FFF2-40B4-BE49-F238E27FC236}">
              <a16:creationId xmlns:a16="http://schemas.microsoft.com/office/drawing/2014/main" id="{FFF3042A-31C5-4618-8414-76EAF6AF009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2" name="AutoShape 10" descr="Story">
          <a:hlinkClick xmlns:r="http://schemas.openxmlformats.org/officeDocument/2006/relationships" r:id="rId6"/>
          <a:extLst>
            <a:ext uri="{FF2B5EF4-FFF2-40B4-BE49-F238E27FC236}">
              <a16:creationId xmlns:a16="http://schemas.microsoft.com/office/drawing/2014/main" id="{C621C33A-B727-4C16-8D5D-5B271B6884B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3" name="AutoShape 13" descr="Story">
          <a:hlinkClick xmlns:r="http://schemas.openxmlformats.org/officeDocument/2006/relationships" r:id="rId4"/>
          <a:extLst>
            <a:ext uri="{FF2B5EF4-FFF2-40B4-BE49-F238E27FC236}">
              <a16:creationId xmlns:a16="http://schemas.microsoft.com/office/drawing/2014/main" id="{9BE075EF-D3A9-4108-96F8-5B19A3236C9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4" name="AutoShape 14" descr="Story">
          <a:hlinkClick xmlns:r="http://schemas.openxmlformats.org/officeDocument/2006/relationships" r:id="rId4"/>
          <a:extLst>
            <a:ext uri="{FF2B5EF4-FFF2-40B4-BE49-F238E27FC236}">
              <a16:creationId xmlns:a16="http://schemas.microsoft.com/office/drawing/2014/main" id="{84C05B92-350D-45C2-ABF8-EDA183D3E64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5" name="AutoShape 4" descr="Bug">
          <a:hlinkClick xmlns:r="http://schemas.openxmlformats.org/officeDocument/2006/relationships" r:id="rId1"/>
          <a:extLst>
            <a:ext uri="{FF2B5EF4-FFF2-40B4-BE49-F238E27FC236}">
              <a16:creationId xmlns:a16="http://schemas.microsoft.com/office/drawing/2014/main" id="{47DBEC4E-46F3-4341-B278-1A8F1E8A4E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6" name="AutoShape 6" descr="Bug">
          <a:hlinkClick xmlns:r="http://schemas.openxmlformats.org/officeDocument/2006/relationships" r:id="rId2"/>
          <a:extLst>
            <a:ext uri="{FF2B5EF4-FFF2-40B4-BE49-F238E27FC236}">
              <a16:creationId xmlns:a16="http://schemas.microsoft.com/office/drawing/2014/main" id="{8A3FF174-208D-4716-9B17-B5AB1F4207D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7" name="AutoShape 7" descr="Story">
          <a:hlinkClick xmlns:r="http://schemas.openxmlformats.org/officeDocument/2006/relationships" r:id="rId3"/>
          <a:extLst>
            <a:ext uri="{FF2B5EF4-FFF2-40B4-BE49-F238E27FC236}">
              <a16:creationId xmlns:a16="http://schemas.microsoft.com/office/drawing/2014/main" id="{3F261211-54C0-4F73-82EA-3D0E8A2ADC9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8" name="AutoShape 8" descr="Story">
          <a:hlinkClick xmlns:r="http://schemas.openxmlformats.org/officeDocument/2006/relationships" r:id="rId4"/>
          <a:extLst>
            <a:ext uri="{FF2B5EF4-FFF2-40B4-BE49-F238E27FC236}">
              <a16:creationId xmlns:a16="http://schemas.microsoft.com/office/drawing/2014/main" id="{F69FD0C4-EC2C-4242-A93F-73A7A6BFE61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9" name="AutoShape 9" descr="Story">
          <a:hlinkClick xmlns:r="http://schemas.openxmlformats.org/officeDocument/2006/relationships" r:id="rId5"/>
          <a:extLst>
            <a:ext uri="{FF2B5EF4-FFF2-40B4-BE49-F238E27FC236}">
              <a16:creationId xmlns:a16="http://schemas.microsoft.com/office/drawing/2014/main" id="{7E8BC056-4BD5-4F29-AF50-D4525E937F9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0" name="AutoShape 10" descr="Story">
          <a:hlinkClick xmlns:r="http://schemas.openxmlformats.org/officeDocument/2006/relationships" r:id="rId6"/>
          <a:extLst>
            <a:ext uri="{FF2B5EF4-FFF2-40B4-BE49-F238E27FC236}">
              <a16:creationId xmlns:a16="http://schemas.microsoft.com/office/drawing/2014/main" id="{28D56B11-5EA7-47AC-97ED-B257ACFD7B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1" name="AutoShape 13" descr="Story">
          <a:hlinkClick xmlns:r="http://schemas.openxmlformats.org/officeDocument/2006/relationships" r:id="rId4"/>
          <a:extLst>
            <a:ext uri="{FF2B5EF4-FFF2-40B4-BE49-F238E27FC236}">
              <a16:creationId xmlns:a16="http://schemas.microsoft.com/office/drawing/2014/main" id="{53C7FDAC-5592-4D6E-BD1B-68DFF45FA31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2" name="AutoShape 14" descr="Story">
          <a:hlinkClick xmlns:r="http://schemas.openxmlformats.org/officeDocument/2006/relationships" r:id="rId4"/>
          <a:extLst>
            <a:ext uri="{FF2B5EF4-FFF2-40B4-BE49-F238E27FC236}">
              <a16:creationId xmlns:a16="http://schemas.microsoft.com/office/drawing/2014/main" id="{E25F4C81-AB6B-4CCA-93DB-065A8CA9E83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3" name="AutoShape 4" descr="Bug">
          <a:hlinkClick xmlns:r="http://schemas.openxmlformats.org/officeDocument/2006/relationships" r:id="rId1"/>
          <a:extLst>
            <a:ext uri="{FF2B5EF4-FFF2-40B4-BE49-F238E27FC236}">
              <a16:creationId xmlns:a16="http://schemas.microsoft.com/office/drawing/2014/main" id="{33CCCA07-B949-46A4-9000-23399890395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4" name="AutoShape 6" descr="Bug">
          <a:hlinkClick xmlns:r="http://schemas.openxmlformats.org/officeDocument/2006/relationships" r:id="rId2"/>
          <a:extLst>
            <a:ext uri="{FF2B5EF4-FFF2-40B4-BE49-F238E27FC236}">
              <a16:creationId xmlns:a16="http://schemas.microsoft.com/office/drawing/2014/main" id="{B5211DA4-147E-4162-B281-5D87CB44F0F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5" name="AutoShape 7" descr="Story">
          <a:hlinkClick xmlns:r="http://schemas.openxmlformats.org/officeDocument/2006/relationships" r:id="rId3"/>
          <a:extLst>
            <a:ext uri="{FF2B5EF4-FFF2-40B4-BE49-F238E27FC236}">
              <a16:creationId xmlns:a16="http://schemas.microsoft.com/office/drawing/2014/main" id="{DC673628-1A80-4E8B-8231-879C5A63B5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6" name="AutoShape 8" descr="Story">
          <a:hlinkClick xmlns:r="http://schemas.openxmlformats.org/officeDocument/2006/relationships" r:id="rId4"/>
          <a:extLst>
            <a:ext uri="{FF2B5EF4-FFF2-40B4-BE49-F238E27FC236}">
              <a16:creationId xmlns:a16="http://schemas.microsoft.com/office/drawing/2014/main" id="{1792577A-5B59-4D6F-B0E8-03BA937749B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7" name="AutoShape 9" descr="Story">
          <a:hlinkClick xmlns:r="http://schemas.openxmlformats.org/officeDocument/2006/relationships" r:id="rId5"/>
          <a:extLst>
            <a:ext uri="{FF2B5EF4-FFF2-40B4-BE49-F238E27FC236}">
              <a16:creationId xmlns:a16="http://schemas.microsoft.com/office/drawing/2014/main" id="{43323017-232C-4CB5-99A4-B7FED1AB825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8" name="AutoShape 10" descr="Story">
          <a:hlinkClick xmlns:r="http://schemas.openxmlformats.org/officeDocument/2006/relationships" r:id="rId6"/>
          <a:extLst>
            <a:ext uri="{FF2B5EF4-FFF2-40B4-BE49-F238E27FC236}">
              <a16:creationId xmlns:a16="http://schemas.microsoft.com/office/drawing/2014/main" id="{9B98E437-1458-4825-A247-2B3AF5D8478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9" name="AutoShape 13" descr="Story">
          <a:hlinkClick xmlns:r="http://schemas.openxmlformats.org/officeDocument/2006/relationships" r:id="rId4"/>
          <a:extLst>
            <a:ext uri="{FF2B5EF4-FFF2-40B4-BE49-F238E27FC236}">
              <a16:creationId xmlns:a16="http://schemas.microsoft.com/office/drawing/2014/main" id="{EC0B81D1-65E7-44C2-841C-164120A9E2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0" name="AutoShape 14" descr="Story">
          <a:hlinkClick xmlns:r="http://schemas.openxmlformats.org/officeDocument/2006/relationships" r:id="rId4"/>
          <a:extLst>
            <a:ext uri="{FF2B5EF4-FFF2-40B4-BE49-F238E27FC236}">
              <a16:creationId xmlns:a16="http://schemas.microsoft.com/office/drawing/2014/main" id="{79240213-F3A2-4D1D-BBDF-72A555E5F6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1" name="AutoShape 4" descr="Bug">
          <a:hlinkClick xmlns:r="http://schemas.openxmlformats.org/officeDocument/2006/relationships" r:id="rId1"/>
          <a:extLst>
            <a:ext uri="{FF2B5EF4-FFF2-40B4-BE49-F238E27FC236}">
              <a16:creationId xmlns:a16="http://schemas.microsoft.com/office/drawing/2014/main" id="{FFE81540-D9BE-47E8-82BA-6B9FE55DA17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2" name="AutoShape 6" descr="Bug">
          <a:hlinkClick xmlns:r="http://schemas.openxmlformats.org/officeDocument/2006/relationships" r:id="rId2"/>
          <a:extLst>
            <a:ext uri="{FF2B5EF4-FFF2-40B4-BE49-F238E27FC236}">
              <a16:creationId xmlns:a16="http://schemas.microsoft.com/office/drawing/2014/main" id="{08B5DCB0-1713-4E90-A3AF-37090A9B34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3" name="AutoShape 7" descr="Story">
          <a:hlinkClick xmlns:r="http://schemas.openxmlformats.org/officeDocument/2006/relationships" r:id="rId3"/>
          <a:extLst>
            <a:ext uri="{FF2B5EF4-FFF2-40B4-BE49-F238E27FC236}">
              <a16:creationId xmlns:a16="http://schemas.microsoft.com/office/drawing/2014/main" id="{9D8A61CF-DCFE-4455-AAC9-E4BC7F8A4FF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4" name="AutoShape 8" descr="Story">
          <a:hlinkClick xmlns:r="http://schemas.openxmlformats.org/officeDocument/2006/relationships" r:id="rId4"/>
          <a:extLst>
            <a:ext uri="{FF2B5EF4-FFF2-40B4-BE49-F238E27FC236}">
              <a16:creationId xmlns:a16="http://schemas.microsoft.com/office/drawing/2014/main" id="{C9970A5B-E0E8-4052-A42C-9DB46373457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5" name="AutoShape 9" descr="Story">
          <a:hlinkClick xmlns:r="http://schemas.openxmlformats.org/officeDocument/2006/relationships" r:id="rId5"/>
          <a:extLst>
            <a:ext uri="{FF2B5EF4-FFF2-40B4-BE49-F238E27FC236}">
              <a16:creationId xmlns:a16="http://schemas.microsoft.com/office/drawing/2014/main" id="{F4060DBE-2A47-4009-9CB7-4E9129F96D9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6" name="AutoShape 10" descr="Story">
          <a:hlinkClick xmlns:r="http://schemas.openxmlformats.org/officeDocument/2006/relationships" r:id="rId6"/>
          <a:extLst>
            <a:ext uri="{FF2B5EF4-FFF2-40B4-BE49-F238E27FC236}">
              <a16:creationId xmlns:a16="http://schemas.microsoft.com/office/drawing/2014/main" id="{97378441-C3C6-420D-88A5-9BC8DE507C9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7" name="AutoShape 13" descr="Story">
          <a:hlinkClick xmlns:r="http://schemas.openxmlformats.org/officeDocument/2006/relationships" r:id="rId4"/>
          <a:extLst>
            <a:ext uri="{FF2B5EF4-FFF2-40B4-BE49-F238E27FC236}">
              <a16:creationId xmlns:a16="http://schemas.microsoft.com/office/drawing/2014/main" id="{E5CAB3A4-B6EC-4A6F-9759-C521400B9EC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8" name="AutoShape 14" descr="Story">
          <a:hlinkClick xmlns:r="http://schemas.openxmlformats.org/officeDocument/2006/relationships" r:id="rId4"/>
          <a:extLst>
            <a:ext uri="{FF2B5EF4-FFF2-40B4-BE49-F238E27FC236}">
              <a16:creationId xmlns:a16="http://schemas.microsoft.com/office/drawing/2014/main" id="{4EC161CA-9453-406D-895C-EA18E9A8147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857</xdr:row>
      <xdr:rowOff>0</xdr:rowOff>
    </xdr:from>
    <xdr:ext cx="152400" cy="152400"/>
    <xdr:sp macro="" textlink="">
      <xdr:nvSpPr>
        <xdr:cNvPr id="1039" name="AutoShape 4" descr="Bug">
          <a:hlinkClick xmlns:r="http://schemas.openxmlformats.org/officeDocument/2006/relationships" r:id="rId1"/>
          <a:extLst>
            <a:ext uri="{FF2B5EF4-FFF2-40B4-BE49-F238E27FC236}">
              <a16:creationId xmlns:a16="http://schemas.microsoft.com/office/drawing/2014/main" id="{26837516-A34F-48D7-BB81-D67415128E5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0" name="AutoShape 6" descr="Bug">
          <a:hlinkClick xmlns:r="http://schemas.openxmlformats.org/officeDocument/2006/relationships" r:id="rId2"/>
          <a:extLst>
            <a:ext uri="{FF2B5EF4-FFF2-40B4-BE49-F238E27FC236}">
              <a16:creationId xmlns:a16="http://schemas.microsoft.com/office/drawing/2014/main" id="{BA89144C-A15A-44F9-9F24-41DF7A2FAD7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1" name="AutoShape 7" descr="Story">
          <a:hlinkClick xmlns:r="http://schemas.openxmlformats.org/officeDocument/2006/relationships" r:id="rId3"/>
          <a:extLst>
            <a:ext uri="{FF2B5EF4-FFF2-40B4-BE49-F238E27FC236}">
              <a16:creationId xmlns:a16="http://schemas.microsoft.com/office/drawing/2014/main" id="{C93D7E5F-3D09-4C98-883C-D066A3FD27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2" name="AutoShape 8" descr="Story">
          <a:hlinkClick xmlns:r="http://schemas.openxmlformats.org/officeDocument/2006/relationships" r:id="rId4"/>
          <a:extLst>
            <a:ext uri="{FF2B5EF4-FFF2-40B4-BE49-F238E27FC236}">
              <a16:creationId xmlns:a16="http://schemas.microsoft.com/office/drawing/2014/main" id="{7EE51FCA-8721-4A09-9B1E-0F827482A56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3" name="AutoShape 9" descr="Story">
          <a:hlinkClick xmlns:r="http://schemas.openxmlformats.org/officeDocument/2006/relationships" r:id="rId5"/>
          <a:extLst>
            <a:ext uri="{FF2B5EF4-FFF2-40B4-BE49-F238E27FC236}">
              <a16:creationId xmlns:a16="http://schemas.microsoft.com/office/drawing/2014/main" id="{D4EB168C-A729-4243-960B-16EE00782ED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4" name="AutoShape 10" descr="Story">
          <a:hlinkClick xmlns:r="http://schemas.openxmlformats.org/officeDocument/2006/relationships" r:id="rId6"/>
          <a:extLst>
            <a:ext uri="{FF2B5EF4-FFF2-40B4-BE49-F238E27FC236}">
              <a16:creationId xmlns:a16="http://schemas.microsoft.com/office/drawing/2014/main" id="{9A613285-4FB5-4B0A-967E-C2FAD8B1F6F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5" name="AutoShape 13" descr="Story">
          <a:hlinkClick xmlns:r="http://schemas.openxmlformats.org/officeDocument/2006/relationships" r:id="rId4"/>
          <a:extLst>
            <a:ext uri="{FF2B5EF4-FFF2-40B4-BE49-F238E27FC236}">
              <a16:creationId xmlns:a16="http://schemas.microsoft.com/office/drawing/2014/main" id="{28C8B99A-2ACF-4262-BFB6-839F992C9F9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6" name="AutoShape 14" descr="Story">
          <a:hlinkClick xmlns:r="http://schemas.openxmlformats.org/officeDocument/2006/relationships" r:id="rId4"/>
          <a:extLst>
            <a:ext uri="{FF2B5EF4-FFF2-40B4-BE49-F238E27FC236}">
              <a16:creationId xmlns:a16="http://schemas.microsoft.com/office/drawing/2014/main" id="{5E9AD914-6F5C-4434-BB7A-919C91C63EE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857</xdr:row>
      <xdr:rowOff>0</xdr:rowOff>
    </xdr:from>
    <xdr:to>
      <xdr:col>1</xdr:col>
      <xdr:colOff>152400</xdr:colOff>
      <xdr:row>857</xdr:row>
      <xdr:rowOff>152400</xdr:rowOff>
    </xdr:to>
    <xdr:sp macro="" textlink="">
      <xdr:nvSpPr>
        <xdr:cNvPr id="1047" name="AutoShape 4" descr="Bug">
          <a:hlinkClick xmlns:r="http://schemas.openxmlformats.org/officeDocument/2006/relationships" r:id="rId1"/>
          <a:extLst>
            <a:ext uri="{FF2B5EF4-FFF2-40B4-BE49-F238E27FC236}">
              <a16:creationId xmlns:a16="http://schemas.microsoft.com/office/drawing/2014/main" id="{A1A1EA71-BBF4-45D3-B31C-4C3B5DF0DBE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48" name="AutoShape 6" descr="Bug">
          <a:hlinkClick xmlns:r="http://schemas.openxmlformats.org/officeDocument/2006/relationships" r:id="rId2"/>
          <a:extLst>
            <a:ext uri="{FF2B5EF4-FFF2-40B4-BE49-F238E27FC236}">
              <a16:creationId xmlns:a16="http://schemas.microsoft.com/office/drawing/2014/main" id="{8406EB9A-E625-4E8A-9023-F9AE00299D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49" name="AutoShape 7" descr="Story">
          <a:hlinkClick xmlns:r="http://schemas.openxmlformats.org/officeDocument/2006/relationships" r:id="rId3"/>
          <a:extLst>
            <a:ext uri="{FF2B5EF4-FFF2-40B4-BE49-F238E27FC236}">
              <a16:creationId xmlns:a16="http://schemas.microsoft.com/office/drawing/2014/main" id="{385C6ECC-42C8-44A4-A80E-E5000895ED0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0" name="AutoShape 8" descr="Story">
          <a:hlinkClick xmlns:r="http://schemas.openxmlformats.org/officeDocument/2006/relationships" r:id="rId4"/>
          <a:extLst>
            <a:ext uri="{FF2B5EF4-FFF2-40B4-BE49-F238E27FC236}">
              <a16:creationId xmlns:a16="http://schemas.microsoft.com/office/drawing/2014/main" id="{692EA583-61FD-4967-A913-8C2C783685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1" name="AutoShape 9" descr="Story">
          <a:hlinkClick xmlns:r="http://schemas.openxmlformats.org/officeDocument/2006/relationships" r:id="rId5"/>
          <a:extLst>
            <a:ext uri="{FF2B5EF4-FFF2-40B4-BE49-F238E27FC236}">
              <a16:creationId xmlns:a16="http://schemas.microsoft.com/office/drawing/2014/main" id="{B7E7A747-7BCA-4791-8926-F1FBA221E7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2" name="AutoShape 10" descr="Story">
          <a:hlinkClick xmlns:r="http://schemas.openxmlformats.org/officeDocument/2006/relationships" r:id="rId6"/>
          <a:extLst>
            <a:ext uri="{FF2B5EF4-FFF2-40B4-BE49-F238E27FC236}">
              <a16:creationId xmlns:a16="http://schemas.microsoft.com/office/drawing/2014/main" id="{E33F4CEB-7E2F-40C0-8EA8-E95EF79B583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3" name="AutoShape 13" descr="Story">
          <a:hlinkClick xmlns:r="http://schemas.openxmlformats.org/officeDocument/2006/relationships" r:id="rId4"/>
          <a:extLst>
            <a:ext uri="{FF2B5EF4-FFF2-40B4-BE49-F238E27FC236}">
              <a16:creationId xmlns:a16="http://schemas.microsoft.com/office/drawing/2014/main" id="{53152A84-442C-464A-9C28-D7DBB9F3688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4" name="AutoShape 14" descr="Story">
          <a:hlinkClick xmlns:r="http://schemas.openxmlformats.org/officeDocument/2006/relationships" r:id="rId4"/>
          <a:extLst>
            <a:ext uri="{FF2B5EF4-FFF2-40B4-BE49-F238E27FC236}">
              <a16:creationId xmlns:a16="http://schemas.microsoft.com/office/drawing/2014/main" id="{57488455-F72D-40E1-AB2C-20DFEA388AB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5" name="AutoShape 4" descr="Bug">
          <a:hlinkClick xmlns:r="http://schemas.openxmlformats.org/officeDocument/2006/relationships" r:id="rId1"/>
          <a:extLst>
            <a:ext uri="{FF2B5EF4-FFF2-40B4-BE49-F238E27FC236}">
              <a16:creationId xmlns:a16="http://schemas.microsoft.com/office/drawing/2014/main" id="{21241B9F-233E-4334-98E5-CBBCA0063B9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6" name="AutoShape 6" descr="Bug">
          <a:hlinkClick xmlns:r="http://schemas.openxmlformats.org/officeDocument/2006/relationships" r:id="rId2"/>
          <a:extLst>
            <a:ext uri="{FF2B5EF4-FFF2-40B4-BE49-F238E27FC236}">
              <a16:creationId xmlns:a16="http://schemas.microsoft.com/office/drawing/2014/main" id="{859631B1-3750-4DDC-ABD6-14A9EBACE71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7" name="AutoShape 7" descr="Story">
          <a:hlinkClick xmlns:r="http://schemas.openxmlformats.org/officeDocument/2006/relationships" r:id="rId3"/>
          <a:extLst>
            <a:ext uri="{FF2B5EF4-FFF2-40B4-BE49-F238E27FC236}">
              <a16:creationId xmlns:a16="http://schemas.microsoft.com/office/drawing/2014/main" id="{78AEB583-C8D0-4037-A842-2BB96D61AF5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8" name="AutoShape 8" descr="Story">
          <a:hlinkClick xmlns:r="http://schemas.openxmlformats.org/officeDocument/2006/relationships" r:id="rId4"/>
          <a:extLst>
            <a:ext uri="{FF2B5EF4-FFF2-40B4-BE49-F238E27FC236}">
              <a16:creationId xmlns:a16="http://schemas.microsoft.com/office/drawing/2014/main" id="{416CC46B-C6F3-49BA-A081-EE2F15FAF6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9" name="AutoShape 9" descr="Story">
          <a:hlinkClick xmlns:r="http://schemas.openxmlformats.org/officeDocument/2006/relationships" r:id="rId5"/>
          <a:extLst>
            <a:ext uri="{FF2B5EF4-FFF2-40B4-BE49-F238E27FC236}">
              <a16:creationId xmlns:a16="http://schemas.microsoft.com/office/drawing/2014/main" id="{106A448C-89E4-41D5-B607-01A902780B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0" name="AutoShape 10" descr="Story">
          <a:hlinkClick xmlns:r="http://schemas.openxmlformats.org/officeDocument/2006/relationships" r:id="rId6"/>
          <a:extLst>
            <a:ext uri="{FF2B5EF4-FFF2-40B4-BE49-F238E27FC236}">
              <a16:creationId xmlns:a16="http://schemas.microsoft.com/office/drawing/2014/main" id="{0051F77F-C61C-4189-8F63-E15C317F2C5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1" name="AutoShape 13" descr="Story">
          <a:hlinkClick xmlns:r="http://schemas.openxmlformats.org/officeDocument/2006/relationships" r:id="rId4"/>
          <a:extLst>
            <a:ext uri="{FF2B5EF4-FFF2-40B4-BE49-F238E27FC236}">
              <a16:creationId xmlns:a16="http://schemas.microsoft.com/office/drawing/2014/main" id="{F2615944-C0FF-4449-A14D-932DCAA62CA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2" name="AutoShape 14" descr="Story">
          <a:hlinkClick xmlns:r="http://schemas.openxmlformats.org/officeDocument/2006/relationships" r:id="rId4"/>
          <a:extLst>
            <a:ext uri="{FF2B5EF4-FFF2-40B4-BE49-F238E27FC236}">
              <a16:creationId xmlns:a16="http://schemas.microsoft.com/office/drawing/2014/main" id="{BD2174D1-3DA8-4015-BCAF-4F8EC6BE8B9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3" name="AutoShape 4" descr="Bug">
          <a:hlinkClick xmlns:r="http://schemas.openxmlformats.org/officeDocument/2006/relationships" r:id="rId1"/>
          <a:extLst>
            <a:ext uri="{FF2B5EF4-FFF2-40B4-BE49-F238E27FC236}">
              <a16:creationId xmlns:a16="http://schemas.microsoft.com/office/drawing/2014/main" id="{E5903321-33FC-4A6B-8FF3-ACD82312F8F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4" name="AutoShape 6" descr="Bug">
          <a:hlinkClick xmlns:r="http://schemas.openxmlformats.org/officeDocument/2006/relationships" r:id="rId2"/>
          <a:extLst>
            <a:ext uri="{FF2B5EF4-FFF2-40B4-BE49-F238E27FC236}">
              <a16:creationId xmlns:a16="http://schemas.microsoft.com/office/drawing/2014/main" id="{1C2C7D87-6B2E-4E88-860A-571869A86F9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5" name="AutoShape 7" descr="Story">
          <a:hlinkClick xmlns:r="http://schemas.openxmlformats.org/officeDocument/2006/relationships" r:id="rId3"/>
          <a:extLst>
            <a:ext uri="{FF2B5EF4-FFF2-40B4-BE49-F238E27FC236}">
              <a16:creationId xmlns:a16="http://schemas.microsoft.com/office/drawing/2014/main" id="{8696F4B3-BE65-46E1-928B-D88036B52DC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6" name="AutoShape 8" descr="Story">
          <a:hlinkClick xmlns:r="http://schemas.openxmlformats.org/officeDocument/2006/relationships" r:id="rId4"/>
          <a:extLst>
            <a:ext uri="{FF2B5EF4-FFF2-40B4-BE49-F238E27FC236}">
              <a16:creationId xmlns:a16="http://schemas.microsoft.com/office/drawing/2014/main" id="{A8B36E0F-7B30-44E9-AA61-89C72158C46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7" name="AutoShape 9" descr="Story">
          <a:hlinkClick xmlns:r="http://schemas.openxmlformats.org/officeDocument/2006/relationships" r:id="rId5"/>
          <a:extLst>
            <a:ext uri="{FF2B5EF4-FFF2-40B4-BE49-F238E27FC236}">
              <a16:creationId xmlns:a16="http://schemas.microsoft.com/office/drawing/2014/main" id="{A81F3442-3D30-4C5D-8FAD-289640BBEDF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8" name="AutoShape 10" descr="Story">
          <a:hlinkClick xmlns:r="http://schemas.openxmlformats.org/officeDocument/2006/relationships" r:id="rId6"/>
          <a:extLst>
            <a:ext uri="{FF2B5EF4-FFF2-40B4-BE49-F238E27FC236}">
              <a16:creationId xmlns:a16="http://schemas.microsoft.com/office/drawing/2014/main" id="{E8AAA331-3F3E-46C1-96AC-8F19D3A7B6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9" name="AutoShape 13" descr="Story">
          <a:hlinkClick xmlns:r="http://schemas.openxmlformats.org/officeDocument/2006/relationships" r:id="rId4"/>
          <a:extLst>
            <a:ext uri="{FF2B5EF4-FFF2-40B4-BE49-F238E27FC236}">
              <a16:creationId xmlns:a16="http://schemas.microsoft.com/office/drawing/2014/main" id="{B5DA1051-BB27-43FA-A7F6-EDED656131C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1178</xdr:row>
      <xdr:rowOff>0</xdr:rowOff>
    </xdr:from>
    <xdr:to>
      <xdr:col>0</xdr:col>
      <xdr:colOff>152400</xdr:colOff>
      <xdr:row>1178</xdr:row>
      <xdr:rowOff>152400</xdr:rowOff>
    </xdr:to>
    <xdr:sp macro="" textlink="">
      <xdr:nvSpPr>
        <xdr:cNvPr id="271" name="AutoShape 1" descr="Story">
          <a:hlinkClick xmlns:r="http://schemas.openxmlformats.org/officeDocument/2006/relationships" r:id="rId13"/>
          <a:extLst>
            <a:ext uri="{FF2B5EF4-FFF2-40B4-BE49-F238E27FC236}">
              <a16:creationId xmlns:a16="http://schemas.microsoft.com/office/drawing/2014/main" id="{AA30E42A-00BD-49A2-A193-6AE5BA3BD82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272" name="AutoShape 2" descr="Story">
          <a:hlinkClick xmlns:r="http://schemas.openxmlformats.org/officeDocument/2006/relationships" r:id="rId12"/>
          <a:extLst>
            <a:ext uri="{FF2B5EF4-FFF2-40B4-BE49-F238E27FC236}">
              <a16:creationId xmlns:a16="http://schemas.microsoft.com/office/drawing/2014/main" id="{936E6BA2-B263-4298-BAFB-1C2AFC1773B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1175</xdr:row>
      <xdr:rowOff>0</xdr:rowOff>
    </xdr:from>
    <xdr:to>
      <xdr:col>0</xdr:col>
      <xdr:colOff>152400</xdr:colOff>
      <xdr:row>1175</xdr:row>
      <xdr:rowOff>152400</xdr:rowOff>
    </xdr:to>
    <xdr:sp macro="" textlink="">
      <xdr:nvSpPr>
        <xdr:cNvPr id="273" name="AutoShape 3" descr="Story">
          <a:hlinkClick xmlns:r="http://schemas.openxmlformats.org/officeDocument/2006/relationships" r:id="rId11"/>
          <a:extLst>
            <a:ext uri="{FF2B5EF4-FFF2-40B4-BE49-F238E27FC236}">
              <a16:creationId xmlns:a16="http://schemas.microsoft.com/office/drawing/2014/main" id="{C74ADD0C-B7DB-43F7-B9BB-9EC763AC7B4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275" name="AutoShape 4" descr="Bug">
          <a:hlinkClick xmlns:r="http://schemas.openxmlformats.org/officeDocument/2006/relationships" r:id="rId1"/>
          <a:extLst>
            <a:ext uri="{FF2B5EF4-FFF2-40B4-BE49-F238E27FC236}">
              <a16:creationId xmlns:a16="http://schemas.microsoft.com/office/drawing/2014/main" id="{AD6E357B-1349-45A2-B47D-0A34BAB0A30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276" name="AutoShape 5" descr="Story">
          <a:hlinkClick xmlns:r="http://schemas.openxmlformats.org/officeDocument/2006/relationships" r:id="rId14"/>
          <a:extLst>
            <a:ext uri="{FF2B5EF4-FFF2-40B4-BE49-F238E27FC236}">
              <a16:creationId xmlns:a16="http://schemas.microsoft.com/office/drawing/2014/main" id="{A20C65DF-D986-4A34-8253-1066EC5B5A7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277" name="AutoShape 6" descr="Bug">
          <a:hlinkClick xmlns:r="http://schemas.openxmlformats.org/officeDocument/2006/relationships" r:id="rId2"/>
          <a:extLst>
            <a:ext uri="{FF2B5EF4-FFF2-40B4-BE49-F238E27FC236}">
              <a16:creationId xmlns:a16="http://schemas.microsoft.com/office/drawing/2014/main" id="{4DDB24E3-35B3-472C-9424-63FD51FE0C2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5" name="AutoShape 7" descr="Story">
          <a:hlinkClick xmlns:r="http://schemas.openxmlformats.org/officeDocument/2006/relationships" r:id="rId3"/>
          <a:extLst>
            <a:ext uri="{FF2B5EF4-FFF2-40B4-BE49-F238E27FC236}">
              <a16:creationId xmlns:a16="http://schemas.microsoft.com/office/drawing/2014/main" id="{CD2BFAE7-1117-4786-A49E-79E37AD1F70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6" name="AutoShape 8" descr="Story">
          <a:hlinkClick xmlns:r="http://schemas.openxmlformats.org/officeDocument/2006/relationships" r:id="rId4"/>
          <a:extLst>
            <a:ext uri="{FF2B5EF4-FFF2-40B4-BE49-F238E27FC236}">
              <a16:creationId xmlns:a16="http://schemas.microsoft.com/office/drawing/2014/main" id="{CF8D513E-B6E0-4FDE-B7A8-7103F1169B2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7" name="AutoShape 9" descr="Story">
          <a:hlinkClick xmlns:r="http://schemas.openxmlformats.org/officeDocument/2006/relationships" r:id="rId5"/>
          <a:extLst>
            <a:ext uri="{FF2B5EF4-FFF2-40B4-BE49-F238E27FC236}">
              <a16:creationId xmlns:a16="http://schemas.microsoft.com/office/drawing/2014/main" id="{3CEDBF7B-9C00-4186-B56E-F005D91EE88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1173</xdr:row>
      <xdr:rowOff>0</xdr:rowOff>
    </xdr:from>
    <xdr:to>
      <xdr:col>0</xdr:col>
      <xdr:colOff>152400</xdr:colOff>
      <xdr:row>1173</xdr:row>
      <xdr:rowOff>152400</xdr:rowOff>
    </xdr:to>
    <xdr:sp macro="" textlink="">
      <xdr:nvSpPr>
        <xdr:cNvPr id="338" name="AutoShape 10" descr="Story">
          <a:hlinkClick xmlns:r="http://schemas.openxmlformats.org/officeDocument/2006/relationships" r:id="rId6"/>
          <a:extLst>
            <a:ext uri="{FF2B5EF4-FFF2-40B4-BE49-F238E27FC236}">
              <a16:creationId xmlns:a16="http://schemas.microsoft.com/office/drawing/2014/main" id="{BCAD6F09-0F88-4463-911A-52CDD52A508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339" name="AutoShape 11" descr="Story">
          <a:hlinkClick xmlns:r="http://schemas.openxmlformats.org/officeDocument/2006/relationships" r:id="rId15"/>
          <a:extLst>
            <a:ext uri="{FF2B5EF4-FFF2-40B4-BE49-F238E27FC236}">
              <a16:creationId xmlns:a16="http://schemas.microsoft.com/office/drawing/2014/main" id="{60B62C95-3E48-43E3-84F4-A81157C0169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1175</xdr:row>
      <xdr:rowOff>0</xdr:rowOff>
    </xdr:from>
    <xdr:to>
      <xdr:col>0</xdr:col>
      <xdr:colOff>152400</xdr:colOff>
      <xdr:row>1175</xdr:row>
      <xdr:rowOff>152400</xdr:rowOff>
    </xdr:to>
    <xdr:sp macro="" textlink="">
      <xdr:nvSpPr>
        <xdr:cNvPr id="340" name="AutoShape 12" descr="Story">
          <a:hlinkClick xmlns:r="http://schemas.openxmlformats.org/officeDocument/2006/relationships" r:id="rId12"/>
          <a:extLst>
            <a:ext uri="{FF2B5EF4-FFF2-40B4-BE49-F238E27FC236}">
              <a16:creationId xmlns:a16="http://schemas.microsoft.com/office/drawing/2014/main" id="{2F1B3EF8-0BEA-4105-814B-41584B79490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41" name="AutoShape 13" descr="Story">
          <a:hlinkClick xmlns:r="http://schemas.openxmlformats.org/officeDocument/2006/relationships" r:id="rId4"/>
          <a:extLst>
            <a:ext uri="{FF2B5EF4-FFF2-40B4-BE49-F238E27FC236}">
              <a16:creationId xmlns:a16="http://schemas.microsoft.com/office/drawing/2014/main" id="{4379D424-235F-429B-B839-6EA2A3AF721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1173</xdr:row>
      <xdr:rowOff>0</xdr:rowOff>
    </xdr:from>
    <xdr:to>
      <xdr:col>0</xdr:col>
      <xdr:colOff>152400</xdr:colOff>
      <xdr:row>1173</xdr:row>
      <xdr:rowOff>152400</xdr:rowOff>
    </xdr:to>
    <xdr:sp macro="" textlink="">
      <xdr:nvSpPr>
        <xdr:cNvPr id="1070" name="AutoShape 14" descr="Story">
          <a:hlinkClick xmlns:r="http://schemas.openxmlformats.org/officeDocument/2006/relationships" r:id="rId4"/>
          <a:extLst>
            <a:ext uri="{FF2B5EF4-FFF2-40B4-BE49-F238E27FC236}">
              <a16:creationId xmlns:a16="http://schemas.microsoft.com/office/drawing/2014/main" id="{C5EDE7EB-9272-47D3-91EC-E3FB16B486E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1071" name="AutoShape 15" descr="Story">
          <a:hlinkClick xmlns:r="http://schemas.openxmlformats.org/officeDocument/2006/relationships" r:id="rId4"/>
          <a:extLst>
            <a:ext uri="{FF2B5EF4-FFF2-40B4-BE49-F238E27FC236}">
              <a16:creationId xmlns:a16="http://schemas.microsoft.com/office/drawing/2014/main" id="{BA09FCD1-4227-4930-962A-6E006F1439A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1172</xdr:row>
      <xdr:rowOff>0</xdr:rowOff>
    </xdr:from>
    <xdr:ext cx="152400" cy="152400"/>
    <xdr:sp macro="" textlink="">
      <xdr:nvSpPr>
        <xdr:cNvPr id="1072" name="AutoShape 1" descr="Story">
          <a:hlinkClick xmlns:r="http://schemas.openxmlformats.org/officeDocument/2006/relationships" r:id="rId7"/>
          <a:extLst>
            <a:ext uri="{FF2B5EF4-FFF2-40B4-BE49-F238E27FC236}">
              <a16:creationId xmlns:a16="http://schemas.microsoft.com/office/drawing/2014/main" id="{EFB27DC9-760F-4609-B37D-4041B0F94BA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3" name="AutoShape 2" descr="Story">
          <a:hlinkClick xmlns:r="http://schemas.openxmlformats.org/officeDocument/2006/relationships" r:id="rId8"/>
          <a:extLst>
            <a:ext uri="{FF2B5EF4-FFF2-40B4-BE49-F238E27FC236}">
              <a16:creationId xmlns:a16="http://schemas.microsoft.com/office/drawing/2014/main" id="{5F514CB2-A800-48ED-973F-2535B1E3567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4" name="AutoShape 5" descr="Story">
          <a:hlinkClick xmlns:r="http://schemas.openxmlformats.org/officeDocument/2006/relationships" r:id="rId6"/>
          <a:extLst>
            <a:ext uri="{FF2B5EF4-FFF2-40B4-BE49-F238E27FC236}">
              <a16:creationId xmlns:a16="http://schemas.microsoft.com/office/drawing/2014/main" id="{D7A312FB-FE98-4D52-9E50-DBD1ED4ECEC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5" name="AutoShape 1" descr="Sub-task">
          <a:hlinkClick xmlns:r="http://schemas.openxmlformats.org/officeDocument/2006/relationships" r:id="rId9"/>
          <a:extLst>
            <a:ext uri="{FF2B5EF4-FFF2-40B4-BE49-F238E27FC236}">
              <a16:creationId xmlns:a16="http://schemas.microsoft.com/office/drawing/2014/main" id="{0C30A4A3-6619-4295-8798-4000E1E823B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6" name="AutoShape 2" descr="Sub-task">
          <a:hlinkClick xmlns:r="http://schemas.openxmlformats.org/officeDocument/2006/relationships" r:id="rId10"/>
          <a:extLst>
            <a:ext uri="{FF2B5EF4-FFF2-40B4-BE49-F238E27FC236}">
              <a16:creationId xmlns:a16="http://schemas.microsoft.com/office/drawing/2014/main" id="{7D150AEA-B8B9-46B4-BB4D-10CF38FA31B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7" name="AutoShape 3" descr="Story">
          <a:hlinkClick xmlns:r="http://schemas.openxmlformats.org/officeDocument/2006/relationships" r:id="rId11"/>
          <a:extLst>
            <a:ext uri="{FF2B5EF4-FFF2-40B4-BE49-F238E27FC236}">
              <a16:creationId xmlns:a16="http://schemas.microsoft.com/office/drawing/2014/main" id="{52CBB2BF-101B-4AD1-979A-CD76BFF5C1A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8" name="AutoShape 12" descr="Story">
          <a:hlinkClick xmlns:r="http://schemas.openxmlformats.org/officeDocument/2006/relationships" r:id="rId12"/>
          <a:extLst>
            <a:ext uri="{FF2B5EF4-FFF2-40B4-BE49-F238E27FC236}">
              <a16:creationId xmlns:a16="http://schemas.microsoft.com/office/drawing/2014/main" id="{54531BF8-8C2F-4535-A6CB-C85A5B6BDF3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9" name="AutoShape 1" descr="Story">
          <a:hlinkClick xmlns:r="http://schemas.openxmlformats.org/officeDocument/2006/relationships" r:id="rId13"/>
          <a:extLst>
            <a:ext uri="{FF2B5EF4-FFF2-40B4-BE49-F238E27FC236}">
              <a16:creationId xmlns:a16="http://schemas.microsoft.com/office/drawing/2014/main" id="{931E5513-8D7A-4BBF-8B23-A7CDAD2AFD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0" name="AutoShape 1" descr="Story">
          <a:hlinkClick xmlns:r="http://schemas.openxmlformats.org/officeDocument/2006/relationships" r:id="rId13"/>
          <a:extLst>
            <a:ext uri="{FF2B5EF4-FFF2-40B4-BE49-F238E27FC236}">
              <a16:creationId xmlns:a16="http://schemas.microsoft.com/office/drawing/2014/main" id="{85B5A02B-B84A-42B2-984C-E0C69FC047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1" name="AutoShape 3" descr="Story">
          <a:hlinkClick xmlns:r="http://schemas.openxmlformats.org/officeDocument/2006/relationships" r:id="rId4"/>
          <a:extLst>
            <a:ext uri="{FF2B5EF4-FFF2-40B4-BE49-F238E27FC236}">
              <a16:creationId xmlns:a16="http://schemas.microsoft.com/office/drawing/2014/main" id="{EE84168B-AC82-4D96-A775-9D5E434E74E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2" name="AutoShape 4" descr="Story">
          <a:hlinkClick xmlns:r="http://schemas.openxmlformats.org/officeDocument/2006/relationships" r:id="rId5"/>
          <a:extLst>
            <a:ext uri="{FF2B5EF4-FFF2-40B4-BE49-F238E27FC236}">
              <a16:creationId xmlns:a16="http://schemas.microsoft.com/office/drawing/2014/main" id="{939216C0-04CD-4E5C-A1CC-F66D6B81D00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3" name="AutoShape 1" descr="Story">
          <a:hlinkClick xmlns:r="http://schemas.openxmlformats.org/officeDocument/2006/relationships" r:id="rId7"/>
          <a:extLst>
            <a:ext uri="{FF2B5EF4-FFF2-40B4-BE49-F238E27FC236}">
              <a16:creationId xmlns:a16="http://schemas.microsoft.com/office/drawing/2014/main" id="{43F9A24B-E457-49DD-B3FC-C86D41B11CB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4" name="AutoShape 2" descr="Story">
          <a:hlinkClick xmlns:r="http://schemas.openxmlformats.org/officeDocument/2006/relationships" r:id="rId8"/>
          <a:extLst>
            <a:ext uri="{FF2B5EF4-FFF2-40B4-BE49-F238E27FC236}">
              <a16:creationId xmlns:a16="http://schemas.microsoft.com/office/drawing/2014/main" id="{EAC58408-96CA-4D80-A379-3EF3604A736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5" name="AutoShape 3" descr="Story">
          <a:hlinkClick xmlns:r="http://schemas.openxmlformats.org/officeDocument/2006/relationships" r:id="rId4"/>
          <a:extLst>
            <a:ext uri="{FF2B5EF4-FFF2-40B4-BE49-F238E27FC236}">
              <a16:creationId xmlns:a16="http://schemas.microsoft.com/office/drawing/2014/main" id="{28E445B7-4D36-4EB9-AF26-04B3D25D281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6" name="AutoShape 4" descr="Story">
          <a:hlinkClick xmlns:r="http://schemas.openxmlformats.org/officeDocument/2006/relationships" r:id="rId5"/>
          <a:extLst>
            <a:ext uri="{FF2B5EF4-FFF2-40B4-BE49-F238E27FC236}">
              <a16:creationId xmlns:a16="http://schemas.microsoft.com/office/drawing/2014/main" id="{23ED9ECD-0714-438F-BB14-A887157FB6E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7" name="AutoShape 5" descr="Story">
          <a:hlinkClick xmlns:r="http://schemas.openxmlformats.org/officeDocument/2006/relationships" r:id="rId6"/>
          <a:extLst>
            <a:ext uri="{FF2B5EF4-FFF2-40B4-BE49-F238E27FC236}">
              <a16:creationId xmlns:a16="http://schemas.microsoft.com/office/drawing/2014/main" id="{E71263A3-7860-44C6-82DA-644AFBA7A4B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8" name="AutoShape 1" descr="Sub-task">
          <a:hlinkClick xmlns:r="http://schemas.openxmlformats.org/officeDocument/2006/relationships" r:id="rId9"/>
          <a:extLst>
            <a:ext uri="{FF2B5EF4-FFF2-40B4-BE49-F238E27FC236}">
              <a16:creationId xmlns:a16="http://schemas.microsoft.com/office/drawing/2014/main" id="{3C274BA9-73ED-4C79-9E6C-59BFFE65051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9" name="AutoShape 2" descr="Sub-task">
          <a:hlinkClick xmlns:r="http://schemas.openxmlformats.org/officeDocument/2006/relationships" r:id="rId10"/>
          <a:extLst>
            <a:ext uri="{FF2B5EF4-FFF2-40B4-BE49-F238E27FC236}">
              <a16:creationId xmlns:a16="http://schemas.microsoft.com/office/drawing/2014/main" id="{B1FA2A0A-E17A-49E4-B071-4284C2AC1B5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0" name="AutoShape 7" descr="Story">
          <a:hlinkClick xmlns:r="http://schemas.openxmlformats.org/officeDocument/2006/relationships" r:id="rId3"/>
          <a:extLst>
            <a:ext uri="{FF2B5EF4-FFF2-40B4-BE49-F238E27FC236}">
              <a16:creationId xmlns:a16="http://schemas.microsoft.com/office/drawing/2014/main" id="{C4340611-0C96-40F6-A9AE-3843E22C17F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1" name="AutoShape 3" descr="Story">
          <a:hlinkClick xmlns:r="http://schemas.openxmlformats.org/officeDocument/2006/relationships" r:id="rId11"/>
          <a:extLst>
            <a:ext uri="{FF2B5EF4-FFF2-40B4-BE49-F238E27FC236}">
              <a16:creationId xmlns:a16="http://schemas.microsoft.com/office/drawing/2014/main" id="{3FF5BAF5-7DF2-41B0-9268-F6FFD896C05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2" name="AutoShape 12" descr="Story">
          <a:hlinkClick xmlns:r="http://schemas.openxmlformats.org/officeDocument/2006/relationships" r:id="rId12"/>
          <a:extLst>
            <a:ext uri="{FF2B5EF4-FFF2-40B4-BE49-F238E27FC236}">
              <a16:creationId xmlns:a16="http://schemas.microsoft.com/office/drawing/2014/main" id="{6E606477-D212-4171-B7E0-E4E061B239D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3" name="AutoShape 1" descr="Story">
          <a:hlinkClick xmlns:r="http://schemas.openxmlformats.org/officeDocument/2006/relationships" r:id="rId13"/>
          <a:extLst>
            <a:ext uri="{FF2B5EF4-FFF2-40B4-BE49-F238E27FC236}">
              <a16:creationId xmlns:a16="http://schemas.microsoft.com/office/drawing/2014/main" id="{263E20B6-4438-466A-9E86-D1DC7095E40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4" name="AutoShape 1" descr="Story">
          <a:hlinkClick xmlns:r="http://schemas.openxmlformats.org/officeDocument/2006/relationships" r:id="rId13"/>
          <a:extLst>
            <a:ext uri="{FF2B5EF4-FFF2-40B4-BE49-F238E27FC236}">
              <a16:creationId xmlns:a16="http://schemas.microsoft.com/office/drawing/2014/main" id="{650DE785-570C-4277-BCE6-052C42DFD09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5" name="AutoShape 3" descr="Story">
          <a:hlinkClick xmlns:r="http://schemas.openxmlformats.org/officeDocument/2006/relationships" r:id="rId4"/>
          <a:extLst>
            <a:ext uri="{FF2B5EF4-FFF2-40B4-BE49-F238E27FC236}">
              <a16:creationId xmlns:a16="http://schemas.microsoft.com/office/drawing/2014/main" id="{A2C93817-EB0E-4F0E-A034-100DC4BD3CE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6" name="AutoShape 4" descr="Story">
          <a:hlinkClick xmlns:r="http://schemas.openxmlformats.org/officeDocument/2006/relationships" r:id="rId5"/>
          <a:extLst>
            <a:ext uri="{FF2B5EF4-FFF2-40B4-BE49-F238E27FC236}">
              <a16:creationId xmlns:a16="http://schemas.microsoft.com/office/drawing/2014/main" id="{CD1641A3-CFEB-4032-8875-B1093D15AB9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7" name="AutoShape 7" descr="Story">
          <a:hlinkClick xmlns:r="http://schemas.openxmlformats.org/officeDocument/2006/relationships" r:id="rId3"/>
          <a:extLst>
            <a:ext uri="{FF2B5EF4-FFF2-40B4-BE49-F238E27FC236}">
              <a16:creationId xmlns:a16="http://schemas.microsoft.com/office/drawing/2014/main" id="{C6E404EA-A683-4E7A-99E8-994C1744AE7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8" name="AutoShape 8" descr="Story">
          <a:hlinkClick xmlns:r="http://schemas.openxmlformats.org/officeDocument/2006/relationships" r:id="rId4"/>
          <a:extLst>
            <a:ext uri="{FF2B5EF4-FFF2-40B4-BE49-F238E27FC236}">
              <a16:creationId xmlns:a16="http://schemas.microsoft.com/office/drawing/2014/main" id="{CC3F3670-4FBA-4D9A-A13F-CF8DF3EA179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9" name="AutoShape 8" descr="Story">
          <a:hlinkClick xmlns:r="http://schemas.openxmlformats.org/officeDocument/2006/relationships" r:id="rId4"/>
          <a:extLst>
            <a:ext uri="{FF2B5EF4-FFF2-40B4-BE49-F238E27FC236}">
              <a16:creationId xmlns:a16="http://schemas.microsoft.com/office/drawing/2014/main" id="{526BC313-4B42-4DF6-997A-42DE445E2E8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1186</xdr:row>
      <xdr:rowOff>0</xdr:rowOff>
    </xdr:from>
    <xdr:to>
      <xdr:col>0</xdr:col>
      <xdr:colOff>152400</xdr:colOff>
      <xdr:row>1186</xdr:row>
      <xdr:rowOff>152400</xdr:rowOff>
    </xdr:to>
    <xdr:sp macro="" textlink="">
      <xdr:nvSpPr>
        <xdr:cNvPr id="1100" name="AutoShape 1" descr="Story">
          <a:hlinkClick xmlns:r="http://schemas.openxmlformats.org/officeDocument/2006/relationships" r:id="rId13"/>
          <a:extLst>
            <a:ext uri="{FF2B5EF4-FFF2-40B4-BE49-F238E27FC236}">
              <a16:creationId xmlns:a16="http://schemas.microsoft.com/office/drawing/2014/main" id="{FF7E2841-96D1-4732-91E4-C2005CE8AD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01" name="AutoShape 2" descr="Story">
          <a:hlinkClick xmlns:r="http://schemas.openxmlformats.org/officeDocument/2006/relationships" r:id="rId12"/>
          <a:extLst>
            <a:ext uri="{FF2B5EF4-FFF2-40B4-BE49-F238E27FC236}">
              <a16:creationId xmlns:a16="http://schemas.microsoft.com/office/drawing/2014/main" id="{3C7867E8-CFE8-4DA1-BB08-143310C19A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1183</xdr:row>
      <xdr:rowOff>0</xdr:rowOff>
    </xdr:from>
    <xdr:to>
      <xdr:col>0</xdr:col>
      <xdr:colOff>152400</xdr:colOff>
      <xdr:row>1183</xdr:row>
      <xdr:rowOff>152400</xdr:rowOff>
    </xdr:to>
    <xdr:sp macro="" textlink="">
      <xdr:nvSpPr>
        <xdr:cNvPr id="1102" name="AutoShape 3" descr="Story">
          <a:hlinkClick xmlns:r="http://schemas.openxmlformats.org/officeDocument/2006/relationships" r:id="rId11"/>
          <a:extLst>
            <a:ext uri="{FF2B5EF4-FFF2-40B4-BE49-F238E27FC236}">
              <a16:creationId xmlns:a16="http://schemas.microsoft.com/office/drawing/2014/main" id="{4AEED071-4469-4661-B684-E75EB16BFF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3" name="AutoShape 4" descr="Bug">
          <a:hlinkClick xmlns:r="http://schemas.openxmlformats.org/officeDocument/2006/relationships" r:id="rId1"/>
          <a:extLst>
            <a:ext uri="{FF2B5EF4-FFF2-40B4-BE49-F238E27FC236}">
              <a16:creationId xmlns:a16="http://schemas.microsoft.com/office/drawing/2014/main" id="{25359DA1-614D-4BA1-A426-A2FD94542A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04" name="AutoShape 5" descr="Story">
          <a:hlinkClick xmlns:r="http://schemas.openxmlformats.org/officeDocument/2006/relationships" r:id="rId14"/>
          <a:extLst>
            <a:ext uri="{FF2B5EF4-FFF2-40B4-BE49-F238E27FC236}">
              <a16:creationId xmlns:a16="http://schemas.microsoft.com/office/drawing/2014/main" id="{550C99A6-D150-43B5-B844-6D582104FC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5" name="AutoShape 6" descr="Bug">
          <a:hlinkClick xmlns:r="http://schemas.openxmlformats.org/officeDocument/2006/relationships" r:id="rId2"/>
          <a:extLst>
            <a:ext uri="{FF2B5EF4-FFF2-40B4-BE49-F238E27FC236}">
              <a16:creationId xmlns:a16="http://schemas.microsoft.com/office/drawing/2014/main" id="{A6E3B6C5-5FB5-43C4-89D0-3AA5F219A9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6" name="AutoShape 7" descr="Story">
          <a:hlinkClick xmlns:r="http://schemas.openxmlformats.org/officeDocument/2006/relationships" r:id="rId3"/>
          <a:extLst>
            <a:ext uri="{FF2B5EF4-FFF2-40B4-BE49-F238E27FC236}">
              <a16:creationId xmlns:a16="http://schemas.microsoft.com/office/drawing/2014/main" id="{C649D362-92D5-4CAA-BA0E-35DEF6510C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7" name="AutoShape 8" descr="Story">
          <a:hlinkClick xmlns:r="http://schemas.openxmlformats.org/officeDocument/2006/relationships" r:id="rId4"/>
          <a:extLst>
            <a:ext uri="{FF2B5EF4-FFF2-40B4-BE49-F238E27FC236}">
              <a16:creationId xmlns:a16="http://schemas.microsoft.com/office/drawing/2014/main" id="{7CC2DE43-7F9F-4760-941F-F5D62BA1E5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8" name="AutoShape 9" descr="Story">
          <a:hlinkClick xmlns:r="http://schemas.openxmlformats.org/officeDocument/2006/relationships" r:id="rId5"/>
          <a:extLst>
            <a:ext uri="{FF2B5EF4-FFF2-40B4-BE49-F238E27FC236}">
              <a16:creationId xmlns:a16="http://schemas.microsoft.com/office/drawing/2014/main" id="{20C01035-30EE-449D-8439-522E00AE57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1181</xdr:row>
      <xdr:rowOff>0</xdr:rowOff>
    </xdr:from>
    <xdr:to>
      <xdr:col>0</xdr:col>
      <xdr:colOff>152400</xdr:colOff>
      <xdr:row>1181</xdr:row>
      <xdr:rowOff>152400</xdr:rowOff>
    </xdr:to>
    <xdr:sp macro="" textlink="">
      <xdr:nvSpPr>
        <xdr:cNvPr id="1109" name="AutoShape 10" descr="Story">
          <a:hlinkClick xmlns:r="http://schemas.openxmlformats.org/officeDocument/2006/relationships" r:id="rId6"/>
          <a:extLst>
            <a:ext uri="{FF2B5EF4-FFF2-40B4-BE49-F238E27FC236}">
              <a16:creationId xmlns:a16="http://schemas.microsoft.com/office/drawing/2014/main" id="{999F0CF8-B90D-4959-A61A-AFC2678A5A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10" name="AutoShape 11" descr="Story">
          <a:hlinkClick xmlns:r="http://schemas.openxmlformats.org/officeDocument/2006/relationships" r:id="rId15"/>
          <a:extLst>
            <a:ext uri="{FF2B5EF4-FFF2-40B4-BE49-F238E27FC236}">
              <a16:creationId xmlns:a16="http://schemas.microsoft.com/office/drawing/2014/main" id="{337FE887-584E-49A9-8B40-6EEB208E9C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1183</xdr:row>
      <xdr:rowOff>0</xdr:rowOff>
    </xdr:from>
    <xdr:to>
      <xdr:col>0</xdr:col>
      <xdr:colOff>152400</xdr:colOff>
      <xdr:row>1183</xdr:row>
      <xdr:rowOff>152400</xdr:rowOff>
    </xdr:to>
    <xdr:sp macro="" textlink="">
      <xdr:nvSpPr>
        <xdr:cNvPr id="1111" name="AutoShape 12" descr="Story">
          <a:hlinkClick xmlns:r="http://schemas.openxmlformats.org/officeDocument/2006/relationships" r:id="rId12"/>
          <a:extLst>
            <a:ext uri="{FF2B5EF4-FFF2-40B4-BE49-F238E27FC236}">
              <a16:creationId xmlns:a16="http://schemas.microsoft.com/office/drawing/2014/main" id="{57EE2BCA-18B3-4E19-84F0-212FF9C088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12" name="AutoShape 13" descr="Story">
          <a:hlinkClick xmlns:r="http://schemas.openxmlformats.org/officeDocument/2006/relationships" r:id="rId4"/>
          <a:extLst>
            <a:ext uri="{FF2B5EF4-FFF2-40B4-BE49-F238E27FC236}">
              <a16:creationId xmlns:a16="http://schemas.microsoft.com/office/drawing/2014/main" id="{4F548B53-B774-428F-B38D-B8464EAD03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1181</xdr:row>
      <xdr:rowOff>0</xdr:rowOff>
    </xdr:from>
    <xdr:to>
      <xdr:col>0</xdr:col>
      <xdr:colOff>152400</xdr:colOff>
      <xdr:row>1181</xdr:row>
      <xdr:rowOff>152400</xdr:rowOff>
    </xdr:to>
    <xdr:sp macro="" textlink="">
      <xdr:nvSpPr>
        <xdr:cNvPr id="1113" name="AutoShape 14" descr="Story">
          <a:hlinkClick xmlns:r="http://schemas.openxmlformats.org/officeDocument/2006/relationships" r:id="rId4"/>
          <a:extLst>
            <a:ext uri="{FF2B5EF4-FFF2-40B4-BE49-F238E27FC236}">
              <a16:creationId xmlns:a16="http://schemas.microsoft.com/office/drawing/2014/main" id="{2E52C0AD-1568-4974-93EC-C6A70C0AAD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14" name="AutoShape 15" descr="Story">
          <a:hlinkClick xmlns:r="http://schemas.openxmlformats.org/officeDocument/2006/relationships" r:id="rId4"/>
          <a:extLst>
            <a:ext uri="{FF2B5EF4-FFF2-40B4-BE49-F238E27FC236}">
              <a16:creationId xmlns:a16="http://schemas.microsoft.com/office/drawing/2014/main" id="{C0B956B5-79AE-4104-B48B-BE64DE0B8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1180</xdr:row>
      <xdr:rowOff>0</xdr:rowOff>
    </xdr:from>
    <xdr:ext cx="152400" cy="152400"/>
    <xdr:sp macro="" textlink="">
      <xdr:nvSpPr>
        <xdr:cNvPr id="1115" name="AutoShape 1" descr="Story">
          <a:hlinkClick xmlns:r="http://schemas.openxmlformats.org/officeDocument/2006/relationships" r:id="rId7"/>
          <a:extLst>
            <a:ext uri="{FF2B5EF4-FFF2-40B4-BE49-F238E27FC236}">
              <a16:creationId xmlns:a16="http://schemas.microsoft.com/office/drawing/2014/main" id="{D4B5DAE0-77D3-4021-BFE5-838B53D24D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6" name="AutoShape 2" descr="Story">
          <a:hlinkClick xmlns:r="http://schemas.openxmlformats.org/officeDocument/2006/relationships" r:id="rId8"/>
          <a:extLst>
            <a:ext uri="{FF2B5EF4-FFF2-40B4-BE49-F238E27FC236}">
              <a16:creationId xmlns:a16="http://schemas.microsoft.com/office/drawing/2014/main" id="{8463F3BC-F107-41A4-B21C-3E1CCABEB1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7" name="AutoShape 5" descr="Story">
          <a:hlinkClick xmlns:r="http://schemas.openxmlformats.org/officeDocument/2006/relationships" r:id="rId6"/>
          <a:extLst>
            <a:ext uri="{FF2B5EF4-FFF2-40B4-BE49-F238E27FC236}">
              <a16:creationId xmlns:a16="http://schemas.microsoft.com/office/drawing/2014/main" id="{9F169570-147E-4313-B8EB-B96A658070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8" name="AutoShape 1" descr="Sub-task">
          <a:hlinkClick xmlns:r="http://schemas.openxmlformats.org/officeDocument/2006/relationships" r:id="rId9"/>
          <a:extLst>
            <a:ext uri="{FF2B5EF4-FFF2-40B4-BE49-F238E27FC236}">
              <a16:creationId xmlns:a16="http://schemas.microsoft.com/office/drawing/2014/main" id="{E8E11526-9EBB-4E5A-A5F2-CAB87AA042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9" name="AutoShape 2" descr="Sub-task">
          <a:hlinkClick xmlns:r="http://schemas.openxmlformats.org/officeDocument/2006/relationships" r:id="rId10"/>
          <a:extLst>
            <a:ext uri="{FF2B5EF4-FFF2-40B4-BE49-F238E27FC236}">
              <a16:creationId xmlns:a16="http://schemas.microsoft.com/office/drawing/2014/main" id="{CECCD234-7D42-412E-A12A-FD156EAA11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0" name="AutoShape 3" descr="Story">
          <a:hlinkClick xmlns:r="http://schemas.openxmlformats.org/officeDocument/2006/relationships" r:id="rId11"/>
          <a:extLst>
            <a:ext uri="{FF2B5EF4-FFF2-40B4-BE49-F238E27FC236}">
              <a16:creationId xmlns:a16="http://schemas.microsoft.com/office/drawing/2014/main" id="{96152451-90EB-4AC7-84F9-C80964B899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1" name="AutoShape 12" descr="Story">
          <a:hlinkClick xmlns:r="http://schemas.openxmlformats.org/officeDocument/2006/relationships" r:id="rId12"/>
          <a:extLst>
            <a:ext uri="{FF2B5EF4-FFF2-40B4-BE49-F238E27FC236}">
              <a16:creationId xmlns:a16="http://schemas.microsoft.com/office/drawing/2014/main" id="{888B20EE-AED6-4907-B193-06523DA16B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2" name="AutoShape 1" descr="Story">
          <a:hlinkClick xmlns:r="http://schemas.openxmlformats.org/officeDocument/2006/relationships" r:id="rId13"/>
          <a:extLst>
            <a:ext uri="{FF2B5EF4-FFF2-40B4-BE49-F238E27FC236}">
              <a16:creationId xmlns:a16="http://schemas.microsoft.com/office/drawing/2014/main" id="{107DC135-1451-4BE5-80E5-375B69B985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3" name="AutoShape 1" descr="Story">
          <a:hlinkClick xmlns:r="http://schemas.openxmlformats.org/officeDocument/2006/relationships" r:id="rId13"/>
          <a:extLst>
            <a:ext uri="{FF2B5EF4-FFF2-40B4-BE49-F238E27FC236}">
              <a16:creationId xmlns:a16="http://schemas.microsoft.com/office/drawing/2014/main" id="{09DD61E0-0070-4C9F-A502-5B0720BC6F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4" name="AutoShape 3" descr="Story">
          <a:hlinkClick xmlns:r="http://schemas.openxmlformats.org/officeDocument/2006/relationships" r:id="rId4"/>
          <a:extLst>
            <a:ext uri="{FF2B5EF4-FFF2-40B4-BE49-F238E27FC236}">
              <a16:creationId xmlns:a16="http://schemas.microsoft.com/office/drawing/2014/main" id="{AE634911-5095-4808-BBAF-33DF751E92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5" name="AutoShape 4" descr="Story">
          <a:hlinkClick xmlns:r="http://schemas.openxmlformats.org/officeDocument/2006/relationships" r:id="rId5"/>
          <a:extLst>
            <a:ext uri="{FF2B5EF4-FFF2-40B4-BE49-F238E27FC236}">
              <a16:creationId xmlns:a16="http://schemas.microsoft.com/office/drawing/2014/main" id="{3B84632E-8E63-453D-91E1-654ED0D465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26" name="AutoShape 1" descr="Story">
          <a:hlinkClick xmlns:r="http://schemas.openxmlformats.org/officeDocument/2006/relationships" r:id="rId7"/>
          <a:extLst>
            <a:ext uri="{FF2B5EF4-FFF2-40B4-BE49-F238E27FC236}">
              <a16:creationId xmlns:a16="http://schemas.microsoft.com/office/drawing/2014/main" id="{69F4603F-F1BD-455F-AEEF-91160C9723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27" name="AutoShape 2" descr="Story">
          <a:hlinkClick xmlns:r="http://schemas.openxmlformats.org/officeDocument/2006/relationships" r:id="rId8"/>
          <a:extLst>
            <a:ext uri="{FF2B5EF4-FFF2-40B4-BE49-F238E27FC236}">
              <a16:creationId xmlns:a16="http://schemas.microsoft.com/office/drawing/2014/main" id="{2BAA131B-1CD1-4AB6-8A56-BFEA4AF2AE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8" name="AutoShape 3" descr="Story">
          <a:hlinkClick xmlns:r="http://schemas.openxmlformats.org/officeDocument/2006/relationships" r:id="rId4"/>
          <a:extLst>
            <a:ext uri="{FF2B5EF4-FFF2-40B4-BE49-F238E27FC236}">
              <a16:creationId xmlns:a16="http://schemas.microsoft.com/office/drawing/2014/main" id="{42980659-3773-4C2B-B0B5-FFEB7DA8BA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9" name="AutoShape 4" descr="Story">
          <a:hlinkClick xmlns:r="http://schemas.openxmlformats.org/officeDocument/2006/relationships" r:id="rId5"/>
          <a:extLst>
            <a:ext uri="{FF2B5EF4-FFF2-40B4-BE49-F238E27FC236}">
              <a16:creationId xmlns:a16="http://schemas.microsoft.com/office/drawing/2014/main" id="{5242DE07-7F27-43C3-81AD-A99BFBD55E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0" name="AutoShape 5" descr="Story">
          <a:hlinkClick xmlns:r="http://schemas.openxmlformats.org/officeDocument/2006/relationships" r:id="rId6"/>
          <a:extLst>
            <a:ext uri="{FF2B5EF4-FFF2-40B4-BE49-F238E27FC236}">
              <a16:creationId xmlns:a16="http://schemas.microsoft.com/office/drawing/2014/main" id="{4683DAD9-0019-462B-9990-D55411D0EE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1" name="AutoShape 1" descr="Sub-task">
          <a:hlinkClick xmlns:r="http://schemas.openxmlformats.org/officeDocument/2006/relationships" r:id="rId9"/>
          <a:extLst>
            <a:ext uri="{FF2B5EF4-FFF2-40B4-BE49-F238E27FC236}">
              <a16:creationId xmlns:a16="http://schemas.microsoft.com/office/drawing/2014/main" id="{971125EB-BCA0-4E18-AEA6-AF8644EFC1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2" name="AutoShape 2" descr="Sub-task">
          <a:hlinkClick xmlns:r="http://schemas.openxmlformats.org/officeDocument/2006/relationships" r:id="rId10"/>
          <a:extLst>
            <a:ext uri="{FF2B5EF4-FFF2-40B4-BE49-F238E27FC236}">
              <a16:creationId xmlns:a16="http://schemas.microsoft.com/office/drawing/2014/main" id="{BF6B20A3-0831-41B8-87F2-35BF2E6615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33" name="AutoShape 7" descr="Story">
          <a:hlinkClick xmlns:r="http://schemas.openxmlformats.org/officeDocument/2006/relationships" r:id="rId3"/>
          <a:extLst>
            <a:ext uri="{FF2B5EF4-FFF2-40B4-BE49-F238E27FC236}">
              <a16:creationId xmlns:a16="http://schemas.microsoft.com/office/drawing/2014/main" id="{05827AE2-4028-4308-AE68-179896AB85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4" name="AutoShape 3" descr="Story">
          <a:hlinkClick xmlns:r="http://schemas.openxmlformats.org/officeDocument/2006/relationships" r:id="rId11"/>
          <a:extLst>
            <a:ext uri="{FF2B5EF4-FFF2-40B4-BE49-F238E27FC236}">
              <a16:creationId xmlns:a16="http://schemas.microsoft.com/office/drawing/2014/main" id="{416E8745-4A64-46A3-A05A-8C29A3821C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5" name="AutoShape 12" descr="Story">
          <a:hlinkClick xmlns:r="http://schemas.openxmlformats.org/officeDocument/2006/relationships" r:id="rId12"/>
          <a:extLst>
            <a:ext uri="{FF2B5EF4-FFF2-40B4-BE49-F238E27FC236}">
              <a16:creationId xmlns:a16="http://schemas.microsoft.com/office/drawing/2014/main" id="{E8B9BD71-E301-40FF-9B3C-2D76F38AA2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6" name="AutoShape 1" descr="Story">
          <a:hlinkClick xmlns:r="http://schemas.openxmlformats.org/officeDocument/2006/relationships" r:id="rId13"/>
          <a:extLst>
            <a:ext uri="{FF2B5EF4-FFF2-40B4-BE49-F238E27FC236}">
              <a16:creationId xmlns:a16="http://schemas.microsoft.com/office/drawing/2014/main" id="{DC86161F-8B0A-4E9D-96BD-ED38F94868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7" name="AutoShape 1" descr="Story">
          <a:hlinkClick xmlns:r="http://schemas.openxmlformats.org/officeDocument/2006/relationships" r:id="rId13"/>
          <a:extLst>
            <a:ext uri="{FF2B5EF4-FFF2-40B4-BE49-F238E27FC236}">
              <a16:creationId xmlns:a16="http://schemas.microsoft.com/office/drawing/2014/main" id="{61DD5754-BD6D-48D0-82C8-A8C5CEDB77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8" name="AutoShape 3" descr="Story">
          <a:hlinkClick xmlns:r="http://schemas.openxmlformats.org/officeDocument/2006/relationships" r:id="rId4"/>
          <a:extLst>
            <a:ext uri="{FF2B5EF4-FFF2-40B4-BE49-F238E27FC236}">
              <a16:creationId xmlns:a16="http://schemas.microsoft.com/office/drawing/2014/main" id="{E27B22E6-F441-462A-AB7E-99BF6CFAA1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9" name="AutoShape 4" descr="Story">
          <a:hlinkClick xmlns:r="http://schemas.openxmlformats.org/officeDocument/2006/relationships" r:id="rId5"/>
          <a:extLst>
            <a:ext uri="{FF2B5EF4-FFF2-40B4-BE49-F238E27FC236}">
              <a16:creationId xmlns:a16="http://schemas.microsoft.com/office/drawing/2014/main" id="{4C09DC5A-762A-44A4-8CAB-45B7B2DF5C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40" name="AutoShape 7" descr="Story">
          <a:hlinkClick xmlns:r="http://schemas.openxmlformats.org/officeDocument/2006/relationships" r:id="rId3"/>
          <a:extLst>
            <a:ext uri="{FF2B5EF4-FFF2-40B4-BE49-F238E27FC236}">
              <a16:creationId xmlns:a16="http://schemas.microsoft.com/office/drawing/2014/main" id="{1ED7DCE5-1480-459E-A153-F7EF84F280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41" name="AutoShape 8" descr="Story">
          <a:hlinkClick xmlns:r="http://schemas.openxmlformats.org/officeDocument/2006/relationships" r:id="rId4"/>
          <a:extLst>
            <a:ext uri="{FF2B5EF4-FFF2-40B4-BE49-F238E27FC236}">
              <a16:creationId xmlns:a16="http://schemas.microsoft.com/office/drawing/2014/main" id="{1CEB704E-0B5C-4717-9DD3-4E453F399F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42" name="AutoShape 8" descr="Story">
          <a:hlinkClick xmlns:r="http://schemas.openxmlformats.org/officeDocument/2006/relationships" r:id="rId4"/>
          <a:extLst>
            <a:ext uri="{FF2B5EF4-FFF2-40B4-BE49-F238E27FC236}">
              <a16:creationId xmlns:a16="http://schemas.microsoft.com/office/drawing/2014/main" id="{F8F9F3CF-94B0-4BF9-B481-B94E741117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1159</xdr:row>
      <xdr:rowOff>0</xdr:rowOff>
    </xdr:from>
    <xdr:to>
      <xdr:col>0</xdr:col>
      <xdr:colOff>152400</xdr:colOff>
      <xdr:row>1159</xdr:row>
      <xdr:rowOff>152400</xdr:rowOff>
    </xdr:to>
    <xdr:sp macro="" textlink="">
      <xdr:nvSpPr>
        <xdr:cNvPr id="1143" name="AutoShape 1" descr="Story">
          <a:hlinkClick xmlns:r="http://schemas.openxmlformats.org/officeDocument/2006/relationships" r:id="rId13"/>
          <a:extLst>
            <a:ext uri="{FF2B5EF4-FFF2-40B4-BE49-F238E27FC236}">
              <a16:creationId xmlns:a16="http://schemas.microsoft.com/office/drawing/2014/main" id="{7A93E4A3-F3B3-42BA-962A-DAA19BFA04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44" name="AutoShape 2" descr="Story">
          <a:hlinkClick xmlns:r="http://schemas.openxmlformats.org/officeDocument/2006/relationships" r:id="rId12"/>
          <a:extLst>
            <a:ext uri="{FF2B5EF4-FFF2-40B4-BE49-F238E27FC236}">
              <a16:creationId xmlns:a16="http://schemas.microsoft.com/office/drawing/2014/main" id="{D737409B-D209-45B8-ADEE-84B6EDF11A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1156</xdr:row>
      <xdr:rowOff>0</xdr:rowOff>
    </xdr:from>
    <xdr:to>
      <xdr:col>0</xdr:col>
      <xdr:colOff>152400</xdr:colOff>
      <xdr:row>1156</xdr:row>
      <xdr:rowOff>152400</xdr:rowOff>
    </xdr:to>
    <xdr:sp macro="" textlink="">
      <xdr:nvSpPr>
        <xdr:cNvPr id="1145" name="AutoShape 3" descr="Story">
          <a:hlinkClick xmlns:r="http://schemas.openxmlformats.org/officeDocument/2006/relationships" r:id="rId11"/>
          <a:extLst>
            <a:ext uri="{FF2B5EF4-FFF2-40B4-BE49-F238E27FC236}">
              <a16:creationId xmlns:a16="http://schemas.microsoft.com/office/drawing/2014/main" id="{C143DF4A-898E-4DE7-96AC-0F162E243C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6" name="AutoShape 4" descr="Bug">
          <a:hlinkClick xmlns:r="http://schemas.openxmlformats.org/officeDocument/2006/relationships" r:id="rId1"/>
          <a:extLst>
            <a:ext uri="{FF2B5EF4-FFF2-40B4-BE49-F238E27FC236}">
              <a16:creationId xmlns:a16="http://schemas.microsoft.com/office/drawing/2014/main" id="{70F98037-E826-4D44-B821-2EDD963FD0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47" name="AutoShape 5" descr="Story">
          <a:hlinkClick xmlns:r="http://schemas.openxmlformats.org/officeDocument/2006/relationships" r:id="rId14"/>
          <a:extLst>
            <a:ext uri="{FF2B5EF4-FFF2-40B4-BE49-F238E27FC236}">
              <a16:creationId xmlns:a16="http://schemas.microsoft.com/office/drawing/2014/main" id="{C40FE01E-4836-4659-908A-6122AC313A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8" name="AutoShape 6" descr="Bug">
          <a:hlinkClick xmlns:r="http://schemas.openxmlformats.org/officeDocument/2006/relationships" r:id="rId2"/>
          <a:extLst>
            <a:ext uri="{FF2B5EF4-FFF2-40B4-BE49-F238E27FC236}">
              <a16:creationId xmlns:a16="http://schemas.microsoft.com/office/drawing/2014/main" id="{8E9E2AE2-E82C-48E8-B833-192DFE7E3B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9" name="AutoShape 7" descr="Story">
          <a:hlinkClick xmlns:r="http://schemas.openxmlformats.org/officeDocument/2006/relationships" r:id="rId3"/>
          <a:extLst>
            <a:ext uri="{FF2B5EF4-FFF2-40B4-BE49-F238E27FC236}">
              <a16:creationId xmlns:a16="http://schemas.microsoft.com/office/drawing/2014/main" id="{685CCB86-2510-45C0-B855-CA86D933F1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0" name="AutoShape 8" descr="Story">
          <a:hlinkClick xmlns:r="http://schemas.openxmlformats.org/officeDocument/2006/relationships" r:id="rId4"/>
          <a:extLst>
            <a:ext uri="{FF2B5EF4-FFF2-40B4-BE49-F238E27FC236}">
              <a16:creationId xmlns:a16="http://schemas.microsoft.com/office/drawing/2014/main" id="{A60115E7-D9EB-4044-BD3A-328B65955C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1" name="AutoShape 9" descr="Story">
          <a:hlinkClick xmlns:r="http://schemas.openxmlformats.org/officeDocument/2006/relationships" r:id="rId5"/>
          <a:extLst>
            <a:ext uri="{FF2B5EF4-FFF2-40B4-BE49-F238E27FC236}">
              <a16:creationId xmlns:a16="http://schemas.microsoft.com/office/drawing/2014/main" id="{8D0A7A2B-CB74-497B-85D8-D4537DB9F7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1154</xdr:row>
      <xdr:rowOff>0</xdr:rowOff>
    </xdr:from>
    <xdr:to>
      <xdr:col>0</xdr:col>
      <xdr:colOff>152400</xdr:colOff>
      <xdr:row>1154</xdr:row>
      <xdr:rowOff>152400</xdr:rowOff>
    </xdr:to>
    <xdr:sp macro="" textlink="">
      <xdr:nvSpPr>
        <xdr:cNvPr id="1152" name="AutoShape 10" descr="Story">
          <a:hlinkClick xmlns:r="http://schemas.openxmlformats.org/officeDocument/2006/relationships" r:id="rId6"/>
          <a:extLst>
            <a:ext uri="{FF2B5EF4-FFF2-40B4-BE49-F238E27FC236}">
              <a16:creationId xmlns:a16="http://schemas.microsoft.com/office/drawing/2014/main" id="{1F4AE03A-2C3B-41B7-9994-16E05F9012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53" name="AutoShape 11" descr="Story">
          <a:hlinkClick xmlns:r="http://schemas.openxmlformats.org/officeDocument/2006/relationships" r:id="rId15"/>
          <a:extLst>
            <a:ext uri="{FF2B5EF4-FFF2-40B4-BE49-F238E27FC236}">
              <a16:creationId xmlns:a16="http://schemas.microsoft.com/office/drawing/2014/main" id="{5429F7F5-DC47-4BB4-8959-CD6E3902F2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1156</xdr:row>
      <xdr:rowOff>0</xdr:rowOff>
    </xdr:from>
    <xdr:to>
      <xdr:col>0</xdr:col>
      <xdr:colOff>152400</xdr:colOff>
      <xdr:row>1156</xdr:row>
      <xdr:rowOff>152400</xdr:rowOff>
    </xdr:to>
    <xdr:sp macro="" textlink="">
      <xdr:nvSpPr>
        <xdr:cNvPr id="1154" name="AutoShape 12" descr="Story">
          <a:hlinkClick xmlns:r="http://schemas.openxmlformats.org/officeDocument/2006/relationships" r:id="rId12"/>
          <a:extLst>
            <a:ext uri="{FF2B5EF4-FFF2-40B4-BE49-F238E27FC236}">
              <a16:creationId xmlns:a16="http://schemas.microsoft.com/office/drawing/2014/main" id="{0559373B-1962-44CD-99E0-90B0DFD207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5" name="AutoShape 13" descr="Story">
          <a:hlinkClick xmlns:r="http://schemas.openxmlformats.org/officeDocument/2006/relationships" r:id="rId4"/>
          <a:extLst>
            <a:ext uri="{FF2B5EF4-FFF2-40B4-BE49-F238E27FC236}">
              <a16:creationId xmlns:a16="http://schemas.microsoft.com/office/drawing/2014/main" id="{87EC8D79-E74A-49E1-9565-6A7B49FEF9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1154</xdr:row>
      <xdr:rowOff>0</xdr:rowOff>
    </xdr:from>
    <xdr:to>
      <xdr:col>0</xdr:col>
      <xdr:colOff>152400</xdr:colOff>
      <xdr:row>1154</xdr:row>
      <xdr:rowOff>152400</xdr:rowOff>
    </xdr:to>
    <xdr:sp macro="" textlink="">
      <xdr:nvSpPr>
        <xdr:cNvPr id="1156" name="AutoShape 14" descr="Story">
          <a:hlinkClick xmlns:r="http://schemas.openxmlformats.org/officeDocument/2006/relationships" r:id="rId4"/>
          <a:extLst>
            <a:ext uri="{FF2B5EF4-FFF2-40B4-BE49-F238E27FC236}">
              <a16:creationId xmlns:a16="http://schemas.microsoft.com/office/drawing/2014/main" id="{2065D26D-8ACF-4166-B8B9-A17BDE8945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57" name="AutoShape 15" descr="Story">
          <a:hlinkClick xmlns:r="http://schemas.openxmlformats.org/officeDocument/2006/relationships" r:id="rId4"/>
          <a:extLst>
            <a:ext uri="{FF2B5EF4-FFF2-40B4-BE49-F238E27FC236}">
              <a16:creationId xmlns:a16="http://schemas.microsoft.com/office/drawing/2014/main" id="{5D96DEC8-D79A-4CFE-A12F-51230D5AE4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1153</xdr:row>
      <xdr:rowOff>0</xdr:rowOff>
    </xdr:from>
    <xdr:ext cx="152400" cy="152400"/>
    <xdr:sp macro="" textlink="">
      <xdr:nvSpPr>
        <xdr:cNvPr id="1158" name="AutoShape 1" descr="Story">
          <a:hlinkClick xmlns:r="http://schemas.openxmlformats.org/officeDocument/2006/relationships" r:id="rId7"/>
          <a:extLst>
            <a:ext uri="{FF2B5EF4-FFF2-40B4-BE49-F238E27FC236}">
              <a16:creationId xmlns:a16="http://schemas.microsoft.com/office/drawing/2014/main" id="{65BA6FAE-BA38-426E-B5B0-8691D661F2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59" name="AutoShape 2" descr="Story">
          <a:hlinkClick xmlns:r="http://schemas.openxmlformats.org/officeDocument/2006/relationships" r:id="rId8"/>
          <a:extLst>
            <a:ext uri="{FF2B5EF4-FFF2-40B4-BE49-F238E27FC236}">
              <a16:creationId xmlns:a16="http://schemas.microsoft.com/office/drawing/2014/main" id="{1B9F3BFD-DE8A-4319-8FE8-BBA60D740C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0" name="AutoShape 5" descr="Story">
          <a:hlinkClick xmlns:r="http://schemas.openxmlformats.org/officeDocument/2006/relationships" r:id="rId6"/>
          <a:extLst>
            <a:ext uri="{FF2B5EF4-FFF2-40B4-BE49-F238E27FC236}">
              <a16:creationId xmlns:a16="http://schemas.microsoft.com/office/drawing/2014/main" id="{18403992-9321-4755-968E-B5A3BB646D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1" name="AutoShape 1" descr="Sub-task">
          <a:hlinkClick xmlns:r="http://schemas.openxmlformats.org/officeDocument/2006/relationships" r:id="rId9"/>
          <a:extLst>
            <a:ext uri="{FF2B5EF4-FFF2-40B4-BE49-F238E27FC236}">
              <a16:creationId xmlns:a16="http://schemas.microsoft.com/office/drawing/2014/main" id="{F290C5E1-C9D4-481C-8668-58323E67AA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2" name="AutoShape 2" descr="Sub-task">
          <a:hlinkClick xmlns:r="http://schemas.openxmlformats.org/officeDocument/2006/relationships" r:id="rId10"/>
          <a:extLst>
            <a:ext uri="{FF2B5EF4-FFF2-40B4-BE49-F238E27FC236}">
              <a16:creationId xmlns:a16="http://schemas.microsoft.com/office/drawing/2014/main" id="{10CE32BB-239B-410B-91F2-1D40CEB6F1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3" name="AutoShape 3" descr="Story">
          <a:hlinkClick xmlns:r="http://schemas.openxmlformats.org/officeDocument/2006/relationships" r:id="rId11"/>
          <a:extLst>
            <a:ext uri="{FF2B5EF4-FFF2-40B4-BE49-F238E27FC236}">
              <a16:creationId xmlns:a16="http://schemas.microsoft.com/office/drawing/2014/main" id="{93F58EB3-68CA-492F-A3C5-5DA4E1595C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4" name="AutoShape 12" descr="Story">
          <a:hlinkClick xmlns:r="http://schemas.openxmlformats.org/officeDocument/2006/relationships" r:id="rId12"/>
          <a:extLst>
            <a:ext uri="{FF2B5EF4-FFF2-40B4-BE49-F238E27FC236}">
              <a16:creationId xmlns:a16="http://schemas.microsoft.com/office/drawing/2014/main" id="{D17D71B4-8100-49F7-B68B-FBC482A1E3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5" name="AutoShape 1" descr="Story">
          <a:hlinkClick xmlns:r="http://schemas.openxmlformats.org/officeDocument/2006/relationships" r:id="rId13"/>
          <a:extLst>
            <a:ext uri="{FF2B5EF4-FFF2-40B4-BE49-F238E27FC236}">
              <a16:creationId xmlns:a16="http://schemas.microsoft.com/office/drawing/2014/main" id="{B9774295-0009-43ED-B449-DCFCE12E3E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6" name="AutoShape 1" descr="Story">
          <a:hlinkClick xmlns:r="http://schemas.openxmlformats.org/officeDocument/2006/relationships" r:id="rId13"/>
          <a:extLst>
            <a:ext uri="{FF2B5EF4-FFF2-40B4-BE49-F238E27FC236}">
              <a16:creationId xmlns:a16="http://schemas.microsoft.com/office/drawing/2014/main" id="{28F3A189-9427-4B30-B1B0-FA33F7A8AC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7" name="AutoShape 3" descr="Story">
          <a:hlinkClick xmlns:r="http://schemas.openxmlformats.org/officeDocument/2006/relationships" r:id="rId4"/>
          <a:extLst>
            <a:ext uri="{FF2B5EF4-FFF2-40B4-BE49-F238E27FC236}">
              <a16:creationId xmlns:a16="http://schemas.microsoft.com/office/drawing/2014/main" id="{D03D8F4E-28AB-4993-9AFE-9E4757FB02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8" name="AutoShape 4" descr="Story">
          <a:hlinkClick xmlns:r="http://schemas.openxmlformats.org/officeDocument/2006/relationships" r:id="rId5"/>
          <a:extLst>
            <a:ext uri="{FF2B5EF4-FFF2-40B4-BE49-F238E27FC236}">
              <a16:creationId xmlns:a16="http://schemas.microsoft.com/office/drawing/2014/main" id="{556FB9E8-59A7-4F9A-AED4-FEF907DA1A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69" name="AutoShape 1" descr="Story">
          <a:hlinkClick xmlns:r="http://schemas.openxmlformats.org/officeDocument/2006/relationships" r:id="rId7"/>
          <a:extLst>
            <a:ext uri="{FF2B5EF4-FFF2-40B4-BE49-F238E27FC236}">
              <a16:creationId xmlns:a16="http://schemas.microsoft.com/office/drawing/2014/main" id="{A5D903F5-816B-4EEF-87E6-32C75AC990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0" name="AutoShape 2" descr="Story">
          <a:hlinkClick xmlns:r="http://schemas.openxmlformats.org/officeDocument/2006/relationships" r:id="rId8"/>
          <a:extLst>
            <a:ext uri="{FF2B5EF4-FFF2-40B4-BE49-F238E27FC236}">
              <a16:creationId xmlns:a16="http://schemas.microsoft.com/office/drawing/2014/main" id="{83810ED9-AE46-444F-BC93-8A2320479D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1" name="AutoShape 3" descr="Story">
          <a:hlinkClick xmlns:r="http://schemas.openxmlformats.org/officeDocument/2006/relationships" r:id="rId4"/>
          <a:extLst>
            <a:ext uri="{FF2B5EF4-FFF2-40B4-BE49-F238E27FC236}">
              <a16:creationId xmlns:a16="http://schemas.microsoft.com/office/drawing/2014/main" id="{9457B05B-209A-41F0-B310-825762DA4A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2" name="AutoShape 4" descr="Story">
          <a:hlinkClick xmlns:r="http://schemas.openxmlformats.org/officeDocument/2006/relationships" r:id="rId5"/>
          <a:extLst>
            <a:ext uri="{FF2B5EF4-FFF2-40B4-BE49-F238E27FC236}">
              <a16:creationId xmlns:a16="http://schemas.microsoft.com/office/drawing/2014/main" id="{9B3A425C-B54E-403F-8F42-1028238BE0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3" name="AutoShape 5" descr="Story">
          <a:hlinkClick xmlns:r="http://schemas.openxmlformats.org/officeDocument/2006/relationships" r:id="rId6"/>
          <a:extLst>
            <a:ext uri="{FF2B5EF4-FFF2-40B4-BE49-F238E27FC236}">
              <a16:creationId xmlns:a16="http://schemas.microsoft.com/office/drawing/2014/main" id="{E24320D2-0AE8-4E25-B7E9-A1D6E83096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4" name="AutoShape 1" descr="Sub-task">
          <a:hlinkClick xmlns:r="http://schemas.openxmlformats.org/officeDocument/2006/relationships" r:id="rId9"/>
          <a:extLst>
            <a:ext uri="{FF2B5EF4-FFF2-40B4-BE49-F238E27FC236}">
              <a16:creationId xmlns:a16="http://schemas.microsoft.com/office/drawing/2014/main" id="{38C4085F-DC87-4821-AC38-AB8AACE754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5" name="AutoShape 2" descr="Sub-task">
          <a:hlinkClick xmlns:r="http://schemas.openxmlformats.org/officeDocument/2006/relationships" r:id="rId10"/>
          <a:extLst>
            <a:ext uri="{FF2B5EF4-FFF2-40B4-BE49-F238E27FC236}">
              <a16:creationId xmlns:a16="http://schemas.microsoft.com/office/drawing/2014/main" id="{053813D7-59BD-424F-A96B-523662AA3A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6" name="AutoShape 7" descr="Story">
          <a:hlinkClick xmlns:r="http://schemas.openxmlformats.org/officeDocument/2006/relationships" r:id="rId3"/>
          <a:extLst>
            <a:ext uri="{FF2B5EF4-FFF2-40B4-BE49-F238E27FC236}">
              <a16:creationId xmlns:a16="http://schemas.microsoft.com/office/drawing/2014/main" id="{FB1D4EE4-EA40-4015-9A5F-F108165995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7" name="AutoShape 3" descr="Story">
          <a:hlinkClick xmlns:r="http://schemas.openxmlformats.org/officeDocument/2006/relationships" r:id="rId11"/>
          <a:extLst>
            <a:ext uri="{FF2B5EF4-FFF2-40B4-BE49-F238E27FC236}">
              <a16:creationId xmlns:a16="http://schemas.microsoft.com/office/drawing/2014/main" id="{CBE48A15-19BF-4B8A-B52D-66129975CD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8" name="AutoShape 12" descr="Story">
          <a:hlinkClick xmlns:r="http://schemas.openxmlformats.org/officeDocument/2006/relationships" r:id="rId12"/>
          <a:extLst>
            <a:ext uri="{FF2B5EF4-FFF2-40B4-BE49-F238E27FC236}">
              <a16:creationId xmlns:a16="http://schemas.microsoft.com/office/drawing/2014/main" id="{658A5408-0A47-4EAA-8BCC-D913CD8EE2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9" name="AutoShape 1" descr="Story">
          <a:hlinkClick xmlns:r="http://schemas.openxmlformats.org/officeDocument/2006/relationships" r:id="rId13"/>
          <a:extLst>
            <a:ext uri="{FF2B5EF4-FFF2-40B4-BE49-F238E27FC236}">
              <a16:creationId xmlns:a16="http://schemas.microsoft.com/office/drawing/2014/main" id="{DC73454C-D9DD-49C3-8137-37648BE2D7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0" name="AutoShape 1" descr="Story">
          <a:hlinkClick xmlns:r="http://schemas.openxmlformats.org/officeDocument/2006/relationships" r:id="rId13"/>
          <a:extLst>
            <a:ext uri="{FF2B5EF4-FFF2-40B4-BE49-F238E27FC236}">
              <a16:creationId xmlns:a16="http://schemas.microsoft.com/office/drawing/2014/main" id="{D96D70EF-3D02-4AF7-83AA-B8065BEC2B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1" name="AutoShape 3" descr="Story">
          <a:hlinkClick xmlns:r="http://schemas.openxmlformats.org/officeDocument/2006/relationships" r:id="rId4"/>
          <a:extLst>
            <a:ext uri="{FF2B5EF4-FFF2-40B4-BE49-F238E27FC236}">
              <a16:creationId xmlns:a16="http://schemas.microsoft.com/office/drawing/2014/main" id="{30B78D16-8A9B-4236-8B81-FFAF56551E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2" name="AutoShape 4" descr="Story">
          <a:hlinkClick xmlns:r="http://schemas.openxmlformats.org/officeDocument/2006/relationships" r:id="rId5"/>
          <a:extLst>
            <a:ext uri="{FF2B5EF4-FFF2-40B4-BE49-F238E27FC236}">
              <a16:creationId xmlns:a16="http://schemas.microsoft.com/office/drawing/2014/main" id="{C16F8CA1-2616-4E16-94FD-2210A135BC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3" name="AutoShape 7" descr="Story">
          <a:hlinkClick xmlns:r="http://schemas.openxmlformats.org/officeDocument/2006/relationships" r:id="rId3"/>
          <a:extLst>
            <a:ext uri="{FF2B5EF4-FFF2-40B4-BE49-F238E27FC236}">
              <a16:creationId xmlns:a16="http://schemas.microsoft.com/office/drawing/2014/main" id="{D90790DC-96A7-4F67-94EC-C9BFDA79A6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84" name="AutoShape 8" descr="Story">
          <a:hlinkClick xmlns:r="http://schemas.openxmlformats.org/officeDocument/2006/relationships" r:id="rId4"/>
          <a:extLst>
            <a:ext uri="{FF2B5EF4-FFF2-40B4-BE49-F238E27FC236}">
              <a16:creationId xmlns:a16="http://schemas.microsoft.com/office/drawing/2014/main" id="{E7DAB793-7201-49D7-9C22-D008B37F67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85" name="AutoShape 8" descr="Story">
          <a:hlinkClick xmlns:r="http://schemas.openxmlformats.org/officeDocument/2006/relationships" r:id="rId4"/>
          <a:extLst>
            <a:ext uri="{FF2B5EF4-FFF2-40B4-BE49-F238E27FC236}">
              <a16:creationId xmlns:a16="http://schemas.microsoft.com/office/drawing/2014/main" id="{14F72E59-9B99-4E1F-BFD5-5C97874D97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1217</xdr:row>
      <xdr:rowOff>0</xdr:rowOff>
    </xdr:from>
    <xdr:to>
      <xdr:col>0</xdr:col>
      <xdr:colOff>152400</xdr:colOff>
      <xdr:row>1217</xdr:row>
      <xdr:rowOff>152400</xdr:rowOff>
    </xdr:to>
    <xdr:sp macro="" textlink="">
      <xdr:nvSpPr>
        <xdr:cNvPr id="1186" name="AutoShape 3" descr="Story">
          <a:hlinkClick xmlns:r="http://schemas.openxmlformats.org/officeDocument/2006/relationships" r:id="rId11"/>
          <a:extLst>
            <a:ext uri="{FF2B5EF4-FFF2-40B4-BE49-F238E27FC236}">
              <a16:creationId xmlns:a16="http://schemas.microsoft.com/office/drawing/2014/main" id="{A3D49BC1-C673-44F0-B842-A3C5B4F29F0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7" name="AutoShape 4" descr="Bug">
          <a:hlinkClick xmlns:r="http://schemas.openxmlformats.org/officeDocument/2006/relationships" r:id="rId1"/>
          <a:extLst>
            <a:ext uri="{FF2B5EF4-FFF2-40B4-BE49-F238E27FC236}">
              <a16:creationId xmlns:a16="http://schemas.microsoft.com/office/drawing/2014/main" id="{DEAAA569-CCDE-4A67-9C9B-9498C800E2D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8" name="AutoShape 6" descr="Bug">
          <a:hlinkClick xmlns:r="http://schemas.openxmlformats.org/officeDocument/2006/relationships" r:id="rId2"/>
          <a:extLst>
            <a:ext uri="{FF2B5EF4-FFF2-40B4-BE49-F238E27FC236}">
              <a16:creationId xmlns:a16="http://schemas.microsoft.com/office/drawing/2014/main" id="{0ADF2038-DDA7-414D-AF0C-5E2494CEE78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9" name="AutoShape 7" descr="Story">
          <a:hlinkClick xmlns:r="http://schemas.openxmlformats.org/officeDocument/2006/relationships" r:id="rId3"/>
          <a:extLst>
            <a:ext uri="{FF2B5EF4-FFF2-40B4-BE49-F238E27FC236}">
              <a16:creationId xmlns:a16="http://schemas.microsoft.com/office/drawing/2014/main" id="{29C05294-3039-4026-9FF8-FA64FFE7D85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0" name="AutoShape 8" descr="Story">
          <a:hlinkClick xmlns:r="http://schemas.openxmlformats.org/officeDocument/2006/relationships" r:id="rId4"/>
          <a:extLst>
            <a:ext uri="{FF2B5EF4-FFF2-40B4-BE49-F238E27FC236}">
              <a16:creationId xmlns:a16="http://schemas.microsoft.com/office/drawing/2014/main" id="{D15E5E5A-7163-46C8-A2B8-CB257922EA0C}"/>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1" name="AutoShape 9" descr="Story">
          <a:hlinkClick xmlns:r="http://schemas.openxmlformats.org/officeDocument/2006/relationships" r:id="rId5"/>
          <a:extLst>
            <a:ext uri="{FF2B5EF4-FFF2-40B4-BE49-F238E27FC236}">
              <a16:creationId xmlns:a16="http://schemas.microsoft.com/office/drawing/2014/main" id="{FF4A3AAF-1E57-403F-9FF9-301E32F764C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192" name="AutoShape 10" descr="Story">
          <a:hlinkClick xmlns:r="http://schemas.openxmlformats.org/officeDocument/2006/relationships" r:id="rId6"/>
          <a:extLst>
            <a:ext uri="{FF2B5EF4-FFF2-40B4-BE49-F238E27FC236}">
              <a16:creationId xmlns:a16="http://schemas.microsoft.com/office/drawing/2014/main" id="{62796492-C09E-44A0-90A9-B2E690B5838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1217</xdr:row>
      <xdr:rowOff>0</xdr:rowOff>
    </xdr:from>
    <xdr:to>
      <xdr:col>0</xdr:col>
      <xdr:colOff>152400</xdr:colOff>
      <xdr:row>1217</xdr:row>
      <xdr:rowOff>152400</xdr:rowOff>
    </xdr:to>
    <xdr:sp macro="" textlink="">
      <xdr:nvSpPr>
        <xdr:cNvPr id="1193" name="AutoShape 12" descr="Story">
          <a:hlinkClick xmlns:r="http://schemas.openxmlformats.org/officeDocument/2006/relationships" r:id="rId12"/>
          <a:extLst>
            <a:ext uri="{FF2B5EF4-FFF2-40B4-BE49-F238E27FC236}">
              <a16:creationId xmlns:a16="http://schemas.microsoft.com/office/drawing/2014/main" id="{59DD116F-F036-43CE-A2B9-F3E9383C0EDF}"/>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4" name="AutoShape 13" descr="Story">
          <a:hlinkClick xmlns:r="http://schemas.openxmlformats.org/officeDocument/2006/relationships" r:id="rId4"/>
          <a:extLst>
            <a:ext uri="{FF2B5EF4-FFF2-40B4-BE49-F238E27FC236}">
              <a16:creationId xmlns:a16="http://schemas.microsoft.com/office/drawing/2014/main" id="{9B159905-6229-4187-800D-2C4D0965B5F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195" name="AutoShape 14" descr="Story">
          <a:hlinkClick xmlns:r="http://schemas.openxmlformats.org/officeDocument/2006/relationships" r:id="rId4"/>
          <a:extLst>
            <a:ext uri="{FF2B5EF4-FFF2-40B4-BE49-F238E27FC236}">
              <a16:creationId xmlns:a16="http://schemas.microsoft.com/office/drawing/2014/main" id="{52AC2108-26E2-4E32-95D8-F2FC504B74D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1214</xdr:row>
      <xdr:rowOff>0</xdr:rowOff>
    </xdr:from>
    <xdr:ext cx="152400" cy="152400"/>
    <xdr:sp macro="" textlink="">
      <xdr:nvSpPr>
        <xdr:cNvPr id="1196" name="AutoShape 1" descr="Story">
          <a:hlinkClick xmlns:r="http://schemas.openxmlformats.org/officeDocument/2006/relationships" r:id="rId7"/>
          <a:extLst>
            <a:ext uri="{FF2B5EF4-FFF2-40B4-BE49-F238E27FC236}">
              <a16:creationId xmlns:a16="http://schemas.microsoft.com/office/drawing/2014/main" id="{D451FF77-2DE8-40C0-B0CC-F21A2BC8185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7" name="AutoShape 2" descr="Story">
          <a:hlinkClick xmlns:r="http://schemas.openxmlformats.org/officeDocument/2006/relationships" r:id="rId8"/>
          <a:extLst>
            <a:ext uri="{FF2B5EF4-FFF2-40B4-BE49-F238E27FC236}">
              <a16:creationId xmlns:a16="http://schemas.microsoft.com/office/drawing/2014/main" id="{28E1BF20-0A46-4310-9649-84BA9CE6086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8" name="AutoShape 5" descr="Story">
          <a:hlinkClick xmlns:r="http://schemas.openxmlformats.org/officeDocument/2006/relationships" r:id="rId6"/>
          <a:extLst>
            <a:ext uri="{FF2B5EF4-FFF2-40B4-BE49-F238E27FC236}">
              <a16:creationId xmlns:a16="http://schemas.microsoft.com/office/drawing/2014/main" id="{9378E6BC-63F1-4905-8C6F-A676E94F4E9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9" name="AutoShape 1" descr="Sub-task">
          <a:hlinkClick xmlns:r="http://schemas.openxmlformats.org/officeDocument/2006/relationships" r:id="rId9"/>
          <a:extLst>
            <a:ext uri="{FF2B5EF4-FFF2-40B4-BE49-F238E27FC236}">
              <a16:creationId xmlns:a16="http://schemas.microsoft.com/office/drawing/2014/main" id="{0C4D76CC-9537-4758-96A3-146E36F1E9F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0" name="AutoShape 2" descr="Sub-task">
          <a:hlinkClick xmlns:r="http://schemas.openxmlformats.org/officeDocument/2006/relationships" r:id="rId10"/>
          <a:extLst>
            <a:ext uri="{FF2B5EF4-FFF2-40B4-BE49-F238E27FC236}">
              <a16:creationId xmlns:a16="http://schemas.microsoft.com/office/drawing/2014/main" id="{D252E160-AA4A-4322-A3C5-E642AD1BFE3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1" name="AutoShape 3" descr="Story">
          <a:hlinkClick xmlns:r="http://schemas.openxmlformats.org/officeDocument/2006/relationships" r:id="rId11"/>
          <a:extLst>
            <a:ext uri="{FF2B5EF4-FFF2-40B4-BE49-F238E27FC236}">
              <a16:creationId xmlns:a16="http://schemas.microsoft.com/office/drawing/2014/main" id="{A15381CB-EA2B-4A19-B902-9D800E3C943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2" name="AutoShape 12" descr="Story">
          <a:hlinkClick xmlns:r="http://schemas.openxmlformats.org/officeDocument/2006/relationships" r:id="rId12"/>
          <a:extLst>
            <a:ext uri="{FF2B5EF4-FFF2-40B4-BE49-F238E27FC236}">
              <a16:creationId xmlns:a16="http://schemas.microsoft.com/office/drawing/2014/main" id="{938972B8-40B4-4DCA-84DA-074CD941C47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3" name="AutoShape 1" descr="Story">
          <a:hlinkClick xmlns:r="http://schemas.openxmlformats.org/officeDocument/2006/relationships" r:id="rId13"/>
          <a:extLst>
            <a:ext uri="{FF2B5EF4-FFF2-40B4-BE49-F238E27FC236}">
              <a16:creationId xmlns:a16="http://schemas.microsoft.com/office/drawing/2014/main" id="{B0A6FC16-02B9-4CCD-8685-D5201C52EE57}"/>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4" name="AutoShape 1" descr="Story">
          <a:hlinkClick xmlns:r="http://schemas.openxmlformats.org/officeDocument/2006/relationships" r:id="rId13"/>
          <a:extLst>
            <a:ext uri="{FF2B5EF4-FFF2-40B4-BE49-F238E27FC236}">
              <a16:creationId xmlns:a16="http://schemas.microsoft.com/office/drawing/2014/main" id="{A0178F0D-0638-4127-A6DE-82133B9985C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5" name="AutoShape 3" descr="Story">
          <a:hlinkClick xmlns:r="http://schemas.openxmlformats.org/officeDocument/2006/relationships" r:id="rId4"/>
          <a:extLst>
            <a:ext uri="{FF2B5EF4-FFF2-40B4-BE49-F238E27FC236}">
              <a16:creationId xmlns:a16="http://schemas.microsoft.com/office/drawing/2014/main" id="{F3561AF0-A141-48C5-BC25-D41AFD82C48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6" name="AutoShape 4" descr="Story">
          <a:hlinkClick xmlns:r="http://schemas.openxmlformats.org/officeDocument/2006/relationships" r:id="rId5"/>
          <a:extLst>
            <a:ext uri="{FF2B5EF4-FFF2-40B4-BE49-F238E27FC236}">
              <a16:creationId xmlns:a16="http://schemas.microsoft.com/office/drawing/2014/main" id="{EA83E249-78D4-4C95-AD28-1EFD653D70E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07" name="AutoShape 1" descr="Story">
          <a:hlinkClick xmlns:r="http://schemas.openxmlformats.org/officeDocument/2006/relationships" r:id="rId7"/>
          <a:extLst>
            <a:ext uri="{FF2B5EF4-FFF2-40B4-BE49-F238E27FC236}">
              <a16:creationId xmlns:a16="http://schemas.microsoft.com/office/drawing/2014/main" id="{1FC85560-984D-4509-9065-6109796779F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08" name="AutoShape 2" descr="Story">
          <a:hlinkClick xmlns:r="http://schemas.openxmlformats.org/officeDocument/2006/relationships" r:id="rId8"/>
          <a:extLst>
            <a:ext uri="{FF2B5EF4-FFF2-40B4-BE49-F238E27FC236}">
              <a16:creationId xmlns:a16="http://schemas.microsoft.com/office/drawing/2014/main" id="{B6E929D4-92EB-44A2-886A-6320A33396E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9" name="AutoShape 3" descr="Story">
          <a:hlinkClick xmlns:r="http://schemas.openxmlformats.org/officeDocument/2006/relationships" r:id="rId4"/>
          <a:extLst>
            <a:ext uri="{FF2B5EF4-FFF2-40B4-BE49-F238E27FC236}">
              <a16:creationId xmlns:a16="http://schemas.microsoft.com/office/drawing/2014/main" id="{09AE2991-7390-44CD-BDD2-E3B4A339EDE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10" name="AutoShape 4" descr="Story">
          <a:hlinkClick xmlns:r="http://schemas.openxmlformats.org/officeDocument/2006/relationships" r:id="rId5"/>
          <a:extLst>
            <a:ext uri="{FF2B5EF4-FFF2-40B4-BE49-F238E27FC236}">
              <a16:creationId xmlns:a16="http://schemas.microsoft.com/office/drawing/2014/main" id="{3B1F72D5-B224-4E88-8636-21F9029B438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1" name="AutoShape 5" descr="Story">
          <a:hlinkClick xmlns:r="http://schemas.openxmlformats.org/officeDocument/2006/relationships" r:id="rId6"/>
          <a:extLst>
            <a:ext uri="{FF2B5EF4-FFF2-40B4-BE49-F238E27FC236}">
              <a16:creationId xmlns:a16="http://schemas.microsoft.com/office/drawing/2014/main" id="{4965FEC2-A814-4949-B4F0-11A81C0161B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2" name="AutoShape 1" descr="Sub-task">
          <a:hlinkClick xmlns:r="http://schemas.openxmlformats.org/officeDocument/2006/relationships" r:id="rId9"/>
          <a:extLst>
            <a:ext uri="{FF2B5EF4-FFF2-40B4-BE49-F238E27FC236}">
              <a16:creationId xmlns:a16="http://schemas.microsoft.com/office/drawing/2014/main" id="{C3BF4D77-6349-4052-9317-22B7F448911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3" name="AutoShape 2" descr="Sub-task">
          <a:hlinkClick xmlns:r="http://schemas.openxmlformats.org/officeDocument/2006/relationships" r:id="rId10"/>
          <a:extLst>
            <a:ext uri="{FF2B5EF4-FFF2-40B4-BE49-F238E27FC236}">
              <a16:creationId xmlns:a16="http://schemas.microsoft.com/office/drawing/2014/main" id="{8167AAF8-9484-4E9C-9E6A-161AC26E373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14" name="AutoShape 7" descr="Story">
          <a:hlinkClick xmlns:r="http://schemas.openxmlformats.org/officeDocument/2006/relationships" r:id="rId3"/>
          <a:extLst>
            <a:ext uri="{FF2B5EF4-FFF2-40B4-BE49-F238E27FC236}">
              <a16:creationId xmlns:a16="http://schemas.microsoft.com/office/drawing/2014/main" id="{208FD4BA-6A6C-4C74-9117-27A7DB74161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5" name="AutoShape 3" descr="Story">
          <a:hlinkClick xmlns:r="http://schemas.openxmlformats.org/officeDocument/2006/relationships" r:id="rId11"/>
          <a:extLst>
            <a:ext uri="{FF2B5EF4-FFF2-40B4-BE49-F238E27FC236}">
              <a16:creationId xmlns:a16="http://schemas.microsoft.com/office/drawing/2014/main" id="{91F65D70-46F0-4FAB-9C66-F4BFECEC3B3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6" name="AutoShape 12" descr="Story">
          <a:hlinkClick xmlns:r="http://schemas.openxmlformats.org/officeDocument/2006/relationships" r:id="rId12"/>
          <a:extLst>
            <a:ext uri="{FF2B5EF4-FFF2-40B4-BE49-F238E27FC236}">
              <a16:creationId xmlns:a16="http://schemas.microsoft.com/office/drawing/2014/main" id="{03A81D84-1BF1-4343-A0AB-B70F8CD3C0B8}"/>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7" name="AutoShape 1" descr="Story">
          <a:hlinkClick xmlns:r="http://schemas.openxmlformats.org/officeDocument/2006/relationships" r:id="rId13"/>
          <a:extLst>
            <a:ext uri="{FF2B5EF4-FFF2-40B4-BE49-F238E27FC236}">
              <a16:creationId xmlns:a16="http://schemas.microsoft.com/office/drawing/2014/main" id="{C9909EB9-5D66-4CF9-93AE-0D6328887E5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8" name="AutoShape 1" descr="Story">
          <a:hlinkClick xmlns:r="http://schemas.openxmlformats.org/officeDocument/2006/relationships" r:id="rId13"/>
          <a:extLst>
            <a:ext uri="{FF2B5EF4-FFF2-40B4-BE49-F238E27FC236}">
              <a16:creationId xmlns:a16="http://schemas.microsoft.com/office/drawing/2014/main" id="{793051A0-D643-438C-ABB0-7E4758662C3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9" name="AutoShape 3" descr="Story">
          <a:hlinkClick xmlns:r="http://schemas.openxmlformats.org/officeDocument/2006/relationships" r:id="rId4"/>
          <a:extLst>
            <a:ext uri="{FF2B5EF4-FFF2-40B4-BE49-F238E27FC236}">
              <a16:creationId xmlns:a16="http://schemas.microsoft.com/office/drawing/2014/main" id="{93F03D78-790E-49E0-91E9-70A66AEDF108}"/>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20" name="AutoShape 4" descr="Story">
          <a:hlinkClick xmlns:r="http://schemas.openxmlformats.org/officeDocument/2006/relationships" r:id="rId5"/>
          <a:extLst>
            <a:ext uri="{FF2B5EF4-FFF2-40B4-BE49-F238E27FC236}">
              <a16:creationId xmlns:a16="http://schemas.microsoft.com/office/drawing/2014/main" id="{2C06B855-D7DA-48BE-B13E-AD0E897BD2F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21" name="AutoShape 7" descr="Story">
          <a:hlinkClick xmlns:r="http://schemas.openxmlformats.org/officeDocument/2006/relationships" r:id="rId3"/>
          <a:extLst>
            <a:ext uri="{FF2B5EF4-FFF2-40B4-BE49-F238E27FC236}">
              <a16:creationId xmlns:a16="http://schemas.microsoft.com/office/drawing/2014/main" id="{0F7D9938-43F6-4907-A118-A0AC78C26E0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22" name="AutoShape 8" descr="Story">
          <a:hlinkClick xmlns:r="http://schemas.openxmlformats.org/officeDocument/2006/relationships" r:id="rId4"/>
          <a:extLst>
            <a:ext uri="{FF2B5EF4-FFF2-40B4-BE49-F238E27FC236}">
              <a16:creationId xmlns:a16="http://schemas.microsoft.com/office/drawing/2014/main" id="{C6B7F650-9645-4F40-BCA3-301E649B463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23" name="AutoShape 8" descr="Story">
          <a:hlinkClick xmlns:r="http://schemas.openxmlformats.org/officeDocument/2006/relationships" r:id="rId4"/>
          <a:extLst>
            <a:ext uri="{FF2B5EF4-FFF2-40B4-BE49-F238E27FC236}">
              <a16:creationId xmlns:a16="http://schemas.microsoft.com/office/drawing/2014/main" id="{3FC7E0B1-7EF5-48F5-B2FB-A3AD0C978F5C}"/>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1211</xdr:row>
      <xdr:rowOff>0</xdr:rowOff>
    </xdr:from>
    <xdr:to>
      <xdr:col>0</xdr:col>
      <xdr:colOff>152400</xdr:colOff>
      <xdr:row>1211</xdr:row>
      <xdr:rowOff>152400</xdr:rowOff>
    </xdr:to>
    <xdr:sp macro="" textlink="">
      <xdr:nvSpPr>
        <xdr:cNvPr id="1224" name="AutoShape 1" descr="Story">
          <a:hlinkClick xmlns:r="http://schemas.openxmlformats.org/officeDocument/2006/relationships" r:id="rId13"/>
          <a:extLst>
            <a:ext uri="{FF2B5EF4-FFF2-40B4-BE49-F238E27FC236}">
              <a16:creationId xmlns:a16="http://schemas.microsoft.com/office/drawing/2014/main" id="{B9D3838B-F5A1-4822-B76C-34A18D2D944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5" name="AutoShape 2" descr="Story">
          <a:hlinkClick xmlns:r="http://schemas.openxmlformats.org/officeDocument/2006/relationships" r:id="rId12"/>
          <a:extLst>
            <a:ext uri="{FF2B5EF4-FFF2-40B4-BE49-F238E27FC236}">
              <a16:creationId xmlns:a16="http://schemas.microsoft.com/office/drawing/2014/main" id="{112707B1-8933-4296-9120-5165ABEF7BA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6" name="AutoShape 5" descr="Story">
          <a:hlinkClick xmlns:r="http://schemas.openxmlformats.org/officeDocument/2006/relationships" r:id="rId14"/>
          <a:extLst>
            <a:ext uri="{FF2B5EF4-FFF2-40B4-BE49-F238E27FC236}">
              <a16:creationId xmlns:a16="http://schemas.microsoft.com/office/drawing/2014/main" id="{9E23A61A-BB75-4E82-BFB6-D8D46774F27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7" name="AutoShape 11" descr="Story">
          <a:hlinkClick xmlns:r="http://schemas.openxmlformats.org/officeDocument/2006/relationships" r:id="rId15"/>
          <a:extLst>
            <a:ext uri="{FF2B5EF4-FFF2-40B4-BE49-F238E27FC236}">
              <a16:creationId xmlns:a16="http://schemas.microsoft.com/office/drawing/2014/main" id="{ED848085-7B5B-441D-8B22-B84B42AA852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8" name="AutoShape 15" descr="Story">
          <a:hlinkClick xmlns:r="http://schemas.openxmlformats.org/officeDocument/2006/relationships" r:id="rId4"/>
          <a:extLst>
            <a:ext uri="{FF2B5EF4-FFF2-40B4-BE49-F238E27FC236}">
              <a16:creationId xmlns:a16="http://schemas.microsoft.com/office/drawing/2014/main" id="{5416220C-1307-4FF4-847B-90B2F9E069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229" name="AutoShape 1" descr="Story">
          <a:hlinkClick xmlns:r="http://schemas.openxmlformats.org/officeDocument/2006/relationships" r:id="rId13"/>
          <a:extLst>
            <a:ext uri="{FF2B5EF4-FFF2-40B4-BE49-F238E27FC236}">
              <a16:creationId xmlns:a16="http://schemas.microsoft.com/office/drawing/2014/main" id="{F25D044E-2609-4BEC-8E09-B19C366E2E5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0" name="AutoShape 2" descr="Story">
          <a:hlinkClick xmlns:r="http://schemas.openxmlformats.org/officeDocument/2006/relationships" r:id="rId12"/>
          <a:extLst>
            <a:ext uri="{FF2B5EF4-FFF2-40B4-BE49-F238E27FC236}">
              <a16:creationId xmlns:a16="http://schemas.microsoft.com/office/drawing/2014/main" id="{751891A4-5F94-4402-81F6-13A0CC09D7E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31" name="AutoShape 3" descr="Story">
          <a:hlinkClick xmlns:r="http://schemas.openxmlformats.org/officeDocument/2006/relationships" r:id="rId11"/>
          <a:extLst>
            <a:ext uri="{FF2B5EF4-FFF2-40B4-BE49-F238E27FC236}">
              <a16:creationId xmlns:a16="http://schemas.microsoft.com/office/drawing/2014/main" id="{0353E5DB-CD42-4CAE-A9C5-98F30D02394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2" name="AutoShape 4" descr="Bug">
          <a:hlinkClick xmlns:r="http://schemas.openxmlformats.org/officeDocument/2006/relationships" r:id="rId1"/>
          <a:extLst>
            <a:ext uri="{FF2B5EF4-FFF2-40B4-BE49-F238E27FC236}">
              <a16:creationId xmlns:a16="http://schemas.microsoft.com/office/drawing/2014/main" id="{FB1919E4-CE28-4A90-BDE2-58D0589BC6C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3" name="AutoShape 5" descr="Story">
          <a:hlinkClick xmlns:r="http://schemas.openxmlformats.org/officeDocument/2006/relationships" r:id="rId14"/>
          <a:extLst>
            <a:ext uri="{FF2B5EF4-FFF2-40B4-BE49-F238E27FC236}">
              <a16:creationId xmlns:a16="http://schemas.microsoft.com/office/drawing/2014/main" id="{03B556EA-1F57-4AF7-95E3-F818E3C6787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4" name="AutoShape 6" descr="Bug">
          <a:hlinkClick xmlns:r="http://schemas.openxmlformats.org/officeDocument/2006/relationships" r:id="rId2"/>
          <a:extLst>
            <a:ext uri="{FF2B5EF4-FFF2-40B4-BE49-F238E27FC236}">
              <a16:creationId xmlns:a16="http://schemas.microsoft.com/office/drawing/2014/main" id="{F08FFC0C-2DB5-46E1-A58F-6327233D08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5" name="AutoShape 7" descr="Story">
          <a:hlinkClick xmlns:r="http://schemas.openxmlformats.org/officeDocument/2006/relationships" r:id="rId3"/>
          <a:extLst>
            <a:ext uri="{FF2B5EF4-FFF2-40B4-BE49-F238E27FC236}">
              <a16:creationId xmlns:a16="http://schemas.microsoft.com/office/drawing/2014/main" id="{5E381F47-00F8-4F2E-8E42-487FB9CAFB7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6" name="AutoShape 8" descr="Story">
          <a:hlinkClick xmlns:r="http://schemas.openxmlformats.org/officeDocument/2006/relationships" r:id="rId4"/>
          <a:extLst>
            <a:ext uri="{FF2B5EF4-FFF2-40B4-BE49-F238E27FC236}">
              <a16:creationId xmlns:a16="http://schemas.microsoft.com/office/drawing/2014/main" id="{73962FDA-A2F8-4B1C-B282-020BDFAF2B5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7" name="AutoShape 9" descr="Story">
          <a:hlinkClick xmlns:r="http://schemas.openxmlformats.org/officeDocument/2006/relationships" r:id="rId5"/>
          <a:extLst>
            <a:ext uri="{FF2B5EF4-FFF2-40B4-BE49-F238E27FC236}">
              <a16:creationId xmlns:a16="http://schemas.microsoft.com/office/drawing/2014/main" id="{33CEA8DB-8F53-45D4-B48A-AFC87083ED7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38" name="AutoShape 10" descr="Story">
          <a:hlinkClick xmlns:r="http://schemas.openxmlformats.org/officeDocument/2006/relationships" r:id="rId6"/>
          <a:extLst>
            <a:ext uri="{FF2B5EF4-FFF2-40B4-BE49-F238E27FC236}">
              <a16:creationId xmlns:a16="http://schemas.microsoft.com/office/drawing/2014/main" id="{81DEA793-E804-4BB5-B7DC-78AE8B240AD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9" name="AutoShape 11" descr="Story">
          <a:hlinkClick xmlns:r="http://schemas.openxmlformats.org/officeDocument/2006/relationships" r:id="rId15"/>
          <a:extLst>
            <a:ext uri="{FF2B5EF4-FFF2-40B4-BE49-F238E27FC236}">
              <a16:creationId xmlns:a16="http://schemas.microsoft.com/office/drawing/2014/main" id="{C84C3B73-69C3-4F71-9DBD-B8512E7402B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40" name="AutoShape 12" descr="Story">
          <a:hlinkClick xmlns:r="http://schemas.openxmlformats.org/officeDocument/2006/relationships" r:id="rId12"/>
          <a:extLst>
            <a:ext uri="{FF2B5EF4-FFF2-40B4-BE49-F238E27FC236}">
              <a16:creationId xmlns:a16="http://schemas.microsoft.com/office/drawing/2014/main" id="{5ABE8247-1A8D-4C16-92F6-8C6A55B9EF9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41" name="AutoShape 13" descr="Story">
          <a:hlinkClick xmlns:r="http://schemas.openxmlformats.org/officeDocument/2006/relationships" r:id="rId4"/>
          <a:extLst>
            <a:ext uri="{FF2B5EF4-FFF2-40B4-BE49-F238E27FC236}">
              <a16:creationId xmlns:a16="http://schemas.microsoft.com/office/drawing/2014/main" id="{30374FD9-07F4-49C6-B0FA-8CDF60B03FB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42" name="AutoShape 14" descr="Story">
          <a:hlinkClick xmlns:r="http://schemas.openxmlformats.org/officeDocument/2006/relationships" r:id="rId4"/>
          <a:extLst>
            <a:ext uri="{FF2B5EF4-FFF2-40B4-BE49-F238E27FC236}">
              <a16:creationId xmlns:a16="http://schemas.microsoft.com/office/drawing/2014/main" id="{371C1157-9237-4029-81CB-925A9F84D02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43" name="AutoShape 15" descr="Story">
          <a:hlinkClick xmlns:r="http://schemas.openxmlformats.org/officeDocument/2006/relationships" r:id="rId4"/>
          <a:extLst>
            <a:ext uri="{FF2B5EF4-FFF2-40B4-BE49-F238E27FC236}">
              <a16:creationId xmlns:a16="http://schemas.microsoft.com/office/drawing/2014/main" id="{48E82F9F-C4D7-4AE9-8ADA-46CB9844CABA}"/>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1209</xdr:row>
      <xdr:rowOff>0</xdr:rowOff>
    </xdr:from>
    <xdr:ext cx="152400" cy="152400"/>
    <xdr:sp macro="" textlink="">
      <xdr:nvSpPr>
        <xdr:cNvPr id="1244" name="AutoShape 1" descr="Story">
          <a:hlinkClick xmlns:r="http://schemas.openxmlformats.org/officeDocument/2006/relationships" r:id="rId7"/>
          <a:extLst>
            <a:ext uri="{FF2B5EF4-FFF2-40B4-BE49-F238E27FC236}">
              <a16:creationId xmlns:a16="http://schemas.microsoft.com/office/drawing/2014/main" id="{0911F115-A818-40E6-9AA7-8A0744A23B6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5" name="AutoShape 2" descr="Story">
          <a:hlinkClick xmlns:r="http://schemas.openxmlformats.org/officeDocument/2006/relationships" r:id="rId8"/>
          <a:extLst>
            <a:ext uri="{FF2B5EF4-FFF2-40B4-BE49-F238E27FC236}">
              <a16:creationId xmlns:a16="http://schemas.microsoft.com/office/drawing/2014/main" id="{2860E1C4-F5B2-40C6-B6CA-A3AB3A5FD86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6" name="AutoShape 5" descr="Story">
          <a:hlinkClick xmlns:r="http://schemas.openxmlformats.org/officeDocument/2006/relationships" r:id="rId6"/>
          <a:extLst>
            <a:ext uri="{FF2B5EF4-FFF2-40B4-BE49-F238E27FC236}">
              <a16:creationId xmlns:a16="http://schemas.microsoft.com/office/drawing/2014/main" id="{FC88A892-2A06-48D8-8426-2B7EB947D7D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7" name="AutoShape 1" descr="Sub-task">
          <a:hlinkClick xmlns:r="http://schemas.openxmlformats.org/officeDocument/2006/relationships" r:id="rId9"/>
          <a:extLst>
            <a:ext uri="{FF2B5EF4-FFF2-40B4-BE49-F238E27FC236}">
              <a16:creationId xmlns:a16="http://schemas.microsoft.com/office/drawing/2014/main" id="{FF32F795-DA70-49EF-8685-ACCBE97C618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8" name="AutoShape 2" descr="Sub-task">
          <a:hlinkClick xmlns:r="http://schemas.openxmlformats.org/officeDocument/2006/relationships" r:id="rId10"/>
          <a:extLst>
            <a:ext uri="{FF2B5EF4-FFF2-40B4-BE49-F238E27FC236}">
              <a16:creationId xmlns:a16="http://schemas.microsoft.com/office/drawing/2014/main" id="{1BE03FC2-258B-46A2-86B9-D5C05C24FEA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9" name="AutoShape 3" descr="Story">
          <a:hlinkClick xmlns:r="http://schemas.openxmlformats.org/officeDocument/2006/relationships" r:id="rId11"/>
          <a:extLst>
            <a:ext uri="{FF2B5EF4-FFF2-40B4-BE49-F238E27FC236}">
              <a16:creationId xmlns:a16="http://schemas.microsoft.com/office/drawing/2014/main" id="{4F54DD51-2D1A-48D5-8649-84E24B8E7CD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0" name="AutoShape 12" descr="Story">
          <a:hlinkClick xmlns:r="http://schemas.openxmlformats.org/officeDocument/2006/relationships" r:id="rId12"/>
          <a:extLst>
            <a:ext uri="{FF2B5EF4-FFF2-40B4-BE49-F238E27FC236}">
              <a16:creationId xmlns:a16="http://schemas.microsoft.com/office/drawing/2014/main" id="{F2A52B75-170C-4EBD-A001-C3CB2398E90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1" name="AutoShape 1" descr="Story">
          <a:hlinkClick xmlns:r="http://schemas.openxmlformats.org/officeDocument/2006/relationships" r:id="rId13"/>
          <a:extLst>
            <a:ext uri="{FF2B5EF4-FFF2-40B4-BE49-F238E27FC236}">
              <a16:creationId xmlns:a16="http://schemas.microsoft.com/office/drawing/2014/main" id="{8F920750-42EC-4831-A92D-A39ED4D5623A}"/>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2" name="AutoShape 1" descr="Story">
          <a:hlinkClick xmlns:r="http://schemas.openxmlformats.org/officeDocument/2006/relationships" r:id="rId13"/>
          <a:extLst>
            <a:ext uri="{FF2B5EF4-FFF2-40B4-BE49-F238E27FC236}">
              <a16:creationId xmlns:a16="http://schemas.microsoft.com/office/drawing/2014/main" id="{77E30F9E-0885-44EE-8089-E92ACF1CDFE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3" name="AutoShape 3" descr="Story">
          <a:hlinkClick xmlns:r="http://schemas.openxmlformats.org/officeDocument/2006/relationships" r:id="rId4"/>
          <a:extLst>
            <a:ext uri="{FF2B5EF4-FFF2-40B4-BE49-F238E27FC236}">
              <a16:creationId xmlns:a16="http://schemas.microsoft.com/office/drawing/2014/main" id="{CD2F58B1-06EF-4360-800F-7B6FF0BE0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4" name="AutoShape 4" descr="Story">
          <a:hlinkClick xmlns:r="http://schemas.openxmlformats.org/officeDocument/2006/relationships" r:id="rId5"/>
          <a:extLst>
            <a:ext uri="{FF2B5EF4-FFF2-40B4-BE49-F238E27FC236}">
              <a16:creationId xmlns:a16="http://schemas.microsoft.com/office/drawing/2014/main" id="{652A9751-3418-4A2A-B0A5-0DE9C588525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5" name="AutoShape 1" descr="Story">
          <a:hlinkClick xmlns:r="http://schemas.openxmlformats.org/officeDocument/2006/relationships" r:id="rId7"/>
          <a:extLst>
            <a:ext uri="{FF2B5EF4-FFF2-40B4-BE49-F238E27FC236}">
              <a16:creationId xmlns:a16="http://schemas.microsoft.com/office/drawing/2014/main" id="{9B4077BD-7B9D-4C1F-84D5-BD48924FEBD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6" name="AutoShape 2" descr="Story">
          <a:hlinkClick xmlns:r="http://schemas.openxmlformats.org/officeDocument/2006/relationships" r:id="rId8"/>
          <a:extLst>
            <a:ext uri="{FF2B5EF4-FFF2-40B4-BE49-F238E27FC236}">
              <a16:creationId xmlns:a16="http://schemas.microsoft.com/office/drawing/2014/main" id="{FE11D29C-07E0-4A00-8DAF-DF766C46B7A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7" name="AutoShape 3" descr="Story">
          <a:hlinkClick xmlns:r="http://schemas.openxmlformats.org/officeDocument/2006/relationships" r:id="rId4"/>
          <a:extLst>
            <a:ext uri="{FF2B5EF4-FFF2-40B4-BE49-F238E27FC236}">
              <a16:creationId xmlns:a16="http://schemas.microsoft.com/office/drawing/2014/main" id="{36EFCFD9-FB7D-4319-8EF1-C4220CE66A7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8" name="AutoShape 4" descr="Story">
          <a:hlinkClick xmlns:r="http://schemas.openxmlformats.org/officeDocument/2006/relationships" r:id="rId5"/>
          <a:extLst>
            <a:ext uri="{FF2B5EF4-FFF2-40B4-BE49-F238E27FC236}">
              <a16:creationId xmlns:a16="http://schemas.microsoft.com/office/drawing/2014/main" id="{3276EC1F-AFA4-46A6-B843-5B9AE0B3884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9" name="AutoShape 5" descr="Story">
          <a:hlinkClick xmlns:r="http://schemas.openxmlformats.org/officeDocument/2006/relationships" r:id="rId6"/>
          <a:extLst>
            <a:ext uri="{FF2B5EF4-FFF2-40B4-BE49-F238E27FC236}">
              <a16:creationId xmlns:a16="http://schemas.microsoft.com/office/drawing/2014/main" id="{B92AC75C-4C64-42AD-8E0A-AC374415C65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0" name="AutoShape 1" descr="Sub-task">
          <a:hlinkClick xmlns:r="http://schemas.openxmlformats.org/officeDocument/2006/relationships" r:id="rId9"/>
          <a:extLst>
            <a:ext uri="{FF2B5EF4-FFF2-40B4-BE49-F238E27FC236}">
              <a16:creationId xmlns:a16="http://schemas.microsoft.com/office/drawing/2014/main" id="{09B4CF74-2305-458D-AC63-713A2FC4256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1" name="AutoShape 2" descr="Sub-task">
          <a:hlinkClick xmlns:r="http://schemas.openxmlformats.org/officeDocument/2006/relationships" r:id="rId10"/>
          <a:extLst>
            <a:ext uri="{FF2B5EF4-FFF2-40B4-BE49-F238E27FC236}">
              <a16:creationId xmlns:a16="http://schemas.microsoft.com/office/drawing/2014/main" id="{E3C12F3F-C4E0-4472-B615-5C83DD5CD20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62" name="AutoShape 7" descr="Story">
          <a:hlinkClick xmlns:r="http://schemas.openxmlformats.org/officeDocument/2006/relationships" r:id="rId3"/>
          <a:extLst>
            <a:ext uri="{FF2B5EF4-FFF2-40B4-BE49-F238E27FC236}">
              <a16:creationId xmlns:a16="http://schemas.microsoft.com/office/drawing/2014/main" id="{D699C496-3D30-47D3-B5DE-5A9BFFE85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3" name="AutoShape 3" descr="Story">
          <a:hlinkClick xmlns:r="http://schemas.openxmlformats.org/officeDocument/2006/relationships" r:id="rId11"/>
          <a:extLst>
            <a:ext uri="{FF2B5EF4-FFF2-40B4-BE49-F238E27FC236}">
              <a16:creationId xmlns:a16="http://schemas.microsoft.com/office/drawing/2014/main" id="{CC30F1C5-DCC3-4CFE-8E00-2789911C41B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4" name="AutoShape 12" descr="Story">
          <a:hlinkClick xmlns:r="http://schemas.openxmlformats.org/officeDocument/2006/relationships" r:id="rId12"/>
          <a:extLst>
            <a:ext uri="{FF2B5EF4-FFF2-40B4-BE49-F238E27FC236}">
              <a16:creationId xmlns:a16="http://schemas.microsoft.com/office/drawing/2014/main" id="{3DF62799-D7E7-4C62-878F-91237A9F032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5" name="AutoShape 1" descr="Story">
          <a:hlinkClick xmlns:r="http://schemas.openxmlformats.org/officeDocument/2006/relationships" r:id="rId13"/>
          <a:extLst>
            <a:ext uri="{FF2B5EF4-FFF2-40B4-BE49-F238E27FC236}">
              <a16:creationId xmlns:a16="http://schemas.microsoft.com/office/drawing/2014/main" id="{0DFDFD53-01E1-4639-B727-7863090A734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6" name="AutoShape 1" descr="Story">
          <a:hlinkClick xmlns:r="http://schemas.openxmlformats.org/officeDocument/2006/relationships" r:id="rId13"/>
          <a:extLst>
            <a:ext uri="{FF2B5EF4-FFF2-40B4-BE49-F238E27FC236}">
              <a16:creationId xmlns:a16="http://schemas.microsoft.com/office/drawing/2014/main" id="{C83A99B8-672C-472C-8B11-253F44B1917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7" name="AutoShape 3" descr="Story">
          <a:hlinkClick xmlns:r="http://schemas.openxmlformats.org/officeDocument/2006/relationships" r:id="rId4"/>
          <a:extLst>
            <a:ext uri="{FF2B5EF4-FFF2-40B4-BE49-F238E27FC236}">
              <a16:creationId xmlns:a16="http://schemas.microsoft.com/office/drawing/2014/main" id="{54D70C39-F192-4CDD-B37D-C5AE27A0E0F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8" name="AutoShape 4" descr="Story">
          <a:hlinkClick xmlns:r="http://schemas.openxmlformats.org/officeDocument/2006/relationships" r:id="rId5"/>
          <a:extLst>
            <a:ext uri="{FF2B5EF4-FFF2-40B4-BE49-F238E27FC236}">
              <a16:creationId xmlns:a16="http://schemas.microsoft.com/office/drawing/2014/main" id="{D0CC8E4B-BE16-4C0F-A97E-F51D493ED41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9" name="AutoShape 7" descr="Story">
          <a:hlinkClick xmlns:r="http://schemas.openxmlformats.org/officeDocument/2006/relationships" r:id="rId3"/>
          <a:extLst>
            <a:ext uri="{FF2B5EF4-FFF2-40B4-BE49-F238E27FC236}">
              <a16:creationId xmlns:a16="http://schemas.microsoft.com/office/drawing/2014/main" id="{F853C46E-3848-45FF-B3BC-462CAFCFF3F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70" name="AutoShape 8" descr="Story">
          <a:hlinkClick xmlns:r="http://schemas.openxmlformats.org/officeDocument/2006/relationships" r:id="rId4"/>
          <a:extLst>
            <a:ext uri="{FF2B5EF4-FFF2-40B4-BE49-F238E27FC236}">
              <a16:creationId xmlns:a16="http://schemas.microsoft.com/office/drawing/2014/main" id="{FA613758-4F8E-4C28-B970-EF6E532E2F2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71" name="AutoShape 8" descr="Story">
          <a:hlinkClick xmlns:r="http://schemas.openxmlformats.org/officeDocument/2006/relationships" r:id="rId4"/>
          <a:extLst>
            <a:ext uri="{FF2B5EF4-FFF2-40B4-BE49-F238E27FC236}">
              <a16:creationId xmlns:a16="http://schemas.microsoft.com/office/drawing/2014/main" id="{A9CB39C3-6D8C-49B8-ABA5-7E555157A24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1214</xdr:row>
      <xdr:rowOff>0</xdr:rowOff>
    </xdr:from>
    <xdr:to>
      <xdr:col>0</xdr:col>
      <xdr:colOff>152400</xdr:colOff>
      <xdr:row>1214</xdr:row>
      <xdr:rowOff>152400</xdr:rowOff>
    </xdr:to>
    <xdr:sp macro="" textlink="">
      <xdr:nvSpPr>
        <xdr:cNvPr id="1272" name="AutoShape 1" descr="Story">
          <a:hlinkClick xmlns:r="http://schemas.openxmlformats.org/officeDocument/2006/relationships" r:id="rId13"/>
          <a:extLst>
            <a:ext uri="{FF2B5EF4-FFF2-40B4-BE49-F238E27FC236}">
              <a16:creationId xmlns:a16="http://schemas.microsoft.com/office/drawing/2014/main" id="{8C5F2A23-F149-493E-AE82-4D502840FC9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73" name="AutoShape 2" descr="Story">
          <a:hlinkClick xmlns:r="http://schemas.openxmlformats.org/officeDocument/2006/relationships" r:id="rId12"/>
          <a:extLst>
            <a:ext uri="{FF2B5EF4-FFF2-40B4-BE49-F238E27FC236}">
              <a16:creationId xmlns:a16="http://schemas.microsoft.com/office/drawing/2014/main" id="{5D5E663C-E3D4-417C-82E1-88D6977AD9C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74" name="AutoShape 3" descr="Story">
          <a:hlinkClick xmlns:r="http://schemas.openxmlformats.org/officeDocument/2006/relationships" r:id="rId11"/>
          <a:extLst>
            <a:ext uri="{FF2B5EF4-FFF2-40B4-BE49-F238E27FC236}">
              <a16:creationId xmlns:a16="http://schemas.microsoft.com/office/drawing/2014/main" id="{8A8D6896-2510-45E9-86DC-80921D0EEAB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5" name="AutoShape 4" descr="Bug">
          <a:hlinkClick xmlns:r="http://schemas.openxmlformats.org/officeDocument/2006/relationships" r:id="rId1"/>
          <a:extLst>
            <a:ext uri="{FF2B5EF4-FFF2-40B4-BE49-F238E27FC236}">
              <a16:creationId xmlns:a16="http://schemas.microsoft.com/office/drawing/2014/main" id="{83FFD2DE-30AE-41EB-A06E-0F60BAB9FA7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76" name="AutoShape 5" descr="Story">
          <a:hlinkClick xmlns:r="http://schemas.openxmlformats.org/officeDocument/2006/relationships" r:id="rId14"/>
          <a:extLst>
            <a:ext uri="{FF2B5EF4-FFF2-40B4-BE49-F238E27FC236}">
              <a16:creationId xmlns:a16="http://schemas.microsoft.com/office/drawing/2014/main" id="{65AC3590-3F9C-400A-985F-72DE305E930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7" name="AutoShape 6" descr="Bug">
          <a:hlinkClick xmlns:r="http://schemas.openxmlformats.org/officeDocument/2006/relationships" r:id="rId2"/>
          <a:extLst>
            <a:ext uri="{FF2B5EF4-FFF2-40B4-BE49-F238E27FC236}">
              <a16:creationId xmlns:a16="http://schemas.microsoft.com/office/drawing/2014/main" id="{9D91627E-9C61-4800-AB97-3CAB837B5A7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8" name="AutoShape 7" descr="Story">
          <a:hlinkClick xmlns:r="http://schemas.openxmlformats.org/officeDocument/2006/relationships" r:id="rId3"/>
          <a:extLst>
            <a:ext uri="{FF2B5EF4-FFF2-40B4-BE49-F238E27FC236}">
              <a16:creationId xmlns:a16="http://schemas.microsoft.com/office/drawing/2014/main" id="{CDDC840F-BFAA-4511-AFE5-79F6CF9FFDA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9" name="AutoShape 8" descr="Story">
          <a:hlinkClick xmlns:r="http://schemas.openxmlformats.org/officeDocument/2006/relationships" r:id="rId4"/>
          <a:extLst>
            <a:ext uri="{FF2B5EF4-FFF2-40B4-BE49-F238E27FC236}">
              <a16:creationId xmlns:a16="http://schemas.microsoft.com/office/drawing/2014/main" id="{927007E8-1A3F-4D7D-B877-989AF90FEE7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80" name="AutoShape 9" descr="Story">
          <a:hlinkClick xmlns:r="http://schemas.openxmlformats.org/officeDocument/2006/relationships" r:id="rId5"/>
          <a:extLst>
            <a:ext uri="{FF2B5EF4-FFF2-40B4-BE49-F238E27FC236}">
              <a16:creationId xmlns:a16="http://schemas.microsoft.com/office/drawing/2014/main" id="{2C050585-121C-412A-B352-A4E32DD2840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81" name="AutoShape 10" descr="Story">
          <a:hlinkClick xmlns:r="http://schemas.openxmlformats.org/officeDocument/2006/relationships" r:id="rId6"/>
          <a:extLst>
            <a:ext uri="{FF2B5EF4-FFF2-40B4-BE49-F238E27FC236}">
              <a16:creationId xmlns:a16="http://schemas.microsoft.com/office/drawing/2014/main" id="{1FCEC3E5-11B2-4F4D-898F-0AECCA74C43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82" name="AutoShape 11" descr="Story">
          <a:hlinkClick xmlns:r="http://schemas.openxmlformats.org/officeDocument/2006/relationships" r:id="rId15"/>
          <a:extLst>
            <a:ext uri="{FF2B5EF4-FFF2-40B4-BE49-F238E27FC236}">
              <a16:creationId xmlns:a16="http://schemas.microsoft.com/office/drawing/2014/main" id="{EE237499-206D-4832-B39F-765009C5B22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83" name="AutoShape 12" descr="Story">
          <a:hlinkClick xmlns:r="http://schemas.openxmlformats.org/officeDocument/2006/relationships" r:id="rId12"/>
          <a:extLst>
            <a:ext uri="{FF2B5EF4-FFF2-40B4-BE49-F238E27FC236}">
              <a16:creationId xmlns:a16="http://schemas.microsoft.com/office/drawing/2014/main" id="{EFF0C989-6676-4224-A152-24F97257B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84" name="AutoShape 13" descr="Story">
          <a:hlinkClick xmlns:r="http://schemas.openxmlformats.org/officeDocument/2006/relationships" r:id="rId4"/>
          <a:extLst>
            <a:ext uri="{FF2B5EF4-FFF2-40B4-BE49-F238E27FC236}">
              <a16:creationId xmlns:a16="http://schemas.microsoft.com/office/drawing/2014/main" id="{03245869-7077-4D93-9D2C-14F3446F4CD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85" name="AutoShape 14" descr="Story">
          <a:hlinkClick xmlns:r="http://schemas.openxmlformats.org/officeDocument/2006/relationships" r:id="rId4"/>
          <a:extLst>
            <a:ext uri="{FF2B5EF4-FFF2-40B4-BE49-F238E27FC236}">
              <a16:creationId xmlns:a16="http://schemas.microsoft.com/office/drawing/2014/main" id="{5673678A-12C6-4995-8FB2-06177BD5724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86" name="AutoShape 15" descr="Story">
          <a:hlinkClick xmlns:r="http://schemas.openxmlformats.org/officeDocument/2006/relationships" r:id="rId4"/>
          <a:extLst>
            <a:ext uri="{FF2B5EF4-FFF2-40B4-BE49-F238E27FC236}">
              <a16:creationId xmlns:a16="http://schemas.microsoft.com/office/drawing/2014/main" id="{4A98440C-A670-48AA-AEE4-3F121977211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1209</xdr:row>
      <xdr:rowOff>0</xdr:rowOff>
    </xdr:from>
    <xdr:ext cx="152400" cy="152400"/>
    <xdr:sp macro="" textlink="">
      <xdr:nvSpPr>
        <xdr:cNvPr id="1287" name="AutoShape 1" descr="Story">
          <a:hlinkClick xmlns:r="http://schemas.openxmlformats.org/officeDocument/2006/relationships" r:id="rId7"/>
          <a:extLst>
            <a:ext uri="{FF2B5EF4-FFF2-40B4-BE49-F238E27FC236}">
              <a16:creationId xmlns:a16="http://schemas.microsoft.com/office/drawing/2014/main" id="{B9B03610-1814-4BDB-BD6D-A1C0E6D00E0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88" name="AutoShape 2" descr="Story">
          <a:hlinkClick xmlns:r="http://schemas.openxmlformats.org/officeDocument/2006/relationships" r:id="rId8"/>
          <a:extLst>
            <a:ext uri="{FF2B5EF4-FFF2-40B4-BE49-F238E27FC236}">
              <a16:creationId xmlns:a16="http://schemas.microsoft.com/office/drawing/2014/main" id="{CE568BD5-7F90-4EB7-A4E8-D3E2BFD5F34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89" name="AutoShape 5" descr="Story">
          <a:hlinkClick xmlns:r="http://schemas.openxmlformats.org/officeDocument/2006/relationships" r:id="rId6"/>
          <a:extLst>
            <a:ext uri="{FF2B5EF4-FFF2-40B4-BE49-F238E27FC236}">
              <a16:creationId xmlns:a16="http://schemas.microsoft.com/office/drawing/2014/main" id="{6177644F-9012-484B-9D2B-C3CAB6B0933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0" name="AutoShape 1" descr="Sub-task">
          <a:hlinkClick xmlns:r="http://schemas.openxmlformats.org/officeDocument/2006/relationships" r:id="rId9"/>
          <a:extLst>
            <a:ext uri="{FF2B5EF4-FFF2-40B4-BE49-F238E27FC236}">
              <a16:creationId xmlns:a16="http://schemas.microsoft.com/office/drawing/2014/main" id="{61B90775-4497-48F8-B9B1-1F68294250B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1" name="AutoShape 2" descr="Sub-task">
          <a:hlinkClick xmlns:r="http://schemas.openxmlformats.org/officeDocument/2006/relationships" r:id="rId10"/>
          <a:extLst>
            <a:ext uri="{FF2B5EF4-FFF2-40B4-BE49-F238E27FC236}">
              <a16:creationId xmlns:a16="http://schemas.microsoft.com/office/drawing/2014/main" id="{3336BB6B-038E-451D-A235-CBB29A33AE4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2" name="AutoShape 3" descr="Story">
          <a:hlinkClick xmlns:r="http://schemas.openxmlformats.org/officeDocument/2006/relationships" r:id="rId11"/>
          <a:extLst>
            <a:ext uri="{FF2B5EF4-FFF2-40B4-BE49-F238E27FC236}">
              <a16:creationId xmlns:a16="http://schemas.microsoft.com/office/drawing/2014/main" id="{72172C98-2730-4CEA-A953-EAE07967469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3" name="AutoShape 12" descr="Story">
          <a:hlinkClick xmlns:r="http://schemas.openxmlformats.org/officeDocument/2006/relationships" r:id="rId12"/>
          <a:extLst>
            <a:ext uri="{FF2B5EF4-FFF2-40B4-BE49-F238E27FC236}">
              <a16:creationId xmlns:a16="http://schemas.microsoft.com/office/drawing/2014/main" id="{F233D9A7-E2CC-4081-B196-14F8662CB82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4" name="AutoShape 1" descr="Story">
          <a:hlinkClick xmlns:r="http://schemas.openxmlformats.org/officeDocument/2006/relationships" r:id="rId13"/>
          <a:extLst>
            <a:ext uri="{FF2B5EF4-FFF2-40B4-BE49-F238E27FC236}">
              <a16:creationId xmlns:a16="http://schemas.microsoft.com/office/drawing/2014/main" id="{56E1C113-F2F9-4C6B-8A2B-59E299982F3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5" name="AutoShape 1" descr="Story">
          <a:hlinkClick xmlns:r="http://schemas.openxmlformats.org/officeDocument/2006/relationships" r:id="rId13"/>
          <a:extLst>
            <a:ext uri="{FF2B5EF4-FFF2-40B4-BE49-F238E27FC236}">
              <a16:creationId xmlns:a16="http://schemas.microsoft.com/office/drawing/2014/main" id="{C5762BEF-1832-48D1-9930-3DBC2699BC6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6" name="AutoShape 3" descr="Story">
          <a:hlinkClick xmlns:r="http://schemas.openxmlformats.org/officeDocument/2006/relationships" r:id="rId4"/>
          <a:extLst>
            <a:ext uri="{FF2B5EF4-FFF2-40B4-BE49-F238E27FC236}">
              <a16:creationId xmlns:a16="http://schemas.microsoft.com/office/drawing/2014/main" id="{D92230B3-1FC1-4174-A671-45DDAB62A08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7" name="AutoShape 4" descr="Story">
          <a:hlinkClick xmlns:r="http://schemas.openxmlformats.org/officeDocument/2006/relationships" r:id="rId5"/>
          <a:extLst>
            <a:ext uri="{FF2B5EF4-FFF2-40B4-BE49-F238E27FC236}">
              <a16:creationId xmlns:a16="http://schemas.microsoft.com/office/drawing/2014/main" id="{277869D3-2275-4B11-BF5A-7B4BC1C3CAD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98" name="AutoShape 1" descr="Story">
          <a:hlinkClick xmlns:r="http://schemas.openxmlformats.org/officeDocument/2006/relationships" r:id="rId7"/>
          <a:extLst>
            <a:ext uri="{FF2B5EF4-FFF2-40B4-BE49-F238E27FC236}">
              <a16:creationId xmlns:a16="http://schemas.microsoft.com/office/drawing/2014/main" id="{C4EEA463-0EE9-4AD1-812C-66394AC0460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99" name="AutoShape 2" descr="Story">
          <a:hlinkClick xmlns:r="http://schemas.openxmlformats.org/officeDocument/2006/relationships" r:id="rId8"/>
          <a:extLst>
            <a:ext uri="{FF2B5EF4-FFF2-40B4-BE49-F238E27FC236}">
              <a16:creationId xmlns:a16="http://schemas.microsoft.com/office/drawing/2014/main" id="{5C34538A-6CEF-4950-A20F-86BB3DB3A5B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0" name="AutoShape 3" descr="Story">
          <a:hlinkClick xmlns:r="http://schemas.openxmlformats.org/officeDocument/2006/relationships" r:id="rId4"/>
          <a:extLst>
            <a:ext uri="{FF2B5EF4-FFF2-40B4-BE49-F238E27FC236}">
              <a16:creationId xmlns:a16="http://schemas.microsoft.com/office/drawing/2014/main" id="{DD7D0BDD-5970-4CCB-9051-CE5B028D225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1" name="AutoShape 4" descr="Story">
          <a:hlinkClick xmlns:r="http://schemas.openxmlformats.org/officeDocument/2006/relationships" r:id="rId5"/>
          <a:extLst>
            <a:ext uri="{FF2B5EF4-FFF2-40B4-BE49-F238E27FC236}">
              <a16:creationId xmlns:a16="http://schemas.microsoft.com/office/drawing/2014/main" id="{52E68320-E624-4F3E-9ADE-A0187A35AA4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2" name="AutoShape 5" descr="Story">
          <a:hlinkClick xmlns:r="http://schemas.openxmlformats.org/officeDocument/2006/relationships" r:id="rId6"/>
          <a:extLst>
            <a:ext uri="{FF2B5EF4-FFF2-40B4-BE49-F238E27FC236}">
              <a16:creationId xmlns:a16="http://schemas.microsoft.com/office/drawing/2014/main" id="{7DA75BED-71AD-42B7-9F8A-39558C737F0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3" name="AutoShape 1" descr="Sub-task">
          <a:hlinkClick xmlns:r="http://schemas.openxmlformats.org/officeDocument/2006/relationships" r:id="rId9"/>
          <a:extLst>
            <a:ext uri="{FF2B5EF4-FFF2-40B4-BE49-F238E27FC236}">
              <a16:creationId xmlns:a16="http://schemas.microsoft.com/office/drawing/2014/main" id="{EF210D56-7A31-4D94-92A0-A35401551E2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4" name="AutoShape 2" descr="Sub-task">
          <a:hlinkClick xmlns:r="http://schemas.openxmlformats.org/officeDocument/2006/relationships" r:id="rId10"/>
          <a:extLst>
            <a:ext uri="{FF2B5EF4-FFF2-40B4-BE49-F238E27FC236}">
              <a16:creationId xmlns:a16="http://schemas.microsoft.com/office/drawing/2014/main" id="{ACE4F8B9-37BE-4D28-AA09-789AC4E7F86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5" name="AutoShape 7" descr="Story">
          <a:hlinkClick xmlns:r="http://schemas.openxmlformats.org/officeDocument/2006/relationships" r:id="rId3"/>
          <a:extLst>
            <a:ext uri="{FF2B5EF4-FFF2-40B4-BE49-F238E27FC236}">
              <a16:creationId xmlns:a16="http://schemas.microsoft.com/office/drawing/2014/main" id="{F10F2805-8D37-4724-94A1-F56EED3986A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6" name="AutoShape 3" descr="Story">
          <a:hlinkClick xmlns:r="http://schemas.openxmlformats.org/officeDocument/2006/relationships" r:id="rId11"/>
          <a:extLst>
            <a:ext uri="{FF2B5EF4-FFF2-40B4-BE49-F238E27FC236}">
              <a16:creationId xmlns:a16="http://schemas.microsoft.com/office/drawing/2014/main" id="{09231704-B145-46B6-98C3-0F0CD473E39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7" name="AutoShape 12" descr="Story">
          <a:hlinkClick xmlns:r="http://schemas.openxmlformats.org/officeDocument/2006/relationships" r:id="rId12"/>
          <a:extLst>
            <a:ext uri="{FF2B5EF4-FFF2-40B4-BE49-F238E27FC236}">
              <a16:creationId xmlns:a16="http://schemas.microsoft.com/office/drawing/2014/main" id="{845F8C12-30B5-4B32-B347-F26C0B2776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8" name="AutoShape 1" descr="Story">
          <a:hlinkClick xmlns:r="http://schemas.openxmlformats.org/officeDocument/2006/relationships" r:id="rId13"/>
          <a:extLst>
            <a:ext uri="{FF2B5EF4-FFF2-40B4-BE49-F238E27FC236}">
              <a16:creationId xmlns:a16="http://schemas.microsoft.com/office/drawing/2014/main" id="{8B48B50E-600C-4C1A-8E2E-E98D5B41D28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9" name="AutoShape 1" descr="Story">
          <a:hlinkClick xmlns:r="http://schemas.openxmlformats.org/officeDocument/2006/relationships" r:id="rId13"/>
          <a:extLst>
            <a:ext uri="{FF2B5EF4-FFF2-40B4-BE49-F238E27FC236}">
              <a16:creationId xmlns:a16="http://schemas.microsoft.com/office/drawing/2014/main" id="{FC773290-9FB9-4D55-BD1F-2B9028E806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0" name="AutoShape 3" descr="Story">
          <a:hlinkClick xmlns:r="http://schemas.openxmlformats.org/officeDocument/2006/relationships" r:id="rId4"/>
          <a:extLst>
            <a:ext uri="{FF2B5EF4-FFF2-40B4-BE49-F238E27FC236}">
              <a16:creationId xmlns:a16="http://schemas.microsoft.com/office/drawing/2014/main" id="{F00B6D6C-6D32-4F21-A12A-630D66ACE2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1" name="AutoShape 4" descr="Story">
          <a:hlinkClick xmlns:r="http://schemas.openxmlformats.org/officeDocument/2006/relationships" r:id="rId5"/>
          <a:extLst>
            <a:ext uri="{FF2B5EF4-FFF2-40B4-BE49-F238E27FC236}">
              <a16:creationId xmlns:a16="http://schemas.microsoft.com/office/drawing/2014/main" id="{AEDDC197-E23F-4CB2-9C55-67406D8CFE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2" name="AutoShape 7" descr="Story">
          <a:hlinkClick xmlns:r="http://schemas.openxmlformats.org/officeDocument/2006/relationships" r:id="rId3"/>
          <a:extLst>
            <a:ext uri="{FF2B5EF4-FFF2-40B4-BE49-F238E27FC236}">
              <a16:creationId xmlns:a16="http://schemas.microsoft.com/office/drawing/2014/main" id="{B1B01B36-82BB-482A-96BA-0FBDD1B1748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13" name="AutoShape 8" descr="Story">
          <a:hlinkClick xmlns:r="http://schemas.openxmlformats.org/officeDocument/2006/relationships" r:id="rId4"/>
          <a:extLst>
            <a:ext uri="{FF2B5EF4-FFF2-40B4-BE49-F238E27FC236}">
              <a16:creationId xmlns:a16="http://schemas.microsoft.com/office/drawing/2014/main" id="{CD192C3C-D802-49ED-B102-0A278D1B34E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14" name="AutoShape 8" descr="Story">
          <a:hlinkClick xmlns:r="http://schemas.openxmlformats.org/officeDocument/2006/relationships" r:id="rId4"/>
          <a:extLst>
            <a:ext uri="{FF2B5EF4-FFF2-40B4-BE49-F238E27FC236}">
              <a16:creationId xmlns:a16="http://schemas.microsoft.com/office/drawing/2014/main" id="{0DA73E2B-6CE7-45A2-AA0D-3A0DBE996DC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1222</xdr:row>
      <xdr:rowOff>0</xdr:rowOff>
    </xdr:from>
    <xdr:to>
      <xdr:col>0</xdr:col>
      <xdr:colOff>152400</xdr:colOff>
      <xdr:row>1222</xdr:row>
      <xdr:rowOff>152400</xdr:rowOff>
    </xdr:to>
    <xdr:sp macro="" textlink="">
      <xdr:nvSpPr>
        <xdr:cNvPr id="1315" name="AutoShape 4" descr="Bug">
          <a:hlinkClick xmlns:r="http://schemas.openxmlformats.org/officeDocument/2006/relationships" r:id="rId1"/>
          <a:extLst>
            <a:ext uri="{FF2B5EF4-FFF2-40B4-BE49-F238E27FC236}">
              <a16:creationId xmlns:a16="http://schemas.microsoft.com/office/drawing/2014/main" id="{64821F94-FF52-4E38-AA3D-D6B2E67FE179}"/>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6" name="AutoShape 6" descr="Bug">
          <a:hlinkClick xmlns:r="http://schemas.openxmlformats.org/officeDocument/2006/relationships" r:id="rId2"/>
          <a:extLst>
            <a:ext uri="{FF2B5EF4-FFF2-40B4-BE49-F238E27FC236}">
              <a16:creationId xmlns:a16="http://schemas.microsoft.com/office/drawing/2014/main" id="{15340372-82AB-4E83-BE0B-F6B0000673F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7" name="AutoShape 7" descr="Story">
          <a:hlinkClick xmlns:r="http://schemas.openxmlformats.org/officeDocument/2006/relationships" r:id="rId3"/>
          <a:extLst>
            <a:ext uri="{FF2B5EF4-FFF2-40B4-BE49-F238E27FC236}">
              <a16:creationId xmlns:a16="http://schemas.microsoft.com/office/drawing/2014/main" id="{475BFDD6-177B-440C-8C74-7E88A60E05AC}"/>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8" name="AutoShape 8" descr="Story">
          <a:hlinkClick xmlns:r="http://schemas.openxmlformats.org/officeDocument/2006/relationships" r:id="rId4"/>
          <a:extLst>
            <a:ext uri="{FF2B5EF4-FFF2-40B4-BE49-F238E27FC236}">
              <a16:creationId xmlns:a16="http://schemas.microsoft.com/office/drawing/2014/main" id="{AC4D8BB5-5363-46EF-AC73-82CBB51ADFEA}"/>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9" name="AutoShape 9" descr="Story">
          <a:hlinkClick xmlns:r="http://schemas.openxmlformats.org/officeDocument/2006/relationships" r:id="rId5"/>
          <a:extLst>
            <a:ext uri="{FF2B5EF4-FFF2-40B4-BE49-F238E27FC236}">
              <a16:creationId xmlns:a16="http://schemas.microsoft.com/office/drawing/2014/main" id="{023A2782-7C8C-4E30-B07C-A992D4A5D8E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1223</xdr:row>
      <xdr:rowOff>0</xdr:rowOff>
    </xdr:from>
    <xdr:to>
      <xdr:col>0</xdr:col>
      <xdr:colOff>152400</xdr:colOff>
      <xdr:row>1223</xdr:row>
      <xdr:rowOff>152400</xdr:rowOff>
    </xdr:to>
    <xdr:sp macro="" textlink="">
      <xdr:nvSpPr>
        <xdr:cNvPr id="1320" name="AutoShape 10" descr="Story">
          <a:hlinkClick xmlns:r="http://schemas.openxmlformats.org/officeDocument/2006/relationships" r:id="rId6"/>
          <a:extLst>
            <a:ext uri="{FF2B5EF4-FFF2-40B4-BE49-F238E27FC236}">
              <a16:creationId xmlns:a16="http://schemas.microsoft.com/office/drawing/2014/main" id="{2E9E1D14-F686-4704-8942-302EEEC5F8D8}"/>
            </a:ext>
          </a:extLst>
        </xdr:cNvPr>
        <xdr:cNvSpPr>
          <a:spLocks noChangeAspect="1" noChangeArrowheads="1"/>
        </xdr:cNvSpPr>
      </xdr:nvSpPr>
      <xdr:spPr bwMode="auto">
        <a:xfrm>
          <a:off x="0" y="3474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21" name="AutoShape 13" descr="Story">
          <a:hlinkClick xmlns:r="http://schemas.openxmlformats.org/officeDocument/2006/relationships" r:id="rId4"/>
          <a:extLst>
            <a:ext uri="{FF2B5EF4-FFF2-40B4-BE49-F238E27FC236}">
              <a16:creationId xmlns:a16="http://schemas.microsoft.com/office/drawing/2014/main" id="{F177A688-AF12-420B-81AE-6F87C870A8BD}"/>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1223</xdr:row>
      <xdr:rowOff>0</xdr:rowOff>
    </xdr:from>
    <xdr:to>
      <xdr:col>0</xdr:col>
      <xdr:colOff>152400</xdr:colOff>
      <xdr:row>1223</xdr:row>
      <xdr:rowOff>152400</xdr:rowOff>
    </xdr:to>
    <xdr:sp macro="" textlink="">
      <xdr:nvSpPr>
        <xdr:cNvPr id="1322" name="AutoShape 14" descr="Story">
          <a:hlinkClick xmlns:r="http://schemas.openxmlformats.org/officeDocument/2006/relationships" r:id="rId4"/>
          <a:extLst>
            <a:ext uri="{FF2B5EF4-FFF2-40B4-BE49-F238E27FC236}">
              <a16:creationId xmlns:a16="http://schemas.microsoft.com/office/drawing/2014/main" id="{955217FC-ABEF-46A6-B8D7-F4ABEB89D086}"/>
            </a:ext>
          </a:extLst>
        </xdr:cNvPr>
        <xdr:cNvSpPr>
          <a:spLocks noChangeAspect="1" noChangeArrowheads="1"/>
        </xdr:cNvSpPr>
      </xdr:nvSpPr>
      <xdr:spPr bwMode="auto">
        <a:xfrm>
          <a:off x="0" y="3474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1222</xdr:row>
      <xdr:rowOff>0</xdr:rowOff>
    </xdr:from>
    <xdr:ext cx="152400" cy="152400"/>
    <xdr:sp macro="" textlink="">
      <xdr:nvSpPr>
        <xdr:cNvPr id="1323" name="AutoShape 1" descr="Story">
          <a:hlinkClick xmlns:r="http://schemas.openxmlformats.org/officeDocument/2006/relationships" r:id="rId7"/>
          <a:extLst>
            <a:ext uri="{FF2B5EF4-FFF2-40B4-BE49-F238E27FC236}">
              <a16:creationId xmlns:a16="http://schemas.microsoft.com/office/drawing/2014/main" id="{5AB69121-A02E-4488-B1C7-725B917BEEB6}"/>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4" name="AutoShape 2" descr="Story">
          <a:hlinkClick xmlns:r="http://schemas.openxmlformats.org/officeDocument/2006/relationships" r:id="rId8"/>
          <a:extLst>
            <a:ext uri="{FF2B5EF4-FFF2-40B4-BE49-F238E27FC236}">
              <a16:creationId xmlns:a16="http://schemas.microsoft.com/office/drawing/2014/main" id="{E8D10B48-7770-4352-981E-4325E80615B3}"/>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5" name="AutoShape 5" descr="Story">
          <a:hlinkClick xmlns:r="http://schemas.openxmlformats.org/officeDocument/2006/relationships" r:id="rId6"/>
          <a:extLst>
            <a:ext uri="{FF2B5EF4-FFF2-40B4-BE49-F238E27FC236}">
              <a16:creationId xmlns:a16="http://schemas.microsoft.com/office/drawing/2014/main" id="{A36D238D-E562-42BB-BCD5-8270444C603C}"/>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6" name="AutoShape 1" descr="Sub-task">
          <a:hlinkClick xmlns:r="http://schemas.openxmlformats.org/officeDocument/2006/relationships" r:id="rId9"/>
          <a:extLst>
            <a:ext uri="{FF2B5EF4-FFF2-40B4-BE49-F238E27FC236}">
              <a16:creationId xmlns:a16="http://schemas.microsoft.com/office/drawing/2014/main" id="{1F68368E-18FF-458C-AE20-3402A0608451}"/>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7" name="AutoShape 2" descr="Sub-task">
          <a:hlinkClick xmlns:r="http://schemas.openxmlformats.org/officeDocument/2006/relationships" r:id="rId10"/>
          <a:extLst>
            <a:ext uri="{FF2B5EF4-FFF2-40B4-BE49-F238E27FC236}">
              <a16:creationId xmlns:a16="http://schemas.microsoft.com/office/drawing/2014/main" id="{F06F3A6D-E7E1-46B7-9336-74C6ADAC8C85}"/>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8" name="AutoShape 3" descr="Story">
          <a:hlinkClick xmlns:r="http://schemas.openxmlformats.org/officeDocument/2006/relationships" r:id="rId11"/>
          <a:extLst>
            <a:ext uri="{FF2B5EF4-FFF2-40B4-BE49-F238E27FC236}">
              <a16:creationId xmlns:a16="http://schemas.microsoft.com/office/drawing/2014/main" id="{E1BA58F8-5D65-4252-8C9C-8DC2E298E4C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9" name="AutoShape 12" descr="Story">
          <a:hlinkClick xmlns:r="http://schemas.openxmlformats.org/officeDocument/2006/relationships" r:id="rId12"/>
          <a:extLst>
            <a:ext uri="{FF2B5EF4-FFF2-40B4-BE49-F238E27FC236}">
              <a16:creationId xmlns:a16="http://schemas.microsoft.com/office/drawing/2014/main" id="{36DB5B89-0D20-4240-89A8-00712CAE1E4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0" name="AutoShape 1" descr="Story">
          <a:hlinkClick xmlns:r="http://schemas.openxmlformats.org/officeDocument/2006/relationships" r:id="rId13"/>
          <a:extLst>
            <a:ext uri="{FF2B5EF4-FFF2-40B4-BE49-F238E27FC236}">
              <a16:creationId xmlns:a16="http://schemas.microsoft.com/office/drawing/2014/main" id="{2DBA536E-7BA9-40F2-8F8A-67B7F0D8DC3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1" name="AutoShape 1" descr="Story">
          <a:hlinkClick xmlns:r="http://schemas.openxmlformats.org/officeDocument/2006/relationships" r:id="rId13"/>
          <a:extLst>
            <a:ext uri="{FF2B5EF4-FFF2-40B4-BE49-F238E27FC236}">
              <a16:creationId xmlns:a16="http://schemas.microsoft.com/office/drawing/2014/main" id="{15E49EAB-0A90-494B-BEF0-F9ABAD34F4A2}"/>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2" name="AutoShape 3" descr="Story">
          <a:hlinkClick xmlns:r="http://schemas.openxmlformats.org/officeDocument/2006/relationships" r:id="rId4"/>
          <a:extLst>
            <a:ext uri="{FF2B5EF4-FFF2-40B4-BE49-F238E27FC236}">
              <a16:creationId xmlns:a16="http://schemas.microsoft.com/office/drawing/2014/main" id="{24E7DF1F-FF5E-4703-938D-EF65F98E648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3" name="AutoShape 4" descr="Story">
          <a:hlinkClick xmlns:r="http://schemas.openxmlformats.org/officeDocument/2006/relationships" r:id="rId5"/>
          <a:extLst>
            <a:ext uri="{FF2B5EF4-FFF2-40B4-BE49-F238E27FC236}">
              <a16:creationId xmlns:a16="http://schemas.microsoft.com/office/drawing/2014/main" id="{358FA88D-846D-428F-88E7-190066BD4001}"/>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4" name="AutoShape 3" descr="Story">
          <a:hlinkClick xmlns:r="http://schemas.openxmlformats.org/officeDocument/2006/relationships" r:id="rId4"/>
          <a:extLst>
            <a:ext uri="{FF2B5EF4-FFF2-40B4-BE49-F238E27FC236}">
              <a16:creationId xmlns:a16="http://schemas.microsoft.com/office/drawing/2014/main" id="{28E0F625-E3DB-4CE8-805F-307693C82DE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5" name="AutoShape 4" descr="Story">
          <a:hlinkClick xmlns:r="http://schemas.openxmlformats.org/officeDocument/2006/relationships" r:id="rId5"/>
          <a:extLst>
            <a:ext uri="{FF2B5EF4-FFF2-40B4-BE49-F238E27FC236}">
              <a16:creationId xmlns:a16="http://schemas.microsoft.com/office/drawing/2014/main" id="{70152254-BF22-4857-83D5-73C70104AA10}"/>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6" name="AutoShape 7" descr="Story">
          <a:hlinkClick xmlns:r="http://schemas.openxmlformats.org/officeDocument/2006/relationships" r:id="rId3"/>
          <a:extLst>
            <a:ext uri="{FF2B5EF4-FFF2-40B4-BE49-F238E27FC236}">
              <a16:creationId xmlns:a16="http://schemas.microsoft.com/office/drawing/2014/main" id="{65D3D0BF-2610-414E-B3C6-61E6D2FD7936}"/>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7" name="AutoShape 8" descr="Story">
          <a:hlinkClick xmlns:r="http://schemas.openxmlformats.org/officeDocument/2006/relationships" r:id="rId4"/>
          <a:extLst>
            <a:ext uri="{FF2B5EF4-FFF2-40B4-BE49-F238E27FC236}">
              <a16:creationId xmlns:a16="http://schemas.microsoft.com/office/drawing/2014/main" id="{D2526855-CA43-4826-A638-5D444A960DD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8" name="AutoShape 8" descr="Story">
          <a:hlinkClick xmlns:r="http://schemas.openxmlformats.org/officeDocument/2006/relationships" r:id="rId4"/>
          <a:extLst>
            <a:ext uri="{FF2B5EF4-FFF2-40B4-BE49-F238E27FC236}">
              <a16:creationId xmlns:a16="http://schemas.microsoft.com/office/drawing/2014/main" id="{B0690760-D7B0-42D2-8DA2-FDD06DA6A0A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1224</xdr:row>
      <xdr:rowOff>0</xdr:rowOff>
    </xdr:from>
    <xdr:to>
      <xdr:col>0</xdr:col>
      <xdr:colOff>152400</xdr:colOff>
      <xdr:row>1224</xdr:row>
      <xdr:rowOff>152400</xdr:rowOff>
    </xdr:to>
    <xdr:sp macro="" textlink="">
      <xdr:nvSpPr>
        <xdr:cNvPr id="1339" name="AutoShape 3" descr="Story">
          <a:hlinkClick xmlns:r="http://schemas.openxmlformats.org/officeDocument/2006/relationships" r:id="rId11"/>
          <a:extLst>
            <a:ext uri="{FF2B5EF4-FFF2-40B4-BE49-F238E27FC236}">
              <a16:creationId xmlns:a16="http://schemas.microsoft.com/office/drawing/2014/main" id="{42A628AD-F8C0-46EF-9E46-A8C4E432BBC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1224</xdr:row>
      <xdr:rowOff>0</xdr:rowOff>
    </xdr:from>
    <xdr:to>
      <xdr:col>0</xdr:col>
      <xdr:colOff>152400</xdr:colOff>
      <xdr:row>1224</xdr:row>
      <xdr:rowOff>152400</xdr:rowOff>
    </xdr:to>
    <xdr:sp macro="" textlink="">
      <xdr:nvSpPr>
        <xdr:cNvPr id="1340" name="AutoShape 12" descr="Story">
          <a:hlinkClick xmlns:r="http://schemas.openxmlformats.org/officeDocument/2006/relationships" r:id="rId12"/>
          <a:extLst>
            <a:ext uri="{FF2B5EF4-FFF2-40B4-BE49-F238E27FC236}">
              <a16:creationId xmlns:a16="http://schemas.microsoft.com/office/drawing/2014/main" id="{D430DE7F-9CA8-42A7-B57C-452D9F87BD01}"/>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1224</xdr:row>
      <xdr:rowOff>0</xdr:rowOff>
    </xdr:from>
    <xdr:ext cx="152400" cy="152400"/>
    <xdr:sp macro="" textlink="">
      <xdr:nvSpPr>
        <xdr:cNvPr id="1341" name="AutoShape 1" descr="Story">
          <a:hlinkClick xmlns:r="http://schemas.openxmlformats.org/officeDocument/2006/relationships" r:id="rId7"/>
          <a:extLst>
            <a:ext uri="{FF2B5EF4-FFF2-40B4-BE49-F238E27FC236}">
              <a16:creationId xmlns:a16="http://schemas.microsoft.com/office/drawing/2014/main" id="{3A422CE3-6313-465F-90F7-3F75B1E31666}"/>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2" name="AutoShape 2" descr="Story">
          <a:hlinkClick xmlns:r="http://schemas.openxmlformats.org/officeDocument/2006/relationships" r:id="rId8"/>
          <a:extLst>
            <a:ext uri="{FF2B5EF4-FFF2-40B4-BE49-F238E27FC236}">
              <a16:creationId xmlns:a16="http://schemas.microsoft.com/office/drawing/2014/main" id="{452E0414-8DDD-457F-9284-A5DCCCC3220D}"/>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3" name="AutoShape 5" descr="Story">
          <a:hlinkClick xmlns:r="http://schemas.openxmlformats.org/officeDocument/2006/relationships" r:id="rId6"/>
          <a:extLst>
            <a:ext uri="{FF2B5EF4-FFF2-40B4-BE49-F238E27FC236}">
              <a16:creationId xmlns:a16="http://schemas.microsoft.com/office/drawing/2014/main" id="{9B10F506-24F0-44D6-B8A1-ECE338ABB23A}"/>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4" name="AutoShape 1" descr="Sub-task">
          <a:hlinkClick xmlns:r="http://schemas.openxmlformats.org/officeDocument/2006/relationships" r:id="rId9"/>
          <a:extLst>
            <a:ext uri="{FF2B5EF4-FFF2-40B4-BE49-F238E27FC236}">
              <a16:creationId xmlns:a16="http://schemas.microsoft.com/office/drawing/2014/main" id="{B003E32C-9B7D-48AF-BB99-EE6A43424E70}"/>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5" name="AutoShape 2" descr="Sub-task">
          <a:hlinkClick xmlns:r="http://schemas.openxmlformats.org/officeDocument/2006/relationships" r:id="rId10"/>
          <a:extLst>
            <a:ext uri="{FF2B5EF4-FFF2-40B4-BE49-F238E27FC236}">
              <a16:creationId xmlns:a16="http://schemas.microsoft.com/office/drawing/2014/main" id="{EF92337C-DCE5-4772-AA20-241228B084DB}"/>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6" name="AutoShape 3" descr="Story">
          <a:hlinkClick xmlns:r="http://schemas.openxmlformats.org/officeDocument/2006/relationships" r:id="rId11"/>
          <a:extLst>
            <a:ext uri="{FF2B5EF4-FFF2-40B4-BE49-F238E27FC236}">
              <a16:creationId xmlns:a16="http://schemas.microsoft.com/office/drawing/2014/main" id="{5CA96F4B-5859-4A13-B2D6-EF3788A8B0E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7" name="AutoShape 12" descr="Story">
          <a:hlinkClick xmlns:r="http://schemas.openxmlformats.org/officeDocument/2006/relationships" r:id="rId12"/>
          <a:extLst>
            <a:ext uri="{FF2B5EF4-FFF2-40B4-BE49-F238E27FC236}">
              <a16:creationId xmlns:a16="http://schemas.microsoft.com/office/drawing/2014/main" id="{E755F961-61B8-4EB5-B550-98CE9DD5126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8" name="AutoShape 1" descr="Story">
          <a:hlinkClick xmlns:r="http://schemas.openxmlformats.org/officeDocument/2006/relationships" r:id="rId13"/>
          <a:extLst>
            <a:ext uri="{FF2B5EF4-FFF2-40B4-BE49-F238E27FC236}">
              <a16:creationId xmlns:a16="http://schemas.microsoft.com/office/drawing/2014/main" id="{37841C84-B920-4F75-935B-7CBD5DB99875}"/>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9" name="AutoShape 1" descr="Story">
          <a:hlinkClick xmlns:r="http://schemas.openxmlformats.org/officeDocument/2006/relationships" r:id="rId13"/>
          <a:extLst>
            <a:ext uri="{FF2B5EF4-FFF2-40B4-BE49-F238E27FC236}">
              <a16:creationId xmlns:a16="http://schemas.microsoft.com/office/drawing/2014/main" id="{0A404B56-62B2-4E4E-A923-F1D3F3066F0E}"/>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0" name="AutoShape 3" descr="Story">
          <a:hlinkClick xmlns:r="http://schemas.openxmlformats.org/officeDocument/2006/relationships" r:id="rId4"/>
          <a:extLst>
            <a:ext uri="{FF2B5EF4-FFF2-40B4-BE49-F238E27FC236}">
              <a16:creationId xmlns:a16="http://schemas.microsoft.com/office/drawing/2014/main" id="{67FC5045-196E-4E0F-AC82-B2898A374671}"/>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1" name="AutoShape 4" descr="Story">
          <a:hlinkClick xmlns:r="http://schemas.openxmlformats.org/officeDocument/2006/relationships" r:id="rId5"/>
          <a:extLst>
            <a:ext uri="{FF2B5EF4-FFF2-40B4-BE49-F238E27FC236}">
              <a16:creationId xmlns:a16="http://schemas.microsoft.com/office/drawing/2014/main" id="{B5E5ABF2-C1FA-4E5A-A06F-AB9B3D51E238}"/>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2" name="AutoShape 7" descr="Story">
          <a:hlinkClick xmlns:r="http://schemas.openxmlformats.org/officeDocument/2006/relationships" r:id="rId3"/>
          <a:extLst>
            <a:ext uri="{FF2B5EF4-FFF2-40B4-BE49-F238E27FC236}">
              <a16:creationId xmlns:a16="http://schemas.microsoft.com/office/drawing/2014/main" id="{C9C05531-98B8-4596-B38F-9EFCDB9F27FD}"/>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1289</xdr:row>
      <xdr:rowOff>0</xdr:rowOff>
    </xdr:from>
    <xdr:to>
      <xdr:col>0</xdr:col>
      <xdr:colOff>152400</xdr:colOff>
      <xdr:row>1289</xdr:row>
      <xdr:rowOff>152400</xdr:rowOff>
    </xdr:to>
    <xdr:sp macro="" textlink="">
      <xdr:nvSpPr>
        <xdr:cNvPr id="1353" name="AutoShape 4" descr="Bug">
          <a:hlinkClick xmlns:r="http://schemas.openxmlformats.org/officeDocument/2006/relationships" r:id="rId1"/>
          <a:extLst>
            <a:ext uri="{FF2B5EF4-FFF2-40B4-BE49-F238E27FC236}">
              <a16:creationId xmlns:a16="http://schemas.microsoft.com/office/drawing/2014/main" id="{D70D2CBB-D29B-455C-8755-A223558DFB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4" name="AutoShape 6" descr="Bug">
          <a:hlinkClick xmlns:r="http://schemas.openxmlformats.org/officeDocument/2006/relationships" r:id="rId2"/>
          <a:extLst>
            <a:ext uri="{FF2B5EF4-FFF2-40B4-BE49-F238E27FC236}">
              <a16:creationId xmlns:a16="http://schemas.microsoft.com/office/drawing/2014/main" id="{7328D89D-0ED2-450B-8FDF-CF90C9AD1B2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5" name="AutoShape 7" descr="Story">
          <a:hlinkClick xmlns:r="http://schemas.openxmlformats.org/officeDocument/2006/relationships" r:id="rId3"/>
          <a:extLst>
            <a:ext uri="{FF2B5EF4-FFF2-40B4-BE49-F238E27FC236}">
              <a16:creationId xmlns:a16="http://schemas.microsoft.com/office/drawing/2014/main" id="{7FFE27EA-B5AC-4B9D-BD2B-35777D4512C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6" name="AutoShape 8" descr="Story">
          <a:hlinkClick xmlns:r="http://schemas.openxmlformats.org/officeDocument/2006/relationships" r:id="rId4"/>
          <a:extLst>
            <a:ext uri="{FF2B5EF4-FFF2-40B4-BE49-F238E27FC236}">
              <a16:creationId xmlns:a16="http://schemas.microsoft.com/office/drawing/2014/main" id="{27EE0C20-66D6-42EE-88BB-EEA07C7E618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7" name="AutoShape 9" descr="Story">
          <a:hlinkClick xmlns:r="http://schemas.openxmlformats.org/officeDocument/2006/relationships" r:id="rId5"/>
          <a:extLst>
            <a:ext uri="{FF2B5EF4-FFF2-40B4-BE49-F238E27FC236}">
              <a16:creationId xmlns:a16="http://schemas.microsoft.com/office/drawing/2014/main" id="{28C96777-46A6-4152-ABF3-AF1D01EAA95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358" name="AutoShape 10" descr="Story">
          <a:hlinkClick xmlns:r="http://schemas.openxmlformats.org/officeDocument/2006/relationships" r:id="rId6"/>
          <a:extLst>
            <a:ext uri="{FF2B5EF4-FFF2-40B4-BE49-F238E27FC236}">
              <a16:creationId xmlns:a16="http://schemas.microsoft.com/office/drawing/2014/main" id="{31394FDC-B8F4-444F-848E-B04FCE0ADBDC}"/>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9" name="AutoShape 13" descr="Story">
          <a:hlinkClick xmlns:r="http://schemas.openxmlformats.org/officeDocument/2006/relationships" r:id="rId4"/>
          <a:extLst>
            <a:ext uri="{FF2B5EF4-FFF2-40B4-BE49-F238E27FC236}">
              <a16:creationId xmlns:a16="http://schemas.microsoft.com/office/drawing/2014/main" id="{E23D15F2-747A-44A7-A9DD-A2AC92E2503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360" name="AutoShape 14" descr="Story">
          <a:hlinkClick xmlns:r="http://schemas.openxmlformats.org/officeDocument/2006/relationships" r:id="rId4"/>
          <a:extLst>
            <a:ext uri="{FF2B5EF4-FFF2-40B4-BE49-F238E27FC236}">
              <a16:creationId xmlns:a16="http://schemas.microsoft.com/office/drawing/2014/main" id="{57B2AE62-232E-42AB-8009-E6E7F977E97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1289</xdr:row>
      <xdr:rowOff>0</xdr:rowOff>
    </xdr:from>
    <xdr:ext cx="152400" cy="152400"/>
    <xdr:sp macro="" textlink="">
      <xdr:nvSpPr>
        <xdr:cNvPr id="1361" name="AutoShape 1" descr="Story">
          <a:hlinkClick xmlns:r="http://schemas.openxmlformats.org/officeDocument/2006/relationships" r:id="rId7"/>
          <a:extLst>
            <a:ext uri="{FF2B5EF4-FFF2-40B4-BE49-F238E27FC236}">
              <a16:creationId xmlns:a16="http://schemas.microsoft.com/office/drawing/2014/main" id="{DE6806C7-7B04-4F05-9802-CE71F3C5E8D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2" name="AutoShape 2" descr="Story">
          <a:hlinkClick xmlns:r="http://schemas.openxmlformats.org/officeDocument/2006/relationships" r:id="rId8"/>
          <a:extLst>
            <a:ext uri="{FF2B5EF4-FFF2-40B4-BE49-F238E27FC236}">
              <a16:creationId xmlns:a16="http://schemas.microsoft.com/office/drawing/2014/main" id="{ED25CF45-058D-493B-9A36-A552DA9724B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3" name="AutoShape 5" descr="Story">
          <a:hlinkClick xmlns:r="http://schemas.openxmlformats.org/officeDocument/2006/relationships" r:id="rId6"/>
          <a:extLst>
            <a:ext uri="{FF2B5EF4-FFF2-40B4-BE49-F238E27FC236}">
              <a16:creationId xmlns:a16="http://schemas.microsoft.com/office/drawing/2014/main" id="{1142528D-DCB8-4C8D-9423-567EF0A6E7C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4" name="AutoShape 1" descr="Sub-task">
          <a:hlinkClick xmlns:r="http://schemas.openxmlformats.org/officeDocument/2006/relationships" r:id="rId9"/>
          <a:extLst>
            <a:ext uri="{FF2B5EF4-FFF2-40B4-BE49-F238E27FC236}">
              <a16:creationId xmlns:a16="http://schemas.microsoft.com/office/drawing/2014/main" id="{21CF1B59-1895-4553-82B6-D80E0E2254C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5" name="AutoShape 2" descr="Sub-task">
          <a:hlinkClick xmlns:r="http://schemas.openxmlformats.org/officeDocument/2006/relationships" r:id="rId10"/>
          <a:extLst>
            <a:ext uri="{FF2B5EF4-FFF2-40B4-BE49-F238E27FC236}">
              <a16:creationId xmlns:a16="http://schemas.microsoft.com/office/drawing/2014/main" id="{CD7DC8A7-0D34-48C0-B329-6730568D1F4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6" name="AutoShape 3" descr="Story">
          <a:hlinkClick xmlns:r="http://schemas.openxmlformats.org/officeDocument/2006/relationships" r:id="rId11"/>
          <a:extLst>
            <a:ext uri="{FF2B5EF4-FFF2-40B4-BE49-F238E27FC236}">
              <a16:creationId xmlns:a16="http://schemas.microsoft.com/office/drawing/2014/main" id="{ECE71275-4566-43E5-8462-1D7BBA39868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7" name="AutoShape 12" descr="Story">
          <a:hlinkClick xmlns:r="http://schemas.openxmlformats.org/officeDocument/2006/relationships" r:id="rId12"/>
          <a:extLst>
            <a:ext uri="{FF2B5EF4-FFF2-40B4-BE49-F238E27FC236}">
              <a16:creationId xmlns:a16="http://schemas.microsoft.com/office/drawing/2014/main" id="{A05F2C76-087C-4784-B4A9-89FF9024239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8" name="AutoShape 1" descr="Story">
          <a:hlinkClick xmlns:r="http://schemas.openxmlformats.org/officeDocument/2006/relationships" r:id="rId13"/>
          <a:extLst>
            <a:ext uri="{FF2B5EF4-FFF2-40B4-BE49-F238E27FC236}">
              <a16:creationId xmlns:a16="http://schemas.microsoft.com/office/drawing/2014/main" id="{41D3F6E9-0F44-4255-95A0-3B69A58486F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9" name="AutoShape 1" descr="Story">
          <a:hlinkClick xmlns:r="http://schemas.openxmlformats.org/officeDocument/2006/relationships" r:id="rId13"/>
          <a:extLst>
            <a:ext uri="{FF2B5EF4-FFF2-40B4-BE49-F238E27FC236}">
              <a16:creationId xmlns:a16="http://schemas.microsoft.com/office/drawing/2014/main" id="{B63CBCD5-B73C-4662-8A88-54ACF980F22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0" name="AutoShape 3" descr="Story">
          <a:hlinkClick xmlns:r="http://schemas.openxmlformats.org/officeDocument/2006/relationships" r:id="rId4"/>
          <a:extLst>
            <a:ext uri="{FF2B5EF4-FFF2-40B4-BE49-F238E27FC236}">
              <a16:creationId xmlns:a16="http://schemas.microsoft.com/office/drawing/2014/main" id="{1E16DB61-D82A-459E-B25D-BDB2C91DDED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1" name="AutoShape 4" descr="Story">
          <a:hlinkClick xmlns:r="http://schemas.openxmlformats.org/officeDocument/2006/relationships" r:id="rId5"/>
          <a:extLst>
            <a:ext uri="{FF2B5EF4-FFF2-40B4-BE49-F238E27FC236}">
              <a16:creationId xmlns:a16="http://schemas.microsoft.com/office/drawing/2014/main" id="{72CA707E-7F02-47FE-B506-8A5A826E51D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2" name="AutoShape 3" descr="Story">
          <a:hlinkClick xmlns:r="http://schemas.openxmlformats.org/officeDocument/2006/relationships" r:id="rId4"/>
          <a:extLst>
            <a:ext uri="{FF2B5EF4-FFF2-40B4-BE49-F238E27FC236}">
              <a16:creationId xmlns:a16="http://schemas.microsoft.com/office/drawing/2014/main" id="{3B1FF727-8B34-4BC0-8808-42A7AAF8E7E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3" name="AutoShape 4" descr="Story">
          <a:hlinkClick xmlns:r="http://schemas.openxmlformats.org/officeDocument/2006/relationships" r:id="rId5"/>
          <a:extLst>
            <a:ext uri="{FF2B5EF4-FFF2-40B4-BE49-F238E27FC236}">
              <a16:creationId xmlns:a16="http://schemas.microsoft.com/office/drawing/2014/main" id="{A9D19C09-9E3B-46B7-85C0-F448744C83E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4" name="AutoShape 7" descr="Story">
          <a:hlinkClick xmlns:r="http://schemas.openxmlformats.org/officeDocument/2006/relationships" r:id="rId3"/>
          <a:extLst>
            <a:ext uri="{FF2B5EF4-FFF2-40B4-BE49-F238E27FC236}">
              <a16:creationId xmlns:a16="http://schemas.microsoft.com/office/drawing/2014/main" id="{E37DD6B5-E6E3-4DEF-A599-347BD1490FB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5" name="AutoShape 8" descr="Story">
          <a:hlinkClick xmlns:r="http://schemas.openxmlformats.org/officeDocument/2006/relationships" r:id="rId4"/>
          <a:extLst>
            <a:ext uri="{FF2B5EF4-FFF2-40B4-BE49-F238E27FC236}">
              <a16:creationId xmlns:a16="http://schemas.microsoft.com/office/drawing/2014/main" id="{03456373-BBEC-489C-991B-EF81B53BAEF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6" name="AutoShape 8" descr="Story">
          <a:hlinkClick xmlns:r="http://schemas.openxmlformats.org/officeDocument/2006/relationships" r:id="rId4"/>
          <a:extLst>
            <a:ext uri="{FF2B5EF4-FFF2-40B4-BE49-F238E27FC236}">
              <a16:creationId xmlns:a16="http://schemas.microsoft.com/office/drawing/2014/main" id="{24B18FEA-8A33-475B-BE24-7C3C0A04184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1269</xdr:row>
      <xdr:rowOff>0</xdr:rowOff>
    </xdr:from>
    <xdr:to>
      <xdr:col>0</xdr:col>
      <xdr:colOff>152400</xdr:colOff>
      <xdr:row>1269</xdr:row>
      <xdr:rowOff>152400</xdr:rowOff>
    </xdr:to>
    <xdr:sp macro="" textlink="">
      <xdr:nvSpPr>
        <xdr:cNvPr id="1377" name="AutoShape 1" descr="Story">
          <a:hlinkClick xmlns:r="http://schemas.openxmlformats.org/officeDocument/2006/relationships" r:id="rId13"/>
          <a:extLst>
            <a:ext uri="{FF2B5EF4-FFF2-40B4-BE49-F238E27FC236}">
              <a16:creationId xmlns:a16="http://schemas.microsoft.com/office/drawing/2014/main" id="{A227E8D2-CE7F-49C2-A7A2-FE2EE919AFA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78" name="AutoShape 2" descr="Story">
          <a:hlinkClick xmlns:r="http://schemas.openxmlformats.org/officeDocument/2006/relationships" r:id="rId12"/>
          <a:extLst>
            <a:ext uri="{FF2B5EF4-FFF2-40B4-BE49-F238E27FC236}">
              <a16:creationId xmlns:a16="http://schemas.microsoft.com/office/drawing/2014/main" id="{A0D4A2B3-7826-4FD7-88F5-4756F31B92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1266</xdr:row>
      <xdr:rowOff>0</xdr:rowOff>
    </xdr:from>
    <xdr:to>
      <xdr:col>0</xdr:col>
      <xdr:colOff>152400</xdr:colOff>
      <xdr:row>1266</xdr:row>
      <xdr:rowOff>152400</xdr:rowOff>
    </xdr:to>
    <xdr:sp macro="" textlink="">
      <xdr:nvSpPr>
        <xdr:cNvPr id="1379" name="AutoShape 3" descr="Story">
          <a:hlinkClick xmlns:r="http://schemas.openxmlformats.org/officeDocument/2006/relationships" r:id="rId11"/>
          <a:extLst>
            <a:ext uri="{FF2B5EF4-FFF2-40B4-BE49-F238E27FC236}">
              <a16:creationId xmlns:a16="http://schemas.microsoft.com/office/drawing/2014/main" id="{AD521C08-83EB-4AF1-A556-329C4CEB290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0" name="AutoShape 4" descr="Bug">
          <a:hlinkClick xmlns:r="http://schemas.openxmlformats.org/officeDocument/2006/relationships" r:id="rId1"/>
          <a:extLst>
            <a:ext uri="{FF2B5EF4-FFF2-40B4-BE49-F238E27FC236}">
              <a16:creationId xmlns:a16="http://schemas.microsoft.com/office/drawing/2014/main" id="{DC8CC0B9-6CE6-494F-87C9-A9B6BE1897D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81" name="AutoShape 5" descr="Story">
          <a:hlinkClick xmlns:r="http://schemas.openxmlformats.org/officeDocument/2006/relationships" r:id="rId14"/>
          <a:extLst>
            <a:ext uri="{FF2B5EF4-FFF2-40B4-BE49-F238E27FC236}">
              <a16:creationId xmlns:a16="http://schemas.microsoft.com/office/drawing/2014/main" id="{43B9B4ED-AF64-4F16-9E54-FC062FF06A9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2" name="AutoShape 6" descr="Bug">
          <a:hlinkClick xmlns:r="http://schemas.openxmlformats.org/officeDocument/2006/relationships" r:id="rId2"/>
          <a:extLst>
            <a:ext uri="{FF2B5EF4-FFF2-40B4-BE49-F238E27FC236}">
              <a16:creationId xmlns:a16="http://schemas.microsoft.com/office/drawing/2014/main" id="{10AAF106-8A58-4634-82F2-7D9B3C3447A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3" name="AutoShape 7" descr="Story">
          <a:hlinkClick xmlns:r="http://schemas.openxmlformats.org/officeDocument/2006/relationships" r:id="rId3"/>
          <a:extLst>
            <a:ext uri="{FF2B5EF4-FFF2-40B4-BE49-F238E27FC236}">
              <a16:creationId xmlns:a16="http://schemas.microsoft.com/office/drawing/2014/main" id="{86C9981A-8495-4E59-AD12-612F4833DAF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4" name="AutoShape 8" descr="Story">
          <a:hlinkClick xmlns:r="http://schemas.openxmlformats.org/officeDocument/2006/relationships" r:id="rId4"/>
          <a:extLst>
            <a:ext uri="{FF2B5EF4-FFF2-40B4-BE49-F238E27FC236}">
              <a16:creationId xmlns:a16="http://schemas.microsoft.com/office/drawing/2014/main" id="{EC67A31E-D711-4C16-AC3E-1E8AAAC31EE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5" name="AutoShape 9" descr="Story">
          <a:hlinkClick xmlns:r="http://schemas.openxmlformats.org/officeDocument/2006/relationships" r:id="rId5"/>
          <a:extLst>
            <a:ext uri="{FF2B5EF4-FFF2-40B4-BE49-F238E27FC236}">
              <a16:creationId xmlns:a16="http://schemas.microsoft.com/office/drawing/2014/main" id="{5DEF575A-6287-4F23-AEA8-D00C4084B8C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1264</xdr:row>
      <xdr:rowOff>0</xdr:rowOff>
    </xdr:from>
    <xdr:to>
      <xdr:col>0</xdr:col>
      <xdr:colOff>152400</xdr:colOff>
      <xdr:row>1264</xdr:row>
      <xdr:rowOff>152400</xdr:rowOff>
    </xdr:to>
    <xdr:sp macro="" textlink="">
      <xdr:nvSpPr>
        <xdr:cNvPr id="1386" name="AutoShape 10" descr="Story">
          <a:hlinkClick xmlns:r="http://schemas.openxmlformats.org/officeDocument/2006/relationships" r:id="rId6"/>
          <a:extLst>
            <a:ext uri="{FF2B5EF4-FFF2-40B4-BE49-F238E27FC236}">
              <a16:creationId xmlns:a16="http://schemas.microsoft.com/office/drawing/2014/main" id="{46CD6AFF-5A3C-48E3-9185-A3337357038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87" name="AutoShape 11" descr="Story">
          <a:hlinkClick xmlns:r="http://schemas.openxmlformats.org/officeDocument/2006/relationships" r:id="rId15"/>
          <a:extLst>
            <a:ext uri="{FF2B5EF4-FFF2-40B4-BE49-F238E27FC236}">
              <a16:creationId xmlns:a16="http://schemas.microsoft.com/office/drawing/2014/main" id="{88D9D093-856B-4756-A95D-7A0941C58F1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1266</xdr:row>
      <xdr:rowOff>0</xdr:rowOff>
    </xdr:from>
    <xdr:to>
      <xdr:col>0</xdr:col>
      <xdr:colOff>152400</xdr:colOff>
      <xdr:row>1266</xdr:row>
      <xdr:rowOff>152400</xdr:rowOff>
    </xdr:to>
    <xdr:sp macro="" textlink="">
      <xdr:nvSpPr>
        <xdr:cNvPr id="1388" name="AutoShape 12" descr="Story">
          <a:hlinkClick xmlns:r="http://schemas.openxmlformats.org/officeDocument/2006/relationships" r:id="rId12"/>
          <a:extLst>
            <a:ext uri="{FF2B5EF4-FFF2-40B4-BE49-F238E27FC236}">
              <a16:creationId xmlns:a16="http://schemas.microsoft.com/office/drawing/2014/main" id="{15FB3859-6367-4934-B946-7BA25379590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9" name="AutoShape 13" descr="Story">
          <a:hlinkClick xmlns:r="http://schemas.openxmlformats.org/officeDocument/2006/relationships" r:id="rId4"/>
          <a:extLst>
            <a:ext uri="{FF2B5EF4-FFF2-40B4-BE49-F238E27FC236}">
              <a16:creationId xmlns:a16="http://schemas.microsoft.com/office/drawing/2014/main" id="{8792F18D-85F5-4227-8407-2019D5321E2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1264</xdr:row>
      <xdr:rowOff>0</xdr:rowOff>
    </xdr:from>
    <xdr:to>
      <xdr:col>0</xdr:col>
      <xdr:colOff>152400</xdr:colOff>
      <xdr:row>1264</xdr:row>
      <xdr:rowOff>152400</xdr:rowOff>
    </xdr:to>
    <xdr:sp macro="" textlink="">
      <xdr:nvSpPr>
        <xdr:cNvPr id="1390" name="AutoShape 14" descr="Story">
          <a:hlinkClick xmlns:r="http://schemas.openxmlformats.org/officeDocument/2006/relationships" r:id="rId4"/>
          <a:extLst>
            <a:ext uri="{FF2B5EF4-FFF2-40B4-BE49-F238E27FC236}">
              <a16:creationId xmlns:a16="http://schemas.microsoft.com/office/drawing/2014/main" id="{9289E294-D390-453F-85EB-0DE7D917A1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91" name="AutoShape 15" descr="Story">
          <a:hlinkClick xmlns:r="http://schemas.openxmlformats.org/officeDocument/2006/relationships" r:id="rId4"/>
          <a:extLst>
            <a:ext uri="{FF2B5EF4-FFF2-40B4-BE49-F238E27FC236}">
              <a16:creationId xmlns:a16="http://schemas.microsoft.com/office/drawing/2014/main" id="{8A5D3356-0B64-4F70-95E6-BD81F4E75E0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1263</xdr:row>
      <xdr:rowOff>0</xdr:rowOff>
    </xdr:from>
    <xdr:ext cx="152400" cy="152400"/>
    <xdr:sp macro="" textlink="">
      <xdr:nvSpPr>
        <xdr:cNvPr id="1392" name="AutoShape 1" descr="Story">
          <a:hlinkClick xmlns:r="http://schemas.openxmlformats.org/officeDocument/2006/relationships" r:id="rId7"/>
          <a:extLst>
            <a:ext uri="{FF2B5EF4-FFF2-40B4-BE49-F238E27FC236}">
              <a16:creationId xmlns:a16="http://schemas.microsoft.com/office/drawing/2014/main" id="{F665014C-2D3E-4D2E-8D31-3257F9656B6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3" name="AutoShape 2" descr="Story">
          <a:hlinkClick xmlns:r="http://schemas.openxmlformats.org/officeDocument/2006/relationships" r:id="rId8"/>
          <a:extLst>
            <a:ext uri="{FF2B5EF4-FFF2-40B4-BE49-F238E27FC236}">
              <a16:creationId xmlns:a16="http://schemas.microsoft.com/office/drawing/2014/main" id="{D913C9D3-4508-4927-BF9E-70A0B38C482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4" name="AutoShape 5" descr="Story">
          <a:hlinkClick xmlns:r="http://schemas.openxmlformats.org/officeDocument/2006/relationships" r:id="rId6"/>
          <a:extLst>
            <a:ext uri="{FF2B5EF4-FFF2-40B4-BE49-F238E27FC236}">
              <a16:creationId xmlns:a16="http://schemas.microsoft.com/office/drawing/2014/main" id="{585EF030-2975-4850-9DF4-E28795E17D0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5" name="AutoShape 1" descr="Sub-task">
          <a:hlinkClick xmlns:r="http://schemas.openxmlformats.org/officeDocument/2006/relationships" r:id="rId9"/>
          <a:extLst>
            <a:ext uri="{FF2B5EF4-FFF2-40B4-BE49-F238E27FC236}">
              <a16:creationId xmlns:a16="http://schemas.microsoft.com/office/drawing/2014/main" id="{87852D86-A612-424E-AF98-4D2BB6DC8E5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6" name="AutoShape 2" descr="Sub-task">
          <a:hlinkClick xmlns:r="http://schemas.openxmlformats.org/officeDocument/2006/relationships" r:id="rId10"/>
          <a:extLst>
            <a:ext uri="{FF2B5EF4-FFF2-40B4-BE49-F238E27FC236}">
              <a16:creationId xmlns:a16="http://schemas.microsoft.com/office/drawing/2014/main" id="{579AD49F-C693-4C79-B492-F1F740C5F6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7" name="AutoShape 3" descr="Story">
          <a:hlinkClick xmlns:r="http://schemas.openxmlformats.org/officeDocument/2006/relationships" r:id="rId11"/>
          <a:extLst>
            <a:ext uri="{FF2B5EF4-FFF2-40B4-BE49-F238E27FC236}">
              <a16:creationId xmlns:a16="http://schemas.microsoft.com/office/drawing/2014/main" id="{A505D110-F2A8-437B-88F2-9D9E0E6487F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8" name="AutoShape 12" descr="Story">
          <a:hlinkClick xmlns:r="http://schemas.openxmlformats.org/officeDocument/2006/relationships" r:id="rId12"/>
          <a:extLst>
            <a:ext uri="{FF2B5EF4-FFF2-40B4-BE49-F238E27FC236}">
              <a16:creationId xmlns:a16="http://schemas.microsoft.com/office/drawing/2014/main" id="{F223C2A6-1F2F-40C2-A85A-7723B605775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9" name="AutoShape 1" descr="Story">
          <a:hlinkClick xmlns:r="http://schemas.openxmlformats.org/officeDocument/2006/relationships" r:id="rId13"/>
          <a:extLst>
            <a:ext uri="{FF2B5EF4-FFF2-40B4-BE49-F238E27FC236}">
              <a16:creationId xmlns:a16="http://schemas.microsoft.com/office/drawing/2014/main" id="{FE8C9711-0EDE-4478-9952-A8142D208B4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0" name="AutoShape 1" descr="Story">
          <a:hlinkClick xmlns:r="http://schemas.openxmlformats.org/officeDocument/2006/relationships" r:id="rId13"/>
          <a:extLst>
            <a:ext uri="{FF2B5EF4-FFF2-40B4-BE49-F238E27FC236}">
              <a16:creationId xmlns:a16="http://schemas.microsoft.com/office/drawing/2014/main" id="{4ED7D6CF-0FF8-4E58-ABE8-BE702B637F1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1" name="AutoShape 3" descr="Story">
          <a:hlinkClick xmlns:r="http://schemas.openxmlformats.org/officeDocument/2006/relationships" r:id="rId4"/>
          <a:extLst>
            <a:ext uri="{FF2B5EF4-FFF2-40B4-BE49-F238E27FC236}">
              <a16:creationId xmlns:a16="http://schemas.microsoft.com/office/drawing/2014/main" id="{4C3B86E8-74B1-43FE-AA4E-13117128D91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2" name="AutoShape 4" descr="Story">
          <a:hlinkClick xmlns:r="http://schemas.openxmlformats.org/officeDocument/2006/relationships" r:id="rId5"/>
          <a:extLst>
            <a:ext uri="{FF2B5EF4-FFF2-40B4-BE49-F238E27FC236}">
              <a16:creationId xmlns:a16="http://schemas.microsoft.com/office/drawing/2014/main" id="{FE4A119A-8F46-422D-AD3D-CB85E45440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3" name="AutoShape 1" descr="Story">
          <a:hlinkClick xmlns:r="http://schemas.openxmlformats.org/officeDocument/2006/relationships" r:id="rId7"/>
          <a:extLst>
            <a:ext uri="{FF2B5EF4-FFF2-40B4-BE49-F238E27FC236}">
              <a16:creationId xmlns:a16="http://schemas.microsoft.com/office/drawing/2014/main" id="{29D9C065-617A-4ADF-937A-60F503533B4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4" name="AutoShape 2" descr="Story">
          <a:hlinkClick xmlns:r="http://schemas.openxmlformats.org/officeDocument/2006/relationships" r:id="rId8"/>
          <a:extLst>
            <a:ext uri="{FF2B5EF4-FFF2-40B4-BE49-F238E27FC236}">
              <a16:creationId xmlns:a16="http://schemas.microsoft.com/office/drawing/2014/main" id="{4B8D597C-BD69-4D1F-AD4F-918B7730937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5" name="AutoShape 3" descr="Story">
          <a:hlinkClick xmlns:r="http://schemas.openxmlformats.org/officeDocument/2006/relationships" r:id="rId4"/>
          <a:extLst>
            <a:ext uri="{FF2B5EF4-FFF2-40B4-BE49-F238E27FC236}">
              <a16:creationId xmlns:a16="http://schemas.microsoft.com/office/drawing/2014/main" id="{92A1A93D-2BED-45DC-92E6-0CD692CCA7A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6" name="AutoShape 4" descr="Story">
          <a:hlinkClick xmlns:r="http://schemas.openxmlformats.org/officeDocument/2006/relationships" r:id="rId5"/>
          <a:extLst>
            <a:ext uri="{FF2B5EF4-FFF2-40B4-BE49-F238E27FC236}">
              <a16:creationId xmlns:a16="http://schemas.microsoft.com/office/drawing/2014/main" id="{199B1428-BFD4-48D3-B343-5F38AF6149B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7" name="AutoShape 5" descr="Story">
          <a:hlinkClick xmlns:r="http://schemas.openxmlformats.org/officeDocument/2006/relationships" r:id="rId6"/>
          <a:extLst>
            <a:ext uri="{FF2B5EF4-FFF2-40B4-BE49-F238E27FC236}">
              <a16:creationId xmlns:a16="http://schemas.microsoft.com/office/drawing/2014/main" id="{3FE0E222-D057-4BDA-9216-FE6BD39113B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8" name="AutoShape 1" descr="Sub-task">
          <a:hlinkClick xmlns:r="http://schemas.openxmlformats.org/officeDocument/2006/relationships" r:id="rId9"/>
          <a:extLst>
            <a:ext uri="{FF2B5EF4-FFF2-40B4-BE49-F238E27FC236}">
              <a16:creationId xmlns:a16="http://schemas.microsoft.com/office/drawing/2014/main" id="{C592259C-66EF-4AB0-872F-F74828DE6F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9" name="AutoShape 2" descr="Sub-task">
          <a:hlinkClick xmlns:r="http://schemas.openxmlformats.org/officeDocument/2006/relationships" r:id="rId10"/>
          <a:extLst>
            <a:ext uri="{FF2B5EF4-FFF2-40B4-BE49-F238E27FC236}">
              <a16:creationId xmlns:a16="http://schemas.microsoft.com/office/drawing/2014/main" id="{DF229011-5FDC-4C4A-81CD-95C5F2532E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0" name="AutoShape 7" descr="Story">
          <a:hlinkClick xmlns:r="http://schemas.openxmlformats.org/officeDocument/2006/relationships" r:id="rId3"/>
          <a:extLst>
            <a:ext uri="{FF2B5EF4-FFF2-40B4-BE49-F238E27FC236}">
              <a16:creationId xmlns:a16="http://schemas.microsoft.com/office/drawing/2014/main" id="{94E77E92-A39D-4644-BE6D-F801903D708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1" name="AutoShape 3" descr="Story">
          <a:hlinkClick xmlns:r="http://schemas.openxmlformats.org/officeDocument/2006/relationships" r:id="rId11"/>
          <a:extLst>
            <a:ext uri="{FF2B5EF4-FFF2-40B4-BE49-F238E27FC236}">
              <a16:creationId xmlns:a16="http://schemas.microsoft.com/office/drawing/2014/main" id="{053F8718-7A77-40AC-A886-17CDEC13A03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2" name="AutoShape 12" descr="Story">
          <a:hlinkClick xmlns:r="http://schemas.openxmlformats.org/officeDocument/2006/relationships" r:id="rId12"/>
          <a:extLst>
            <a:ext uri="{FF2B5EF4-FFF2-40B4-BE49-F238E27FC236}">
              <a16:creationId xmlns:a16="http://schemas.microsoft.com/office/drawing/2014/main" id="{831061E2-8C4B-4FA1-A4F9-F249A80D9F2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3" name="AutoShape 1" descr="Story">
          <a:hlinkClick xmlns:r="http://schemas.openxmlformats.org/officeDocument/2006/relationships" r:id="rId13"/>
          <a:extLst>
            <a:ext uri="{FF2B5EF4-FFF2-40B4-BE49-F238E27FC236}">
              <a16:creationId xmlns:a16="http://schemas.microsoft.com/office/drawing/2014/main" id="{A32B7B4C-B8C9-47B4-9999-D2B905A123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4" name="AutoShape 1" descr="Story">
          <a:hlinkClick xmlns:r="http://schemas.openxmlformats.org/officeDocument/2006/relationships" r:id="rId13"/>
          <a:extLst>
            <a:ext uri="{FF2B5EF4-FFF2-40B4-BE49-F238E27FC236}">
              <a16:creationId xmlns:a16="http://schemas.microsoft.com/office/drawing/2014/main" id="{C1FF52A8-BE16-46E1-906C-42E998F2B9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5" name="AutoShape 3" descr="Story">
          <a:hlinkClick xmlns:r="http://schemas.openxmlformats.org/officeDocument/2006/relationships" r:id="rId4"/>
          <a:extLst>
            <a:ext uri="{FF2B5EF4-FFF2-40B4-BE49-F238E27FC236}">
              <a16:creationId xmlns:a16="http://schemas.microsoft.com/office/drawing/2014/main" id="{52E48E40-E057-49A1-8E8F-BE7E5A67617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6" name="AutoShape 4" descr="Story">
          <a:hlinkClick xmlns:r="http://schemas.openxmlformats.org/officeDocument/2006/relationships" r:id="rId5"/>
          <a:extLst>
            <a:ext uri="{FF2B5EF4-FFF2-40B4-BE49-F238E27FC236}">
              <a16:creationId xmlns:a16="http://schemas.microsoft.com/office/drawing/2014/main" id="{4075EC0B-111B-420D-B7CE-02334FEC0AC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7" name="AutoShape 7" descr="Story">
          <a:hlinkClick xmlns:r="http://schemas.openxmlformats.org/officeDocument/2006/relationships" r:id="rId3"/>
          <a:extLst>
            <a:ext uri="{FF2B5EF4-FFF2-40B4-BE49-F238E27FC236}">
              <a16:creationId xmlns:a16="http://schemas.microsoft.com/office/drawing/2014/main" id="{98400EF5-5DB7-49FC-B407-70AE68439C4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8" name="AutoShape 8" descr="Story">
          <a:hlinkClick xmlns:r="http://schemas.openxmlformats.org/officeDocument/2006/relationships" r:id="rId4"/>
          <a:extLst>
            <a:ext uri="{FF2B5EF4-FFF2-40B4-BE49-F238E27FC236}">
              <a16:creationId xmlns:a16="http://schemas.microsoft.com/office/drawing/2014/main" id="{7D7236E0-09F7-4B50-938F-610A7F82B20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9" name="AutoShape 8" descr="Story">
          <a:hlinkClick xmlns:r="http://schemas.openxmlformats.org/officeDocument/2006/relationships" r:id="rId4"/>
          <a:extLst>
            <a:ext uri="{FF2B5EF4-FFF2-40B4-BE49-F238E27FC236}">
              <a16:creationId xmlns:a16="http://schemas.microsoft.com/office/drawing/2014/main" id="{B16CDA29-5912-48FB-8B86-9C23DFBE33C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1420" name="AutoShape 1" descr="Story">
          <a:hlinkClick xmlns:r="http://schemas.openxmlformats.org/officeDocument/2006/relationships" r:id="rId13"/>
          <a:extLst>
            <a:ext uri="{FF2B5EF4-FFF2-40B4-BE49-F238E27FC236}">
              <a16:creationId xmlns:a16="http://schemas.microsoft.com/office/drawing/2014/main" id="{263A13EB-8B3B-4A20-B974-057DC7F594E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21" name="AutoShape 2" descr="Story">
          <a:hlinkClick xmlns:r="http://schemas.openxmlformats.org/officeDocument/2006/relationships" r:id="rId12"/>
          <a:extLst>
            <a:ext uri="{FF2B5EF4-FFF2-40B4-BE49-F238E27FC236}">
              <a16:creationId xmlns:a16="http://schemas.microsoft.com/office/drawing/2014/main" id="{1C509858-F7BC-4B41-941F-6294093E4B3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22" name="AutoShape 3" descr="Story">
          <a:hlinkClick xmlns:r="http://schemas.openxmlformats.org/officeDocument/2006/relationships" r:id="rId11"/>
          <a:extLst>
            <a:ext uri="{FF2B5EF4-FFF2-40B4-BE49-F238E27FC236}">
              <a16:creationId xmlns:a16="http://schemas.microsoft.com/office/drawing/2014/main" id="{60EEC299-FBE7-4804-8A56-DDB694C45E8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3" name="AutoShape 4" descr="Bug">
          <a:hlinkClick xmlns:r="http://schemas.openxmlformats.org/officeDocument/2006/relationships" r:id="rId1"/>
          <a:extLst>
            <a:ext uri="{FF2B5EF4-FFF2-40B4-BE49-F238E27FC236}">
              <a16:creationId xmlns:a16="http://schemas.microsoft.com/office/drawing/2014/main" id="{A7385FDA-5FB9-4CB0-8E7E-8944E78D345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24" name="AutoShape 5" descr="Story">
          <a:hlinkClick xmlns:r="http://schemas.openxmlformats.org/officeDocument/2006/relationships" r:id="rId14"/>
          <a:extLst>
            <a:ext uri="{FF2B5EF4-FFF2-40B4-BE49-F238E27FC236}">
              <a16:creationId xmlns:a16="http://schemas.microsoft.com/office/drawing/2014/main" id="{C433634E-338C-447B-B461-4F7043BFCFC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5" name="AutoShape 6" descr="Bug">
          <a:hlinkClick xmlns:r="http://schemas.openxmlformats.org/officeDocument/2006/relationships" r:id="rId2"/>
          <a:extLst>
            <a:ext uri="{FF2B5EF4-FFF2-40B4-BE49-F238E27FC236}">
              <a16:creationId xmlns:a16="http://schemas.microsoft.com/office/drawing/2014/main" id="{D67BE1CF-F085-4B65-B7CC-BB5EE1EACE6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6" name="AutoShape 7" descr="Story">
          <a:hlinkClick xmlns:r="http://schemas.openxmlformats.org/officeDocument/2006/relationships" r:id="rId3"/>
          <a:extLst>
            <a:ext uri="{FF2B5EF4-FFF2-40B4-BE49-F238E27FC236}">
              <a16:creationId xmlns:a16="http://schemas.microsoft.com/office/drawing/2014/main" id="{ECDE3B31-FE45-4CF8-96B5-9F7C7CB71E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7" name="AutoShape 8" descr="Story">
          <a:hlinkClick xmlns:r="http://schemas.openxmlformats.org/officeDocument/2006/relationships" r:id="rId4"/>
          <a:extLst>
            <a:ext uri="{FF2B5EF4-FFF2-40B4-BE49-F238E27FC236}">
              <a16:creationId xmlns:a16="http://schemas.microsoft.com/office/drawing/2014/main" id="{75C599AC-4E3B-4D02-BDB0-D97572A41F7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8" name="AutoShape 9" descr="Story">
          <a:hlinkClick xmlns:r="http://schemas.openxmlformats.org/officeDocument/2006/relationships" r:id="rId5"/>
          <a:extLst>
            <a:ext uri="{FF2B5EF4-FFF2-40B4-BE49-F238E27FC236}">
              <a16:creationId xmlns:a16="http://schemas.microsoft.com/office/drawing/2014/main" id="{C688DABE-E6D7-4934-A304-F9CB463B583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29" name="AutoShape 10" descr="Story">
          <a:hlinkClick xmlns:r="http://schemas.openxmlformats.org/officeDocument/2006/relationships" r:id="rId6"/>
          <a:extLst>
            <a:ext uri="{FF2B5EF4-FFF2-40B4-BE49-F238E27FC236}">
              <a16:creationId xmlns:a16="http://schemas.microsoft.com/office/drawing/2014/main" id="{1936B941-97F3-40FB-B5C4-B050130E43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30" name="AutoShape 11" descr="Story">
          <a:hlinkClick xmlns:r="http://schemas.openxmlformats.org/officeDocument/2006/relationships" r:id="rId15"/>
          <a:extLst>
            <a:ext uri="{FF2B5EF4-FFF2-40B4-BE49-F238E27FC236}">
              <a16:creationId xmlns:a16="http://schemas.microsoft.com/office/drawing/2014/main" id="{FE84FD05-A524-4E89-A670-D410933849B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31" name="AutoShape 12" descr="Story">
          <a:hlinkClick xmlns:r="http://schemas.openxmlformats.org/officeDocument/2006/relationships" r:id="rId12"/>
          <a:extLst>
            <a:ext uri="{FF2B5EF4-FFF2-40B4-BE49-F238E27FC236}">
              <a16:creationId xmlns:a16="http://schemas.microsoft.com/office/drawing/2014/main" id="{ED32FC05-1490-4A2F-9A72-174B8ABDFB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32" name="AutoShape 13" descr="Story">
          <a:hlinkClick xmlns:r="http://schemas.openxmlformats.org/officeDocument/2006/relationships" r:id="rId4"/>
          <a:extLst>
            <a:ext uri="{FF2B5EF4-FFF2-40B4-BE49-F238E27FC236}">
              <a16:creationId xmlns:a16="http://schemas.microsoft.com/office/drawing/2014/main" id="{7CC45747-FED8-4DF5-8158-00CDC062D53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33" name="AutoShape 14" descr="Story">
          <a:hlinkClick xmlns:r="http://schemas.openxmlformats.org/officeDocument/2006/relationships" r:id="rId4"/>
          <a:extLst>
            <a:ext uri="{FF2B5EF4-FFF2-40B4-BE49-F238E27FC236}">
              <a16:creationId xmlns:a16="http://schemas.microsoft.com/office/drawing/2014/main" id="{E652CAF4-D8CF-4674-8A2C-A6552D3190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34" name="AutoShape 15" descr="Story">
          <a:hlinkClick xmlns:r="http://schemas.openxmlformats.org/officeDocument/2006/relationships" r:id="rId4"/>
          <a:extLst>
            <a:ext uri="{FF2B5EF4-FFF2-40B4-BE49-F238E27FC236}">
              <a16:creationId xmlns:a16="http://schemas.microsoft.com/office/drawing/2014/main" id="{67F5158D-8C60-41CA-A6C3-9FD82C3B269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1267</xdr:row>
      <xdr:rowOff>0</xdr:rowOff>
    </xdr:from>
    <xdr:ext cx="152400" cy="152400"/>
    <xdr:sp macro="" textlink="">
      <xdr:nvSpPr>
        <xdr:cNvPr id="1435" name="AutoShape 1" descr="Story">
          <a:hlinkClick xmlns:r="http://schemas.openxmlformats.org/officeDocument/2006/relationships" r:id="rId7"/>
          <a:extLst>
            <a:ext uri="{FF2B5EF4-FFF2-40B4-BE49-F238E27FC236}">
              <a16:creationId xmlns:a16="http://schemas.microsoft.com/office/drawing/2014/main" id="{1E68D784-EC05-45B2-AF69-885A5F92A7C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6" name="AutoShape 2" descr="Story">
          <a:hlinkClick xmlns:r="http://schemas.openxmlformats.org/officeDocument/2006/relationships" r:id="rId8"/>
          <a:extLst>
            <a:ext uri="{FF2B5EF4-FFF2-40B4-BE49-F238E27FC236}">
              <a16:creationId xmlns:a16="http://schemas.microsoft.com/office/drawing/2014/main" id="{7A9D88D0-13CA-4A0A-BA5E-C0132D05902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7" name="AutoShape 5" descr="Story">
          <a:hlinkClick xmlns:r="http://schemas.openxmlformats.org/officeDocument/2006/relationships" r:id="rId6"/>
          <a:extLst>
            <a:ext uri="{FF2B5EF4-FFF2-40B4-BE49-F238E27FC236}">
              <a16:creationId xmlns:a16="http://schemas.microsoft.com/office/drawing/2014/main" id="{DAE91732-EC00-42D7-9C74-6F739DD2385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8" name="AutoShape 1" descr="Sub-task">
          <a:hlinkClick xmlns:r="http://schemas.openxmlformats.org/officeDocument/2006/relationships" r:id="rId9"/>
          <a:extLst>
            <a:ext uri="{FF2B5EF4-FFF2-40B4-BE49-F238E27FC236}">
              <a16:creationId xmlns:a16="http://schemas.microsoft.com/office/drawing/2014/main" id="{45DFECE3-4FDD-4C86-8110-3BFEA848423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9" name="AutoShape 2" descr="Sub-task">
          <a:hlinkClick xmlns:r="http://schemas.openxmlformats.org/officeDocument/2006/relationships" r:id="rId10"/>
          <a:extLst>
            <a:ext uri="{FF2B5EF4-FFF2-40B4-BE49-F238E27FC236}">
              <a16:creationId xmlns:a16="http://schemas.microsoft.com/office/drawing/2014/main" id="{9E62DD4E-A472-4AED-A3BC-10CE3B82D0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0" name="AutoShape 3" descr="Story">
          <a:hlinkClick xmlns:r="http://schemas.openxmlformats.org/officeDocument/2006/relationships" r:id="rId11"/>
          <a:extLst>
            <a:ext uri="{FF2B5EF4-FFF2-40B4-BE49-F238E27FC236}">
              <a16:creationId xmlns:a16="http://schemas.microsoft.com/office/drawing/2014/main" id="{DAEC7955-F4C1-48AE-A1ED-90DBECE9AC3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1" name="AutoShape 12" descr="Story">
          <a:hlinkClick xmlns:r="http://schemas.openxmlformats.org/officeDocument/2006/relationships" r:id="rId12"/>
          <a:extLst>
            <a:ext uri="{FF2B5EF4-FFF2-40B4-BE49-F238E27FC236}">
              <a16:creationId xmlns:a16="http://schemas.microsoft.com/office/drawing/2014/main" id="{4941FE95-63C2-4207-BB1C-BF12F6E44A5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2" name="AutoShape 1" descr="Story">
          <a:hlinkClick xmlns:r="http://schemas.openxmlformats.org/officeDocument/2006/relationships" r:id="rId13"/>
          <a:extLst>
            <a:ext uri="{FF2B5EF4-FFF2-40B4-BE49-F238E27FC236}">
              <a16:creationId xmlns:a16="http://schemas.microsoft.com/office/drawing/2014/main" id="{4184CB6C-1E65-43CA-9A88-155DBA513B1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3" name="AutoShape 1" descr="Story">
          <a:hlinkClick xmlns:r="http://schemas.openxmlformats.org/officeDocument/2006/relationships" r:id="rId13"/>
          <a:extLst>
            <a:ext uri="{FF2B5EF4-FFF2-40B4-BE49-F238E27FC236}">
              <a16:creationId xmlns:a16="http://schemas.microsoft.com/office/drawing/2014/main" id="{51E0D458-9CAB-40FA-A8F9-5F858351DAC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4" name="AutoShape 3" descr="Story">
          <a:hlinkClick xmlns:r="http://schemas.openxmlformats.org/officeDocument/2006/relationships" r:id="rId4"/>
          <a:extLst>
            <a:ext uri="{FF2B5EF4-FFF2-40B4-BE49-F238E27FC236}">
              <a16:creationId xmlns:a16="http://schemas.microsoft.com/office/drawing/2014/main" id="{9DEEBCFC-7B32-4298-863A-D68CC069EA2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5" name="AutoShape 4" descr="Story">
          <a:hlinkClick xmlns:r="http://schemas.openxmlformats.org/officeDocument/2006/relationships" r:id="rId5"/>
          <a:extLst>
            <a:ext uri="{FF2B5EF4-FFF2-40B4-BE49-F238E27FC236}">
              <a16:creationId xmlns:a16="http://schemas.microsoft.com/office/drawing/2014/main" id="{A31FC225-4163-4588-ADDC-3FA63F682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46" name="AutoShape 1" descr="Story">
          <a:hlinkClick xmlns:r="http://schemas.openxmlformats.org/officeDocument/2006/relationships" r:id="rId7"/>
          <a:extLst>
            <a:ext uri="{FF2B5EF4-FFF2-40B4-BE49-F238E27FC236}">
              <a16:creationId xmlns:a16="http://schemas.microsoft.com/office/drawing/2014/main" id="{45C9B557-CA82-4C3B-9D46-7B8C7270331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47" name="AutoShape 2" descr="Story">
          <a:hlinkClick xmlns:r="http://schemas.openxmlformats.org/officeDocument/2006/relationships" r:id="rId8"/>
          <a:extLst>
            <a:ext uri="{FF2B5EF4-FFF2-40B4-BE49-F238E27FC236}">
              <a16:creationId xmlns:a16="http://schemas.microsoft.com/office/drawing/2014/main" id="{70A58CD4-F56F-40F9-A620-5CB44BBC288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8" name="AutoShape 3" descr="Story">
          <a:hlinkClick xmlns:r="http://schemas.openxmlformats.org/officeDocument/2006/relationships" r:id="rId4"/>
          <a:extLst>
            <a:ext uri="{FF2B5EF4-FFF2-40B4-BE49-F238E27FC236}">
              <a16:creationId xmlns:a16="http://schemas.microsoft.com/office/drawing/2014/main" id="{107F3CEB-733D-4DC3-9265-F4056BAF589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9" name="AutoShape 4" descr="Story">
          <a:hlinkClick xmlns:r="http://schemas.openxmlformats.org/officeDocument/2006/relationships" r:id="rId5"/>
          <a:extLst>
            <a:ext uri="{FF2B5EF4-FFF2-40B4-BE49-F238E27FC236}">
              <a16:creationId xmlns:a16="http://schemas.microsoft.com/office/drawing/2014/main" id="{16EC9069-019B-45C7-95A9-DF8107F2B34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0" name="AutoShape 5" descr="Story">
          <a:hlinkClick xmlns:r="http://schemas.openxmlformats.org/officeDocument/2006/relationships" r:id="rId6"/>
          <a:extLst>
            <a:ext uri="{FF2B5EF4-FFF2-40B4-BE49-F238E27FC236}">
              <a16:creationId xmlns:a16="http://schemas.microsoft.com/office/drawing/2014/main" id="{9D9376F6-B50D-473F-BDEE-4B77AA8F1D8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1" name="AutoShape 1" descr="Sub-task">
          <a:hlinkClick xmlns:r="http://schemas.openxmlformats.org/officeDocument/2006/relationships" r:id="rId9"/>
          <a:extLst>
            <a:ext uri="{FF2B5EF4-FFF2-40B4-BE49-F238E27FC236}">
              <a16:creationId xmlns:a16="http://schemas.microsoft.com/office/drawing/2014/main" id="{CA647EBE-8210-4129-B933-A2CB74DB7CB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2" name="AutoShape 2" descr="Sub-task">
          <a:hlinkClick xmlns:r="http://schemas.openxmlformats.org/officeDocument/2006/relationships" r:id="rId10"/>
          <a:extLst>
            <a:ext uri="{FF2B5EF4-FFF2-40B4-BE49-F238E27FC236}">
              <a16:creationId xmlns:a16="http://schemas.microsoft.com/office/drawing/2014/main" id="{B608344B-A290-4595-AEE6-DE5FFB63BFC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53" name="AutoShape 7" descr="Story">
          <a:hlinkClick xmlns:r="http://schemas.openxmlformats.org/officeDocument/2006/relationships" r:id="rId3"/>
          <a:extLst>
            <a:ext uri="{FF2B5EF4-FFF2-40B4-BE49-F238E27FC236}">
              <a16:creationId xmlns:a16="http://schemas.microsoft.com/office/drawing/2014/main" id="{4159F0EE-A924-42A5-8058-FE5F21A227F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4" name="AutoShape 3" descr="Story">
          <a:hlinkClick xmlns:r="http://schemas.openxmlformats.org/officeDocument/2006/relationships" r:id="rId11"/>
          <a:extLst>
            <a:ext uri="{FF2B5EF4-FFF2-40B4-BE49-F238E27FC236}">
              <a16:creationId xmlns:a16="http://schemas.microsoft.com/office/drawing/2014/main" id="{C4BF70F9-6153-495D-8B13-81474994385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5" name="AutoShape 12" descr="Story">
          <a:hlinkClick xmlns:r="http://schemas.openxmlformats.org/officeDocument/2006/relationships" r:id="rId12"/>
          <a:extLst>
            <a:ext uri="{FF2B5EF4-FFF2-40B4-BE49-F238E27FC236}">
              <a16:creationId xmlns:a16="http://schemas.microsoft.com/office/drawing/2014/main" id="{B64BD2B7-876B-4F0C-8BF8-E0A679EF206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6" name="AutoShape 1" descr="Story">
          <a:hlinkClick xmlns:r="http://schemas.openxmlformats.org/officeDocument/2006/relationships" r:id="rId13"/>
          <a:extLst>
            <a:ext uri="{FF2B5EF4-FFF2-40B4-BE49-F238E27FC236}">
              <a16:creationId xmlns:a16="http://schemas.microsoft.com/office/drawing/2014/main" id="{CDBC1939-4FC5-4E5D-9720-B9AAAAD33B4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7" name="AutoShape 1" descr="Story">
          <a:hlinkClick xmlns:r="http://schemas.openxmlformats.org/officeDocument/2006/relationships" r:id="rId13"/>
          <a:extLst>
            <a:ext uri="{FF2B5EF4-FFF2-40B4-BE49-F238E27FC236}">
              <a16:creationId xmlns:a16="http://schemas.microsoft.com/office/drawing/2014/main" id="{D3693C83-4E39-4897-B2EF-CEDECA4595F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8" name="AutoShape 3" descr="Story">
          <a:hlinkClick xmlns:r="http://schemas.openxmlformats.org/officeDocument/2006/relationships" r:id="rId4"/>
          <a:extLst>
            <a:ext uri="{FF2B5EF4-FFF2-40B4-BE49-F238E27FC236}">
              <a16:creationId xmlns:a16="http://schemas.microsoft.com/office/drawing/2014/main" id="{30AF0AA7-8306-4BD2-AED1-C9539D98AAB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9" name="AutoShape 4" descr="Story">
          <a:hlinkClick xmlns:r="http://schemas.openxmlformats.org/officeDocument/2006/relationships" r:id="rId5"/>
          <a:extLst>
            <a:ext uri="{FF2B5EF4-FFF2-40B4-BE49-F238E27FC236}">
              <a16:creationId xmlns:a16="http://schemas.microsoft.com/office/drawing/2014/main" id="{FE61C8D3-098D-4086-A2C2-47372C38C1A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60" name="AutoShape 7" descr="Story">
          <a:hlinkClick xmlns:r="http://schemas.openxmlformats.org/officeDocument/2006/relationships" r:id="rId3"/>
          <a:extLst>
            <a:ext uri="{FF2B5EF4-FFF2-40B4-BE49-F238E27FC236}">
              <a16:creationId xmlns:a16="http://schemas.microsoft.com/office/drawing/2014/main" id="{33247AD9-6A5B-484E-A209-4071B8A1215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61" name="AutoShape 8" descr="Story">
          <a:hlinkClick xmlns:r="http://schemas.openxmlformats.org/officeDocument/2006/relationships" r:id="rId4"/>
          <a:extLst>
            <a:ext uri="{FF2B5EF4-FFF2-40B4-BE49-F238E27FC236}">
              <a16:creationId xmlns:a16="http://schemas.microsoft.com/office/drawing/2014/main" id="{1E1B329F-2999-451E-83D6-33427E16317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62" name="AutoShape 8" descr="Story">
          <a:hlinkClick xmlns:r="http://schemas.openxmlformats.org/officeDocument/2006/relationships" r:id="rId4"/>
          <a:extLst>
            <a:ext uri="{FF2B5EF4-FFF2-40B4-BE49-F238E27FC236}">
              <a16:creationId xmlns:a16="http://schemas.microsoft.com/office/drawing/2014/main" id="{62BDF560-F324-4820-9E45-BC1695708E9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1272</xdr:row>
      <xdr:rowOff>0</xdr:rowOff>
    </xdr:from>
    <xdr:to>
      <xdr:col>0</xdr:col>
      <xdr:colOff>152400</xdr:colOff>
      <xdr:row>1272</xdr:row>
      <xdr:rowOff>152400</xdr:rowOff>
    </xdr:to>
    <xdr:sp macro="" textlink="">
      <xdr:nvSpPr>
        <xdr:cNvPr id="1463" name="AutoShape 1" descr="Story">
          <a:hlinkClick xmlns:r="http://schemas.openxmlformats.org/officeDocument/2006/relationships" r:id="rId13"/>
          <a:extLst>
            <a:ext uri="{FF2B5EF4-FFF2-40B4-BE49-F238E27FC236}">
              <a16:creationId xmlns:a16="http://schemas.microsoft.com/office/drawing/2014/main" id="{09725356-298D-4AFF-B48C-6FD63988C12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64" name="AutoShape 2" descr="Story">
          <a:hlinkClick xmlns:r="http://schemas.openxmlformats.org/officeDocument/2006/relationships" r:id="rId12"/>
          <a:extLst>
            <a:ext uri="{FF2B5EF4-FFF2-40B4-BE49-F238E27FC236}">
              <a16:creationId xmlns:a16="http://schemas.microsoft.com/office/drawing/2014/main" id="{9B611802-B899-4E53-B0AF-C04AFDF24B8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65" name="AutoShape 3" descr="Story">
          <a:hlinkClick xmlns:r="http://schemas.openxmlformats.org/officeDocument/2006/relationships" r:id="rId11"/>
          <a:extLst>
            <a:ext uri="{FF2B5EF4-FFF2-40B4-BE49-F238E27FC236}">
              <a16:creationId xmlns:a16="http://schemas.microsoft.com/office/drawing/2014/main" id="{FDCC2298-79B6-4552-973C-43526A3E2E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6" name="AutoShape 4" descr="Bug">
          <a:hlinkClick xmlns:r="http://schemas.openxmlformats.org/officeDocument/2006/relationships" r:id="rId1"/>
          <a:extLst>
            <a:ext uri="{FF2B5EF4-FFF2-40B4-BE49-F238E27FC236}">
              <a16:creationId xmlns:a16="http://schemas.microsoft.com/office/drawing/2014/main" id="{6B14A5FA-46EB-4BAC-B623-67A644D84AA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67" name="AutoShape 5" descr="Story">
          <a:hlinkClick xmlns:r="http://schemas.openxmlformats.org/officeDocument/2006/relationships" r:id="rId14"/>
          <a:extLst>
            <a:ext uri="{FF2B5EF4-FFF2-40B4-BE49-F238E27FC236}">
              <a16:creationId xmlns:a16="http://schemas.microsoft.com/office/drawing/2014/main" id="{5CFCE423-3872-47A8-BA8E-FB18B7B0896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8" name="AutoShape 6" descr="Bug">
          <a:hlinkClick xmlns:r="http://schemas.openxmlformats.org/officeDocument/2006/relationships" r:id="rId2"/>
          <a:extLst>
            <a:ext uri="{FF2B5EF4-FFF2-40B4-BE49-F238E27FC236}">
              <a16:creationId xmlns:a16="http://schemas.microsoft.com/office/drawing/2014/main" id="{96BB58A8-B907-401D-A6E1-9F67732F62F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9" name="AutoShape 7" descr="Story">
          <a:hlinkClick xmlns:r="http://schemas.openxmlformats.org/officeDocument/2006/relationships" r:id="rId3"/>
          <a:extLst>
            <a:ext uri="{FF2B5EF4-FFF2-40B4-BE49-F238E27FC236}">
              <a16:creationId xmlns:a16="http://schemas.microsoft.com/office/drawing/2014/main" id="{1C25AD55-F2DB-4742-9112-2500BAB78B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0" name="AutoShape 8" descr="Story">
          <a:hlinkClick xmlns:r="http://schemas.openxmlformats.org/officeDocument/2006/relationships" r:id="rId4"/>
          <a:extLst>
            <a:ext uri="{FF2B5EF4-FFF2-40B4-BE49-F238E27FC236}">
              <a16:creationId xmlns:a16="http://schemas.microsoft.com/office/drawing/2014/main" id="{A270124E-13DD-4EAA-B706-0BEA4552DF7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1" name="AutoShape 9" descr="Story">
          <a:hlinkClick xmlns:r="http://schemas.openxmlformats.org/officeDocument/2006/relationships" r:id="rId5"/>
          <a:extLst>
            <a:ext uri="{FF2B5EF4-FFF2-40B4-BE49-F238E27FC236}">
              <a16:creationId xmlns:a16="http://schemas.microsoft.com/office/drawing/2014/main" id="{FBD7AA09-632A-4274-931B-6654AE1DC18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72" name="AutoShape 10" descr="Story">
          <a:hlinkClick xmlns:r="http://schemas.openxmlformats.org/officeDocument/2006/relationships" r:id="rId6"/>
          <a:extLst>
            <a:ext uri="{FF2B5EF4-FFF2-40B4-BE49-F238E27FC236}">
              <a16:creationId xmlns:a16="http://schemas.microsoft.com/office/drawing/2014/main" id="{F517562D-8396-47D6-9252-CC453D715DF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73" name="AutoShape 11" descr="Story">
          <a:hlinkClick xmlns:r="http://schemas.openxmlformats.org/officeDocument/2006/relationships" r:id="rId15"/>
          <a:extLst>
            <a:ext uri="{FF2B5EF4-FFF2-40B4-BE49-F238E27FC236}">
              <a16:creationId xmlns:a16="http://schemas.microsoft.com/office/drawing/2014/main" id="{0C1B4EAE-212B-43EB-9038-AB9769D343E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74" name="AutoShape 12" descr="Story">
          <a:hlinkClick xmlns:r="http://schemas.openxmlformats.org/officeDocument/2006/relationships" r:id="rId12"/>
          <a:extLst>
            <a:ext uri="{FF2B5EF4-FFF2-40B4-BE49-F238E27FC236}">
              <a16:creationId xmlns:a16="http://schemas.microsoft.com/office/drawing/2014/main" id="{3F21C18B-092F-4AB1-931D-C9C64CE2ACC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5" name="AutoShape 13" descr="Story">
          <a:hlinkClick xmlns:r="http://schemas.openxmlformats.org/officeDocument/2006/relationships" r:id="rId4"/>
          <a:extLst>
            <a:ext uri="{FF2B5EF4-FFF2-40B4-BE49-F238E27FC236}">
              <a16:creationId xmlns:a16="http://schemas.microsoft.com/office/drawing/2014/main" id="{AFFBD9D3-984D-4D10-AC92-6F3D53FC14C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76" name="AutoShape 14" descr="Story">
          <a:hlinkClick xmlns:r="http://schemas.openxmlformats.org/officeDocument/2006/relationships" r:id="rId4"/>
          <a:extLst>
            <a:ext uri="{FF2B5EF4-FFF2-40B4-BE49-F238E27FC236}">
              <a16:creationId xmlns:a16="http://schemas.microsoft.com/office/drawing/2014/main" id="{7D78B8BD-6EF7-4C9B-B2DE-A0B52B6B196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77" name="AutoShape 15" descr="Story">
          <a:hlinkClick xmlns:r="http://schemas.openxmlformats.org/officeDocument/2006/relationships" r:id="rId4"/>
          <a:extLst>
            <a:ext uri="{FF2B5EF4-FFF2-40B4-BE49-F238E27FC236}">
              <a16:creationId xmlns:a16="http://schemas.microsoft.com/office/drawing/2014/main" id="{E66473C4-9894-4E71-91B2-53B748804E8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1267</xdr:row>
      <xdr:rowOff>0</xdr:rowOff>
    </xdr:from>
    <xdr:ext cx="152400" cy="152400"/>
    <xdr:sp macro="" textlink="">
      <xdr:nvSpPr>
        <xdr:cNvPr id="1478" name="AutoShape 1" descr="Story">
          <a:hlinkClick xmlns:r="http://schemas.openxmlformats.org/officeDocument/2006/relationships" r:id="rId7"/>
          <a:extLst>
            <a:ext uri="{FF2B5EF4-FFF2-40B4-BE49-F238E27FC236}">
              <a16:creationId xmlns:a16="http://schemas.microsoft.com/office/drawing/2014/main" id="{C5983AA1-ED86-4E87-9B7E-CF7667FEAB8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79" name="AutoShape 2" descr="Story">
          <a:hlinkClick xmlns:r="http://schemas.openxmlformats.org/officeDocument/2006/relationships" r:id="rId8"/>
          <a:extLst>
            <a:ext uri="{FF2B5EF4-FFF2-40B4-BE49-F238E27FC236}">
              <a16:creationId xmlns:a16="http://schemas.microsoft.com/office/drawing/2014/main" id="{6E0BAFB5-6C1B-4EC0-85D6-1950C68CD89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0" name="AutoShape 5" descr="Story">
          <a:hlinkClick xmlns:r="http://schemas.openxmlformats.org/officeDocument/2006/relationships" r:id="rId6"/>
          <a:extLst>
            <a:ext uri="{FF2B5EF4-FFF2-40B4-BE49-F238E27FC236}">
              <a16:creationId xmlns:a16="http://schemas.microsoft.com/office/drawing/2014/main" id="{9CC1EEA9-171D-49C5-9365-6AC688642A7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1" name="AutoShape 1" descr="Sub-task">
          <a:hlinkClick xmlns:r="http://schemas.openxmlformats.org/officeDocument/2006/relationships" r:id="rId9"/>
          <a:extLst>
            <a:ext uri="{FF2B5EF4-FFF2-40B4-BE49-F238E27FC236}">
              <a16:creationId xmlns:a16="http://schemas.microsoft.com/office/drawing/2014/main" id="{380385BF-3916-4049-9098-4940764B220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2" name="AutoShape 2" descr="Sub-task">
          <a:hlinkClick xmlns:r="http://schemas.openxmlformats.org/officeDocument/2006/relationships" r:id="rId10"/>
          <a:extLst>
            <a:ext uri="{FF2B5EF4-FFF2-40B4-BE49-F238E27FC236}">
              <a16:creationId xmlns:a16="http://schemas.microsoft.com/office/drawing/2014/main" id="{A5A696A1-8577-4B79-A8F2-DE2B78EAAB2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3" name="AutoShape 3" descr="Story">
          <a:hlinkClick xmlns:r="http://schemas.openxmlformats.org/officeDocument/2006/relationships" r:id="rId11"/>
          <a:extLst>
            <a:ext uri="{FF2B5EF4-FFF2-40B4-BE49-F238E27FC236}">
              <a16:creationId xmlns:a16="http://schemas.microsoft.com/office/drawing/2014/main" id="{7A9DB24F-814A-429E-BA29-DE97095EC93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4" name="AutoShape 12" descr="Story">
          <a:hlinkClick xmlns:r="http://schemas.openxmlformats.org/officeDocument/2006/relationships" r:id="rId12"/>
          <a:extLst>
            <a:ext uri="{FF2B5EF4-FFF2-40B4-BE49-F238E27FC236}">
              <a16:creationId xmlns:a16="http://schemas.microsoft.com/office/drawing/2014/main" id="{67D29529-3515-453D-8D2F-32E9322032E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5" name="AutoShape 1" descr="Story">
          <a:hlinkClick xmlns:r="http://schemas.openxmlformats.org/officeDocument/2006/relationships" r:id="rId13"/>
          <a:extLst>
            <a:ext uri="{FF2B5EF4-FFF2-40B4-BE49-F238E27FC236}">
              <a16:creationId xmlns:a16="http://schemas.microsoft.com/office/drawing/2014/main" id="{DDC8E4C9-E144-4C70-9103-265E184B090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6" name="AutoShape 1" descr="Story">
          <a:hlinkClick xmlns:r="http://schemas.openxmlformats.org/officeDocument/2006/relationships" r:id="rId13"/>
          <a:extLst>
            <a:ext uri="{FF2B5EF4-FFF2-40B4-BE49-F238E27FC236}">
              <a16:creationId xmlns:a16="http://schemas.microsoft.com/office/drawing/2014/main" id="{5D281880-EE2C-4CE7-8AA3-B9FA4C9EC0E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7" name="AutoShape 3" descr="Story">
          <a:hlinkClick xmlns:r="http://schemas.openxmlformats.org/officeDocument/2006/relationships" r:id="rId4"/>
          <a:extLst>
            <a:ext uri="{FF2B5EF4-FFF2-40B4-BE49-F238E27FC236}">
              <a16:creationId xmlns:a16="http://schemas.microsoft.com/office/drawing/2014/main" id="{11C62CAF-05BF-47B0-AA33-4740B38A54A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8" name="AutoShape 4" descr="Story">
          <a:hlinkClick xmlns:r="http://schemas.openxmlformats.org/officeDocument/2006/relationships" r:id="rId5"/>
          <a:extLst>
            <a:ext uri="{FF2B5EF4-FFF2-40B4-BE49-F238E27FC236}">
              <a16:creationId xmlns:a16="http://schemas.microsoft.com/office/drawing/2014/main" id="{EEC8369F-C875-4592-92E0-6FBAC4414A1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89" name="AutoShape 1" descr="Story">
          <a:hlinkClick xmlns:r="http://schemas.openxmlformats.org/officeDocument/2006/relationships" r:id="rId7"/>
          <a:extLst>
            <a:ext uri="{FF2B5EF4-FFF2-40B4-BE49-F238E27FC236}">
              <a16:creationId xmlns:a16="http://schemas.microsoft.com/office/drawing/2014/main" id="{15774D59-26E9-46DA-9C88-3180C2E6DCF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0" name="AutoShape 2" descr="Story">
          <a:hlinkClick xmlns:r="http://schemas.openxmlformats.org/officeDocument/2006/relationships" r:id="rId8"/>
          <a:extLst>
            <a:ext uri="{FF2B5EF4-FFF2-40B4-BE49-F238E27FC236}">
              <a16:creationId xmlns:a16="http://schemas.microsoft.com/office/drawing/2014/main" id="{96B75B1F-EEC9-4E45-9297-D82BBD16F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1" name="AutoShape 3" descr="Story">
          <a:hlinkClick xmlns:r="http://schemas.openxmlformats.org/officeDocument/2006/relationships" r:id="rId4"/>
          <a:extLst>
            <a:ext uri="{FF2B5EF4-FFF2-40B4-BE49-F238E27FC236}">
              <a16:creationId xmlns:a16="http://schemas.microsoft.com/office/drawing/2014/main" id="{4103D08F-7315-48B3-A503-F2125275FD7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2" name="AutoShape 4" descr="Story">
          <a:hlinkClick xmlns:r="http://schemas.openxmlformats.org/officeDocument/2006/relationships" r:id="rId5"/>
          <a:extLst>
            <a:ext uri="{FF2B5EF4-FFF2-40B4-BE49-F238E27FC236}">
              <a16:creationId xmlns:a16="http://schemas.microsoft.com/office/drawing/2014/main" id="{EA3D5709-F286-448D-B10F-D1DBB6EDEB4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3" name="AutoShape 5" descr="Story">
          <a:hlinkClick xmlns:r="http://schemas.openxmlformats.org/officeDocument/2006/relationships" r:id="rId6"/>
          <a:extLst>
            <a:ext uri="{FF2B5EF4-FFF2-40B4-BE49-F238E27FC236}">
              <a16:creationId xmlns:a16="http://schemas.microsoft.com/office/drawing/2014/main" id="{9DEEAD89-9ABE-4FC9-BD11-0E1ACAB47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4" name="AutoShape 1" descr="Sub-task">
          <a:hlinkClick xmlns:r="http://schemas.openxmlformats.org/officeDocument/2006/relationships" r:id="rId9"/>
          <a:extLst>
            <a:ext uri="{FF2B5EF4-FFF2-40B4-BE49-F238E27FC236}">
              <a16:creationId xmlns:a16="http://schemas.microsoft.com/office/drawing/2014/main" id="{C02F4C30-071C-45CC-9024-7F0ABB2CC6E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5" name="AutoShape 2" descr="Sub-task">
          <a:hlinkClick xmlns:r="http://schemas.openxmlformats.org/officeDocument/2006/relationships" r:id="rId10"/>
          <a:extLst>
            <a:ext uri="{FF2B5EF4-FFF2-40B4-BE49-F238E27FC236}">
              <a16:creationId xmlns:a16="http://schemas.microsoft.com/office/drawing/2014/main" id="{4C87A6F3-44DC-441E-892A-28ED0D1AFA0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6" name="AutoShape 7" descr="Story">
          <a:hlinkClick xmlns:r="http://schemas.openxmlformats.org/officeDocument/2006/relationships" r:id="rId3"/>
          <a:extLst>
            <a:ext uri="{FF2B5EF4-FFF2-40B4-BE49-F238E27FC236}">
              <a16:creationId xmlns:a16="http://schemas.microsoft.com/office/drawing/2014/main" id="{926219FB-2466-4F23-B71E-C7F919BCA5A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7" name="AutoShape 3" descr="Story">
          <a:hlinkClick xmlns:r="http://schemas.openxmlformats.org/officeDocument/2006/relationships" r:id="rId11"/>
          <a:extLst>
            <a:ext uri="{FF2B5EF4-FFF2-40B4-BE49-F238E27FC236}">
              <a16:creationId xmlns:a16="http://schemas.microsoft.com/office/drawing/2014/main" id="{DE6FE0B4-E491-42E1-B863-F9772A59B54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8" name="AutoShape 12" descr="Story">
          <a:hlinkClick xmlns:r="http://schemas.openxmlformats.org/officeDocument/2006/relationships" r:id="rId12"/>
          <a:extLst>
            <a:ext uri="{FF2B5EF4-FFF2-40B4-BE49-F238E27FC236}">
              <a16:creationId xmlns:a16="http://schemas.microsoft.com/office/drawing/2014/main" id="{6BC7484A-F631-4CF3-89F1-6F8EAD16B06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9" name="AutoShape 1" descr="Story">
          <a:hlinkClick xmlns:r="http://schemas.openxmlformats.org/officeDocument/2006/relationships" r:id="rId13"/>
          <a:extLst>
            <a:ext uri="{FF2B5EF4-FFF2-40B4-BE49-F238E27FC236}">
              <a16:creationId xmlns:a16="http://schemas.microsoft.com/office/drawing/2014/main" id="{23169C5F-9359-4F4B-9558-2DF2378DA3A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0" name="AutoShape 1" descr="Story">
          <a:hlinkClick xmlns:r="http://schemas.openxmlformats.org/officeDocument/2006/relationships" r:id="rId13"/>
          <a:extLst>
            <a:ext uri="{FF2B5EF4-FFF2-40B4-BE49-F238E27FC236}">
              <a16:creationId xmlns:a16="http://schemas.microsoft.com/office/drawing/2014/main" id="{C3411E09-60D0-4877-A185-43BED8A267B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1" name="AutoShape 3" descr="Story">
          <a:hlinkClick xmlns:r="http://schemas.openxmlformats.org/officeDocument/2006/relationships" r:id="rId4"/>
          <a:extLst>
            <a:ext uri="{FF2B5EF4-FFF2-40B4-BE49-F238E27FC236}">
              <a16:creationId xmlns:a16="http://schemas.microsoft.com/office/drawing/2014/main" id="{A290F5AE-606C-4C07-B53F-01AEAA6956E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2" name="AutoShape 4" descr="Story">
          <a:hlinkClick xmlns:r="http://schemas.openxmlformats.org/officeDocument/2006/relationships" r:id="rId5"/>
          <a:extLst>
            <a:ext uri="{FF2B5EF4-FFF2-40B4-BE49-F238E27FC236}">
              <a16:creationId xmlns:a16="http://schemas.microsoft.com/office/drawing/2014/main" id="{698985AF-0B94-46BC-89ED-B69946E686E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3" name="AutoShape 7" descr="Story">
          <a:hlinkClick xmlns:r="http://schemas.openxmlformats.org/officeDocument/2006/relationships" r:id="rId3"/>
          <a:extLst>
            <a:ext uri="{FF2B5EF4-FFF2-40B4-BE49-F238E27FC236}">
              <a16:creationId xmlns:a16="http://schemas.microsoft.com/office/drawing/2014/main" id="{0FFC2060-F366-4B19-89A3-64023070C56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504" name="AutoShape 8" descr="Story">
          <a:hlinkClick xmlns:r="http://schemas.openxmlformats.org/officeDocument/2006/relationships" r:id="rId4"/>
          <a:extLst>
            <a:ext uri="{FF2B5EF4-FFF2-40B4-BE49-F238E27FC236}">
              <a16:creationId xmlns:a16="http://schemas.microsoft.com/office/drawing/2014/main" id="{328900B5-710C-48A2-ABFF-12987584864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505" name="AutoShape 8" descr="Story">
          <a:hlinkClick xmlns:r="http://schemas.openxmlformats.org/officeDocument/2006/relationships" r:id="rId4"/>
          <a:extLst>
            <a:ext uri="{FF2B5EF4-FFF2-40B4-BE49-F238E27FC236}">
              <a16:creationId xmlns:a16="http://schemas.microsoft.com/office/drawing/2014/main" id="{410E85C9-5731-438F-A44A-CEEFE64CD84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06" name="AutoShape 2" descr="Story">
          <a:hlinkClick xmlns:r="http://schemas.openxmlformats.org/officeDocument/2006/relationships" r:id="rId12"/>
          <a:extLst>
            <a:ext uri="{FF2B5EF4-FFF2-40B4-BE49-F238E27FC236}">
              <a16:creationId xmlns:a16="http://schemas.microsoft.com/office/drawing/2014/main" id="{3B13F36D-4C2F-4F5E-99A2-BB1B516BBF56}"/>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07" name="AutoShape 3" descr="Story">
          <a:hlinkClick xmlns:r="http://schemas.openxmlformats.org/officeDocument/2006/relationships" r:id="rId11"/>
          <a:extLst>
            <a:ext uri="{FF2B5EF4-FFF2-40B4-BE49-F238E27FC236}">
              <a16:creationId xmlns:a16="http://schemas.microsoft.com/office/drawing/2014/main" id="{9A4801A7-B7EB-4C00-AE06-F08D26C0F3B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08" name="AutoShape 4" descr="Bug">
          <a:hlinkClick xmlns:r="http://schemas.openxmlformats.org/officeDocument/2006/relationships" r:id="rId1"/>
          <a:extLst>
            <a:ext uri="{FF2B5EF4-FFF2-40B4-BE49-F238E27FC236}">
              <a16:creationId xmlns:a16="http://schemas.microsoft.com/office/drawing/2014/main" id="{16514F84-4D95-45FC-BC1C-EBC1795E44E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09" name="AutoShape 5" descr="Story">
          <a:hlinkClick xmlns:r="http://schemas.openxmlformats.org/officeDocument/2006/relationships" r:id="rId14"/>
          <a:extLst>
            <a:ext uri="{FF2B5EF4-FFF2-40B4-BE49-F238E27FC236}">
              <a16:creationId xmlns:a16="http://schemas.microsoft.com/office/drawing/2014/main" id="{139854B4-A0E0-45DE-8E89-2A2CDF7D6A2D}"/>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0" name="AutoShape 6" descr="Bug">
          <a:hlinkClick xmlns:r="http://schemas.openxmlformats.org/officeDocument/2006/relationships" r:id="rId2"/>
          <a:extLst>
            <a:ext uri="{FF2B5EF4-FFF2-40B4-BE49-F238E27FC236}">
              <a16:creationId xmlns:a16="http://schemas.microsoft.com/office/drawing/2014/main" id="{51E8DD8A-55F2-4BBB-BFB3-B9FBAA88CE4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1" name="AutoShape 7" descr="Story">
          <a:hlinkClick xmlns:r="http://schemas.openxmlformats.org/officeDocument/2006/relationships" r:id="rId3"/>
          <a:extLst>
            <a:ext uri="{FF2B5EF4-FFF2-40B4-BE49-F238E27FC236}">
              <a16:creationId xmlns:a16="http://schemas.microsoft.com/office/drawing/2014/main" id="{EC971883-105C-4D64-AF7D-64A41D73D79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2" name="AutoShape 8" descr="Story">
          <a:hlinkClick xmlns:r="http://schemas.openxmlformats.org/officeDocument/2006/relationships" r:id="rId4"/>
          <a:extLst>
            <a:ext uri="{FF2B5EF4-FFF2-40B4-BE49-F238E27FC236}">
              <a16:creationId xmlns:a16="http://schemas.microsoft.com/office/drawing/2014/main" id="{D434BB07-B474-4528-9D55-6D9F63C2009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3" name="AutoShape 9" descr="Story">
          <a:hlinkClick xmlns:r="http://schemas.openxmlformats.org/officeDocument/2006/relationships" r:id="rId5"/>
          <a:extLst>
            <a:ext uri="{FF2B5EF4-FFF2-40B4-BE49-F238E27FC236}">
              <a16:creationId xmlns:a16="http://schemas.microsoft.com/office/drawing/2014/main" id="{1CB9113F-9CA9-48E4-A808-84C96A32614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14" name="AutoShape 10" descr="Story">
          <a:hlinkClick xmlns:r="http://schemas.openxmlformats.org/officeDocument/2006/relationships" r:id="rId6"/>
          <a:extLst>
            <a:ext uri="{FF2B5EF4-FFF2-40B4-BE49-F238E27FC236}">
              <a16:creationId xmlns:a16="http://schemas.microsoft.com/office/drawing/2014/main" id="{DC8C60EF-1A47-4227-8148-8A603A1B26CE}"/>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15" name="AutoShape 11" descr="Story">
          <a:hlinkClick xmlns:r="http://schemas.openxmlformats.org/officeDocument/2006/relationships" r:id="rId15"/>
          <a:extLst>
            <a:ext uri="{FF2B5EF4-FFF2-40B4-BE49-F238E27FC236}">
              <a16:creationId xmlns:a16="http://schemas.microsoft.com/office/drawing/2014/main" id="{8D487243-6C5D-40C9-BD99-FD8E4C2EDDD9}"/>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16" name="AutoShape 12" descr="Story">
          <a:hlinkClick xmlns:r="http://schemas.openxmlformats.org/officeDocument/2006/relationships" r:id="rId12"/>
          <a:extLst>
            <a:ext uri="{FF2B5EF4-FFF2-40B4-BE49-F238E27FC236}">
              <a16:creationId xmlns:a16="http://schemas.microsoft.com/office/drawing/2014/main" id="{FCD6F846-2C8F-4819-8FB0-C16724851C2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7" name="AutoShape 13" descr="Story">
          <a:hlinkClick xmlns:r="http://schemas.openxmlformats.org/officeDocument/2006/relationships" r:id="rId4"/>
          <a:extLst>
            <a:ext uri="{FF2B5EF4-FFF2-40B4-BE49-F238E27FC236}">
              <a16:creationId xmlns:a16="http://schemas.microsoft.com/office/drawing/2014/main" id="{4759B4BE-24FA-4D2E-B2DA-2980CC8C7F0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18" name="AutoShape 14" descr="Story">
          <a:hlinkClick xmlns:r="http://schemas.openxmlformats.org/officeDocument/2006/relationships" r:id="rId4"/>
          <a:extLst>
            <a:ext uri="{FF2B5EF4-FFF2-40B4-BE49-F238E27FC236}">
              <a16:creationId xmlns:a16="http://schemas.microsoft.com/office/drawing/2014/main" id="{19572A32-E507-49BB-B866-EBB591660ECF}"/>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19" name="AutoShape 15" descr="Story">
          <a:hlinkClick xmlns:r="http://schemas.openxmlformats.org/officeDocument/2006/relationships" r:id="rId4"/>
          <a:extLst>
            <a:ext uri="{FF2B5EF4-FFF2-40B4-BE49-F238E27FC236}">
              <a16:creationId xmlns:a16="http://schemas.microsoft.com/office/drawing/2014/main" id="{E109770D-7757-46FF-BC96-BA1A825F750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520" name="AutoShape 1" descr="Story">
          <a:hlinkClick xmlns:r="http://schemas.openxmlformats.org/officeDocument/2006/relationships" r:id="rId7"/>
          <a:extLst>
            <a:ext uri="{FF2B5EF4-FFF2-40B4-BE49-F238E27FC236}">
              <a16:creationId xmlns:a16="http://schemas.microsoft.com/office/drawing/2014/main" id="{40A34164-7748-4119-9897-6DB9B25EB71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1" name="AutoShape 2" descr="Story">
          <a:hlinkClick xmlns:r="http://schemas.openxmlformats.org/officeDocument/2006/relationships" r:id="rId8"/>
          <a:extLst>
            <a:ext uri="{FF2B5EF4-FFF2-40B4-BE49-F238E27FC236}">
              <a16:creationId xmlns:a16="http://schemas.microsoft.com/office/drawing/2014/main" id="{C5B61FF8-69FB-443B-9BEF-ED3A8A46F27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2" name="AutoShape 5" descr="Story">
          <a:hlinkClick xmlns:r="http://schemas.openxmlformats.org/officeDocument/2006/relationships" r:id="rId6"/>
          <a:extLst>
            <a:ext uri="{FF2B5EF4-FFF2-40B4-BE49-F238E27FC236}">
              <a16:creationId xmlns:a16="http://schemas.microsoft.com/office/drawing/2014/main" id="{62DB3300-A252-4921-8FEB-BDA79E247A0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3" name="AutoShape 1" descr="Sub-task">
          <a:hlinkClick xmlns:r="http://schemas.openxmlformats.org/officeDocument/2006/relationships" r:id="rId9"/>
          <a:extLst>
            <a:ext uri="{FF2B5EF4-FFF2-40B4-BE49-F238E27FC236}">
              <a16:creationId xmlns:a16="http://schemas.microsoft.com/office/drawing/2014/main" id="{79D42F5A-9856-461D-B602-BB7D03E6857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4" name="AutoShape 2" descr="Sub-task">
          <a:hlinkClick xmlns:r="http://schemas.openxmlformats.org/officeDocument/2006/relationships" r:id="rId10"/>
          <a:extLst>
            <a:ext uri="{FF2B5EF4-FFF2-40B4-BE49-F238E27FC236}">
              <a16:creationId xmlns:a16="http://schemas.microsoft.com/office/drawing/2014/main" id="{67C0CE5B-3141-495F-913B-9B034D4D3FE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5" name="AutoShape 3" descr="Story">
          <a:hlinkClick xmlns:r="http://schemas.openxmlformats.org/officeDocument/2006/relationships" r:id="rId11"/>
          <a:extLst>
            <a:ext uri="{FF2B5EF4-FFF2-40B4-BE49-F238E27FC236}">
              <a16:creationId xmlns:a16="http://schemas.microsoft.com/office/drawing/2014/main" id="{5CEDADA9-9600-4CD7-B2ED-32C7ACEE6A9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6" name="AutoShape 12" descr="Story">
          <a:hlinkClick xmlns:r="http://schemas.openxmlformats.org/officeDocument/2006/relationships" r:id="rId12"/>
          <a:extLst>
            <a:ext uri="{FF2B5EF4-FFF2-40B4-BE49-F238E27FC236}">
              <a16:creationId xmlns:a16="http://schemas.microsoft.com/office/drawing/2014/main" id="{F655930E-05AC-4204-9C64-7AD854D0039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7" name="AutoShape 1" descr="Story">
          <a:hlinkClick xmlns:r="http://schemas.openxmlformats.org/officeDocument/2006/relationships" r:id="rId13"/>
          <a:extLst>
            <a:ext uri="{FF2B5EF4-FFF2-40B4-BE49-F238E27FC236}">
              <a16:creationId xmlns:a16="http://schemas.microsoft.com/office/drawing/2014/main" id="{6377124B-9113-4F26-8B1A-27CF9400A5B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8" name="AutoShape 1" descr="Story">
          <a:hlinkClick xmlns:r="http://schemas.openxmlformats.org/officeDocument/2006/relationships" r:id="rId13"/>
          <a:extLst>
            <a:ext uri="{FF2B5EF4-FFF2-40B4-BE49-F238E27FC236}">
              <a16:creationId xmlns:a16="http://schemas.microsoft.com/office/drawing/2014/main" id="{02EF33A7-5EF2-4AC3-A5AB-A747243E96C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9" name="AutoShape 3" descr="Story">
          <a:hlinkClick xmlns:r="http://schemas.openxmlformats.org/officeDocument/2006/relationships" r:id="rId4"/>
          <a:extLst>
            <a:ext uri="{FF2B5EF4-FFF2-40B4-BE49-F238E27FC236}">
              <a16:creationId xmlns:a16="http://schemas.microsoft.com/office/drawing/2014/main" id="{E4B7ED23-76AE-43B6-9DFB-805524F68A3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0" name="AutoShape 4" descr="Story">
          <a:hlinkClick xmlns:r="http://schemas.openxmlformats.org/officeDocument/2006/relationships" r:id="rId5"/>
          <a:extLst>
            <a:ext uri="{FF2B5EF4-FFF2-40B4-BE49-F238E27FC236}">
              <a16:creationId xmlns:a16="http://schemas.microsoft.com/office/drawing/2014/main" id="{7935E2BB-BCF2-434C-9D81-FE3998EE61F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1" name="AutoShape 1" descr="Story">
          <a:hlinkClick xmlns:r="http://schemas.openxmlformats.org/officeDocument/2006/relationships" r:id="rId7"/>
          <a:extLst>
            <a:ext uri="{FF2B5EF4-FFF2-40B4-BE49-F238E27FC236}">
              <a16:creationId xmlns:a16="http://schemas.microsoft.com/office/drawing/2014/main" id="{C106B4C4-3C7A-491C-88C6-350823B306D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2" name="AutoShape 2" descr="Story">
          <a:hlinkClick xmlns:r="http://schemas.openxmlformats.org/officeDocument/2006/relationships" r:id="rId8"/>
          <a:extLst>
            <a:ext uri="{FF2B5EF4-FFF2-40B4-BE49-F238E27FC236}">
              <a16:creationId xmlns:a16="http://schemas.microsoft.com/office/drawing/2014/main" id="{088FD19E-10B2-4086-B13E-2EEFC25DB97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3" name="AutoShape 3" descr="Story">
          <a:hlinkClick xmlns:r="http://schemas.openxmlformats.org/officeDocument/2006/relationships" r:id="rId4"/>
          <a:extLst>
            <a:ext uri="{FF2B5EF4-FFF2-40B4-BE49-F238E27FC236}">
              <a16:creationId xmlns:a16="http://schemas.microsoft.com/office/drawing/2014/main" id="{43B8A1B8-B82C-4883-8C84-AA40B754567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4" name="AutoShape 4" descr="Story">
          <a:hlinkClick xmlns:r="http://schemas.openxmlformats.org/officeDocument/2006/relationships" r:id="rId5"/>
          <a:extLst>
            <a:ext uri="{FF2B5EF4-FFF2-40B4-BE49-F238E27FC236}">
              <a16:creationId xmlns:a16="http://schemas.microsoft.com/office/drawing/2014/main" id="{080263F5-A2E3-4CE2-89D4-ED3672A40EE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5" name="AutoShape 5" descr="Story">
          <a:hlinkClick xmlns:r="http://schemas.openxmlformats.org/officeDocument/2006/relationships" r:id="rId6"/>
          <a:extLst>
            <a:ext uri="{FF2B5EF4-FFF2-40B4-BE49-F238E27FC236}">
              <a16:creationId xmlns:a16="http://schemas.microsoft.com/office/drawing/2014/main" id="{7857DEC6-CA5D-485F-9320-F3E51FED52A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6" name="AutoShape 1" descr="Sub-task">
          <a:hlinkClick xmlns:r="http://schemas.openxmlformats.org/officeDocument/2006/relationships" r:id="rId9"/>
          <a:extLst>
            <a:ext uri="{FF2B5EF4-FFF2-40B4-BE49-F238E27FC236}">
              <a16:creationId xmlns:a16="http://schemas.microsoft.com/office/drawing/2014/main" id="{ED07B24A-9391-4920-B167-4058F7CF433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7" name="AutoShape 2" descr="Sub-task">
          <a:hlinkClick xmlns:r="http://schemas.openxmlformats.org/officeDocument/2006/relationships" r:id="rId10"/>
          <a:extLst>
            <a:ext uri="{FF2B5EF4-FFF2-40B4-BE49-F238E27FC236}">
              <a16:creationId xmlns:a16="http://schemas.microsoft.com/office/drawing/2014/main" id="{E3A57AF3-C986-4B37-A69C-94D486F0A4D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8" name="AutoShape 7" descr="Story">
          <a:hlinkClick xmlns:r="http://schemas.openxmlformats.org/officeDocument/2006/relationships" r:id="rId3"/>
          <a:extLst>
            <a:ext uri="{FF2B5EF4-FFF2-40B4-BE49-F238E27FC236}">
              <a16:creationId xmlns:a16="http://schemas.microsoft.com/office/drawing/2014/main" id="{9B06BBE8-50F7-43C3-959D-6A93DE9826A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9" name="AutoShape 3" descr="Story">
          <a:hlinkClick xmlns:r="http://schemas.openxmlformats.org/officeDocument/2006/relationships" r:id="rId11"/>
          <a:extLst>
            <a:ext uri="{FF2B5EF4-FFF2-40B4-BE49-F238E27FC236}">
              <a16:creationId xmlns:a16="http://schemas.microsoft.com/office/drawing/2014/main" id="{D64859D9-102E-4406-9F07-100FFA0E16B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0" name="AutoShape 12" descr="Story">
          <a:hlinkClick xmlns:r="http://schemas.openxmlformats.org/officeDocument/2006/relationships" r:id="rId12"/>
          <a:extLst>
            <a:ext uri="{FF2B5EF4-FFF2-40B4-BE49-F238E27FC236}">
              <a16:creationId xmlns:a16="http://schemas.microsoft.com/office/drawing/2014/main" id="{F78374D8-9736-4B07-813B-BC72FDA9FB0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1" name="AutoShape 1" descr="Story">
          <a:hlinkClick xmlns:r="http://schemas.openxmlformats.org/officeDocument/2006/relationships" r:id="rId13"/>
          <a:extLst>
            <a:ext uri="{FF2B5EF4-FFF2-40B4-BE49-F238E27FC236}">
              <a16:creationId xmlns:a16="http://schemas.microsoft.com/office/drawing/2014/main" id="{FB717F0A-2EF7-4622-9D5C-94B02175BD2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2" name="AutoShape 1" descr="Story">
          <a:hlinkClick xmlns:r="http://schemas.openxmlformats.org/officeDocument/2006/relationships" r:id="rId13"/>
          <a:extLst>
            <a:ext uri="{FF2B5EF4-FFF2-40B4-BE49-F238E27FC236}">
              <a16:creationId xmlns:a16="http://schemas.microsoft.com/office/drawing/2014/main" id="{48133C16-F316-4663-8EE0-82762A787D9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3" name="AutoShape 3" descr="Story">
          <a:hlinkClick xmlns:r="http://schemas.openxmlformats.org/officeDocument/2006/relationships" r:id="rId4"/>
          <a:extLst>
            <a:ext uri="{FF2B5EF4-FFF2-40B4-BE49-F238E27FC236}">
              <a16:creationId xmlns:a16="http://schemas.microsoft.com/office/drawing/2014/main" id="{A82B0927-8384-43A7-94E4-32ED0204AB5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4" name="AutoShape 4" descr="Story">
          <a:hlinkClick xmlns:r="http://schemas.openxmlformats.org/officeDocument/2006/relationships" r:id="rId5"/>
          <a:extLst>
            <a:ext uri="{FF2B5EF4-FFF2-40B4-BE49-F238E27FC236}">
              <a16:creationId xmlns:a16="http://schemas.microsoft.com/office/drawing/2014/main" id="{B3BD3FC6-9A4B-4976-AD97-506EA02E3AF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5" name="AutoShape 7" descr="Story">
          <a:hlinkClick xmlns:r="http://schemas.openxmlformats.org/officeDocument/2006/relationships" r:id="rId3"/>
          <a:extLst>
            <a:ext uri="{FF2B5EF4-FFF2-40B4-BE49-F238E27FC236}">
              <a16:creationId xmlns:a16="http://schemas.microsoft.com/office/drawing/2014/main" id="{B1F4BF0E-7F45-4B29-BD18-EFFD2D5CFD5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46" name="AutoShape 8" descr="Story">
          <a:hlinkClick xmlns:r="http://schemas.openxmlformats.org/officeDocument/2006/relationships" r:id="rId4"/>
          <a:extLst>
            <a:ext uri="{FF2B5EF4-FFF2-40B4-BE49-F238E27FC236}">
              <a16:creationId xmlns:a16="http://schemas.microsoft.com/office/drawing/2014/main" id="{DB13CD83-65D3-45FE-A261-B3065AA9914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47" name="AutoShape 8" descr="Story">
          <a:hlinkClick xmlns:r="http://schemas.openxmlformats.org/officeDocument/2006/relationships" r:id="rId4"/>
          <a:extLst>
            <a:ext uri="{FF2B5EF4-FFF2-40B4-BE49-F238E27FC236}">
              <a16:creationId xmlns:a16="http://schemas.microsoft.com/office/drawing/2014/main" id="{3A9911C5-AC24-4FED-8CED-A304EC62BA2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48" name="AutoShape 2" descr="Story">
          <a:hlinkClick xmlns:r="http://schemas.openxmlformats.org/officeDocument/2006/relationships" r:id="rId12"/>
          <a:extLst>
            <a:ext uri="{FF2B5EF4-FFF2-40B4-BE49-F238E27FC236}">
              <a16:creationId xmlns:a16="http://schemas.microsoft.com/office/drawing/2014/main" id="{5F60E1C3-043F-4494-B30E-BE636D9132C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49" name="AutoShape 3" descr="Story">
          <a:hlinkClick xmlns:r="http://schemas.openxmlformats.org/officeDocument/2006/relationships" r:id="rId11"/>
          <a:extLst>
            <a:ext uri="{FF2B5EF4-FFF2-40B4-BE49-F238E27FC236}">
              <a16:creationId xmlns:a16="http://schemas.microsoft.com/office/drawing/2014/main" id="{557ABF05-8371-4A1E-9F4B-0B19211ECEA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0" name="AutoShape 4" descr="Bug">
          <a:hlinkClick xmlns:r="http://schemas.openxmlformats.org/officeDocument/2006/relationships" r:id="rId1"/>
          <a:extLst>
            <a:ext uri="{FF2B5EF4-FFF2-40B4-BE49-F238E27FC236}">
              <a16:creationId xmlns:a16="http://schemas.microsoft.com/office/drawing/2014/main" id="{01101565-80C0-4574-9B8C-EA18599203E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51" name="AutoShape 5" descr="Story">
          <a:hlinkClick xmlns:r="http://schemas.openxmlformats.org/officeDocument/2006/relationships" r:id="rId14"/>
          <a:extLst>
            <a:ext uri="{FF2B5EF4-FFF2-40B4-BE49-F238E27FC236}">
              <a16:creationId xmlns:a16="http://schemas.microsoft.com/office/drawing/2014/main" id="{D30726F6-03AE-46DF-B85B-AA18F54E5DAA}"/>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2" name="AutoShape 6" descr="Bug">
          <a:hlinkClick xmlns:r="http://schemas.openxmlformats.org/officeDocument/2006/relationships" r:id="rId2"/>
          <a:extLst>
            <a:ext uri="{FF2B5EF4-FFF2-40B4-BE49-F238E27FC236}">
              <a16:creationId xmlns:a16="http://schemas.microsoft.com/office/drawing/2014/main" id="{5AFA4BF5-2787-4FDD-ADC9-9A5BC514E6F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3" name="AutoShape 7" descr="Story">
          <a:hlinkClick xmlns:r="http://schemas.openxmlformats.org/officeDocument/2006/relationships" r:id="rId3"/>
          <a:extLst>
            <a:ext uri="{FF2B5EF4-FFF2-40B4-BE49-F238E27FC236}">
              <a16:creationId xmlns:a16="http://schemas.microsoft.com/office/drawing/2014/main" id="{583C472A-D39B-45D4-BBB8-33AED48AE5F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4" name="AutoShape 8" descr="Story">
          <a:hlinkClick xmlns:r="http://schemas.openxmlformats.org/officeDocument/2006/relationships" r:id="rId4"/>
          <a:extLst>
            <a:ext uri="{FF2B5EF4-FFF2-40B4-BE49-F238E27FC236}">
              <a16:creationId xmlns:a16="http://schemas.microsoft.com/office/drawing/2014/main" id="{E71F068A-0B17-4B68-ADAD-A2CA3AC435A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5" name="AutoShape 9" descr="Story">
          <a:hlinkClick xmlns:r="http://schemas.openxmlformats.org/officeDocument/2006/relationships" r:id="rId5"/>
          <a:extLst>
            <a:ext uri="{FF2B5EF4-FFF2-40B4-BE49-F238E27FC236}">
              <a16:creationId xmlns:a16="http://schemas.microsoft.com/office/drawing/2014/main" id="{9E8769CE-9850-482C-BB57-F562F7CAEDC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56" name="AutoShape 10" descr="Story">
          <a:hlinkClick xmlns:r="http://schemas.openxmlformats.org/officeDocument/2006/relationships" r:id="rId6"/>
          <a:extLst>
            <a:ext uri="{FF2B5EF4-FFF2-40B4-BE49-F238E27FC236}">
              <a16:creationId xmlns:a16="http://schemas.microsoft.com/office/drawing/2014/main" id="{D3ECDED6-95D3-431D-8732-ACB919EF03A5}"/>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57" name="AutoShape 11" descr="Story">
          <a:hlinkClick xmlns:r="http://schemas.openxmlformats.org/officeDocument/2006/relationships" r:id="rId15"/>
          <a:extLst>
            <a:ext uri="{FF2B5EF4-FFF2-40B4-BE49-F238E27FC236}">
              <a16:creationId xmlns:a16="http://schemas.microsoft.com/office/drawing/2014/main" id="{C53874D2-8A7C-48C9-B890-2327E657B8CD}"/>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58" name="AutoShape 12" descr="Story">
          <a:hlinkClick xmlns:r="http://schemas.openxmlformats.org/officeDocument/2006/relationships" r:id="rId12"/>
          <a:extLst>
            <a:ext uri="{FF2B5EF4-FFF2-40B4-BE49-F238E27FC236}">
              <a16:creationId xmlns:a16="http://schemas.microsoft.com/office/drawing/2014/main" id="{545626D3-B01C-4D2E-BD99-6D7112810EB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9" name="AutoShape 13" descr="Story">
          <a:hlinkClick xmlns:r="http://schemas.openxmlformats.org/officeDocument/2006/relationships" r:id="rId4"/>
          <a:extLst>
            <a:ext uri="{FF2B5EF4-FFF2-40B4-BE49-F238E27FC236}">
              <a16:creationId xmlns:a16="http://schemas.microsoft.com/office/drawing/2014/main" id="{C7437164-F4EC-449F-AD41-B3CAB51C83A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60" name="AutoShape 14" descr="Story">
          <a:hlinkClick xmlns:r="http://schemas.openxmlformats.org/officeDocument/2006/relationships" r:id="rId4"/>
          <a:extLst>
            <a:ext uri="{FF2B5EF4-FFF2-40B4-BE49-F238E27FC236}">
              <a16:creationId xmlns:a16="http://schemas.microsoft.com/office/drawing/2014/main" id="{EB232B2B-B892-4C33-B4FC-3506F1154F7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61" name="AutoShape 15" descr="Story">
          <a:hlinkClick xmlns:r="http://schemas.openxmlformats.org/officeDocument/2006/relationships" r:id="rId4"/>
          <a:extLst>
            <a:ext uri="{FF2B5EF4-FFF2-40B4-BE49-F238E27FC236}">
              <a16:creationId xmlns:a16="http://schemas.microsoft.com/office/drawing/2014/main" id="{1961AE97-C771-418E-9E7D-21C6BE40B964}"/>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562" name="AutoShape 1" descr="Story">
          <a:hlinkClick xmlns:r="http://schemas.openxmlformats.org/officeDocument/2006/relationships" r:id="rId7"/>
          <a:extLst>
            <a:ext uri="{FF2B5EF4-FFF2-40B4-BE49-F238E27FC236}">
              <a16:creationId xmlns:a16="http://schemas.microsoft.com/office/drawing/2014/main" id="{DF0AFC3F-4D1C-413B-9941-860D0D3DE20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3" name="AutoShape 2" descr="Story">
          <a:hlinkClick xmlns:r="http://schemas.openxmlformats.org/officeDocument/2006/relationships" r:id="rId8"/>
          <a:extLst>
            <a:ext uri="{FF2B5EF4-FFF2-40B4-BE49-F238E27FC236}">
              <a16:creationId xmlns:a16="http://schemas.microsoft.com/office/drawing/2014/main" id="{2255CE41-69F2-4BA1-AC58-BB1D08D8E8D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4" name="AutoShape 5" descr="Story">
          <a:hlinkClick xmlns:r="http://schemas.openxmlformats.org/officeDocument/2006/relationships" r:id="rId6"/>
          <a:extLst>
            <a:ext uri="{FF2B5EF4-FFF2-40B4-BE49-F238E27FC236}">
              <a16:creationId xmlns:a16="http://schemas.microsoft.com/office/drawing/2014/main" id="{2B073D95-DAF5-4C76-B845-B3F2919D179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5" name="AutoShape 1" descr="Sub-task">
          <a:hlinkClick xmlns:r="http://schemas.openxmlformats.org/officeDocument/2006/relationships" r:id="rId9"/>
          <a:extLst>
            <a:ext uri="{FF2B5EF4-FFF2-40B4-BE49-F238E27FC236}">
              <a16:creationId xmlns:a16="http://schemas.microsoft.com/office/drawing/2014/main" id="{B27DF812-94A0-4A90-995E-307CB190B58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6" name="AutoShape 2" descr="Sub-task">
          <a:hlinkClick xmlns:r="http://schemas.openxmlformats.org/officeDocument/2006/relationships" r:id="rId10"/>
          <a:extLst>
            <a:ext uri="{FF2B5EF4-FFF2-40B4-BE49-F238E27FC236}">
              <a16:creationId xmlns:a16="http://schemas.microsoft.com/office/drawing/2014/main" id="{53AF1646-00B7-49F2-A6BB-430386295AC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7" name="AutoShape 3" descr="Story">
          <a:hlinkClick xmlns:r="http://schemas.openxmlformats.org/officeDocument/2006/relationships" r:id="rId11"/>
          <a:extLst>
            <a:ext uri="{FF2B5EF4-FFF2-40B4-BE49-F238E27FC236}">
              <a16:creationId xmlns:a16="http://schemas.microsoft.com/office/drawing/2014/main" id="{3EB5B87E-4A7F-4BC7-80F2-AFC0E9FD9C8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8" name="AutoShape 12" descr="Story">
          <a:hlinkClick xmlns:r="http://schemas.openxmlformats.org/officeDocument/2006/relationships" r:id="rId12"/>
          <a:extLst>
            <a:ext uri="{FF2B5EF4-FFF2-40B4-BE49-F238E27FC236}">
              <a16:creationId xmlns:a16="http://schemas.microsoft.com/office/drawing/2014/main" id="{E5068A80-FC1E-47E6-901B-BC6E838C5F1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9" name="AutoShape 1" descr="Story">
          <a:hlinkClick xmlns:r="http://schemas.openxmlformats.org/officeDocument/2006/relationships" r:id="rId13"/>
          <a:extLst>
            <a:ext uri="{FF2B5EF4-FFF2-40B4-BE49-F238E27FC236}">
              <a16:creationId xmlns:a16="http://schemas.microsoft.com/office/drawing/2014/main" id="{5891F18A-1596-473A-91B3-D02D1579A5E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0" name="AutoShape 1" descr="Story">
          <a:hlinkClick xmlns:r="http://schemas.openxmlformats.org/officeDocument/2006/relationships" r:id="rId13"/>
          <a:extLst>
            <a:ext uri="{FF2B5EF4-FFF2-40B4-BE49-F238E27FC236}">
              <a16:creationId xmlns:a16="http://schemas.microsoft.com/office/drawing/2014/main" id="{C12DD114-F26D-46B6-82CA-438D6C246C3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1" name="AutoShape 3" descr="Story">
          <a:hlinkClick xmlns:r="http://schemas.openxmlformats.org/officeDocument/2006/relationships" r:id="rId4"/>
          <a:extLst>
            <a:ext uri="{FF2B5EF4-FFF2-40B4-BE49-F238E27FC236}">
              <a16:creationId xmlns:a16="http://schemas.microsoft.com/office/drawing/2014/main" id="{9CB77C02-DEEA-4688-A7E0-23A1C007AC2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2" name="AutoShape 4" descr="Story">
          <a:hlinkClick xmlns:r="http://schemas.openxmlformats.org/officeDocument/2006/relationships" r:id="rId5"/>
          <a:extLst>
            <a:ext uri="{FF2B5EF4-FFF2-40B4-BE49-F238E27FC236}">
              <a16:creationId xmlns:a16="http://schemas.microsoft.com/office/drawing/2014/main" id="{57E10375-3BA9-44A3-90D2-88E1D36B8FE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3" name="AutoShape 1" descr="Story">
          <a:hlinkClick xmlns:r="http://schemas.openxmlformats.org/officeDocument/2006/relationships" r:id="rId7"/>
          <a:extLst>
            <a:ext uri="{FF2B5EF4-FFF2-40B4-BE49-F238E27FC236}">
              <a16:creationId xmlns:a16="http://schemas.microsoft.com/office/drawing/2014/main" id="{5EA4516D-A4BF-4E0D-B920-E2FD83C6181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4" name="AutoShape 2" descr="Story">
          <a:hlinkClick xmlns:r="http://schemas.openxmlformats.org/officeDocument/2006/relationships" r:id="rId8"/>
          <a:extLst>
            <a:ext uri="{FF2B5EF4-FFF2-40B4-BE49-F238E27FC236}">
              <a16:creationId xmlns:a16="http://schemas.microsoft.com/office/drawing/2014/main" id="{96425823-876E-4155-8478-4E1CE2FC337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5" name="AutoShape 3" descr="Story">
          <a:hlinkClick xmlns:r="http://schemas.openxmlformats.org/officeDocument/2006/relationships" r:id="rId4"/>
          <a:extLst>
            <a:ext uri="{FF2B5EF4-FFF2-40B4-BE49-F238E27FC236}">
              <a16:creationId xmlns:a16="http://schemas.microsoft.com/office/drawing/2014/main" id="{F4CEB9E9-9FFD-42DE-9A7D-548C0AD8E8E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6" name="AutoShape 4" descr="Story">
          <a:hlinkClick xmlns:r="http://schemas.openxmlformats.org/officeDocument/2006/relationships" r:id="rId5"/>
          <a:extLst>
            <a:ext uri="{FF2B5EF4-FFF2-40B4-BE49-F238E27FC236}">
              <a16:creationId xmlns:a16="http://schemas.microsoft.com/office/drawing/2014/main" id="{841CBA78-76C4-40E3-B12C-AF4FF77DA72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7" name="AutoShape 5" descr="Story">
          <a:hlinkClick xmlns:r="http://schemas.openxmlformats.org/officeDocument/2006/relationships" r:id="rId6"/>
          <a:extLst>
            <a:ext uri="{FF2B5EF4-FFF2-40B4-BE49-F238E27FC236}">
              <a16:creationId xmlns:a16="http://schemas.microsoft.com/office/drawing/2014/main" id="{039F825E-FC99-4E9A-8BE0-6E5684B771C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8" name="AutoShape 1" descr="Sub-task">
          <a:hlinkClick xmlns:r="http://schemas.openxmlformats.org/officeDocument/2006/relationships" r:id="rId9"/>
          <a:extLst>
            <a:ext uri="{FF2B5EF4-FFF2-40B4-BE49-F238E27FC236}">
              <a16:creationId xmlns:a16="http://schemas.microsoft.com/office/drawing/2014/main" id="{9AFB08D7-9A3D-41E8-B659-250926462FF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9" name="AutoShape 2" descr="Sub-task">
          <a:hlinkClick xmlns:r="http://schemas.openxmlformats.org/officeDocument/2006/relationships" r:id="rId10"/>
          <a:extLst>
            <a:ext uri="{FF2B5EF4-FFF2-40B4-BE49-F238E27FC236}">
              <a16:creationId xmlns:a16="http://schemas.microsoft.com/office/drawing/2014/main" id="{FAEEE3C1-D404-4115-BDB8-A8F7929BDD6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0" name="AutoShape 7" descr="Story">
          <a:hlinkClick xmlns:r="http://schemas.openxmlformats.org/officeDocument/2006/relationships" r:id="rId3"/>
          <a:extLst>
            <a:ext uri="{FF2B5EF4-FFF2-40B4-BE49-F238E27FC236}">
              <a16:creationId xmlns:a16="http://schemas.microsoft.com/office/drawing/2014/main" id="{76033EE6-C3FE-4C25-A7E3-7147E0F06C8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1" name="AutoShape 3" descr="Story">
          <a:hlinkClick xmlns:r="http://schemas.openxmlformats.org/officeDocument/2006/relationships" r:id="rId11"/>
          <a:extLst>
            <a:ext uri="{FF2B5EF4-FFF2-40B4-BE49-F238E27FC236}">
              <a16:creationId xmlns:a16="http://schemas.microsoft.com/office/drawing/2014/main" id="{7F48DAEE-43F7-4FF4-9E9B-9F9DD71F660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2" name="AutoShape 12" descr="Story">
          <a:hlinkClick xmlns:r="http://schemas.openxmlformats.org/officeDocument/2006/relationships" r:id="rId12"/>
          <a:extLst>
            <a:ext uri="{FF2B5EF4-FFF2-40B4-BE49-F238E27FC236}">
              <a16:creationId xmlns:a16="http://schemas.microsoft.com/office/drawing/2014/main" id="{60C8D96B-CE8C-455C-B56B-573F5FD4FC0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3" name="AutoShape 1" descr="Story">
          <a:hlinkClick xmlns:r="http://schemas.openxmlformats.org/officeDocument/2006/relationships" r:id="rId13"/>
          <a:extLst>
            <a:ext uri="{FF2B5EF4-FFF2-40B4-BE49-F238E27FC236}">
              <a16:creationId xmlns:a16="http://schemas.microsoft.com/office/drawing/2014/main" id="{74EEECEB-0BCA-4E47-BD5A-6885CEA1321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4" name="AutoShape 1" descr="Story">
          <a:hlinkClick xmlns:r="http://schemas.openxmlformats.org/officeDocument/2006/relationships" r:id="rId13"/>
          <a:extLst>
            <a:ext uri="{FF2B5EF4-FFF2-40B4-BE49-F238E27FC236}">
              <a16:creationId xmlns:a16="http://schemas.microsoft.com/office/drawing/2014/main" id="{7DA91760-677E-4AED-98D2-1C672EDE803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5" name="AutoShape 3" descr="Story">
          <a:hlinkClick xmlns:r="http://schemas.openxmlformats.org/officeDocument/2006/relationships" r:id="rId4"/>
          <a:extLst>
            <a:ext uri="{FF2B5EF4-FFF2-40B4-BE49-F238E27FC236}">
              <a16:creationId xmlns:a16="http://schemas.microsoft.com/office/drawing/2014/main" id="{9AD0E461-A18B-4FD9-8448-B2B2D53AF4A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6" name="AutoShape 4" descr="Story">
          <a:hlinkClick xmlns:r="http://schemas.openxmlformats.org/officeDocument/2006/relationships" r:id="rId5"/>
          <a:extLst>
            <a:ext uri="{FF2B5EF4-FFF2-40B4-BE49-F238E27FC236}">
              <a16:creationId xmlns:a16="http://schemas.microsoft.com/office/drawing/2014/main" id="{AB08DE92-57E1-4030-9C9A-A5F5862FD33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7" name="AutoShape 7" descr="Story">
          <a:hlinkClick xmlns:r="http://schemas.openxmlformats.org/officeDocument/2006/relationships" r:id="rId3"/>
          <a:extLst>
            <a:ext uri="{FF2B5EF4-FFF2-40B4-BE49-F238E27FC236}">
              <a16:creationId xmlns:a16="http://schemas.microsoft.com/office/drawing/2014/main" id="{F17444C9-B1A0-4711-B7D4-B80F194237B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8" name="AutoShape 8" descr="Story">
          <a:hlinkClick xmlns:r="http://schemas.openxmlformats.org/officeDocument/2006/relationships" r:id="rId4"/>
          <a:extLst>
            <a:ext uri="{FF2B5EF4-FFF2-40B4-BE49-F238E27FC236}">
              <a16:creationId xmlns:a16="http://schemas.microsoft.com/office/drawing/2014/main" id="{64F885DE-8E8D-4416-A8ED-2A20B0552631}"/>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9" name="AutoShape 8" descr="Story">
          <a:hlinkClick xmlns:r="http://schemas.openxmlformats.org/officeDocument/2006/relationships" r:id="rId4"/>
          <a:extLst>
            <a:ext uri="{FF2B5EF4-FFF2-40B4-BE49-F238E27FC236}">
              <a16:creationId xmlns:a16="http://schemas.microsoft.com/office/drawing/2014/main" id="{66B9A6BD-3EE5-4DA5-8146-6D31E81D95D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90" name="AutoShape 2" descr="Story">
          <a:hlinkClick xmlns:r="http://schemas.openxmlformats.org/officeDocument/2006/relationships" r:id="rId12"/>
          <a:extLst>
            <a:ext uri="{FF2B5EF4-FFF2-40B4-BE49-F238E27FC236}">
              <a16:creationId xmlns:a16="http://schemas.microsoft.com/office/drawing/2014/main" id="{D50D376F-DB35-4B14-8A07-2E9C6DF9185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91" name="AutoShape 3" descr="Story">
          <a:hlinkClick xmlns:r="http://schemas.openxmlformats.org/officeDocument/2006/relationships" r:id="rId11"/>
          <a:extLst>
            <a:ext uri="{FF2B5EF4-FFF2-40B4-BE49-F238E27FC236}">
              <a16:creationId xmlns:a16="http://schemas.microsoft.com/office/drawing/2014/main" id="{CA52B93F-A0DE-41A1-AE41-28BE20345C7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2" name="AutoShape 4" descr="Bug">
          <a:hlinkClick xmlns:r="http://schemas.openxmlformats.org/officeDocument/2006/relationships" r:id="rId1"/>
          <a:extLst>
            <a:ext uri="{FF2B5EF4-FFF2-40B4-BE49-F238E27FC236}">
              <a16:creationId xmlns:a16="http://schemas.microsoft.com/office/drawing/2014/main" id="{DC73063B-2252-417E-9517-16186ED3212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93" name="AutoShape 5" descr="Story">
          <a:hlinkClick xmlns:r="http://schemas.openxmlformats.org/officeDocument/2006/relationships" r:id="rId14"/>
          <a:extLst>
            <a:ext uri="{FF2B5EF4-FFF2-40B4-BE49-F238E27FC236}">
              <a16:creationId xmlns:a16="http://schemas.microsoft.com/office/drawing/2014/main" id="{50EAB1FC-67BA-436F-A4B5-3B76510FCA2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4" name="AutoShape 6" descr="Bug">
          <a:hlinkClick xmlns:r="http://schemas.openxmlformats.org/officeDocument/2006/relationships" r:id="rId2"/>
          <a:extLst>
            <a:ext uri="{FF2B5EF4-FFF2-40B4-BE49-F238E27FC236}">
              <a16:creationId xmlns:a16="http://schemas.microsoft.com/office/drawing/2014/main" id="{78BE7EC8-A039-460C-AAE6-D6373BBC54B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5" name="AutoShape 7" descr="Story">
          <a:hlinkClick xmlns:r="http://schemas.openxmlformats.org/officeDocument/2006/relationships" r:id="rId3"/>
          <a:extLst>
            <a:ext uri="{FF2B5EF4-FFF2-40B4-BE49-F238E27FC236}">
              <a16:creationId xmlns:a16="http://schemas.microsoft.com/office/drawing/2014/main" id="{44575624-1EA9-4F30-BCB4-4E62454A60D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6" name="AutoShape 8" descr="Story">
          <a:hlinkClick xmlns:r="http://schemas.openxmlformats.org/officeDocument/2006/relationships" r:id="rId4"/>
          <a:extLst>
            <a:ext uri="{FF2B5EF4-FFF2-40B4-BE49-F238E27FC236}">
              <a16:creationId xmlns:a16="http://schemas.microsoft.com/office/drawing/2014/main" id="{07A29F11-FBF6-4C39-9301-0AB7357B78C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7" name="AutoShape 9" descr="Story">
          <a:hlinkClick xmlns:r="http://schemas.openxmlformats.org/officeDocument/2006/relationships" r:id="rId5"/>
          <a:extLst>
            <a:ext uri="{FF2B5EF4-FFF2-40B4-BE49-F238E27FC236}">
              <a16:creationId xmlns:a16="http://schemas.microsoft.com/office/drawing/2014/main" id="{06DE59A9-0356-4A1C-895E-7A691EC4522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98" name="AutoShape 10" descr="Story">
          <a:hlinkClick xmlns:r="http://schemas.openxmlformats.org/officeDocument/2006/relationships" r:id="rId6"/>
          <a:extLst>
            <a:ext uri="{FF2B5EF4-FFF2-40B4-BE49-F238E27FC236}">
              <a16:creationId xmlns:a16="http://schemas.microsoft.com/office/drawing/2014/main" id="{793C1DD6-519A-4A8A-BBDF-3E703979D6B4}"/>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99" name="AutoShape 11" descr="Story">
          <a:hlinkClick xmlns:r="http://schemas.openxmlformats.org/officeDocument/2006/relationships" r:id="rId15"/>
          <a:extLst>
            <a:ext uri="{FF2B5EF4-FFF2-40B4-BE49-F238E27FC236}">
              <a16:creationId xmlns:a16="http://schemas.microsoft.com/office/drawing/2014/main" id="{C3908C81-14E2-4F0D-8E8F-3950B5E99A48}"/>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00" name="AutoShape 12" descr="Story">
          <a:hlinkClick xmlns:r="http://schemas.openxmlformats.org/officeDocument/2006/relationships" r:id="rId12"/>
          <a:extLst>
            <a:ext uri="{FF2B5EF4-FFF2-40B4-BE49-F238E27FC236}">
              <a16:creationId xmlns:a16="http://schemas.microsoft.com/office/drawing/2014/main" id="{D5CA21C3-ADEF-49D3-8759-46D2429FF73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01" name="AutoShape 13" descr="Story">
          <a:hlinkClick xmlns:r="http://schemas.openxmlformats.org/officeDocument/2006/relationships" r:id="rId4"/>
          <a:extLst>
            <a:ext uri="{FF2B5EF4-FFF2-40B4-BE49-F238E27FC236}">
              <a16:creationId xmlns:a16="http://schemas.microsoft.com/office/drawing/2014/main" id="{EE78FBEE-4F1B-429B-82E6-C58C6CE95F5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02" name="AutoShape 14" descr="Story">
          <a:hlinkClick xmlns:r="http://schemas.openxmlformats.org/officeDocument/2006/relationships" r:id="rId4"/>
          <a:extLst>
            <a:ext uri="{FF2B5EF4-FFF2-40B4-BE49-F238E27FC236}">
              <a16:creationId xmlns:a16="http://schemas.microsoft.com/office/drawing/2014/main" id="{2F454839-64B1-4DF6-A65F-1F0FD7A180D8}"/>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03" name="AutoShape 15" descr="Story">
          <a:hlinkClick xmlns:r="http://schemas.openxmlformats.org/officeDocument/2006/relationships" r:id="rId4"/>
          <a:extLst>
            <a:ext uri="{FF2B5EF4-FFF2-40B4-BE49-F238E27FC236}">
              <a16:creationId xmlns:a16="http://schemas.microsoft.com/office/drawing/2014/main" id="{CD8C8B62-D4E0-4881-84EA-54D4DC8F119B}"/>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604" name="AutoShape 1" descr="Story">
          <a:hlinkClick xmlns:r="http://schemas.openxmlformats.org/officeDocument/2006/relationships" r:id="rId7"/>
          <a:extLst>
            <a:ext uri="{FF2B5EF4-FFF2-40B4-BE49-F238E27FC236}">
              <a16:creationId xmlns:a16="http://schemas.microsoft.com/office/drawing/2014/main" id="{FCC5155A-A13A-4AC8-9372-B6B62B7D314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5" name="AutoShape 2" descr="Story">
          <a:hlinkClick xmlns:r="http://schemas.openxmlformats.org/officeDocument/2006/relationships" r:id="rId8"/>
          <a:extLst>
            <a:ext uri="{FF2B5EF4-FFF2-40B4-BE49-F238E27FC236}">
              <a16:creationId xmlns:a16="http://schemas.microsoft.com/office/drawing/2014/main" id="{97BCE41E-35FF-442C-8507-B1B4968EC86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6" name="AutoShape 5" descr="Story">
          <a:hlinkClick xmlns:r="http://schemas.openxmlformats.org/officeDocument/2006/relationships" r:id="rId6"/>
          <a:extLst>
            <a:ext uri="{FF2B5EF4-FFF2-40B4-BE49-F238E27FC236}">
              <a16:creationId xmlns:a16="http://schemas.microsoft.com/office/drawing/2014/main" id="{5789FE79-AD34-473F-BAF3-DF88AD2C202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7" name="AutoShape 1" descr="Sub-task">
          <a:hlinkClick xmlns:r="http://schemas.openxmlformats.org/officeDocument/2006/relationships" r:id="rId9"/>
          <a:extLst>
            <a:ext uri="{FF2B5EF4-FFF2-40B4-BE49-F238E27FC236}">
              <a16:creationId xmlns:a16="http://schemas.microsoft.com/office/drawing/2014/main" id="{D28B3ECA-9053-4B01-AC88-D018204649C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8" name="AutoShape 2" descr="Sub-task">
          <a:hlinkClick xmlns:r="http://schemas.openxmlformats.org/officeDocument/2006/relationships" r:id="rId10"/>
          <a:extLst>
            <a:ext uri="{FF2B5EF4-FFF2-40B4-BE49-F238E27FC236}">
              <a16:creationId xmlns:a16="http://schemas.microsoft.com/office/drawing/2014/main" id="{F842294A-A0DD-43A5-983B-FC4DB67CDB1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9" name="AutoShape 3" descr="Story">
          <a:hlinkClick xmlns:r="http://schemas.openxmlformats.org/officeDocument/2006/relationships" r:id="rId11"/>
          <a:extLst>
            <a:ext uri="{FF2B5EF4-FFF2-40B4-BE49-F238E27FC236}">
              <a16:creationId xmlns:a16="http://schemas.microsoft.com/office/drawing/2014/main" id="{1EB656F2-50A5-4A51-8E9D-1AAF9593CA6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0" name="AutoShape 12" descr="Story">
          <a:hlinkClick xmlns:r="http://schemas.openxmlformats.org/officeDocument/2006/relationships" r:id="rId12"/>
          <a:extLst>
            <a:ext uri="{FF2B5EF4-FFF2-40B4-BE49-F238E27FC236}">
              <a16:creationId xmlns:a16="http://schemas.microsoft.com/office/drawing/2014/main" id="{898327E5-7B58-4B1D-A8F6-4DA58C86143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1" name="AutoShape 1" descr="Story">
          <a:hlinkClick xmlns:r="http://schemas.openxmlformats.org/officeDocument/2006/relationships" r:id="rId13"/>
          <a:extLst>
            <a:ext uri="{FF2B5EF4-FFF2-40B4-BE49-F238E27FC236}">
              <a16:creationId xmlns:a16="http://schemas.microsoft.com/office/drawing/2014/main" id="{BBBE4248-AB1E-477C-BF09-94E6BA784FB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2" name="AutoShape 1" descr="Story">
          <a:hlinkClick xmlns:r="http://schemas.openxmlformats.org/officeDocument/2006/relationships" r:id="rId13"/>
          <a:extLst>
            <a:ext uri="{FF2B5EF4-FFF2-40B4-BE49-F238E27FC236}">
              <a16:creationId xmlns:a16="http://schemas.microsoft.com/office/drawing/2014/main" id="{8D9C3A39-A7C8-458A-9987-4A646B4829A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3" name="AutoShape 3" descr="Story">
          <a:hlinkClick xmlns:r="http://schemas.openxmlformats.org/officeDocument/2006/relationships" r:id="rId4"/>
          <a:extLst>
            <a:ext uri="{FF2B5EF4-FFF2-40B4-BE49-F238E27FC236}">
              <a16:creationId xmlns:a16="http://schemas.microsoft.com/office/drawing/2014/main" id="{ECB39411-9E57-4AB2-B71C-C46B3797105C}"/>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4" name="AutoShape 4" descr="Story">
          <a:hlinkClick xmlns:r="http://schemas.openxmlformats.org/officeDocument/2006/relationships" r:id="rId5"/>
          <a:extLst>
            <a:ext uri="{FF2B5EF4-FFF2-40B4-BE49-F238E27FC236}">
              <a16:creationId xmlns:a16="http://schemas.microsoft.com/office/drawing/2014/main" id="{689C41BA-A77F-459C-AD0B-B8CEF7FA51D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5" name="AutoShape 1" descr="Story">
          <a:hlinkClick xmlns:r="http://schemas.openxmlformats.org/officeDocument/2006/relationships" r:id="rId7"/>
          <a:extLst>
            <a:ext uri="{FF2B5EF4-FFF2-40B4-BE49-F238E27FC236}">
              <a16:creationId xmlns:a16="http://schemas.microsoft.com/office/drawing/2014/main" id="{7EB98C61-5083-4895-A4B0-2AFF4F28CF9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6" name="AutoShape 2" descr="Story">
          <a:hlinkClick xmlns:r="http://schemas.openxmlformats.org/officeDocument/2006/relationships" r:id="rId8"/>
          <a:extLst>
            <a:ext uri="{FF2B5EF4-FFF2-40B4-BE49-F238E27FC236}">
              <a16:creationId xmlns:a16="http://schemas.microsoft.com/office/drawing/2014/main" id="{BB4BFC02-5E8A-4B40-92F9-3C7A6F81F9B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7" name="AutoShape 3" descr="Story">
          <a:hlinkClick xmlns:r="http://schemas.openxmlformats.org/officeDocument/2006/relationships" r:id="rId4"/>
          <a:extLst>
            <a:ext uri="{FF2B5EF4-FFF2-40B4-BE49-F238E27FC236}">
              <a16:creationId xmlns:a16="http://schemas.microsoft.com/office/drawing/2014/main" id="{3E9559A0-18D3-4FE1-93BC-F7FB17E9BC7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8" name="AutoShape 4" descr="Story">
          <a:hlinkClick xmlns:r="http://schemas.openxmlformats.org/officeDocument/2006/relationships" r:id="rId5"/>
          <a:extLst>
            <a:ext uri="{FF2B5EF4-FFF2-40B4-BE49-F238E27FC236}">
              <a16:creationId xmlns:a16="http://schemas.microsoft.com/office/drawing/2014/main" id="{7FF9FEDF-C28C-4ACF-BBAF-3D856588C64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9" name="AutoShape 5" descr="Story">
          <a:hlinkClick xmlns:r="http://schemas.openxmlformats.org/officeDocument/2006/relationships" r:id="rId6"/>
          <a:extLst>
            <a:ext uri="{FF2B5EF4-FFF2-40B4-BE49-F238E27FC236}">
              <a16:creationId xmlns:a16="http://schemas.microsoft.com/office/drawing/2014/main" id="{B7EEAE76-F0B5-42CA-88CA-DEE3DC547B0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0" name="AutoShape 1" descr="Sub-task">
          <a:hlinkClick xmlns:r="http://schemas.openxmlformats.org/officeDocument/2006/relationships" r:id="rId9"/>
          <a:extLst>
            <a:ext uri="{FF2B5EF4-FFF2-40B4-BE49-F238E27FC236}">
              <a16:creationId xmlns:a16="http://schemas.microsoft.com/office/drawing/2014/main" id="{9EDA228D-C6BD-4347-92EC-1B40C889791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1" name="AutoShape 2" descr="Sub-task">
          <a:hlinkClick xmlns:r="http://schemas.openxmlformats.org/officeDocument/2006/relationships" r:id="rId10"/>
          <a:extLst>
            <a:ext uri="{FF2B5EF4-FFF2-40B4-BE49-F238E27FC236}">
              <a16:creationId xmlns:a16="http://schemas.microsoft.com/office/drawing/2014/main" id="{3BDA4F70-CD2E-4E52-A751-AE1B3695CE9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22" name="AutoShape 7" descr="Story">
          <a:hlinkClick xmlns:r="http://schemas.openxmlformats.org/officeDocument/2006/relationships" r:id="rId3"/>
          <a:extLst>
            <a:ext uri="{FF2B5EF4-FFF2-40B4-BE49-F238E27FC236}">
              <a16:creationId xmlns:a16="http://schemas.microsoft.com/office/drawing/2014/main" id="{E58A5509-354B-44CE-A1DD-AF13D03A88D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3" name="AutoShape 3" descr="Story">
          <a:hlinkClick xmlns:r="http://schemas.openxmlformats.org/officeDocument/2006/relationships" r:id="rId11"/>
          <a:extLst>
            <a:ext uri="{FF2B5EF4-FFF2-40B4-BE49-F238E27FC236}">
              <a16:creationId xmlns:a16="http://schemas.microsoft.com/office/drawing/2014/main" id="{334AAD88-F489-4AD3-9A5D-A16853D3912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4" name="AutoShape 12" descr="Story">
          <a:hlinkClick xmlns:r="http://schemas.openxmlformats.org/officeDocument/2006/relationships" r:id="rId12"/>
          <a:extLst>
            <a:ext uri="{FF2B5EF4-FFF2-40B4-BE49-F238E27FC236}">
              <a16:creationId xmlns:a16="http://schemas.microsoft.com/office/drawing/2014/main" id="{B59CE47C-8B31-44B4-A181-60ACF7E6B60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5" name="AutoShape 1" descr="Story">
          <a:hlinkClick xmlns:r="http://schemas.openxmlformats.org/officeDocument/2006/relationships" r:id="rId13"/>
          <a:extLst>
            <a:ext uri="{FF2B5EF4-FFF2-40B4-BE49-F238E27FC236}">
              <a16:creationId xmlns:a16="http://schemas.microsoft.com/office/drawing/2014/main" id="{C10CADEE-3C85-444E-AF5E-29A218F4898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6" name="AutoShape 1" descr="Story">
          <a:hlinkClick xmlns:r="http://schemas.openxmlformats.org/officeDocument/2006/relationships" r:id="rId13"/>
          <a:extLst>
            <a:ext uri="{FF2B5EF4-FFF2-40B4-BE49-F238E27FC236}">
              <a16:creationId xmlns:a16="http://schemas.microsoft.com/office/drawing/2014/main" id="{5DDC8B1D-8291-4CF6-AD8E-BCA1B74E0C7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7" name="AutoShape 3" descr="Story">
          <a:hlinkClick xmlns:r="http://schemas.openxmlformats.org/officeDocument/2006/relationships" r:id="rId4"/>
          <a:extLst>
            <a:ext uri="{FF2B5EF4-FFF2-40B4-BE49-F238E27FC236}">
              <a16:creationId xmlns:a16="http://schemas.microsoft.com/office/drawing/2014/main" id="{DA010A39-26C7-4D35-8852-F3F502824C9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8" name="AutoShape 4" descr="Story">
          <a:hlinkClick xmlns:r="http://schemas.openxmlformats.org/officeDocument/2006/relationships" r:id="rId5"/>
          <a:extLst>
            <a:ext uri="{FF2B5EF4-FFF2-40B4-BE49-F238E27FC236}">
              <a16:creationId xmlns:a16="http://schemas.microsoft.com/office/drawing/2014/main" id="{1A01DA73-E145-414B-B94D-364F23B54C4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9" name="AutoShape 7" descr="Story">
          <a:hlinkClick xmlns:r="http://schemas.openxmlformats.org/officeDocument/2006/relationships" r:id="rId3"/>
          <a:extLst>
            <a:ext uri="{FF2B5EF4-FFF2-40B4-BE49-F238E27FC236}">
              <a16:creationId xmlns:a16="http://schemas.microsoft.com/office/drawing/2014/main" id="{9C362B67-A944-4A2A-A133-1388C84DA83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30" name="AutoShape 8" descr="Story">
          <a:hlinkClick xmlns:r="http://schemas.openxmlformats.org/officeDocument/2006/relationships" r:id="rId4"/>
          <a:extLst>
            <a:ext uri="{FF2B5EF4-FFF2-40B4-BE49-F238E27FC236}">
              <a16:creationId xmlns:a16="http://schemas.microsoft.com/office/drawing/2014/main" id="{2B997E31-A139-4F97-912B-A6A4C523D12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31" name="AutoShape 8" descr="Story">
          <a:hlinkClick xmlns:r="http://schemas.openxmlformats.org/officeDocument/2006/relationships" r:id="rId4"/>
          <a:extLst>
            <a:ext uri="{FF2B5EF4-FFF2-40B4-BE49-F238E27FC236}">
              <a16:creationId xmlns:a16="http://schemas.microsoft.com/office/drawing/2014/main" id="{95D90FF9-A521-4A4E-8C59-03655C8E8CA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1287</xdr:row>
      <xdr:rowOff>0</xdr:rowOff>
    </xdr:from>
    <xdr:to>
      <xdr:col>0</xdr:col>
      <xdr:colOff>152400</xdr:colOff>
      <xdr:row>1287</xdr:row>
      <xdr:rowOff>152400</xdr:rowOff>
    </xdr:to>
    <xdr:sp macro="" textlink="">
      <xdr:nvSpPr>
        <xdr:cNvPr id="1632" name="AutoShape 10" descr="Story">
          <a:hlinkClick xmlns:r="http://schemas.openxmlformats.org/officeDocument/2006/relationships" r:id="rId6"/>
          <a:extLst>
            <a:ext uri="{FF2B5EF4-FFF2-40B4-BE49-F238E27FC236}">
              <a16:creationId xmlns:a16="http://schemas.microsoft.com/office/drawing/2014/main" id="{33AF7333-301B-4F26-ADD9-FB7FD34A593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3" name="AutoShape 14" descr="Story">
          <a:hlinkClick xmlns:r="http://schemas.openxmlformats.org/officeDocument/2006/relationships" r:id="rId4"/>
          <a:extLst>
            <a:ext uri="{FF2B5EF4-FFF2-40B4-BE49-F238E27FC236}">
              <a16:creationId xmlns:a16="http://schemas.microsoft.com/office/drawing/2014/main" id="{F0AC263E-AE70-43D2-A184-54690A02525D}"/>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4" name="AutoShape 10" descr="Story">
          <a:hlinkClick xmlns:r="http://schemas.openxmlformats.org/officeDocument/2006/relationships" r:id="rId6"/>
          <a:extLst>
            <a:ext uri="{FF2B5EF4-FFF2-40B4-BE49-F238E27FC236}">
              <a16:creationId xmlns:a16="http://schemas.microsoft.com/office/drawing/2014/main" id="{A4656B29-89A4-448A-BC3C-41E8C24194D4}"/>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5" name="AutoShape 14" descr="Story">
          <a:hlinkClick xmlns:r="http://schemas.openxmlformats.org/officeDocument/2006/relationships" r:id="rId4"/>
          <a:extLst>
            <a:ext uri="{FF2B5EF4-FFF2-40B4-BE49-F238E27FC236}">
              <a16:creationId xmlns:a16="http://schemas.microsoft.com/office/drawing/2014/main" id="{DA196CF6-A1A1-40D6-B1A0-6B4560B6BA47}"/>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36" name="AutoShape 2" descr="Story">
          <a:hlinkClick xmlns:r="http://schemas.openxmlformats.org/officeDocument/2006/relationships" r:id="rId12"/>
          <a:extLst>
            <a:ext uri="{FF2B5EF4-FFF2-40B4-BE49-F238E27FC236}">
              <a16:creationId xmlns:a16="http://schemas.microsoft.com/office/drawing/2014/main" id="{B866E36B-7B19-4F53-A074-C9D170EFB341}"/>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37" name="AutoShape 3" descr="Story">
          <a:hlinkClick xmlns:r="http://schemas.openxmlformats.org/officeDocument/2006/relationships" r:id="rId11"/>
          <a:extLst>
            <a:ext uri="{FF2B5EF4-FFF2-40B4-BE49-F238E27FC236}">
              <a16:creationId xmlns:a16="http://schemas.microsoft.com/office/drawing/2014/main" id="{F72A99CA-4ABD-421B-BB4D-50157DDA19B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38" name="AutoShape 4" descr="Bug">
          <a:hlinkClick xmlns:r="http://schemas.openxmlformats.org/officeDocument/2006/relationships" r:id="rId1"/>
          <a:extLst>
            <a:ext uri="{FF2B5EF4-FFF2-40B4-BE49-F238E27FC236}">
              <a16:creationId xmlns:a16="http://schemas.microsoft.com/office/drawing/2014/main" id="{5696DCEB-F5BF-443B-B815-A55C368CE36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39" name="AutoShape 5" descr="Story">
          <a:hlinkClick xmlns:r="http://schemas.openxmlformats.org/officeDocument/2006/relationships" r:id="rId14"/>
          <a:extLst>
            <a:ext uri="{FF2B5EF4-FFF2-40B4-BE49-F238E27FC236}">
              <a16:creationId xmlns:a16="http://schemas.microsoft.com/office/drawing/2014/main" id="{7D63DD5D-A83B-45E9-B9F1-D31016E4317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0" name="AutoShape 6" descr="Bug">
          <a:hlinkClick xmlns:r="http://schemas.openxmlformats.org/officeDocument/2006/relationships" r:id="rId2"/>
          <a:extLst>
            <a:ext uri="{FF2B5EF4-FFF2-40B4-BE49-F238E27FC236}">
              <a16:creationId xmlns:a16="http://schemas.microsoft.com/office/drawing/2014/main" id="{91605B08-8EFF-476C-A340-02B306F2E62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1" name="AutoShape 7" descr="Story">
          <a:hlinkClick xmlns:r="http://schemas.openxmlformats.org/officeDocument/2006/relationships" r:id="rId3"/>
          <a:extLst>
            <a:ext uri="{FF2B5EF4-FFF2-40B4-BE49-F238E27FC236}">
              <a16:creationId xmlns:a16="http://schemas.microsoft.com/office/drawing/2014/main" id="{2AF90EBA-A61E-4046-BFD1-7D55D4579A2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2" name="AutoShape 8" descr="Story">
          <a:hlinkClick xmlns:r="http://schemas.openxmlformats.org/officeDocument/2006/relationships" r:id="rId4"/>
          <a:extLst>
            <a:ext uri="{FF2B5EF4-FFF2-40B4-BE49-F238E27FC236}">
              <a16:creationId xmlns:a16="http://schemas.microsoft.com/office/drawing/2014/main" id="{1947AAA6-A2B7-4AB9-B400-7F8AD2DE6FC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3" name="AutoShape 9" descr="Story">
          <a:hlinkClick xmlns:r="http://schemas.openxmlformats.org/officeDocument/2006/relationships" r:id="rId5"/>
          <a:extLst>
            <a:ext uri="{FF2B5EF4-FFF2-40B4-BE49-F238E27FC236}">
              <a16:creationId xmlns:a16="http://schemas.microsoft.com/office/drawing/2014/main" id="{F65F3343-3605-4E83-BE09-DF256634491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44" name="AutoShape 10" descr="Story">
          <a:hlinkClick xmlns:r="http://schemas.openxmlformats.org/officeDocument/2006/relationships" r:id="rId6"/>
          <a:extLst>
            <a:ext uri="{FF2B5EF4-FFF2-40B4-BE49-F238E27FC236}">
              <a16:creationId xmlns:a16="http://schemas.microsoft.com/office/drawing/2014/main" id="{320198EB-CFAE-459C-8DF0-A226CCB839EF}"/>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45" name="AutoShape 11" descr="Story">
          <a:hlinkClick xmlns:r="http://schemas.openxmlformats.org/officeDocument/2006/relationships" r:id="rId15"/>
          <a:extLst>
            <a:ext uri="{FF2B5EF4-FFF2-40B4-BE49-F238E27FC236}">
              <a16:creationId xmlns:a16="http://schemas.microsoft.com/office/drawing/2014/main" id="{8E5B948C-C1ED-49A5-9F14-10F21D8760D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46" name="AutoShape 12" descr="Story">
          <a:hlinkClick xmlns:r="http://schemas.openxmlformats.org/officeDocument/2006/relationships" r:id="rId12"/>
          <a:extLst>
            <a:ext uri="{FF2B5EF4-FFF2-40B4-BE49-F238E27FC236}">
              <a16:creationId xmlns:a16="http://schemas.microsoft.com/office/drawing/2014/main" id="{9C1497A0-2155-4FFE-A60F-3A997BA96F0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7" name="AutoShape 13" descr="Story">
          <a:hlinkClick xmlns:r="http://schemas.openxmlformats.org/officeDocument/2006/relationships" r:id="rId4"/>
          <a:extLst>
            <a:ext uri="{FF2B5EF4-FFF2-40B4-BE49-F238E27FC236}">
              <a16:creationId xmlns:a16="http://schemas.microsoft.com/office/drawing/2014/main" id="{47A00CC3-E9F7-416F-9D23-1CFD4F9A0F0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48" name="AutoShape 14" descr="Story">
          <a:hlinkClick xmlns:r="http://schemas.openxmlformats.org/officeDocument/2006/relationships" r:id="rId4"/>
          <a:extLst>
            <a:ext uri="{FF2B5EF4-FFF2-40B4-BE49-F238E27FC236}">
              <a16:creationId xmlns:a16="http://schemas.microsoft.com/office/drawing/2014/main" id="{D369A652-50CD-49C2-A3B7-F5305E15CA41}"/>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49" name="AutoShape 15" descr="Story">
          <a:hlinkClick xmlns:r="http://schemas.openxmlformats.org/officeDocument/2006/relationships" r:id="rId4"/>
          <a:extLst>
            <a:ext uri="{FF2B5EF4-FFF2-40B4-BE49-F238E27FC236}">
              <a16:creationId xmlns:a16="http://schemas.microsoft.com/office/drawing/2014/main" id="{F59AB2F2-118E-4CC7-9398-112F4C078025}"/>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650" name="AutoShape 1" descr="Story">
          <a:hlinkClick xmlns:r="http://schemas.openxmlformats.org/officeDocument/2006/relationships" r:id="rId7"/>
          <a:extLst>
            <a:ext uri="{FF2B5EF4-FFF2-40B4-BE49-F238E27FC236}">
              <a16:creationId xmlns:a16="http://schemas.microsoft.com/office/drawing/2014/main" id="{98782465-98E9-4151-B26F-3A3CABCD135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1" name="AutoShape 2" descr="Story">
          <a:hlinkClick xmlns:r="http://schemas.openxmlformats.org/officeDocument/2006/relationships" r:id="rId8"/>
          <a:extLst>
            <a:ext uri="{FF2B5EF4-FFF2-40B4-BE49-F238E27FC236}">
              <a16:creationId xmlns:a16="http://schemas.microsoft.com/office/drawing/2014/main" id="{E03BA7AA-E556-45FC-A55B-548A6D441F2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2" name="AutoShape 5" descr="Story">
          <a:hlinkClick xmlns:r="http://schemas.openxmlformats.org/officeDocument/2006/relationships" r:id="rId6"/>
          <a:extLst>
            <a:ext uri="{FF2B5EF4-FFF2-40B4-BE49-F238E27FC236}">
              <a16:creationId xmlns:a16="http://schemas.microsoft.com/office/drawing/2014/main" id="{8EFBB5D5-3D82-45B6-8EF4-47BA78CD4A4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3" name="AutoShape 1" descr="Sub-task">
          <a:hlinkClick xmlns:r="http://schemas.openxmlformats.org/officeDocument/2006/relationships" r:id="rId9"/>
          <a:extLst>
            <a:ext uri="{FF2B5EF4-FFF2-40B4-BE49-F238E27FC236}">
              <a16:creationId xmlns:a16="http://schemas.microsoft.com/office/drawing/2014/main" id="{FF935B7B-D97A-49FB-A313-BF740C58BAF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4" name="AutoShape 2" descr="Sub-task">
          <a:hlinkClick xmlns:r="http://schemas.openxmlformats.org/officeDocument/2006/relationships" r:id="rId10"/>
          <a:extLst>
            <a:ext uri="{FF2B5EF4-FFF2-40B4-BE49-F238E27FC236}">
              <a16:creationId xmlns:a16="http://schemas.microsoft.com/office/drawing/2014/main" id="{60EC39CE-3EAC-45DE-8CD9-876C0255BC51}"/>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5" name="AutoShape 3" descr="Story">
          <a:hlinkClick xmlns:r="http://schemas.openxmlformats.org/officeDocument/2006/relationships" r:id="rId11"/>
          <a:extLst>
            <a:ext uri="{FF2B5EF4-FFF2-40B4-BE49-F238E27FC236}">
              <a16:creationId xmlns:a16="http://schemas.microsoft.com/office/drawing/2014/main" id="{33AA60DF-47C3-4AF7-8CDC-19691666657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6" name="AutoShape 12" descr="Story">
          <a:hlinkClick xmlns:r="http://schemas.openxmlformats.org/officeDocument/2006/relationships" r:id="rId12"/>
          <a:extLst>
            <a:ext uri="{FF2B5EF4-FFF2-40B4-BE49-F238E27FC236}">
              <a16:creationId xmlns:a16="http://schemas.microsoft.com/office/drawing/2014/main" id="{096AA7CC-806E-4423-8D33-80317BB8A7D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7" name="AutoShape 1" descr="Story">
          <a:hlinkClick xmlns:r="http://schemas.openxmlformats.org/officeDocument/2006/relationships" r:id="rId13"/>
          <a:extLst>
            <a:ext uri="{FF2B5EF4-FFF2-40B4-BE49-F238E27FC236}">
              <a16:creationId xmlns:a16="http://schemas.microsoft.com/office/drawing/2014/main" id="{B985212C-6D2F-4F17-8350-74F0A116FDB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8" name="AutoShape 1" descr="Story">
          <a:hlinkClick xmlns:r="http://schemas.openxmlformats.org/officeDocument/2006/relationships" r:id="rId13"/>
          <a:extLst>
            <a:ext uri="{FF2B5EF4-FFF2-40B4-BE49-F238E27FC236}">
              <a16:creationId xmlns:a16="http://schemas.microsoft.com/office/drawing/2014/main" id="{FAA8A07E-E0C4-4DB6-B41E-276860D837B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9" name="AutoShape 3" descr="Story">
          <a:hlinkClick xmlns:r="http://schemas.openxmlformats.org/officeDocument/2006/relationships" r:id="rId4"/>
          <a:extLst>
            <a:ext uri="{FF2B5EF4-FFF2-40B4-BE49-F238E27FC236}">
              <a16:creationId xmlns:a16="http://schemas.microsoft.com/office/drawing/2014/main" id="{7FDAA76F-C120-48C9-983A-7E4B3FC435D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0" name="AutoShape 4" descr="Story">
          <a:hlinkClick xmlns:r="http://schemas.openxmlformats.org/officeDocument/2006/relationships" r:id="rId5"/>
          <a:extLst>
            <a:ext uri="{FF2B5EF4-FFF2-40B4-BE49-F238E27FC236}">
              <a16:creationId xmlns:a16="http://schemas.microsoft.com/office/drawing/2014/main" id="{F025AEAD-195A-4562-BDF2-9B491A9AEC9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1" name="AutoShape 1" descr="Story">
          <a:hlinkClick xmlns:r="http://schemas.openxmlformats.org/officeDocument/2006/relationships" r:id="rId7"/>
          <a:extLst>
            <a:ext uri="{FF2B5EF4-FFF2-40B4-BE49-F238E27FC236}">
              <a16:creationId xmlns:a16="http://schemas.microsoft.com/office/drawing/2014/main" id="{31306410-BD57-4CAD-BE9D-3D001B170FE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2" name="AutoShape 2" descr="Story">
          <a:hlinkClick xmlns:r="http://schemas.openxmlformats.org/officeDocument/2006/relationships" r:id="rId8"/>
          <a:extLst>
            <a:ext uri="{FF2B5EF4-FFF2-40B4-BE49-F238E27FC236}">
              <a16:creationId xmlns:a16="http://schemas.microsoft.com/office/drawing/2014/main" id="{A2F01D12-6358-4176-9548-E6D49C59135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3" name="AutoShape 3" descr="Story">
          <a:hlinkClick xmlns:r="http://schemas.openxmlformats.org/officeDocument/2006/relationships" r:id="rId4"/>
          <a:extLst>
            <a:ext uri="{FF2B5EF4-FFF2-40B4-BE49-F238E27FC236}">
              <a16:creationId xmlns:a16="http://schemas.microsoft.com/office/drawing/2014/main" id="{98A25F83-DA19-40AA-9C1D-80B5824E504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4" name="AutoShape 4" descr="Story">
          <a:hlinkClick xmlns:r="http://schemas.openxmlformats.org/officeDocument/2006/relationships" r:id="rId5"/>
          <a:extLst>
            <a:ext uri="{FF2B5EF4-FFF2-40B4-BE49-F238E27FC236}">
              <a16:creationId xmlns:a16="http://schemas.microsoft.com/office/drawing/2014/main" id="{2B919A30-A670-4993-9C06-146540A9947C}"/>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5" name="AutoShape 5" descr="Story">
          <a:hlinkClick xmlns:r="http://schemas.openxmlformats.org/officeDocument/2006/relationships" r:id="rId6"/>
          <a:extLst>
            <a:ext uri="{FF2B5EF4-FFF2-40B4-BE49-F238E27FC236}">
              <a16:creationId xmlns:a16="http://schemas.microsoft.com/office/drawing/2014/main" id="{ABCF36B9-21D5-4C2D-8278-684760A8447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6" name="AutoShape 1" descr="Sub-task">
          <a:hlinkClick xmlns:r="http://schemas.openxmlformats.org/officeDocument/2006/relationships" r:id="rId9"/>
          <a:extLst>
            <a:ext uri="{FF2B5EF4-FFF2-40B4-BE49-F238E27FC236}">
              <a16:creationId xmlns:a16="http://schemas.microsoft.com/office/drawing/2014/main" id="{D4F8820D-1F9F-41BC-8AF7-A66ACEB2349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7" name="AutoShape 2" descr="Sub-task">
          <a:hlinkClick xmlns:r="http://schemas.openxmlformats.org/officeDocument/2006/relationships" r:id="rId10"/>
          <a:extLst>
            <a:ext uri="{FF2B5EF4-FFF2-40B4-BE49-F238E27FC236}">
              <a16:creationId xmlns:a16="http://schemas.microsoft.com/office/drawing/2014/main" id="{19888A3A-F247-4DBA-B390-F7164037B59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8" name="AutoShape 7" descr="Story">
          <a:hlinkClick xmlns:r="http://schemas.openxmlformats.org/officeDocument/2006/relationships" r:id="rId3"/>
          <a:extLst>
            <a:ext uri="{FF2B5EF4-FFF2-40B4-BE49-F238E27FC236}">
              <a16:creationId xmlns:a16="http://schemas.microsoft.com/office/drawing/2014/main" id="{12ACF614-B74E-4376-8A88-8F09CFD2A3E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9" name="AutoShape 3" descr="Story">
          <a:hlinkClick xmlns:r="http://schemas.openxmlformats.org/officeDocument/2006/relationships" r:id="rId11"/>
          <a:extLst>
            <a:ext uri="{FF2B5EF4-FFF2-40B4-BE49-F238E27FC236}">
              <a16:creationId xmlns:a16="http://schemas.microsoft.com/office/drawing/2014/main" id="{BCF7D991-9DF8-4328-B735-1F1F23127FA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0" name="AutoShape 12" descr="Story">
          <a:hlinkClick xmlns:r="http://schemas.openxmlformats.org/officeDocument/2006/relationships" r:id="rId12"/>
          <a:extLst>
            <a:ext uri="{FF2B5EF4-FFF2-40B4-BE49-F238E27FC236}">
              <a16:creationId xmlns:a16="http://schemas.microsoft.com/office/drawing/2014/main" id="{717C579E-A527-4E5C-B961-332F6514671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1" name="AutoShape 1" descr="Story">
          <a:hlinkClick xmlns:r="http://schemas.openxmlformats.org/officeDocument/2006/relationships" r:id="rId13"/>
          <a:extLst>
            <a:ext uri="{FF2B5EF4-FFF2-40B4-BE49-F238E27FC236}">
              <a16:creationId xmlns:a16="http://schemas.microsoft.com/office/drawing/2014/main" id="{1B3B0F2A-E1B2-43A4-AE84-D73582FF04E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2" name="AutoShape 1" descr="Story">
          <a:hlinkClick xmlns:r="http://schemas.openxmlformats.org/officeDocument/2006/relationships" r:id="rId13"/>
          <a:extLst>
            <a:ext uri="{FF2B5EF4-FFF2-40B4-BE49-F238E27FC236}">
              <a16:creationId xmlns:a16="http://schemas.microsoft.com/office/drawing/2014/main" id="{0C3F9BCB-3088-447C-9552-5328B7AAC89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3" name="AutoShape 3" descr="Story">
          <a:hlinkClick xmlns:r="http://schemas.openxmlformats.org/officeDocument/2006/relationships" r:id="rId4"/>
          <a:extLst>
            <a:ext uri="{FF2B5EF4-FFF2-40B4-BE49-F238E27FC236}">
              <a16:creationId xmlns:a16="http://schemas.microsoft.com/office/drawing/2014/main" id="{767D78C6-8D8B-4778-B611-0BDB26022A2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4" name="AutoShape 4" descr="Story">
          <a:hlinkClick xmlns:r="http://schemas.openxmlformats.org/officeDocument/2006/relationships" r:id="rId5"/>
          <a:extLst>
            <a:ext uri="{FF2B5EF4-FFF2-40B4-BE49-F238E27FC236}">
              <a16:creationId xmlns:a16="http://schemas.microsoft.com/office/drawing/2014/main" id="{703AB253-A747-47CE-B94E-68D0F9C35FF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5" name="AutoShape 7" descr="Story">
          <a:hlinkClick xmlns:r="http://schemas.openxmlformats.org/officeDocument/2006/relationships" r:id="rId3"/>
          <a:extLst>
            <a:ext uri="{FF2B5EF4-FFF2-40B4-BE49-F238E27FC236}">
              <a16:creationId xmlns:a16="http://schemas.microsoft.com/office/drawing/2014/main" id="{1133F5A8-B5F2-414F-9A2A-458A047ECFB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76" name="AutoShape 8" descr="Story">
          <a:hlinkClick xmlns:r="http://schemas.openxmlformats.org/officeDocument/2006/relationships" r:id="rId4"/>
          <a:extLst>
            <a:ext uri="{FF2B5EF4-FFF2-40B4-BE49-F238E27FC236}">
              <a16:creationId xmlns:a16="http://schemas.microsoft.com/office/drawing/2014/main" id="{BDDCBCDA-B00C-4A0C-BAB9-0E9857F39DD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77" name="AutoShape 8" descr="Story">
          <a:hlinkClick xmlns:r="http://schemas.openxmlformats.org/officeDocument/2006/relationships" r:id="rId4"/>
          <a:extLst>
            <a:ext uri="{FF2B5EF4-FFF2-40B4-BE49-F238E27FC236}">
              <a16:creationId xmlns:a16="http://schemas.microsoft.com/office/drawing/2014/main" id="{BD825CCC-C5BC-4CFB-93D9-47019A66DC0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1287</xdr:row>
      <xdr:rowOff>0</xdr:rowOff>
    </xdr:from>
    <xdr:to>
      <xdr:col>0</xdr:col>
      <xdr:colOff>152400</xdr:colOff>
      <xdr:row>1287</xdr:row>
      <xdr:rowOff>152400</xdr:rowOff>
    </xdr:to>
    <xdr:sp macro="" textlink="">
      <xdr:nvSpPr>
        <xdr:cNvPr id="1678" name="AutoShape 10" descr="Story">
          <a:hlinkClick xmlns:r="http://schemas.openxmlformats.org/officeDocument/2006/relationships" r:id="rId6"/>
          <a:extLst>
            <a:ext uri="{FF2B5EF4-FFF2-40B4-BE49-F238E27FC236}">
              <a16:creationId xmlns:a16="http://schemas.microsoft.com/office/drawing/2014/main" id="{7FE03AC6-A850-4922-9170-415214D578D5}"/>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79" name="AutoShape 14" descr="Story">
          <a:hlinkClick xmlns:r="http://schemas.openxmlformats.org/officeDocument/2006/relationships" r:id="rId4"/>
          <a:extLst>
            <a:ext uri="{FF2B5EF4-FFF2-40B4-BE49-F238E27FC236}">
              <a16:creationId xmlns:a16="http://schemas.microsoft.com/office/drawing/2014/main" id="{A0AFC228-2316-4D3B-868F-CD8E04D92388}"/>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80" name="AutoShape 10" descr="Story">
          <a:hlinkClick xmlns:r="http://schemas.openxmlformats.org/officeDocument/2006/relationships" r:id="rId6"/>
          <a:extLst>
            <a:ext uri="{FF2B5EF4-FFF2-40B4-BE49-F238E27FC236}">
              <a16:creationId xmlns:a16="http://schemas.microsoft.com/office/drawing/2014/main" id="{8DB20BA4-AF6F-4927-ABCE-3B192354EC5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81" name="AutoShape 14" descr="Story">
          <a:hlinkClick xmlns:r="http://schemas.openxmlformats.org/officeDocument/2006/relationships" r:id="rId4"/>
          <a:extLst>
            <a:ext uri="{FF2B5EF4-FFF2-40B4-BE49-F238E27FC236}">
              <a16:creationId xmlns:a16="http://schemas.microsoft.com/office/drawing/2014/main" id="{2FE225A1-739E-4B96-8621-D120C16A2156}"/>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82" name="AutoShape 2" descr="Story">
          <a:hlinkClick xmlns:r="http://schemas.openxmlformats.org/officeDocument/2006/relationships" r:id="rId12"/>
          <a:extLst>
            <a:ext uri="{FF2B5EF4-FFF2-40B4-BE49-F238E27FC236}">
              <a16:creationId xmlns:a16="http://schemas.microsoft.com/office/drawing/2014/main" id="{5F8F468E-8F0F-4E61-819E-C291935A868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683" name="AutoShape 3" descr="Story">
          <a:hlinkClick xmlns:r="http://schemas.openxmlformats.org/officeDocument/2006/relationships" r:id="rId11"/>
          <a:extLst>
            <a:ext uri="{FF2B5EF4-FFF2-40B4-BE49-F238E27FC236}">
              <a16:creationId xmlns:a16="http://schemas.microsoft.com/office/drawing/2014/main" id="{42954441-9231-4C2F-B6BE-AB53F2E7208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4" name="AutoShape 4" descr="Bug">
          <a:hlinkClick xmlns:r="http://schemas.openxmlformats.org/officeDocument/2006/relationships" r:id="rId1"/>
          <a:extLst>
            <a:ext uri="{FF2B5EF4-FFF2-40B4-BE49-F238E27FC236}">
              <a16:creationId xmlns:a16="http://schemas.microsoft.com/office/drawing/2014/main" id="{BE2DF714-63D8-4134-BF2F-D14C3CC0102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85" name="AutoShape 5" descr="Story">
          <a:hlinkClick xmlns:r="http://schemas.openxmlformats.org/officeDocument/2006/relationships" r:id="rId14"/>
          <a:extLst>
            <a:ext uri="{FF2B5EF4-FFF2-40B4-BE49-F238E27FC236}">
              <a16:creationId xmlns:a16="http://schemas.microsoft.com/office/drawing/2014/main" id="{CF855318-74A5-4A64-A8BD-92903197B9B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6" name="AutoShape 6" descr="Bug">
          <a:hlinkClick xmlns:r="http://schemas.openxmlformats.org/officeDocument/2006/relationships" r:id="rId2"/>
          <a:extLst>
            <a:ext uri="{FF2B5EF4-FFF2-40B4-BE49-F238E27FC236}">
              <a16:creationId xmlns:a16="http://schemas.microsoft.com/office/drawing/2014/main" id="{6BB0BED8-478B-4D51-A6B8-C3F696EDD56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7" name="AutoShape 7" descr="Story">
          <a:hlinkClick xmlns:r="http://schemas.openxmlformats.org/officeDocument/2006/relationships" r:id="rId3"/>
          <a:extLst>
            <a:ext uri="{FF2B5EF4-FFF2-40B4-BE49-F238E27FC236}">
              <a16:creationId xmlns:a16="http://schemas.microsoft.com/office/drawing/2014/main" id="{3E76926B-268D-45D9-9E08-238FF733881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8" name="AutoShape 8" descr="Story">
          <a:hlinkClick xmlns:r="http://schemas.openxmlformats.org/officeDocument/2006/relationships" r:id="rId4"/>
          <a:extLst>
            <a:ext uri="{FF2B5EF4-FFF2-40B4-BE49-F238E27FC236}">
              <a16:creationId xmlns:a16="http://schemas.microsoft.com/office/drawing/2014/main" id="{A9316AEF-B9E1-4AB3-B39B-641C2B5355B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9" name="AutoShape 9" descr="Story">
          <a:hlinkClick xmlns:r="http://schemas.openxmlformats.org/officeDocument/2006/relationships" r:id="rId5"/>
          <a:extLst>
            <a:ext uri="{FF2B5EF4-FFF2-40B4-BE49-F238E27FC236}">
              <a16:creationId xmlns:a16="http://schemas.microsoft.com/office/drawing/2014/main" id="{7A8C141C-41CF-459A-A665-1D670564142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690" name="AutoShape 10" descr="Story">
          <a:hlinkClick xmlns:r="http://schemas.openxmlformats.org/officeDocument/2006/relationships" r:id="rId6"/>
          <a:extLst>
            <a:ext uri="{FF2B5EF4-FFF2-40B4-BE49-F238E27FC236}">
              <a16:creationId xmlns:a16="http://schemas.microsoft.com/office/drawing/2014/main" id="{72D5B118-1CE9-485B-951D-6566A71A1D93}"/>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91" name="AutoShape 11" descr="Story">
          <a:hlinkClick xmlns:r="http://schemas.openxmlformats.org/officeDocument/2006/relationships" r:id="rId15"/>
          <a:extLst>
            <a:ext uri="{FF2B5EF4-FFF2-40B4-BE49-F238E27FC236}">
              <a16:creationId xmlns:a16="http://schemas.microsoft.com/office/drawing/2014/main" id="{3AF11199-A465-458F-9DA0-F9265A84A199}"/>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692" name="AutoShape 12" descr="Story">
          <a:hlinkClick xmlns:r="http://schemas.openxmlformats.org/officeDocument/2006/relationships" r:id="rId12"/>
          <a:extLst>
            <a:ext uri="{FF2B5EF4-FFF2-40B4-BE49-F238E27FC236}">
              <a16:creationId xmlns:a16="http://schemas.microsoft.com/office/drawing/2014/main" id="{2EF06972-9856-4918-868B-7D56CC6DB93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93" name="AutoShape 13" descr="Story">
          <a:hlinkClick xmlns:r="http://schemas.openxmlformats.org/officeDocument/2006/relationships" r:id="rId4"/>
          <a:extLst>
            <a:ext uri="{FF2B5EF4-FFF2-40B4-BE49-F238E27FC236}">
              <a16:creationId xmlns:a16="http://schemas.microsoft.com/office/drawing/2014/main" id="{D0223300-0CC7-4F6D-9DEB-A1D79AC9B480}"/>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694" name="AutoShape 14" descr="Story">
          <a:hlinkClick xmlns:r="http://schemas.openxmlformats.org/officeDocument/2006/relationships" r:id="rId4"/>
          <a:extLst>
            <a:ext uri="{FF2B5EF4-FFF2-40B4-BE49-F238E27FC236}">
              <a16:creationId xmlns:a16="http://schemas.microsoft.com/office/drawing/2014/main" id="{1E50FE54-6A19-44AD-806C-4930F007116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95" name="AutoShape 15" descr="Story">
          <a:hlinkClick xmlns:r="http://schemas.openxmlformats.org/officeDocument/2006/relationships" r:id="rId4"/>
          <a:extLst>
            <a:ext uri="{FF2B5EF4-FFF2-40B4-BE49-F238E27FC236}">
              <a16:creationId xmlns:a16="http://schemas.microsoft.com/office/drawing/2014/main" id="{0B9D16B3-8CE0-4ED4-A086-9F6BA2759615}"/>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1298</xdr:row>
      <xdr:rowOff>0</xdr:rowOff>
    </xdr:from>
    <xdr:ext cx="152400" cy="152400"/>
    <xdr:sp macro="" textlink="">
      <xdr:nvSpPr>
        <xdr:cNvPr id="1696" name="AutoShape 1" descr="Story">
          <a:hlinkClick xmlns:r="http://schemas.openxmlformats.org/officeDocument/2006/relationships" r:id="rId7"/>
          <a:extLst>
            <a:ext uri="{FF2B5EF4-FFF2-40B4-BE49-F238E27FC236}">
              <a16:creationId xmlns:a16="http://schemas.microsoft.com/office/drawing/2014/main" id="{2B31BB20-2C8F-483C-BB03-3AFF62F164A1}"/>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7" name="AutoShape 2" descr="Story">
          <a:hlinkClick xmlns:r="http://schemas.openxmlformats.org/officeDocument/2006/relationships" r:id="rId8"/>
          <a:extLst>
            <a:ext uri="{FF2B5EF4-FFF2-40B4-BE49-F238E27FC236}">
              <a16:creationId xmlns:a16="http://schemas.microsoft.com/office/drawing/2014/main" id="{30DAA822-F79E-4ABF-B469-FD7F8613270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8" name="AutoShape 5" descr="Story">
          <a:hlinkClick xmlns:r="http://schemas.openxmlformats.org/officeDocument/2006/relationships" r:id="rId6"/>
          <a:extLst>
            <a:ext uri="{FF2B5EF4-FFF2-40B4-BE49-F238E27FC236}">
              <a16:creationId xmlns:a16="http://schemas.microsoft.com/office/drawing/2014/main" id="{BE2E29DA-1DB6-436F-9C9C-61362A6AC5A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9" name="AutoShape 1" descr="Sub-task">
          <a:hlinkClick xmlns:r="http://schemas.openxmlformats.org/officeDocument/2006/relationships" r:id="rId9"/>
          <a:extLst>
            <a:ext uri="{FF2B5EF4-FFF2-40B4-BE49-F238E27FC236}">
              <a16:creationId xmlns:a16="http://schemas.microsoft.com/office/drawing/2014/main" id="{683F738F-7C6F-4285-BC05-5D3ED8ABCC3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0" name="AutoShape 2" descr="Sub-task">
          <a:hlinkClick xmlns:r="http://schemas.openxmlformats.org/officeDocument/2006/relationships" r:id="rId10"/>
          <a:extLst>
            <a:ext uri="{FF2B5EF4-FFF2-40B4-BE49-F238E27FC236}">
              <a16:creationId xmlns:a16="http://schemas.microsoft.com/office/drawing/2014/main" id="{CCE58BC8-5DA3-440D-ADC3-3055F36D1FC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1" name="AutoShape 3" descr="Story">
          <a:hlinkClick xmlns:r="http://schemas.openxmlformats.org/officeDocument/2006/relationships" r:id="rId11"/>
          <a:extLst>
            <a:ext uri="{FF2B5EF4-FFF2-40B4-BE49-F238E27FC236}">
              <a16:creationId xmlns:a16="http://schemas.microsoft.com/office/drawing/2014/main" id="{9CBBC256-4998-4118-8AD7-79C8D76CC5D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2" name="AutoShape 12" descr="Story">
          <a:hlinkClick xmlns:r="http://schemas.openxmlformats.org/officeDocument/2006/relationships" r:id="rId12"/>
          <a:extLst>
            <a:ext uri="{FF2B5EF4-FFF2-40B4-BE49-F238E27FC236}">
              <a16:creationId xmlns:a16="http://schemas.microsoft.com/office/drawing/2014/main" id="{71A61ABE-D8E4-402E-A886-B11ABDD1453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3" name="AutoShape 1" descr="Story">
          <a:hlinkClick xmlns:r="http://schemas.openxmlformats.org/officeDocument/2006/relationships" r:id="rId13"/>
          <a:extLst>
            <a:ext uri="{FF2B5EF4-FFF2-40B4-BE49-F238E27FC236}">
              <a16:creationId xmlns:a16="http://schemas.microsoft.com/office/drawing/2014/main" id="{B8F854C7-168E-44D0-8A17-122709B9849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4" name="AutoShape 1" descr="Story">
          <a:hlinkClick xmlns:r="http://schemas.openxmlformats.org/officeDocument/2006/relationships" r:id="rId13"/>
          <a:extLst>
            <a:ext uri="{FF2B5EF4-FFF2-40B4-BE49-F238E27FC236}">
              <a16:creationId xmlns:a16="http://schemas.microsoft.com/office/drawing/2014/main" id="{D56CE77B-2BC6-48A7-B9B3-A17A683C48D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5" name="AutoShape 3" descr="Story">
          <a:hlinkClick xmlns:r="http://schemas.openxmlformats.org/officeDocument/2006/relationships" r:id="rId4"/>
          <a:extLst>
            <a:ext uri="{FF2B5EF4-FFF2-40B4-BE49-F238E27FC236}">
              <a16:creationId xmlns:a16="http://schemas.microsoft.com/office/drawing/2014/main" id="{C1D439F1-29BE-4481-926B-5726CC5A8AD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6" name="AutoShape 4" descr="Story">
          <a:hlinkClick xmlns:r="http://schemas.openxmlformats.org/officeDocument/2006/relationships" r:id="rId5"/>
          <a:extLst>
            <a:ext uri="{FF2B5EF4-FFF2-40B4-BE49-F238E27FC236}">
              <a16:creationId xmlns:a16="http://schemas.microsoft.com/office/drawing/2014/main" id="{A70F29F0-32FA-4E4E-9FEC-10CE00BB4E4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07" name="AutoShape 1" descr="Story">
          <a:hlinkClick xmlns:r="http://schemas.openxmlformats.org/officeDocument/2006/relationships" r:id="rId7"/>
          <a:extLst>
            <a:ext uri="{FF2B5EF4-FFF2-40B4-BE49-F238E27FC236}">
              <a16:creationId xmlns:a16="http://schemas.microsoft.com/office/drawing/2014/main" id="{423B510A-A56B-46C4-977E-03DBD3CC9CB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08" name="AutoShape 2" descr="Story">
          <a:hlinkClick xmlns:r="http://schemas.openxmlformats.org/officeDocument/2006/relationships" r:id="rId8"/>
          <a:extLst>
            <a:ext uri="{FF2B5EF4-FFF2-40B4-BE49-F238E27FC236}">
              <a16:creationId xmlns:a16="http://schemas.microsoft.com/office/drawing/2014/main" id="{B8FEC304-AAD4-456E-9F0A-46CA2EB4D07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9" name="AutoShape 3" descr="Story">
          <a:hlinkClick xmlns:r="http://schemas.openxmlformats.org/officeDocument/2006/relationships" r:id="rId4"/>
          <a:extLst>
            <a:ext uri="{FF2B5EF4-FFF2-40B4-BE49-F238E27FC236}">
              <a16:creationId xmlns:a16="http://schemas.microsoft.com/office/drawing/2014/main" id="{13644CDE-B284-4A1A-94EE-8768C6F4D19A}"/>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10" name="AutoShape 4" descr="Story">
          <a:hlinkClick xmlns:r="http://schemas.openxmlformats.org/officeDocument/2006/relationships" r:id="rId5"/>
          <a:extLst>
            <a:ext uri="{FF2B5EF4-FFF2-40B4-BE49-F238E27FC236}">
              <a16:creationId xmlns:a16="http://schemas.microsoft.com/office/drawing/2014/main" id="{63D82803-FCAE-42ED-A891-DBF937A9A63A}"/>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1" name="AutoShape 5" descr="Story">
          <a:hlinkClick xmlns:r="http://schemas.openxmlformats.org/officeDocument/2006/relationships" r:id="rId6"/>
          <a:extLst>
            <a:ext uri="{FF2B5EF4-FFF2-40B4-BE49-F238E27FC236}">
              <a16:creationId xmlns:a16="http://schemas.microsoft.com/office/drawing/2014/main" id="{1DD60E48-8AFD-46EA-AC85-FBA9E280CB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2" name="AutoShape 1" descr="Sub-task">
          <a:hlinkClick xmlns:r="http://schemas.openxmlformats.org/officeDocument/2006/relationships" r:id="rId9"/>
          <a:extLst>
            <a:ext uri="{FF2B5EF4-FFF2-40B4-BE49-F238E27FC236}">
              <a16:creationId xmlns:a16="http://schemas.microsoft.com/office/drawing/2014/main" id="{9FF85B84-2987-40F2-B2A9-B231E4E3DDE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3" name="AutoShape 2" descr="Sub-task">
          <a:hlinkClick xmlns:r="http://schemas.openxmlformats.org/officeDocument/2006/relationships" r:id="rId10"/>
          <a:extLst>
            <a:ext uri="{FF2B5EF4-FFF2-40B4-BE49-F238E27FC236}">
              <a16:creationId xmlns:a16="http://schemas.microsoft.com/office/drawing/2014/main" id="{5239F4F3-7B0B-4E85-B181-BBA79BF6DF8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14" name="AutoShape 7" descr="Story">
          <a:hlinkClick xmlns:r="http://schemas.openxmlformats.org/officeDocument/2006/relationships" r:id="rId3"/>
          <a:extLst>
            <a:ext uri="{FF2B5EF4-FFF2-40B4-BE49-F238E27FC236}">
              <a16:creationId xmlns:a16="http://schemas.microsoft.com/office/drawing/2014/main" id="{4B940599-79C1-4B3E-999F-8D1DA012846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5" name="AutoShape 3" descr="Story">
          <a:hlinkClick xmlns:r="http://schemas.openxmlformats.org/officeDocument/2006/relationships" r:id="rId11"/>
          <a:extLst>
            <a:ext uri="{FF2B5EF4-FFF2-40B4-BE49-F238E27FC236}">
              <a16:creationId xmlns:a16="http://schemas.microsoft.com/office/drawing/2014/main" id="{29B1AA81-88EB-4465-96A1-5BE8A7C4A33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6" name="AutoShape 12" descr="Story">
          <a:hlinkClick xmlns:r="http://schemas.openxmlformats.org/officeDocument/2006/relationships" r:id="rId12"/>
          <a:extLst>
            <a:ext uri="{FF2B5EF4-FFF2-40B4-BE49-F238E27FC236}">
              <a16:creationId xmlns:a16="http://schemas.microsoft.com/office/drawing/2014/main" id="{9341E0FB-7660-48C6-851E-5CE46A19261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7" name="AutoShape 1" descr="Story">
          <a:hlinkClick xmlns:r="http://schemas.openxmlformats.org/officeDocument/2006/relationships" r:id="rId13"/>
          <a:extLst>
            <a:ext uri="{FF2B5EF4-FFF2-40B4-BE49-F238E27FC236}">
              <a16:creationId xmlns:a16="http://schemas.microsoft.com/office/drawing/2014/main" id="{4986F3AD-1DF2-4902-9194-9DF7C665E83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8" name="AutoShape 1" descr="Story">
          <a:hlinkClick xmlns:r="http://schemas.openxmlformats.org/officeDocument/2006/relationships" r:id="rId13"/>
          <a:extLst>
            <a:ext uri="{FF2B5EF4-FFF2-40B4-BE49-F238E27FC236}">
              <a16:creationId xmlns:a16="http://schemas.microsoft.com/office/drawing/2014/main" id="{ACBF6AA0-0F93-4D3A-9841-D1649C0828F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9" name="AutoShape 3" descr="Story">
          <a:hlinkClick xmlns:r="http://schemas.openxmlformats.org/officeDocument/2006/relationships" r:id="rId4"/>
          <a:extLst>
            <a:ext uri="{FF2B5EF4-FFF2-40B4-BE49-F238E27FC236}">
              <a16:creationId xmlns:a16="http://schemas.microsoft.com/office/drawing/2014/main" id="{3D5F27BB-A181-4A80-A54C-9288E90E3E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20" name="AutoShape 4" descr="Story">
          <a:hlinkClick xmlns:r="http://schemas.openxmlformats.org/officeDocument/2006/relationships" r:id="rId5"/>
          <a:extLst>
            <a:ext uri="{FF2B5EF4-FFF2-40B4-BE49-F238E27FC236}">
              <a16:creationId xmlns:a16="http://schemas.microsoft.com/office/drawing/2014/main" id="{553D9D17-5B16-4506-BBF6-AA3E1D325CD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21" name="AutoShape 7" descr="Story">
          <a:hlinkClick xmlns:r="http://schemas.openxmlformats.org/officeDocument/2006/relationships" r:id="rId3"/>
          <a:extLst>
            <a:ext uri="{FF2B5EF4-FFF2-40B4-BE49-F238E27FC236}">
              <a16:creationId xmlns:a16="http://schemas.microsoft.com/office/drawing/2014/main" id="{B1C6BABF-9B01-49EA-B086-1DEDCC73892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22" name="AutoShape 8" descr="Story">
          <a:hlinkClick xmlns:r="http://schemas.openxmlformats.org/officeDocument/2006/relationships" r:id="rId4"/>
          <a:extLst>
            <a:ext uri="{FF2B5EF4-FFF2-40B4-BE49-F238E27FC236}">
              <a16:creationId xmlns:a16="http://schemas.microsoft.com/office/drawing/2014/main" id="{E6AF1E6F-55A4-4B17-98FF-569CCAE6FFA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23" name="AutoShape 8" descr="Story">
          <a:hlinkClick xmlns:r="http://schemas.openxmlformats.org/officeDocument/2006/relationships" r:id="rId4"/>
          <a:extLst>
            <a:ext uri="{FF2B5EF4-FFF2-40B4-BE49-F238E27FC236}">
              <a16:creationId xmlns:a16="http://schemas.microsoft.com/office/drawing/2014/main" id="{5621A0CF-2EF0-4401-9CEC-2B360AC24A2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1724" name="AutoShape 10" descr="Story">
          <a:hlinkClick xmlns:r="http://schemas.openxmlformats.org/officeDocument/2006/relationships" r:id="rId6"/>
          <a:extLst>
            <a:ext uri="{FF2B5EF4-FFF2-40B4-BE49-F238E27FC236}">
              <a16:creationId xmlns:a16="http://schemas.microsoft.com/office/drawing/2014/main" id="{C4D65012-C64B-43DC-9F7D-00A43F4C8C7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5" name="AutoShape 14" descr="Story">
          <a:hlinkClick xmlns:r="http://schemas.openxmlformats.org/officeDocument/2006/relationships" r:id="rId4"/>
          <a:extLst>
            <a:ext uri="{FF2B5EF4-FFF2-40B4-BE49-F238E27FC236}">
              <a16:creationId xmlns:a16="http://schemas.microsoft.com/office/drawing/2014/main" id="{F9D2DC19-0779-4FF1-80C7-EDDB71F682E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6" name="AutoShape 10" descr="Story">
          <a:hlinkClick xmlns:r="http://schemas.openxmlformats.org/officeDocument/2006/relationships" r:id="rId6"/>
          <a:extLst>
            <a:ext uri="{FF2B5EF4-FFF2-40B4-BE49-F238E27FC236}">
              <a16:creationId xmlns:a16="http://schemas.microsoft.com/office/drawing/2014/main" id="{4E9D1A44-1AFF-4084-A9DB-96F5A7AB35E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7" name="AutoShape 14" descr="Story">
          <a:hlinkClick xmlns:r="http://schemas.openxmlformats.org/officeDocument/2006/relationships" r:id="rId4"/>
          <a:extLst>
            <a:ext uri="{FF2B5EF4-FFF2-40B4-BE49-F238E27FC236}">
              <a16:creationId xmlns:a16="http://schemas.microsoft.com/office/drawing/2014/main" id="{BD6599E4-B80C-4737-A0A1-124B474DD82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28" name="AutoShape 1" descr="Story">
          <a:hlinkClick xmlns:r="http://schemas.openxmlformats.org/officeDocument/2006/relationships" r:id="rId13"/>
          <a:extLst>
            <a:ext uri="{FF2B5EF4-FFF2-40B4-BE49-F238E27FC236}">
              <a16:creationId xmlns:a16="http://schemas.microsoft.com/office/drawing/2014/main" id="{8E89C8BE-63AD-49A2-A048-E0D839CDF6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29" name="AutoShape 2" descr="Story">
          <a:hlinkClick xmlns:r="http://schemas.openxmlformats.org/officeDocument/2006/relationships" r:id="rId12"/>
          <a:extLst>
            <a:ext uri="{FF2B5EF4-FFF2-40B4-BE49-F238E27FC236}">
              <a16:creationId xmlns:a16="http://schemas.microsoft.com/office/drawing/2014/main" id="{F1E8E294-ECC1-414E-AC40-2B4B7E5C0B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0" name="AutoShape 3" descr="Story">
          <a:hlinkClick xmlns:r="http://schemas.openxmlformats.org/officeDocument/2006/relationships" r:id="rId11"/>
          <a:extLst>
            <a:ext uri="{FF2B5EF4-FFF2-40B4-BE49-F238E27FC236}">
              <a16:creationId xmlns:a16="http://schemas.microsoft.com/office/drawing/2014/main" id="{F1540E24-9FB2-44BA-8B36-F11C00C5AC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1" name="AutoShape 4" descr="Bug">
          <a:hlinkClick xmlns:r="http://schemas.openxmlformats.org/officeDocument/2006/relationships" r:id="rId1"/>
          <a:extLst>
            <a:ext uri="{FF2B5EF4-FFF2-40B4-BE49-F238E27FC236}">
              <a16:creationId xmlns:a16="http://schemas.microsoft.com/office/drawing/2014/main" id="{467D3FEC-9BFD-4BE6-9FC7-607DA5AD74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2" name="AutoShape 5" descr="Story">
          <a:hlinkClick xmlns:r="http://schemas.openxmlformats.org/officeDocument/2006/relationships" r:id="rId14"/>
          <a:extLst>
            <a:ext uri="{FF2B5EF4-FFF2-40B4-BE49-F238E27FC236}">
              <a16:creationId xmlns:a16="http://schemas.microsoft.com/office/drawing/2014/main" id="{64369F52-1721-4EE3-9CFC-F891ADF2EE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3" name="AutoShape 6" descr="Bug">
          <a:hlinkClick xmlns:r="http://schemas.openxmlformats.org/officeDocument/2006/relationships" r:id="rId2"/>
          <a:extLst>
            <a:ext uri="{FF2B5EF4-FFF2-40B4-BE49-F238E27FC236}">
              <a16:creationId xmlns:a16="http://schemas.microsoft.com/office/drawing/2014/main" id="{99D7470B-4557-4F29-B303-1F6817E057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4" name="AutoShape 7" descr="Story">
          <a:hlinkClick xmlns:r="http://schemas.openxmlformats.org/officeDocument/2006/relationships" r:id="rId3"/>
          <a:extLst>
            <a:ext uri="{FF2B5EF4-FFF2-40B4-BE49-F238E27FC236}">
              <a16:creationId xmlns:a16="http://schemas.microsoft.com/office/drawing/2014/main" id="{50B2647A-FE18-4E87-8217-6AEBE1A0C3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5" name="AutoShape 8" descr="Story">
          <a:hlinkClick xmlns:r="http://schemas.openxmlformats.org/officeDocument/2006/relationships" r:id="rId4"/>
          <a:extLst>
            <a:ext uri="{FF2B5EF4-FFF2-40B4-BE49-F238E27FC236}">
              <a16:creationId xmlns:a16="http://schemas.microsoft.com/office/drawing/2014/main" id="{DD4A35B8-95E3-4670-9CD8-2C560687BA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6" name="AutoShape 9" descr="Story">
          <a:hlinkClick xmlns:r="http://schemas.openxmlformats.org/officeDocument/2006/relationships" r:id="rId5"/>
          <a:extLst>
            <a:ext uri="{FF2B5EF4-FFF2-40B4-BE49-F238E27FC236}">
              <a16:creationId xmlns:a16="http://schemas.microsoft.com/office/drawing/2014/main" id="{E3870764-EAC4-4995-B820-F1D65AB8FE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7" name="AutoShape 10" descr="Story">
          <a:hlinkClick xmlns:r="http://schemas.openxmlformats.org/officeDocument/2006/relationships" r:id="rId6"/>
          <a:extLst>
            <a:ext uri="{FF2B5EF4-FFF2-40B4-BE49-F238E27FC236}">
              <a16:creationId xmlns:a16="http://schemas.microsoft.com/office/drawing/2014/main" id="{FEF856A1-D8BF-4998-BAE3-9A97A927EB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8" name="AutoShape 11" descr="Story">
          <a:hlinkClick xmlns:r="http://schemas.openxmlformats.org/officeDocument/2006/relationships" r:id="rId15"/>
          <a:extLst>
            <a:ext uri="{FF2B5EF4-FFF2-40B4-BE49-F238E27FC236}">
              <a16:creationId xmlns:a16="http://schemas.microsoft.com/office/drawing/2014/main" id="{5C965E6C-E1D4-43B9-BC41-7728D28833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39" name="AutoShape 12" descr="Story">
          <a:hlinkClick xmlns:r="http://schemas.openxmlformats.org/officeDocument/2006/relationships" r:id="rId12"/>
          <a:extLst>
            <a:ext uri="{FF2B5EF4-FFF2-40B4-BE49-F238E27FC236}">
              <a16:creationId xmlns:a16="http://schemas.microsoft.com/office/drawing/2014/main" id="{8E59F856-551F-4B17-BF58-2EE40202C0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40" name="AutoShape 13" descr="Story">
          <a:hlinkClick xmlns:r="http://schemas.openxmlformats.org/officeDocument/2006/relationships" r:id="rId4"/>
          <a:extLst>
            <a:ext uri="{FF2B5EF4-FFF2-40B4-BE49-F238E27FC236}">
              <a16:creationId xmlns:a16="http://schemas.microsoft.com/office/drawing/2014/main" id="{77582668-D298-443F-97A9-72AAE880F7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41" name="AutoShape 14" descr="Story">
          <a:hlinkClick xmlns:r="http://schemas.openxmlformats.org/officeDocument/2006/relationships" r:id="rId4"/>
          <a:extLst>
            <a:ext uri="{FF2B5EF4-FFF2-40B4-BE49-F238E27FC236}">
              <a16:creationId xmlns:a16="http://schemas.microsoft.com/office/drawing/2014/main" id="{CDD26D06-2B6B-4B50-A32E-118351F618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42" name="AutoShape 15" descr="Story">
          <a:hlinkClick xmlns:r="http://schemas.openxmlformats.org/officeDocument/2006/relationships" r:id="rId4"/>
          <a:extLst>
            <a:ext uri="{FF2B5EF4-FFF2-40B4-BE49-F238E27FC236}">
              <a16:creationId xmlns:a16="http://schemas.microsoft.com/office/drawing/2014/main" id="{58C10913-5C2C-458F-A7B3-D5784278AC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743" name="AutoShape 1" descr="Story">
          <a:hlinkClick xmlns:r="http://schemas.openxmlformats.org/officeDocument/2006/relationships" r:id="rId7"/>
          <a:extLst>
            <a:ext uri="{FF2B5EF4-FFF2-40B4-BE49-F238E27FC236}">
              <a16:creationId xmlns:a16="http://schemas.microsoft.com/office/drawing/2014/main" id="{63F8B7E2-B35B-4A7F-82D3-CCBA826CB8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4" name="AutoShape 2" descr="Story">
          <a:hlinkClick xmlns:r="http://schemas.openxmlformats.org/officeDocument/2006/relationships" r:id="rId8"/>
          <a:extLst>
            <a:ext uri="{FF2B5EF4-FFF2-40B4-BE49-F238E27FC236}">
              <a16:creationId xmlns:a16="http://schemas.microsoft.com/office/drawing/2014/main" id="{7C7A9F4D-F7A9-4378-AF38-A289BFD68C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5" name="AutoShape 5" descr="Story">
          <a:hlinkClick xmlns:r="http://schemas.openxmlformats.org/officeDocument/2006/relationships" r:id="rId6"/>
          <a:extLst>
            <a:ext uri="{FF2B5EF4-FFF2-40B4-BE49-F238E27FC236}">
              <a16:creationId xmlns:a16="http://schemas.microsoft.com/office/drawing/2014/main" id="{BDD51CF9-153E-45C4-95D5-37BE6FBA06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6" name="AutoShape 1" descr="Sub-task">
          <a:hlinkClick xmlns:r="http://schemas.openxmlformats.org/officeDocument/2006/relationships" r:id="rId9"/>
          <a:extLst>
            <a:ext uri="{FF2B5EF4-FFF2-40B4-BE49-F238E27FC236}">
              <a16:creationId xmlns:a16="http://schemas.microsoft.com/office/drawing/2014/main" id="{6039ED94-1FCA-4A93-8903-90FCAD7490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7" name="AutoShape 2" descr="Sub-task">
          <a:hlinkClick xmlns:r="http://schemas.openxmlformats.org/officeDocument/2006/relationships" r:id="rId10"/>
          <a:extLst>
            <a:ext uri="{FF2B5EF4-FFF2-40B4-BE49-F238E27FC236}">
              <a16:creationId xmlns:a16="http://schemas.microsoft.com/office/drawing/2014/main" id="{D2294A59-AB88-42C0-98AF-F85F1476F1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8" name="AutoShape 3" descr="Story">
          <a:hlinkClick xmlns:r="http://schemas.openxmlformats.org/officeDocument/2006/relationships" r:id="rId11"/>
          <a:extLst>
            <a:ext uri="{FF2B5EF4-FFF2-40B4-BE49-F238E27FC236}">
              <a16:creationId xmlns:a16="http://schemas.microsoft.com/office/drawing/2014/main" id="{C75F1F73-EE46-4591-AD05-6F013215D4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49" name="AutoShape 12" descr="Story">
          <a:hlinkClick xmlns:r="http://schemas.openxmlformats.org/officeDocument/2006/relationships" r:id="rId12"/>
          <a:extLst>
            <a:ext uri="{FF2B5EF4-FFF2-40B4-BE49-F238E27FC236}">
              <a16:creationId xmlns:a16="http://schemas.microsoft.com/office/drawing/2014/main" id="{C5B0B17D-DCCF-47C8-A9A2-D31163FA02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0" name="AutoShape 1" descr="Story">
          <a:hlinkClick xmlns:r="http://schemas.openxmlformats.org/officeDocument/2006/relationships" r:id="rId13"/>
          <a:extLst>
            <a:ext uri="{FF2B5EF4-FFF2-40B4-BE49-F238E27FC236}">
              <a16:creationId xmlns:a16="http://schemas.microsoft.com/office/drawing/2014/main" id="{D8A1C05A-AD10-4F0A-B9F9-B0E62FBE43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1" name="AutoShape 1" descr="Story">
          <a:hlinkClick xmlns:r="http://schemas.openxmlformats.org/officeDocument/2006/relationships" r:id="rId13"/>
          <a:extLst>
            <a:ext uri="{FF2B5EF4-FFF2-40B4-BE49-F238E27FC236}">
              <a16:creationId xmlns:a16="http://schemas.microsoft.com/office/drawing/2014/main" id="{2128037E-0B38-4C49-8F96-A83FDDB291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2" name="AutoShape 3" descr="Story">
          <a:hlinkClick xmlns:r="http://schemas.openxmlformats.org/officeDocument/2006/relationships" r:id="rId4"/>
          <a:extLst>
            <a:ext uri="{FF2B5EF4-FFF2-40B4-BE49-F238E27FC236}">
              <a16:creationId xmlns:a16="http://schemas.microsoft.com/office/drawing/2014/main" id="{B50446DA-D664-4561-9814-17A92BCC41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3" name="AutoShape 4" descr="Story">
          <a:hlinkClick xmlns:r="http://schemas.openxmlformats.org/officeDocument/2006/relationships" r:id="rId5"/>
          <a:extLst>
            <a:ext uri="{FF2B5EF4-FFF2-40B4-BE49-F238E27FC236}">
              <a16:creationId xmlns:a16="http://schemas.microsoft.com/office/drawing/2014/main" id="{724AC9E4-13F5-44C7-9AA3-7178DD4D74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4" name="AutoShape 1" descr="Story">
          <a:hlinkClick xmlns:r="http://schemas.openxmlformats.org/officeDocument/2006/relationships" r:id="rId7"/>
          <a:extLst>
            <a:ext uri="{FF2B5EF4-FFF2-40B4-BE49-F238E27FC236}">
              <a16:creationId xmlns:a16="http://schemas.microsoft.com/office/drawing/2014/main" id="{31ADA2D2-0E9F-4238-A082-F5965FA0D7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5" name="AutoShape 2" descr="Story">
          <a:hlinkClick xmlns:r="http://schemas.openxmlformats.org/officeDocument/2006/relationships" r:id="rId8"/>
          <a:extLst>
            <a:ext uri="{FF2B5EF4-FFF2-40B4-BE49-F238E27FC236}">
              <a16:creationId xmlns:a16="http://schemas.microsoft.com/office/drawing/2014/main" id="{AEE97646-8F33-4F98-8C77-AC93A74075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6" name="AutoShape 3" descr="Story">
          <a:hlinkClick xmlns:r="http://schemas.openxmlformats.org/officeDocument/2006/relationships" r:id="rId4"/>
          <a:extLst>
            <a:ext uri="{FF2B5EF4-FFF2-40B4-BE49-F238E27FC236}">
              <a16:creationId xmlns:a16="http://schemas.microsoft.com/office/drawing/2014/main" id="{4AEC2D4A-0C79-4356-BF22-70983A4D5A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7" name="AutoShape 4" descr="Story">
          <a:hlinkClick xmlns:r="http://schemas.openxmlformats.org/officeDocument/2006/relationships" r:id="rId5"/>
          <a:extLst>
            <a:ext uri="{FF2B5EF4-FFF2-40B4-BE49-F238E27FC236}">
              <a16:creationId xmlns:a16="http://schemas.microsoft.com/office/drawing/2014/main" id="{AB546C43-6E41-4D9D-BEB6-C50B4B9AD0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8" name="AutoShape 5" descr="Story">
          <a:hlinkClick xmlns:r="http://schemas.openxmlformats.org/officeDocument/2006/relationships" r:id="rId6"/>
          <a:extLst>
            <a:ext uri="{FF2B5EF4-FFF2-40B4-BE49-F238E27FC236}">
              <a16:creationId xmlns:a16="http://schemas.microsoft.com/office/drawing/2014/main" id="{83D58E6B-8DD4-4F95-9918-A7D8BC8641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59" name="AutoShape 1" descr="Sub-task">
          <a:hlinkClick xmlns:r="http://schemas.openxmlformats.org/officeDocument/2006/relationships" r:id="rId9"/>
          <a:extLst>
            <a:ext uri="{FF2B5EF4-FFF2-40B4-BE49-F238E27FC236}">
              <a16:creationId xmlns:a16="http://schemas.microsoft.com/office/drawing/2014/main" id="{39C186C7-0744-49C5-89D2-DF22C4EC1C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0" name="AutoShape 2" descr="Sub-task">
          <a:hlinkClick xmlns:r="http://schemas.openxmlformats.org/officeDocument/2006/relationships" r:id="rId10"/>
          <a:extLst>
            <a:ext uri="{FF2B5EF4-FFF2-40B4-BE49-F238E27FC236}">
              <a16:creationId xmlns:a16="http://schemas.microsoft.com/office/drawing/2014/main" id="{0B8810B2-0AF9-4B08-B0C0-F8B28BE896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1" name="AutoShape 7" descr="Story">
          <a:hlinkClick xmlns:r="http://schemas.openxmlformats.org/officeDocument/2006/relationships" r:id="rId3"/>
          <a:extLst>
            <a:ext uri="{FF2B5EF4-FFF2-40B4-BE49-F238E27FC236}">
              <a16:creationId xmlns:a16="http://schemas.microsoft.com/office/drawing/2014/main" id="{452E737F-1893-43CD-9A59-74A2A5FF14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2" name="AutoShape 3" descr="Story">
          <a:hlinkClick xmlns:r="http://schemas.openxmlformats.org/officeDocument/2006/relationships" r:id="rId11"/>
          <a:extLst>
            <a:ext uri="{FF2B5EF4-FFF2-40B4-BE49-F238E27FC236}">
              <a16:creationId xmlns:a16="http://schemas.microsoft.com/office/drawing/2014/main" id="{B00E1EAE-7214-43C2-A4A8-69DBD52C6C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3" name="AutoShape 12" descr="Story">
          <a:hlinkClick xmlns:r="http://schemas.openxmlformats.org/officeDocument/2006/relationships" r:id="rId12"/>
          <a:extLst>
            <a:ext uri="{FF2B5EF4-FFF2-40B4-BE49-F238E27FC236}">
              <a16:creationId xmlns:a16="http://schemas.microsoft.com/office/drawing/2014/main" id="{33BABF8D-C20B-4326-88EB-0D4AB42E44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4" name="AutoShape 1" descr="Story">
          <a:hlinkClick xmlns:r="http://schemas.openxmlformats.org/officeDocument/2006/relationships" r:id="rId13"/>
          <a:extLst>
            <a:ext uri="{FF2B5EF4-FFF2-40B4-BE49-F238E27FC236}">
              <a16:creationId xmlns:a16="http://schemas.microsoft.com/office/drawing/2014/main" id="{79C4B5DC-C2BC-4BED-8FE4-3AE450C96B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5" name="AutoShape 1" descr="Story">
          <a:hlinkClick xmlns:r="http://schemas.openxmlformats.org/officeDocument/2006/relationships" r:id="rId13"/>
          <a:extLst>
            <a:ext uri="{FF2B5EF4-FFF2-40B4-BE49-F238E27FC236}">
              <a16:creationId xmlns:a16="http://schemas.microsoft.com/office/drawing/2014/main" id="{5F3EF312-D260-4A26-942C-556C0CADCB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6" name="AutoShape 3" descr="Story">
          <a:hlinkClick xmlns:r="http://schemas.openxmlformats.org/officeDocument/2006/relationships" r:id="rId4"/>
          <a:extLst>
            <a:ext uri="{FF2B5EF4-FFF2-40B4-BE49-F238E27FC236}">
              <a16:creationId xmlns:a16="http://schemas.microsoft.com/office/drawing/2014/main" id="{15FAE321-31C6-43EC-B728-A0ED95A0B2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7" name="AutoShape 4" descr="Story">
          <a:hlinkClick xmlns:r="http://schemas.openxmlformats.org/officeDocument/2006/relationships" r:id="rId5"/>
          <a:extLst>
            <a:ext uri="{FF2B5EF4-FFF2-40B4-BE49-F238E27FC236}">
              <a16:creationId xmlns:a16="http://schemas.microsoft.com/office/drawing/2014/main" id="{DC0B897B-FFF9-4A49-A97B-E7091987DE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8" name="AutoShape 7" descr="Story">
          <a:hlinkClick xmlns:r="http://schemas.openxmlformats.org/officeDocument/2006/relationships" r:id="rId3"/>
          <a:extLst>
            <a:ext uri="{FF2B5EF4-FFF2-40B4-BE49-F238E27FC236}">
              <a16:creationId xmlns:a16="http://schemas.microsoft.com/office/drawing/2014/main" id="{9D1B7DB8-1EA2-4A27-AA17-061ADABC7F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69" name="AutoShape 8" descr="Story">
          <a:hlinkClick xmlns:r="http://schemas.openxmlformats.org/officeDocument/2006/relationships" r:id="rId4"/>
          <a:extLst>
            <a:ext uri="{FF2B5EF4-FFF2-40B4-BE49-F238E27FC236}">
              <a16:creationId xmlns:a16="http://schemas.microsoft.com/office/drawing/2014/main" id="{E368EEC2-EF53-4A0D-9DD5-D8FCD9DAF5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70" name="AutoShape 8" descr="Story">
          <a:hlinkClick xmlns:r="http://schemas.openxmlformats.org/officeDocument/2006/relationships" r:id="rId4"/>
          <a:extLst>
            <a:ext uri="{FF2B5EF4-FFF2-40B4-BE49-F238E27FC236}">
              <a16:creationId xmlns:a16="http://schemas.microsoft.com/office/drawing/2014/main" id="{4871002D-E00D-4311-B33F-85C7972E4D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771" name="AutoShape 1" descr="Story">
          <a:hlinkClick xmlns:r="http://schemas.openxmlformats.org/officeDocument/2006/relationships" r:id="rId13"/>
          <a:extLst>
            <a:ext uri="{FF2B5EF4-FFF2-40B4-BE49-F238E27FC236}">
              <a16:creationId xmlns:a16="http://schemas.microsoft.com/office/drawing/2014/main" id="{0C83DD3C-BD88-483A-ABE0-2CF0D6A845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2" name="AutoShape 2" descr="Story">
          <a:hlinkClick xmlns:r="http://schemas.openxmlformats.org/officeDocument/2006/relationships" r:id="rId12"/>
          <a:extLst>
            <a:ext uri="{FF2B5EF4-FFF2-40B4-BE49-F238E27FC236}">
              <a16:creationId xmlns:a16="http://schemas.microsoft.com/office/drawing/2014/main" id="{C06FE3B7-440C-4930-8468-FFB383D40D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3" name="AutoShape 3" descr="Story">
          <a:hlinkClick xmlns:r="http://schemas.openxmlformats.org/officeDocument/2006/relationships" r:id="rId11"/>
          <a:extLst>
            <a:ext uri="{FF2B5EF4-FFF2-40B4-BE49-F238E27FC236}">
              <a16:creationId xmlns:a16="http://schemas.microsoft.com/office/drawing/2014/main" id="{FC32C206-828D-4B9F-A756-4C43F308F5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4" name="AutoShape 4" descr="Bug">
          <a:hlinkClick xmlns:r="http://schemas.openxmlformats.org/officeDocument/2006/relationships" r:id="rId1"/>
          <a:extLst>
            <a:ext uri="{FF2B5EF4-FFF2-40B4-BE49-F238E27FC236}">
              <a16:creationId xmlns:a16="http://schemas.microsoft.com/office/drawing/2014/main" id="{7E6B55C5-0948-4A3A-9B9A-6A38E04EF3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5" name="AutoShape 5" descr="Story">
          <a:hlinkClick xmlns:r="http://schemas.openxmlformats.org/officeDocument/2006/relationships" r:id="rId14"/>
          <a:extLst>
            <a:ext uri="{FF2B5EF4-FFF2-40B4-BE49-F238E27FC236}">
              <a16:creationId xmlns:a16="http://schemas.microsoft.com/office/drawing/2014/main" id="{2E20F329-7DC1-48D1-B59B-3F921EB276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6" name="AutoShape 6" descr="Bug">
          <a:hlinkClick xmlns:r="http://schemas.openxmlformats.org/officeDocument/2006/relationships" r:id="rId2"/>
          <a:extLst>
            <a:ext uri="{FF2B5EF4-FFF2-40B4-BE49-F238E27FC236}">
              <a16:creationId xmlns:a16="http://schemas.microsoft.com/office/drawing/2014/main" id="{422FD1CC-A6C9-40C9-888A-D7F31319BF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7" name="AutoShape 7" descr="Story">
          <a:hlinkClick xmlns:r="http://schemas.openxmlformats.org/officeDocument/2006/relationships" r:id="rId3"/>
          <a:extLst>
            <a:ext uri="{FF2B5EF4-FFF2-40B4-BE49-F238E27FC236}">
              <a16:creationId xmlns:a16="http://schemas.microsoft.com/office/drawing/2014/main" id="{F373D9B1-918E-43E7-B314-B6E557BAED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8" name="AutoShape 8" descr="Story">
          <a:hlinkClick xmlns:r="http://schemas.openxmlformats.org/officeDocument/2006/relationships" r:id="rId4"/>
          <a:extLst>
            <a:ext uri="{FF2B5EF4-FFF2-40B4-BE49-F238E27FC236}">
              <a16:creationId xmlns:a16="http://schemas.microsoft.com/office/drawing/2014/main" id="{D166177B-5461-40B4-855D-461371BDBE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79" name="AutoShape 9" descr="Story">
          <a:hlinkClick xmlns:r="http://schemas.openxmlformats.org/officeDocument/2006/relationships" r:id="rId5"/>
          <a:extLst>
            <a:ext uri="{FF2B5EF4-FFF2-40B4-BE49-F238E27FC236}">
              <a16:creationId xmlns:a16="http://schemas.microsoft.com/office/drawing/2014/main" id="{141AE71F-AB29-4BD1-A363-D5A7EB0902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0" name="AutoShape 10" descr="Story">
          <a:hlinkClick xmlns:r="http://schemas.openxmlformats.org/officeDocument/2006/relationships" r:id="rId6"/>
          <a:extLst>
            <a:ext uri="{FF2B5EF4-FFF2-40B4-BE49-F238E27FC236}">
              <a16:creationId xmlns:a16="http://schemas.microsoft.com/office/drawing/2014/main" id="{40744197-9042-41FA-934C-41FD203F7A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1" name="AutoShape 11" descr="Story">
          <a:hlinkClick xmlns:r="http://schemas.openxmlformats.org/officeDocument/2006/relationships" r:id="rId15"/>
          <a:extLst>
            <a:ext uri="{FF2B5EF4-FFF2-40B4-BE49-F238E27FC236}">
              <a16:creationId xmlns:a16="http://schemas.microsoft.com/office/drawing/2014/main" id="{C2D0B4F0-D411-4BCA-A7BE-FA7FA49D17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2" name="AutoShape 12" descr="Story">
          <a:hlinkClick xmlns:r="http://schemas.openxmlformats.org/officeDocument/2006/relationships" r:id="rId12"/>
          <a:extLst>
            <a:ext uri="{FF2B5EF4-FFF2-40B4-BE49-F238E27FC236}">
              <a16:creationId xmlns:a16="http://schemas.microsoft.com/office/drawing/2014/main" id="{4894D95A-EF3A-475F-BD4E-8EA207193F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3" name="AutoShape 13" descr="Story">
          <a:hlinkClick xmlns:r="http://schemas.openxmlformats.org/officeDocument/2006/relationships" r:id="rId4"/>
          <a:extLst>
            <a:ext uri="{FF2B5EF4-FFF2-40B4-BE49-F238E27FC236}">
              <a16:creationId xmlns:a16="http://schemas.microsoft.com/office/drawing/2014/main" id="{5593F3E3-0020-4634-8903-D7255EE677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4" name="AutoShape 14" descr="Story">
          <a:hlinkClick xmlns:r="http://schemas.openxmlformats.org/officeDocument/2006/relationships" r:id="rId4"/>
          <a:extLst>
            <a:ext uri="{FF2B5EF4-FFF2-40B4-BE49-F238E27FC236}">
              <a16:creationId xmlns:a16="http://schemas.microsoft.com/office/drawing/2014/main" id="{509D2B77-DA71-4B2E-BE5D-0E92479A5F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785" name="AutoShape 15" descr="Story">
          <a:hlinkClick xmlns:r="http://schemas.openxmlformats.org/officeDocument/2006/relationships" r:id="rId4"/>
          <a:extLst>
            <a:ext uri="{FF2B5EF4-FFF2-40B4-BE49-F238E27FC236}">
              <a16:creationId xmlns:a16="http://schemas.microsoft.com/office/drawing/2014/main" id="{50D31AD9-6407-42AB-90DC-39C79C2333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786" name="AutoShape 1" descr="Story">
          <a:hlinkClick xmlns:r="http://schemas.openxmlformats.org/officeDocument/2006/relationships" r:id="rId7"/>
          <a:extLst>
            <a:ext uri="{FF2B5EF4-FFF2-40B4-BE49-F238E27FC236}">
              <a16:creationId xmlns:a16="http://schemas.microsoft.com/office/drawing/2014/main" id="{9FCAFD99-1294-4E42-963C-50895B4B16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87" name="AutoShape 2" descr="Story">
          <a:hlinkClick xmlns:r="http://schemas.openxmlformats.org/officeDocument/2006/relationships" r:id="rId8"/>
          <a:extLst>
            <a:ext uri="{FF2B5EF4-FFF2-40B4-BE49-F238E27FC236}">
              <a16:creationId xmlns:a16="http://schemas.microsoft.com/office/drawing/2014/main" id="{611EC781-CB9F-4CED-B9AA-DB998B296D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88" name="AutoShape 5" descr="Story">
          <a:hlinkClick xmlns:r="http://schemas.openxmlformats.org/officeDocument/2006/relationships" r:id="rId6"/>
          <a:extLst>
            <a:ext uri="{FF2B5EF4-FFF2-40B4-BE49-F238E27FC236}">
              <a16:creationId xmlns:a16="http://schemas.microsoft.com/office/drawing/2014/main" id="{A5299201-906C-4615-AA51-EDDD4F6B3E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89" name="AutoShape 1" descr="Sub-task">
          <a:hlinkClick xmlns:r="http://schemas.openxmlformats.org/officeDocument/2006/relationships" r:id="rId9"/>
          <a:extLst>
            <a:ext uri="{FF2B5EF4-FFF2-40B4-BE49-F238E27FC236}">
              <a16:creationId xmlns:a16="http://schemas.microsoft.com/office/drawing/2014/main" id="{EEAB1616-AD3B-4EE9-951A-931064FE53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0" name="AutoShape 2" descr="Sub-task">
          <a:hlinkClick xmlns:r="http://schemas.openxmlformats.org/officeDocument/2006/relationships" r:id="rId10"/>
          <a:extLst>
            <a:ext uri="{FF2B5EF4-FFF2-40B4-BE49-F238E27FC236}">
              <a16:creationId xmlns:a16="http://schemas.microsoft.com/office/drawing/2014/main" id="{281D5AC8-2F73-4B62-BE8D-5AC0486ED9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1" name="AutoShape 3" descr="Story">
          <a:hlinkClick xmlns:r="http://schemas.openxmlformats.org/officeDocument/2006/relationships" r:id="rId11"/>
          <a:extLst>
            <a:ext uri="{FF2B5EF4-FFF2-40B4-BE49-F238E27FC236}">
              <a16:creationId xmlns:a16="http://schemas.microsoft.com/office/drawing/2014/main" id="{D0BE374D-532A-4825-B1E4-3AD3893EB5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2" name="AutoShape 12" descr="Story">
          <a:hlinkClick xmlns:r="http://schemas.openxmlformats.org/officeDocument/2006/relationships" r:id="rId12"/>
          <a:extLst>
            <a:ext uri="{FF2B5EF4-FFF2-40B4-BE49-F238E27FC236}">
              <a16:creationId xmlns:a16="http://schemas.microsoft.com/office/drawing/2014/main" id="{154C0A79-0C4B-43CC-889E-CCF396CB5F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3" name="AutoShape 1" descr="Story">
          <a:hlinkClick xmlns:r="http://schemas.openxmlformats.org/officeDocument/2006/relationships" r:id="rId13"/>
          <a:extLst>
            <a:ext uri="{FF2B5EF4-FFF2-40B4-BE49-F238E27FC236}">
              <a16:creationId xmlns:a16="http://schemas.microsoft.com/office/drawing/2014/main" id="{0C45E4BE-DE42-4567-9E32-711177BD31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4" name="AutoShape 1" descr="Story">
          <a:hlinkClick xmlns:r="http://schemas.openxmlformats.org/officeDocument/2006/relationships" r:id="rId13"/>
          <a:extLst>
            <a:ext uri="{FF2B5EF4-FFF2-40B4-BE49-F238E27FC236}">
              <a16:creationId xmlns:a16="http://schemas.microsoft.com/office/drawing/2014/main" id="{895F54F3-9216-4082-A562-844C8374A7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5" name="AutoShape 3" descr="Story">
          <a:hlinkClick xmlns:r="http://schemas.openxmlformats.org/officeDocument/2006/relationships" r:id="rId4"/>
          <a:extLst>
            <a:ext uri="{FF2B5EF4-FFF2-40B4-BE49-F238E27FC236}">
              <a16:creationId xmlns:a16="http://schemas.microsoft.com/office/drawing/2014/main" id="{16F03D3A-BC90-4BD1-9474-EE8A5DEF18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6" name="AutoShape 4" descr="Story">
          <a:hlinkClick xmlns:r="http://schemas.openxmlformats.org/officeDocument/2006/relationships" r:id="rId5"/>
          <a:extLst>
            <a:ext uri="{FF2B5EF4-FFF2-40B4-BE49-F238E27FC236}">
              <a16:creationId xmlns:a16="http://schemas.microsoft.com/office/drawing/2014/main" id="{DCE39811-643A-4045-8321-8F10ED07E8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7" name="AutoShape 1" descr="Story">
          <a:hlinkClick xmlns:r="http://schemas.openxmlformats.org/officeDocument/2006/relationships" r:id="rId7"/>
          <a:extLst>
            <a:ext uri="{FF2B5EF4-FFF2-40B4-BE49-F238E27FC236}">
              <a16:creationId xmlns:a16="http://schemas.microsoft.com/office/drawing/2014/main" id="{BF240504-8CFE-48E4-898D-F3FBA8646B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8" name="AutoShape 2" descr="Story">
          <a:hlinkClick xmlns:r="http://schemas.openxmlformats.org/officeDocument/2006/relationships" r:id="rId8"/>
          <a:extLst>
            <a:ext uri="{FF2B5EF4-FFF2-40B4-BE49-F238E27FC236}">
              <a16:creationId xmlns:a16="http://schemas.microsoft.com/office/drawing/2014/main" id="{7B89C61D-97D3-45BC-8385-A95E124D623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99" name="AutoShape 3" descr="Story">
          <a:hlinkClick xmlns:r="http://schemas.openxmlformats.org/officeDocument/2006/relationships" r:id="rId4"/>
          <a:extLst>
            <a:ext uri="{FF2B5EF4-FFF2-40B4-BE49-F238E27FC236}">
              <a16:creationId xmlns:a16="http://schemas.microsoft.com/office/drawing/2014/main" id="{9BACA058-3EAA-401E-A021-BC5FB5E7C1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0" name="AutoShape 4" descr="Story">
          <a:hlinkClick xmlns:r="http://schemas.openxmlformats.org/officeDocument/2006/relationships" r:id="rId5"/>
          <a:extLst>
            <a:ext uri="{FF2B5EF4-FFF2-40B4-BE49-F238E27FC236}">
              <a16:creationId xmlns:a16="http://schemas.microsoft.com/office/drawing/2014/main" id="{9D5B3352-2ED7-4B76-82A1-BB6CC0F28E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1" name="AutoShape 5" descr="Story">
          <a:hlinkClick xmlns:r="http://schemas.openxmlformats.org/officeDocument/2006/relationships" r:id="rId6"/>
          <a:extLst>
            <a:ext uri="{FF2B5EF4-FFF2-40B4-BE49-F238E27FC236}">
              <a16:creationId xmlns:a16="http://schemas.microsoft.com/office/drawing/2014/main" id="{6F61478C-2CCD-4158-BD0F-E899A359F6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2" name="AutoShape 1" descr="Sub-task">
          <a:hlinkClick xmlns:r="http://schemas.openxmlformats.org/officeDocument/2006/relationships" r:id="rId9"/>
          <a:extLst>
            <a:ext uri="{FF2B5EF4-FFF2-40B4-BE49-F238E27FC236}">
              <a16:creationId xmlns:a16="http://schemas.microsoft.com/office/drawing/2014/main" id="{2A55BC22-3F28-42EA-99A8-EC8AE8141C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3" name="AutoShape 2" descr="Sub-task">
          <a:hlinkClick xmlns:r="http://schemas.openxmlformats.org/officeDocument/2006/relationships" r:id="rId10"/>
          <a:extLst>
            <a:ext uri="{FF2B5EF4-FFF2-40B4-BE49-F238E27FC236}">
              <a16:creationId xmlns:a16="http://schemas.microsoft.com/office/drawing/2014/main" id="{6A862202-20E5-4A72-8AF4-72518A92C2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4" name="AutoShape 7" descr="Story">
          <a:hlinkClick xmlns:r="http://schemas.openxmlformats.org/officeDocument/2006/relationships" r:id="rId3"/>
          <a:extLst>
            <a:ext uri="{FF2B5EF4-FFF2-40B4-BE49-F238E27FC236}">
              <a16:creationId xmlns:a16="http://schemas.microsoft.com/office/drawing/2014/main" id="{EAB2CCD8-D133-4B40-917E-B73EF4126C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5" name="AutoShape 3" descr="Story">
          <a:hlinkClick xmlns:r="http://schemas.openxmlformats.org/officeDocument/2006/relationships" r:id="rId11"/>
          <a:extLst>
            <a:ext uri="{FF2B5EF4-FFF2-40B4-BE49-F238E27FC236}">
              <a16:creationId xmlns:a16="http://schemas.microsoft.com/office/drawing/2014/main" id="{F3048D02-975C-4B07-847E-7D866A6866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6" name="AutoShape 12" descr="Story">
          <a:hlinkClick xmlns:r="http://schemas.openxmlformats.org/officeDocument/2006/relationships" r:id="rId12"/>
          <a:extLst>
            <a:ext uri="{FF2B5EF4-FFF2-40B4-BE49-F238E27FC236}">
              <a16:creationId xmlns:a16="http://schemas.microsoft.com/office/drawing/2014/main" id="{0B74E49B-0C5F-442C-8916-7842B19305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7" name="AutoShape 1" descr="Story">
          <a:hlinkClick xmlns:r="http://schemas.openxmlformats.org/officeDocument/2006/relationships" r:id="rId13"/>
          <a:extLst>
            <a:ext uri="{FF2B5EF4-FFF2-40B4-BE49-F238E27FC236}">
              <a16:creationId xmlns:a16="http://schemas.microsoft.com/office/drawing/2014/main" id="{73F40AD7-DC45-4233-9C6A-9BFF961ADC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8" name="AutoShape 1" descr="Story">
          <a:hlinkClick xmlns:r="http://schemas.openxmlformats.org/officeDocument/2006/relationships" r:id="rId13"/>
          <a:extLst>
            <a:ext uri="{FF2B5EF4-FFF2-40B4-BE49-F238E27FC236}">
              <a16:creationId xmlns:a16="http://schemas.microsoft.com/office/drawing/2014/main" id="{5693138B-E3D1-4FF9-BB61-D52D58FEA1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09" name="AutoShape 3" descr="Story">
          <a:hlinkClick xmlns:r="http://schemas.openxmlformats.org/officeDocument/2006/relationships" r:id="rId4"/>
          <a:extLst>
            <a:ext uri="{FF2B5EF4-FFF2-40B4-BE49-F238E27FC236}">
              <a16:creationId xmlns:a16="http://schemas.microsoft.com/office/drawing/2014/main" id="{2B7E010D-368B-4362-A697-D57A638C67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10" name="AutoShape 4" descr="Story">
          <a:hlinkClick xmlns:r="http://schemas.openxmlformats.org/officeDocument/2006/relationships" r:id="rId5"/>
          <a:extLst>
            <a:ext uri="{FF2B5EF4-FFF2-40B4-BE49-F238E27FC236}">
              <a16:creationId xmlns:a16="http://schemas.microsoft.com/office/drawing/2014/main" id="{31EBF087-9774-4915-8EF1-249CFF484F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11" name="AutoShape 7" descr="Story">
          <a:hlinkClick xmlns:r="http://schemas.openxmlformats.org/officeDocument/2006/relationships" r:id="rId3"/>
          <a:extLst>
            <a:ext uri="{FF2B5EF4-FFF2-40B4-BE49-F238E27FC236}">
              <a16:creationId xmlns:a16="http://schemas.microsoft.com/office/drawing/2014/main" id="{6BA4E4B0-AAE5-456B-8F0F-DD71F1FFD3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12" name="AutoShape 8" descr="Story">
          <a:hlinkClick xmlns:r="http://schemas.openxmlformats.org/officeDocument/2006/relationships" r:id="rId4"/>
          <a:extLst>
            <a:ext uri="{FF2B5EF4-FFF2-40B4-BE49-F238E27FC236}">
              <a16:creationId xmlns:a16="http://schemas.microsoft.com/office/drawing/2014/main" id="{D79B106B-4C28-4AF2-B6D3-83B8E52E5C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13" name="AutoShape 8" descr="Story">
          <a:hlinkClick xmlns:r="http://schemas.openxmlformats.org/officeDocument/2006/relationships" r:id="rId4"/>
          <a:extLst>
            <a:ext uri="{FF2B5EF4-FFF2-40B4-BE49-F238E27FC236}">
              <a16:creationId xmlns:a16="http://schemas.microsoft.com/office/drawing/2014/main" id="{F43DD7C6-B0EE-4769-99D7-0CD200A84F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814" name="AutoShape 1" descr="Story">
          <a:hlinkClick xmlns:r="http://schemas.openxmlformats.org/officeDocument/2006/relationships" r:id="rId13"/>
          <a:extLst>
            <a:ext uri="{FF2B5EF4-FFF2-40B4-BE49-F238E27FC236}">
              <a16:creationId xmlns:a16="http://schemas.microsoft.com/office/drawing/2014/main" id="{DA99EEF3-2C6D-4E40-A7EF-541002BF40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15" name="AutoShape 2" descr="Story">
          <a:hlinkClick xmlns:r="http://schemas.openxmlformats.org/officeDocument/2006/relationships" r:id="rId12"/>
          <a:extLst>
            <a:ext uri="{FF2B5EF4-FFF2-40B4-BE49-F238E27FC236}">
              <a16:creationId xmlns:a16="http://schemas.microsoft.com/office/drawing/2014/main" id="{DFEEF20F-72B7-4CF8-B188-2B6DF1F09A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16" name="AutoShape 3" descr="Story">
          <a:hlinkClick xmlns:r="http://schemas.openxmlformats.org/officeDocument/2006/relationships" r:id="rId11"/>
          <a:extLst>
            <a:ext uri="{FF2B5EF4-FFF2-40B4-BE49-F238E27FC236}">
              <a16:creationId xmlns:a16="http://schemas.microsoft.com/office/drawing/2014/main" id="{AEDBF441-AC18-4378-A40F-3C5CCDF18D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17" name="AutoShape 4" descr="Bug">
          <a:hlinkClick xmlns:r="http://schemas.openxmlformats.org/officeDocument/2006/relationships" r:id="rId1"/>
          <a:extLst>
            <a:ext uri="{FF2B5EF4-FFF2-40B4-BE49-F238E27FC236}">
              <a16:creationId xmlns:a16="http://schemas.microsoft.com/office/drawing/2014/main" id="{9C1D91AA-85C6-40B1-AD5A-E15F497403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18" name="AutoShape 5" descr="Story">
          <a:hlinkClick xmlns:r="http://schemas.openxmlformats.org/officeDocument/2006/relationships" r:id="rId14"/>
          <a:extLst>
            <a:ext uri="{FF2B5EF4-FFF2-40B4-BE49-F238E27FC236}">
              <a16:creationId xmlns:a16="http://schemas.microsoft.com/office/drawing/2014/main" id="{E4DAB4A1-A331-4266-91F1-601F08141B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19" name="AutoShape 6" descr="Bug">
          <a:hlinkClick xmlns:r="http://schemas.openxmlformats.org/officeDocument/2006/relationships" r:id="rId2"/>
          <a:extLst>
            <a:ext uri="{FF2B5EF4-FFF2-40B4-BE49-F238E27FC236}">
              <a16:creationId xmlns:a16="http://schemas.microsoft.com/office/drawing/2014/main" id="{59AB3543-D987-481D-9AAC-B5CAA6B6477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0" name="AutoShape 7" descr="Story">
          <a:hlinkClick xmlns:r="http://schemas.openxmlformats.org/officeDocument/2006/relationships" r:id="rId3"/>
          <a:extLst>
            <a:ext uri="{FF2B5EF4-FFF2-40B4-BE49-F238E27FC236}">
              <a16:creationId xmlns:a16="http://schemas.microsoft.com/office/drawing/2014/main" id="{F8C5BE25-E5AA-4DB2-B22B-BEF65A6945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1" name="AutoShape 8" descr="Story">
          <a:hlinkClick xmlns:r="http://schemas.openxmlformats.org/officeDocument/2006/relationships" r:id="rId4"/>
          <a:extLst>
            <a:ext uri="{FF2B5EF4-FFF2-40B4-BE49-F238E27FC236}">
              <a16:creationId xmlns:a16="http://schemas.microsoft.com/office/drawing/2014/main" id="{D4A7961F-4D48-4430-AEA6-ABD67C6679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2" name="AutoShape 9" descr="Story">
          <a:hlinkClick xmlns:r="http://schemas.openxmlformats.org/officeDocument/2006/relationships" r:id="rId5"/>
          <a:extLst>
            <a:ext uri="{FF2B5EF4-FFF2-40B4-BE49-F238E27FC236}">
              <a16:creationId xmlns:a16="http://schemas.microsoft.com/office/drawing/2014/main" id="{D975C118-759D-4578-9AC3-A58BBBC972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3" name="AutoShape 10" descr="Story">
          <a:hlinkClick xmlns:r="http://schemas.openxmlformats.org/officeDocument/2006/relationships" r:id="rId6"/>
          <a:extLst>
            <a:ext uri="{FF2B5EF4-FFF2-40B4-BE49-F238E27FC236}">
              <a16:creationId xmlns:a16="http://schemas.microsoft.com/office/drawing/2014/main" id="{058074A3-C47F-4DB0-960C-45E805F402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4" name="AutoShape 11" descr="Story">
          <a:hlinkClick xmlns:r="http://schemas.openxmlformats.org/officeDocument/2006/relationships" r:id="rId15"/>
          <a:extLst>
            <a:ext uri="{FF2B5EF4-FFF2-40B4-BE49-F238E27FC236}">
              <a16:creationId xmlns:a16="http://schemas.microsoft.com/office/drawing/2014/main" id="{2D056B57-5EA0-4AA4-9627-A4D73ADD2A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5" name="AutoShape 12" descr="Story">
          <a:hlinkClick xmlns:r="http://schemas.openxmlformats.org/officeDocument/2006/relationships" r:id="rId12"/>
          <a:extLst>
            <a:ext uri="{FF2B5EF4-FFF2-40B4-BE49-F238E27FC236}">
              <a16:creationId xmlns:a16="http://schemas.microsoft.com/office/drawing/2014/main" id="{9EE0CDC6-CD7D-405D-ABE4-57DE265DA1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6" name="AutoShape 13" descr="Story">
          <a:hlinkClick xmlns:r="http://schemas.openxmlformats.org/officeDocument/2006/relationships" r:id="rId4"/>
          <a:extLst>
            <a:ext uri="{FF2B5EF4-FFF2-40B4-BE49-F238E27FC236}">
              <a16:creationId xmlns:a16="http://schemas.microsoft.com/office/drawing/2014/main" id="{9A0657F8-791E-45D4-ACBF-E4AF473EC8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7" name="AutoShape 14" descr="Story">
          <a:hlinkClick xmlns:r="http://schemas.openxmlformats.org/officeDocument/2006/relationships" r:id="rId4"/>
          <a:extLst>
            <a:ext uri="{FF2B5EF4-FFF2-40B4-BE49-F238E27FC236}">
              <a16:creationId xmlns:a16="http://schemas.microsoft.com/office/drawing/2014/main" id="{056701D0-32AB-402E-9241-FE8354D6B4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28" name="AutoShape 15" descr="Story">
          <a:hlinkClick xmlns:r="http://schemas.openxmlformats.org/officeDocument/2006/relationships" r:id="rId4"/>
          <a:extLst>
            <a:ext uri="{FF2B5EF4-FFF2-40B4-BE49-F238E27FC236}">
              <a16:creationId xmlns:a16="http://schemas.microsoft.com/office/drawing/2014/main" id="{A70BEB24-0E35-4B0E-83A1-D1709E4A56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829" name="AutoShape 1" descr="Story">
          <a:hlinkClick xmlns:r="http://schemas.openxmlformats.org/officeDocument/2006/relationships" r:id="rId7"/>
          <a:extLst>
            <a:ext uri="{FF2B5EF4-FFF2-40B4-BE49-F238E27FC236}">
              <a16:creationId xmlns:a16="http://schemas.microsoft.com/office/drawing/2014/main" id="{15822825-3960-4616-B84B-D340A1DACD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0" name="AutoShape 2" descr="Story">
          <a:hlinkClick xmlns:r="http://schemas.openxmlformats.org/officeDocument/2006/relationships" r:id="rId8"/>
          <a:extLst>
            <a:ext uri="{FF2B5EF4-FFF2-40B4-BE49-F238E27FC236}">
              <a16:creationId xmlns:a16="http://schemas.microsoft.com/office/drawing/2014/main" id="{6B54ADE3-2430-4AA9-AAAC-5495C18081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1" name="AutoShape 5" descr="Story">
          <a:hlinkClick xmlns:r="http://schemas.openxmlformats.org/officeDocument/2006/relationships" r:id="rId6"/>
          <a:extLst>
            <a:ext uri="{FF2B5EF4-FFF2-40B4-BE49-F238E27FC236}">
              <a16:creationId xmlns:a16="http://schemas.microsoft.com/office/drawing/2014/main" id="{33B484DD-BC8C-4994-A384-CC39EAA075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2" name="AutoShape 1" descr="Sub-task">
          <a:hlinkClick xmlns:r="http://schemas.openxmlformats.org/officeDocument/2006/relationships" r:id="rId9"/>
          <a:extLst>
            <a:ext uri="{FF2B5EF4-FFF2-40B4-BE49-F238E27FC236}">
              <a16:creationId xmlns:a16="http://schemas.microsoft.com/office/drawing/2014/main" id="{4C733942-655D-4C86-8C3D-4BC4E91AC1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3" name="AutoShape 2" descr="Sub-task">
          <a:hlinkClick xmlns:r="http://schemas.openxmlformats.org/officeDocument/2006/relationships" r:id="rId10"/>
          <a:extLst>
            <a:ext uri="{FF2B5EF4-FFF2-40B4-BE49-F238E27FC236}">
              <a16:creationId xmlns:a16="http://schemas.microsoft.com/office/drawing/2014/main" id="{740D1893-E065-4D8B-8F2B-FBC78057D9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4" name="AutoShape 3" descr="Story">
          <a:hlinkClick xmlns:r="http://schemas.openxmlformats.org/officeDocument/2006/relationships" r:id="rId11"/>
          <a:extLst>
            <a:ext uri="{FF2B5EF4-FFF2-40B4-BE49-F238E27FC236}">
              <a16:creationId xmlns:a16="http://schemas.microsoft.com/office/drawing/2014/main" id="{EA97D83F-81DC-41C5-9BE9-53252417B7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5" name="AutoShape 12" descr="Story">
          <a:hlinkClick xmlns:r="http://schemas.openxmlformats.org/officeDocument/2006/relationships" r:id="rId12"/>
          <a:extLst>
            <a:ext uri="{FF2B5EF4-FFF2-40B4-BE49-F238E27FC236}">
              <a16:creationId xmlns:a16="http://schemas.microsoft.com/office/drawing/2014/main" id="{128C8688-9191-4DF0-99F9-888A460B92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6" name="AutoShape 1" descr="Story">
          <a:hlinkClick xmlns:r="http://schemas.openxmlformats.org/officeDocument/2006/relationships" r:id="rId13"/>
          <a:extLst>
            <a:ext uri="{FF2B5EF4-FFF2-40B4-BE49-F238E27FC236}">
              <a16:creationId xmlns:a16="http://schemas.microsoft.com/office/drawing/2014/main" id="{E8764A69-C848-45A1-8804-CE5BC58D9E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7" name="AutoShape 1" descr="Story">
          <a:hlinkClick xmlns:r="http://schemas.openxmlformats.org/officeDocument/2006/relationships" r:id="rId13"/>
          <a:extLst>
            <a:ext uri="{FF2B5EF4-FFF2-40B4-BE49-F238E27FC236}">
              <a16:creationId xmlns:a16="http://schemas.microsoft.com/office/drawing/2014/main" id="{A15FBE85-9DE2-4E14-A625-4CBEBB2BBF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8" name="AutoShape 3" descr="Story">
          <a:hlinkClick xmlns:r="http://schemas.openxmlformats.org/officeDocument/2006/relationships" r:id="rId4"/>
          <a:extLst>
            <a:ext uri="{FF2B5EF4-FFF2-40B4-BE49-F238E27FC236}">
              <a16:creationId xmlns:a16="http://schemas.microsoft.com/office/drawing/2014/main" id="{6E0B91F7-B405-4885-B288-260BD543D3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39" name="AutoShape 4" descr="Story">
          <a:hlinkClick xmlns:r="http://schemas.openxmlformats.org/officeDocument/2006/relationships" r:id="rId5"/>
          <a:extLst>
            <a:ext uri="{FF2B5EF4-FFF2-40B4-BE49-F238E27FC236}">
              <a16:creationId xmlns:a16="http://schemas.microsoft.com/office/drawing/2014/main" id="{9D2FE2BB-1C11-483B-9DE1-03998D5F1A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0" name="AutoShape 1" descr="Story">
          <a:hlinkClick xmlns:r="http://schemas.openxmlformats.org/officeDocument/2006/relationships" r:id="rId7"/>
          <a:extLst>
            <a:ext uri="{FF2B5EF4-FFF2-40B4-BE49-F238E27FC236}">
              <a16:creationId xmlns:a16="http://schemas.microsoft.com/office/drawing/2014/main" id="{76F5368F-0F5E-4393-BC22-A5BA8E6D83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1" name="AutoShape 2" descr="Story">
          <a:hlinkClick xmlns:r="http://schemas.openxmlformats.org/officeDocument/2006/relationships" r:id="rId8"/>
          <a:extLst>
            <a:ext uri="{FF2B5EF4-FFF2-40B4-BE49-F238E27FC236}">
              <a16:creationId xmlns:a16="http://schemas.microsoft.com/office/drawing/2014/main" id="{2F67998C-8FEA-4EFF-B876-96B04F4919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2" name="AutoShape 3" descr="Story">
          <a:hlinkClick xmlns:r="http://schemas.openxmlformats.org/officeDocument/2006/relationships" r:id="rId4"/>
          <a:extLst>
            <a:ext uri="{FF2B5EF4-FFF2-40B4-BE49-F238E27FC236}">
              <a16:creationId xmlns:a16="http://schemas.microsoft.com/office/drawing/2014/main" id="{01801FEE-8759-4C38-83ED-31566D725F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3" name="AutoShape 4" descr="Story">
          <a:hlinkClick xmlns:r="http://schemas.openxmlformats.org/officeDocument/2006/relationships" r:id="rId5"/>
          <a:extLst>
            <a:ext uri="{FF2B5EF4-FFF2-40B4-BE49-F238E27FC236}">
              <a16:creationId xmlns:a16="http://schemas.microsoft.com/office/drawing/2014/main" id="{B24CD797-D38B-4070-AA56-419FED50DC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4" name="AutoShape 5" descr="Story">
          <a:hlinkClick xmlns:r="http://schemas.openxmlformats.org/officeDocument/2006/relationships" r:id="rId6"/>
          <a:extLst>
            <a:ext uri="{FF2B5EF4-FFF2-40B4-BE49-F238E27FC236}">
              <a16:creationId xmlns:a16="http://schemas.microsoft.com/office/drawing/2014/main" id="{51E94BC2-DCEC-42E2-9069-B57E21A3B5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5" name="AutoShape 1" descr="Sub-task">
          <a:hlinkClick xmlns:r="http://schemas.openxmlformats.org/officeDocument/2006/relationships" r:id="rId9"/>
          <a:extLst>
            <a:ext uri="{FF2B5EF4-FFF2-40B4-BE49-F238E27FC236}">
              <a16:creationId xmlns:a16="http://schemas.microsoft.com/office/drawing/2014/main" id="{01CDD410-7459-45AC-950E-B06BF3F451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6" name="AutoShape 2" descr="Sub-task">
          <a:hlinkClick xmlns:r="http://schemas.openxmlformats.org/officeDocument/2006/relationships" r:id="rId10"/>
          <a:extLst>
            <a:ext uri="{FF2B5EF4-FFF2-40B4-BE49-F238E27FC236}">
              <a16:creationId xmlns:a16="http://schemas.microsoft.com/office/drawing/2014/main" id="{73D342E8-3B54-405B-A010-9349D588EE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7" name="AutoShape 7" descr="Story">
          <a:hlinkClick xmlns:r="http://schemas.openxmlformats.org/officeDocument/2006/relationships" r:id="rId3"/>
          <a:extLst>
            <a:ext uri="{FF2B5EF4-FFF2-40B4-BE49-F238E27FC236}">
              <a16:creationId xmlns:a16="http://schemas.microsoft.com/office/drawing/2014/main" id="{DBC67862-2574-43A3-B5DF-9A75759828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8" name="AutoShape 3" descr="Story">
          <a:hlinkClick xmlns:r="http://schemas.openxmlformats.org/officeDocument/2006/relationships" r:id="rId11"/>
          <a:extLst>
            <a:ext uri="{FF2B5EF4-FFF2-40B4-BE49-F238E27FC236}">
              <a16:creationId xmlns:a16="http://schemas.microsoft.com/office/drawing/2014/main" id="{788FFB5C-79AB-4835-9EB0-6EB45430D6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49" name="AutoShape 12" descr="Story">
          <a:hlinkClick xmlns:r="http://schemas.openxmlformats.org/officeDocument/2006/relationships" r:id="rId12"/>
          <a:extLst>
            <a:ext uri="{FF2B5EF4-FFF2-40B4-BE49-F238E27FC236}">
              <a16:creationId xmlns:a16="http://schemas.microsoft.com/office/drawing/2014/main" id="{60D750BE-20C6-4EEA-AC77-0B901CE21D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0" name="AutoShape 1" descr="Story">
          <a:hlinkClick xmlns:r="http://schemas.openxmlformats.org/officeDocument/2006/relationships" r:id="rId13"/>
          <a:extLst>
            <a:ext uri="{FF2B5EF4-FFF2-40B4-BE49-F238E27FC236}">
              <a16:creationId xmlns:a16="http://schemas.microsoft.com/office/drawing/2014/main" id="{859EA887-DF1B-4C0B-B2F5-CEA52E06E6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1" name="AutoShape 1" descr="Story">
          <a:hlinkClick xmlns:r="http://schemas.openxmlformats.org/officeDocument/2006/relationships" r:id="rId13"/>
          <a:extLst>
            <a:ext uri="{FF2B5EF4-FFF2-40B4-BE49-F238E27FC236}">
              <a16:creationId xmlns:a16="http://schemas.microsoft.com/office/drawing/2014/main" id="{2C2723B7-69D6-41FD-A224-57AA227CB9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2" name="AutoShape 3" descr="Story">
          <a:hlinkClick xmlns:r="http://schemas.openxmlformats.org/officeDocument/2006/relationships" r:id="rId4"/>
          <a:extLst>
            <a:ext uri="{FF2B5EF4-FFF2-40B4-BE49-F238E27FC236}">
              <a16:creationId xmlns:a16="http://schemas.microsoft.com/office/drawing/2014/main" id="{068F9136-406F-4266-AFCE-FC2D5E9440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3" name="AutoShape 4" descr="Story">
          <a:hlinkClick xmlns:r="http://schemas.openxmlformats.org/officeDocument/2006/relationships" r:id="rId5"/>
          <a:extLst>
            <a:ext uri="{FF2B5EF4-FFF2-40B4-BE49-F238E27FC236}">
              <a16:creationId xmlns:a16="http://schemas.microsoft.com/office/drawing/2014/main" id="{C68B10E3-99A9-40BE-A632-1C90ED5CB2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4" name="AutoShape 7" descr="Story">
          <a:hlinkClick xmlns:r="http://schemas.openxmlformats.org/officeDocument/2006/relationships" r:id="rId3"/>
          <a:extLst>
            <a:ext uri="{FF2B5EF4-FFF2-40B4-BE49-F238E27FC236}">
              <a16:creationId xmlns:a16="http://schemas.microsoft.com/office/drawing/2014/main" id="{30FB1C6B-F030-4CD3-836B-87AED83D01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5" name="AutoShape 8" descr="Story">
          <a:hlinkClick xmlns:r="http://schemas.openxmlformats.org/officeDocument/2006/relationships" r:id="rId4"/>
          <a:extLst>
            <a:ext uri="{FF2B5EF4-FFF2-40B4-BE49-F238E27FC236}">
              <a16:creationId xmlns:a16="http://schemas.microsoft.com/office/drawing/2014/main" id="{5564D201-DB5D-4004-8B43-CAAB85641E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56" name="AutoShape 8" descr="Story">
          <a:hlinkClick xmlns:r="http://schemas.openxmlformats.org/officeDocument/2006/relationships" r:id="rId4"/>
          <a:extLst>
            <a:ext uri="{FF2B5EF4-FFF2-40B4-BE49-F238E27FC236}">
              <a16:creationId xmlns:a16="http://schemas.microsoft.com/office/drawing/2014/main" id="{65CF3A87-D05A-4EFB-9CE1-E93CF25B18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857" name="AutoShape 1" descr="Story">
          <a:hlinkClick xmlns:r="http://schemas.openxmlformats.org/officeDocument/2006/relationships" r:id="rId13"/>
          <a:extLst>
            <a:ext uri="{FF2B5EF4-FFF2-40B4-BE49-F238E27FC236}">
              <a16:creationId xmlns:a16="http://schemas.microsoft.com/office/drawing/2014/main" id="{E4A19502-14DF-4F08-9683-953A03EE76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58" name="AutoShape 2" descr="Story">
          <a:hlinkClick xmlns:r="http://schemas.openxmlformats.org/officeDocument/2006/relationships" r:id="rId12"/>
          <a:extLst>
            <a:ext uri="{FF2B5EF4-FFF2-40B4-BE49-F238E27FC236}">
              <a16:creationId xmlns:a16="http://schemas.microsoft.com/office/drawing/2014/main" id="{B2C4A01C-9499-4B3D-9680-CD832FF62E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59" name="AutoShape 3" descr="Story">
          <a:hlinkClick xmlns:r="http://schemas.openxmlformats.org/officeDocument/2006/relationships" r:id="rId11"/>
          <a:extLst>
            <a:ext uri="{FF2B5EF4-FFF2-40B4-BE49-F238E27FC236}">
              <a16:creationId xmlns:a16="http://schemas.microsoft.com/office/drawing/2014/main" id="{A9ED174D-230A-4F13-8C97-27471FBD731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0" name="AutoShape 4" descr="Bug">
          <a:hlinkClick xmlns:r="http://schemas.openxmlformats.org/officeDocument/2006/relationships" r:id="rId1"/>
          <a:extLst>
            <a:ext uri="{FF2B5EF4-FFF2-40B4-BE49-F238E27FC236}">
              <a16:creationId xmlns:a16="http://schemas.microsoft.com/office/drawing/2014/main" id="{EC8A61F0-518F-4D5D-B947-28D5EC036A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1" name="AutoShape 5" descr="Story">
          <a:hlinkClick xmlns:r="http://schemas.openxmlformats.org/officeDocument/2006/relationships" r:id="rId14"/>
          <a:extLst>
            <a:ext uri="{FF2B5EF4-FFF2-40B4-BE49-F238E27FC236}">
              <a16:creationId xmlns:a16="http://schemas.microsoft.com/office/drawing/2014/main" id="{5B9D3CF5-2111-4DA0-BCE4-C1735DBD01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2" name="AutoShape 6" descr="Bug">
          <a:hlinkClick xmlns:r="http://schemas.openxmlformats.org/officeDocument/2006/relationships" r:id="rId2"/>
          <a:extLst>
            <a:ext uri="{FF2B5EF4-FFF2-40B4-BE49-F238E27FC236}">
              <a16:creationId xmlns:a16="http://schemas.microsoft.com/office/drawing/2014/main" id="{50581D12-3211-43E4-BBCC-423AE8DA87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3" name="AutoShape 7" descr="Story">
          <a:hlinkClick xmlns:r="http://schemas.openxmlformats.org/officeDocument/2006/relationships" r:id="rId3"/>
          <a:extLst>
            <a:ext uri="{FF2B5EF4-FFF2-40B4-BE49-F238E27FC236}">
              <a16:creationId xmlns:a16="http://schemas.microsoft.com/office/drawing/2014/main" id="{4324F528-BFCB-46DD-97B6-C6D090C656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4" name="AutoShape 8" descr="Story">
          <a:hlinkClick xmlns:r="http://schemas.openxmlformats.org/officeDocument/2006/relationships" r:id="rId4"/>
          <a:extLst>
            <a:ext uri="{FF2B5EF4-FFF2-40B4-BE49-F238E27FC236}">
              <a16:creationId xmlns:a16="http://schemas.microsoft.com/office/drawing/2014/main" id="{DC0CF536-F379-4B0F-B047-6B769FF71A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5" name="AutoShape 9" descr="Story">
          <a:hlinkClick xmlns:r="http://schemas.openxmlformats.org/officeDocument/2006/relationships" r:id="rId5"/>
          <a:extLst>
            <a:ext uri="{FF2B5EF4-FFF2-40B4-BE49-F238E27FC236}">
              <a16:creationId xmlns:a16="http://schemas.microsoft.com/office/drawing/2014/main" id="{5234994B-2692-415A-A531-B37BEE0620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6" name="AutoShape 10" descr="Story">
          <a:hlinkClick xmlns:r="http://schemas.openxmlformats.org/officeDocument/2006/relationships" r:id="rId6"/>
          <a:extLst>
            <a:ext uri="{FF2B5EF4-FFF2-40B4-BE49-F238E27FC236}">
              <a16:creationId xmlns:a16="http://schemas.microsoft.com/office/drawing/2014/main" id="{3BF43DA2-DA49-4D3B-8FF6-9E8D488AFF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7" name="AutoShape 11" descr="Story">
          <a:hlinkClick xmlns:r="http://schemas.openxmlformats.org/officeDocument/2006/relationships" r:id="rId15"/>
          <a:extLst>
            <a:ext uri="{FF2B5EF4-FFF2-40B4-BE49-F238E27FC236}">
              <a16:creationId xmlns:a16="http://schemas.microsoft.com/office/drawing/2014/main" id="{D65A2906-79F4-49AB-B0F9-823916AE50F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8" name="AutoShape 12" descr="Story">
          <a:hlinkClick xmlns:r="http://schemas.openxmlformats.org/officeDocument/2006/relationships" r:id="rId12"/>
          <a:extLst>
            <a:ext uri="{FF2B5EF4-FFF2-40B4-BE49-F238E27FC236}">
              <a16:creationId xmlns:a16="http://schemas.microsoft.com/office/drawing/2014/main" id="{B270D6F7-9A1C-455E-9BEE-9517CF3D7D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69" name="AutoShape 13" descr="Story">
          <a:hlinkClick xmlns:r="http://schemas.openxmlformats.org/officeDocument/2006/relationships" r:id="rId4"/>
          <a:extLst>
            <a:ext uri="{FF2B5EF4-FFF2-40B4-BE49-F238E27FC236}">
              <a16:creationId xmlns:a16="http://schemas.microsoft.com/office/drawing/2014/main" id="{5EEFAF6A-DFA4-4456-8DAB-C58A64F19B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70" name="AutoShape 14" descr="Story">
          <a:hlinkClick xmlns:r="http://schemas.openxmlformats.org/officeDocument/2006/relationships" r:id="rId4"/>
          <a:extLst>
            <a:ext uri="{FF2B5EF4-FFF2-40B4-BE49-F238E27FC236}">
              <a16:creationId xmlns:a16="http://schemas.microsoft.com/office/drawing/2014/main" id="{FBD34D5D-71EB-4717-BF59-BF7FFF0AEF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871" name="AutoShape 15" descr="Story">
          <a:hlinkClick xmlns:r="http://schemas.openxmlformats.org/officeDocument/2006/relationships" r:id="rId4"/>
          <a:extLst>
            <a:ext uri="{FF2B5EF4-FFF2-40B4-BE49-F238E27FC236}">
              <a16:creationId xmlns:a16="http://schemas.microsoft.com/office/drawing/2014/main" id="{F2C3219D-E8BF-44D2-A830-9F87370EA3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872" name="AutoShape 1" descr="Story">
          <a:hlinkClick xmlns:r="http://schemas.openxmlformats.org/officeDocument/2006/relationships" r:id="rId7"/>
          <a:extLst>
            <a:ext uri="{FF2B5EF4-FFF2-40B4-BE49-F238E27FC236}">
              <a16:creationId xmlns:a16="http://schemas.microsoft.com/office/drawing/2014/main" id="{C8F09F85-CFDE-4315-A21D-411108D982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3" name="AutoShape 2" descr="Story">
          <a:hlinkClick xmlns:r="http://schemas.openxmlformats.org/officeDocument/2006/relationships" r:id="rId8"/>
          <a:extLst>
            <a:ext uri="{FF2B5EF4-FFF2-40B4-BE49-F238E27FC236}">
              <a16:creationId xmlns:a16="http://schemas.microsoft.com/office/drawing/2014/main" id="{6FF77175-9436-4967-A7DD-B5D7CB155C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4" name="AutoShape 5" descr="Story">
          <a:hlinkClick xmlns:r="http://schemas.openxmlformats.org/officeDocument/2006/relationships" r:id="rId6"/>
          <a:extLst>
            <a:ext uri="{FF2B5EF4-FFF2-40B4-BE49-F238E27FC236}">
              <a16:creationId xmlns:a16="http://schemas.microsoft.com/office/drawing/2014/main" id="{F7931195-A998-4236-BF79-A11988ACD6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5" name="AutoShape 1" descr="Sub-task">
          <a:hlinkClick xmlns:r="http://schemas.openxmlformats.org/officeDocument/2006/relationships" r:id="rId9"/>
          <a:extLst>
            <a:ext uri="{FF2B5EF4-FFF2-40B4-BE49-F238E27FC236}">
              <a16:creationId xmlns:a16="http://schemas.microsoft.com/office/drawing/2014/main" id="{458EE094-6E40-4C6E-942E-127DB841CC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6" name="AutoShape 2" descr="Sub-task">
          <a:hlinkClick xmlns:r="http://schemas.openxmlformats.org/officeDocument/2006/relationships" r:id="rId10"/>
          <a:extLst>
            <a:ext uri="{FF2B5EF4-FFF2-40B4-BE49-F238E27FC236}">
              <a16:creationId xmlns:a16="http://schemas.microsoft.com/office/drawing/2014/main" id="{40BBC648-DCE1-4776-8D47-15D5EC7491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7" name="AutoShape 3" descr="Story">
          <a:hlinkClick xmlns:r="http://schemas.openxmlformats.org/officeDocument/2006/relationships" r:id="rId11"/>
          <a:extLst>
            <a:ext uri="{FF2B5EF4-FFF2-40B4-BE49-F238E27FC236}">
              <a16:creationId xmlns:a16="http://schemas.microsoft.com/office/drawing/2014/main" id="{F8AA4A88-4D04-4AC5-AFB4-C04B6AB4CF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8" name="AutoShape 12" descr="Story">
          <a:hlinkClick xmlns:r="http://schemas.openxmlformats.org/officeDocument/2006/relationships" r:id="rId12"/>
          <a:extLst>
            <a:ext uri="{FF2B5EF4-FFF2-40B4-BE49-F238E27FC236}">
              <a16:creationId xmlns:a16="http://schemas.microsoft.com/office/drawing/2014/main" id="{F7111A1A-158D-4581-84EA-1ACB814698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79" name="AutoShape 1" descr="Story">
          <a:hlinkClick xmlns:r="http://schemas.openxmlformats.org/officeDocument/2006/relationships" r:id="rId13"/>
          <a:extLst>
            <a:ext uri="{FF2B5EF4-FFF2-40B4-BE49-F238E27FC236}">
              <a16:creationId xmlns:a16="http://schemas.microsoft.com/office/drawing/2014/main" id="{9DD19CF5-1F1D-4476-BC29-6A273CAE87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0" name="AutoShape 1" descr="Story">
          <a:hlinkClick xmlns:r="http://schemas.openxmlformats.org/officeDocument/2006/relationships" r:id="rId13"/>
          <a:extLst>
            <a:ext uri="{FF2B5EF4-FFF2-40B4-BE49-F238E27FC236}">
              <a16:creationId xmlns:a16="http://schemas.microsoft.com/office/drawing/2014/main" id="{51F690B2-6DA3-4265-9708-79926A38A8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1" name="AutoShape 3" descr="Story">
          <a:hlinkClick xmlns:r="http://schemas.openxmlformats.org/officeDocument/2006/relationships" r:id="rId4"/>
          <a:extLst>
            <a:ext uri="{FF2B5EF4-FFF2-40B4-BE49-F238E27FC236}">
              <a16:creationId xmlns:a16="http://schemas.microsoft.com/office/drawing/2014/main" id="{7CF23620-F83B-4F7A-81C0-51C2D4F435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2" name="AutoShape 4" descr="Story">
          <a:hlinkClick xmlns:r="http://schemas.openxmlformats.org/officeDocument/2006/relationships" r:id="rId5"/>
          <a:extLst>
            <a:ext uri="{FF2B5EF4-FFF2-40B4-BE49-F238E27FC236}">
              <a16:creationId xmlns:a16="http://schemas.microsoft.com/office/drawing/2014/main" id="{97E6C366-66F5-47FB-8C96-677FBA4038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3" name="AutoShape 1" descr="Story">
          <a:hlinkClick xmlns:r="http://schemas.openxmlformats.org/officeDocument/2006/relationships" r:id="rId7"/>
          <a:extLst>
            <a:ext uri="{FF2B5EF4-FFF2-40B4-BE49-F238E27FC236}">
              <a16:creationId xmlns:a16="http://schemas.microsoft.com/office/drawing/2014/main" id="{28B9918A-C839-4269-A87E-9C375EA715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4" name="AutoShape 2" descr="Story">
          <a:hlinkClick xmlns:r="http://schemas.openxmlformats.org/officeDocument/2006/relationships" r:id="rId8"/>
          <a:extLst>
            <a:ext uri="{FF2B5EF4-FFF2-40B4-BE49-F238E27FC236}">
              <a16:creationId xmlns:a16="http://schemas.microsoft.com/office/drawing/2014/main" id="{D587337A-7A86-4FBC-A64B-BAF30E52FA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5" name="AutoShape 3" descr="Story">
          <a:hlinkClick xmlns:r="http://schemas.openxmlformats.org/officeDocument/2006/relationships" r:id="rId4"/>
          <a:extLst>
            <a:ext uri="{FF2B5EF4-FFF2-40B4-BE49-F238E27FC236}">
              <a16:creationId xmlns:a16="http://schemas.microsoft.com/office/drawing/2014/main" id="{A47AEE2F-EB94-422A-A332-6FEFC3B1B2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6" name="AutoShape 4" descr="Story">
          <a:hlinkClick xmlns:r="http://schemas.openxmlformats.org/officeDocument/2006/relationships" r:id="rId5"/>
          <a:extLst>
            <a:ext uri="{FF2B5EF4-FFF2-40B4-BE49-F238E27FC236}">
              <a16:creationId xmlns:a16="http://schemas.microsoft.com/office/drawing/2014/main" id="{CFA384BB-99CD-43D6-87A5-58A656074F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7" name="AutoShape 5" descr="Story">
          <a:hlinkClick xmlns:r="http://schemas.openxmlformats.org/officeDocument/2006/relationships" r:id="rId6"/>
          <a:extLst>
            <a:ext uri="{FF2B5EF4-FFF2-40B4-BE49-F238E27FC236}">
              <a16:creationId xmlns:a16="http://schemas.microsoft.com/office/drawing/2014/main" id="{C73B8E06-C389-41BE-A0AC-1DE77B609F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8" name="AutoShape 1" descr="Sub-task">
          <a:hlinkClick xmlns:r="http://schemas.openxmlformats.org/officeDocument/2006/relationships" r:id="rId9"/>
          <a:extLst>
            <a:ext uri="{FF2B5EF4-FFF2-40B4-BE49-F238E27FC236}">
              <a16:creationId xmlns:a16="http://schemas.microsoft.com/office/drawing/2014/main" id="{4C15E61B-E1AB-4665-B467-D86FB955AA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89" name="AutoShape 2" descr="Sub-task">
          <a:hlinkClick xmlns:r="http://schemas.openxmlformats.org/officeDocument/2006/relationships" r:id="rId10"/>
          <a:extLst>
            <a:ext uri="{FF2B5EF4-FFF2-40B4-BE49-F238E27FC236}">
              <a16:creationId xmlns:a16="http://schemas.microsoft.com/office/drawing/2014/main" id="{A9012C36-74EA-46D1-AF4D-CEFF5EAAC5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0" name="AutoShape 7" descr="Story">
          <a:hlinkClick xmlns:r="http://schemas.openxmlformats.org/officeDocument/2006/relationships" r:id="rId3"/>
          <a:extLst>
            <a:ext uri="{FF2B5EF4-FFF2-40B4-BE49-F238E27FC236}">
              <a16:creationId xmlns:a16="http://schemas.microsoft.com/office/drawing/2014/main" id="{B0184ECE-2F0C-4397-BE46-B9BE293913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1" name="AutoShape 3" descr="Story">
          <a:hlinkClick xmlns:r="http://schemas.openxmlformats.org/officeDocument/2006/relationships" r:id="rId11"/>
          <a:extLst>
            <a:ext uri="{FF2B5EF4-FFF2-40B4-BE49-F238E27FC236}">
              <a16:creationId xmlns:a16="http://schemas.microsoft.com/office/drawing/2014/main" id="{CB7BCEB9-5673-4455-8ABC-04380F3A5A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2" name="AutoShape 12" descr="Story">
          <a:hlinkClick xmlns:r="http://schemas.openxmlformats.org/officeDocument/2006/relationships" r:id="rId12"/>
          <a:extLst>
            <a:ext uri="{FF2B5EF4-FFF2-40B4-BE49-F238E27FC236}">
              <a16:creationId xmlns:a16="http://schemas.microsoft.com/office/drawing/2014/main" id="{482B6EA8-A526-427D-A1F7-EAEEB95390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3" name="AutoShape 1" descr="Story">
          <a:hlinkClick xmlns:r="http://schemas.openxmlformats.org/officeDocument/2006/relationships" r:id="rId13"/>
          <a:extLst>
            <a:ext uri="{FF2B5EF4-FFF2-40B4-BE49-F238E27FC236}">
              <a16:creationId xmlns:a16="http://schemas.microsoft.com/office/drawing/2014/main" id="{92E3390C-F8AA-4086-BD96-E5E1ECFE99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4" name="AutoShape 1" descr="Story">
          <a:hlinkClick xmlns:r="http://schemas.openxmlformats.org/officeDocument/2006/relationships" r:id="rId13"/>
          <a:extLst>
            <a:ext uri="{FF2B5EF4-FFF2-40B4-BE49-F238E27FC236}">
              <a16:creationId xmlns:a16="http://schemas.microsoft.com/office/drawing/2014/main" id="{16BB2B79-458A-486D-A2E3-1DBF69B29C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5" name="AutoShape 3" descr="Story">
          <a:hlinkClick xmlns:r="http://schemas.openxmlformats.org/officeDocument/2006/relationships" r:id="rId4"/>
          <a:extLst>
            <a:ext uri="{FF2B5EF4-FFF2-40B4-BE49-F238E27FC236}">
              <a16:creationId xmlns:a16="http://schemas.microsoft.com/office/drawing/2014/main" id="{5030E3A1-17A1-4361-9FDE-A698319B9B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6" name="AutoShape 4" descr="Story">
          <a:hlinkClick xmlns:r="http://schemas.openxmlformats.org/officeDocument/2006/relationships" r:id="rId5"/>
          <a:extLst>
            <a:ext uri="{FF2B5EF4-FFF2-40B4-BE49-F238E27FC236}">
              <a16:creationId xmlns:a16="http://schemas.microsoft.com/office/drawing/2014/main" id="{86656FDF-BCD1-436D-9BC0-8AF420F9C7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7" name="AutoShape 7" descr="Story">
          <a:hlinkClick xmlns:r="http://schemas.openxmlformats.org/officeDocument/2006/relationships" r:id="rId3"/>
          <a:extLst>
            <a:ext uri="{FF2B5EF4-FFF2-40B4-BE49-F238E27FC236}">
              <a16:creationId xmlns:a16="http://schemas.microsoft.com/office/drawing/2014/main" id="{4EBE77A5-9A8C-416A-A928-6ECB6992C5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8" name="AutoShape 8" descr="Story">
          <a:hlinkClick xmlns:r="http://schemas.openxmlformats.org/officeDocument/2006/relationships" r:id="rId4"/>
          <a:extLst>
            <a:ext uri="{FF2B5EF4-FFF2-40B4-BE49-F238E27FC236}">
              <a16:creationId xmlns:a16="http://schemas.microsoft.com/office/drawing/2014/main" id="{8F6BDFBD-3832-4071-84A3-5B9F682F0D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899" name="AutoShape 8" descr="Story">
          <a:hlinkClick xmlns:r="http://schemas.openxmlformats.org/officeDocument/2006/relationships" r:id="rId4"/>
          <a:extLst>
            <a:ext uri="{FF2B5EF4-FFF2-40B4-BE49-F238E27FC236}">
              <a16:creationId xmlns:a16="http://schemas.microsoft.com/office/drawing/2014/main" id="{C96A5101-4E0C-447E-B382-45F5DA404F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900" name="AutoShape 1" descr="Story">
          <a:hlinkClick xmlns:r="http://schemas.openxmlformats.org/officeDocument/2006/relationships" r:id="rId13"/>
          <a:extLst>
            <a:ext uri="{FF2B5EF4-FFF2-40B4-BE49-F238E27FC236}">
              <a16:creationId xmlns:a16="http://schemas.microsoft.com/office/drawing/2014/main" id="{1462C864-5AB9-47D0-A352-08B6CB7C49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1" name="AutoShape 2" descr="Story">
          <a:hlinkClick xmlns:r="http://schemas.openxmlformats.org/officeDocument/2006/relationships" r:id="rId12"/>
          <a:extLst>
            <a:ext uri="{FF2B5EF4-FFF2-40B4-BE49-F238E27FC236}">
              <a16:creationId xmlns:a16="http://schemas.microsoft.com/office/drawing/2014/main" id="{A9770EEF-31FB-467C-8886-CBA18581A7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2" name="AutoShape 3" descr="Story">
          <a:hlinkClick xmlns:r="http://schemas.openxmlformats.org/officeDocument/2006/relationships" r:id="rId11"/>
          <a:extLst>
            <a:ext uri="{FF2B5EF4-FFF2-40B4-BE49-F238E27FC236}">
              <a16:creationId xmlns:a16="http://schemas.microsoft.com/office/drawing/2014/main" id="{096779CE-ED74-4565-9201-E146911B91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3" name="AutoShape 4" descr="Bug">
          <a:hlinkClick xmlns:r="http://schemas.openxmlformats.org/officeDocument/2006/relationships" r:id="rId1"/>
          <a:extLst>
            <a:ext uri="{FF2B5EF4-FFF2-40B4-BE49-F238E27FC236}">
              <a16:creationId xmlns:a16="http://schemas.microsoft.com/office/drawing/2014/main" id="{080AFBA7-D6C0-44B3-B35C-E3EAE71275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4" name="AutoShape 5" descr="Story">
          <a:hlinkClick xmlns:r="http://schemas.openxmlformats.org/officeDocument/2006/relationships" r:id="rId14"/>
          <a:extLst>
            <a:ext uri="{FF2B5EF4-FFF2-40B4-BE49-F238E27FC236}">
              <a16:creationId xmlns:a16="http://schemas.microsoft.com/office/drawing/2014/main" id="{0666A7BB-7027-4D6B-9621-1DAF40B900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5" name="AutoShape 6" descr="Bug">
          <a:hlinkClick xmlns:r="http://schemas.openxmlformats.org/officeDocument/2006/relationships" r:id="rId2"/>
          <a:extLst>
            <a:ext uri="{FF2B5EF4-FFF2-40B4-BE49-F238E27FC236}">
              <a16:creationId xmlns:a16="http://schemas.microsoft.com/office/drawing/2014/main" id="{811A6F34-C781-4F82-8975-2DBF59A522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6" name="AutoShape 7" descr="Story">
          <a:hlinkClick xmlns:r="http://schemas.openxmlformats.org/officeDocument/2006/relationships" r:id="rId3"/>
          <a:extLst>
            <a:ext uri="{FF2B5EF4-FFF2-40B4-BE49-F238E27FC236}">
              <a16:creationId xmlns:a16="http://schemas.microsoft.com/office/drawing/2014/main" id="{0B75753D-46EE-41F2-A588-B0E7DD2F0F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7" name="AutoShape 8" descr="Story">
          <a:hlinkClick xmlns:r="http://schemas.openxmlformats.org/officeDocument/2006/relationships" r:id="rId4"/>
          <a:extLst>
            <a:ext uri="{FF2B5EF4-FFF2-40B4-BE49-F238E27FC236}">
              <a16:creationId xmlns:a16="http://schemas.microsoft.com/office/drawing/2014/main" id="{5518A592-5DB7-47D3-88CA-E1751F2527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8" name="AutoShape 9" descr="Story">
          <a:hlinkClick xmlns:r="http://schemas.openxmlformats.org/officeDocument/2006/relationships" r:id="rId5"/>
          <a:extLst>
            <a:ext uri="{FF2B5EF4-FFF2-40B4-BE49-F238E27FC236}">
              <a16:creationId xmlns:a16="http://schemas.microsoft.com/office/drawing/2014/main" id="{1848525C-8372-4AF2-BD7B-8175436E78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09" name="AutoShape 10" descr="Story">
          <a:hlinkClick xmlns:r="http://schemas.openxmlformats.org/officeDocument/2006/relationships" r:id="rId6"/>
          <a:extLst>
            <a:ext uri="{FF2B5EF4-FFF2-40B4-BE49-F238E27FC236}">
              <a16:creationId xmlns:a16="http://schemas.microsoft.com/office/drawing/2014/main" id="{5281F22A-2B0C-485D-96F1-A27CBD256E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10" name="AutoShape 11" descr="Story">
          <a:hlinkClick xmlns:r="http://schemas.openxmlformats.org/officeDocument/2006/relationships" r:id="rId15"/>
          <a:extLst>
            <a:ext uri="{FF2B5EF4-FFF2-40B4-BE49-F238E27FC236}">
              <a16:creationId xmlns:a16="http://schemas.microsoft.com/office/drawing/2014/main" id="{86AB6CE5-6A8D-426C-9C35-347CD81AF4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11" name="AutoShape 12" descr="Story">
          <a:hlinkClick xmlns:r="http://schemas.openxmlformats.org/officeDocument/2006/relationships" r:id="rId12"/>
          <a:extLst>
            <a:ext uri="{FF2B5EF4-FFF2-40B4-BE49-F238E27FC236}">
              <a16:creationId xmlns:a16="http://schemas.microsoft.com/office/drawing/2014/main" id="{10F15ABB-46EC-498A-90A2-773108DB10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12" name="AutoShape 13" descr="Story">
          <a:hlinkClick xmlns:r="http://schemas.openxmlformats.org/officeDocument/2006/relationships" r:id="rId4"/>
          <a:extLst>
            <a:ext uri="{FF2B5EF4-FFF2-40B4-BE49-F238E27FC236}">
              <a16:creationId xmlns:a16="http://schemas.microsoft.com/office/drawing/2014/main" id="{B756A755-B950-4A2C-B5D9-1724AC1B44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13" name="AutoShape 14" descr="Story">
          <a:hlinkClick xmlns:r="http://schemas.openxmlformats.org/officeDocument/2006/relationships" r:id="rId4"/>
          <a:extLst>
            <a:ext uri="{FF2B5EF4-FFF2-40B4-BE49-F238E27FC236}">
              <a16:creationId xmlns:a16="http://schemas.microsoft.com/office/drawing/2014/main" id="{4CF9B5F7-F3A8-44C5-B4D7-BFE0677CF9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14" name="AutoShape 15" descr="Story">
          <a:hlinkClick xmlns:r="http://schemas.openxmlformats.org/officeDocument/2006/relationships" r:id="rId4"/>
          <a:extLst>
            <a:ext uri="{FF2B5EF4-FFF2-40B4-BE49-F238E27FC236}">
              <a16:creationId xmlns:a16="http://schemas.microsoft.com/office/drawing/2014/main" id="{BD983DE8-85B2-4A6C-B3CB-EFDE50B3F3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915" name="AutoShape 1" descr="Story">
          <a:hlinkClick xmlns:r="http://schemas.openxmlformats.org/officeDocument/2006/relationships" r:id="rId7"/>
          <a:extLst>
            <a:ext uri="{FF2B5EF4-FFF2-40B4-BE49-F238E27FC236}">
              <a16:creationId xmlns:a16="http://schemas.microsoft.com/office/drawing/2014/main" id="{BA9997BA-DC25-43C8-A120-F202396192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16" name="AutoShape 2" descr="Story">
          <a:hlinkClick xmlns:r="http://schemas.openxmlformats.org/officeDocument/2006/relationships" r:id="rId8"/>
          <a:extLst>
            <a:ext uri="{FF2B5EF4-FFF2-40B4-BE49-F238E27FC236}">
              <a16:creationId xmlns:a16="http://schemas.microsoft.com/office/drawing/2014/main" id="{0C8EB40F-F526-47AC-BFA9-EA3292E56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17" name="AutoShape 5" descr="Story">
          <a:hlinkClick xmlns:r="http://schemas.openxmlformats.org/officeDocument/2006/relationships" r:id="rId6"/>
          <a:extLst>
            <a:ext uri="{FF2B5EF4-FFF2-40B4-BE49-F238E27FC236}">
              <a16:creationId xmlns:a16="http://schemas.microsoft.com/office/drawing/2014/main" id="{0C182C9D-B6DD-452A-BF39-6E29102EB1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18" name="AutoShape 1" descr="Sub-task">
          <a:hlinkClick xmlns:r="http://schemas.openxmlformats.org/officeDocument/2006/relationships" r:id="rId9"/>
          <a:extLst>
            <a:ext uri="{FF2B5EF4-FFF2-40B4-BE49-F238E27FC236}">
              <a16:creationId xmlns:a16="http://schemas.microsoft.com/office/drawing/2014/main" id="{D5EDB47C-E715-4A42-B409-DA31F33D74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19" name="AutoShape 2" descr="Sub-task">
          <a:hlinkClick xmlns:r="http://schemas.openxmlformats.org/officeDocument/2006/relationships" r:id="rId10"/>
          <a:extLst>
            <a:ext uri="{FF2B5EF4-FFF2-40B4-BE49-F238E27FC236}">
              <a16:creationId xmlns:a16="http://schemas.microsoft.com/office/drawing/2014/main" id="{02B7B0CB-4156-44A1-8F99-F227345E6A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0" name="AutoShape 3" descr="Story">
          <a:hlinkClick xmlns:r="http://schemas.openxmlformats.org/officeDocument/2006/relationships" r:id="rId11"/>
          <a:extLst>
            <a:ext uri="{FF2B5EF4-FFF2-40B4-BE49-F238E27FC236}">
              <a16:creationId xmlns:a16="http://schemas.microsoft.com/office/drawing/2014/main" id="{D63EE388-E0AB-4225-853E-0BB7600F37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1" name="AutoShape 12" descr="Story">
          <a:hlinkClick xmlns:r="http://schemas.openxmlformats.org/officeDocument/2006/relationships" r:id="rId12"/>
          <a:extLst>
            <a:ext uri="{FF2B5EF4-FFF2-40B4-BE49-F238E27FC236}">
              <a16:creationId xmlns:a16="http://schemas.microsoft.com/office/drawing/2014/main" id="{7D98B624-4572-4948-A45F-5151CDB628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2" name="AutoShape 1" descr="Story">
          <a:hlinkClick xmlns:r="http://schemas.openxmlformats.org/officeDocument/2006/relationships" r:id="rId13"/>
          <a:extLst>
            <a:ext uri="{FF2B5EF4-FFF2-40B4-BE49-F238E27FC236}">
              <a16:creationId xmlns:a16="http://schemas.microsoft.com/office/drawing/2014/main" id="{61348804-77C4-4C5D-A574-747C8BE770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3" name="AutoShape 1" descr="Story">
          <a:hlinkClick xmlns:r="http://schemas.openxmlformats.org/officeDocument/2006/relationships" r:id="rId13"/>
          <a:extLst>
            <a:ext uri="{FF2B5EF4-FFF2-40B4-BE49-F238E27FC236}">
              <a16:creationId xmlns:a16="http://schemas.microsoft.com/office/drawing/2014/main" id="{636642F5-928C-4C61-86F6-661C896AB5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4" name="AutoShape 3" descr="Story">
          <a:hlinkClick xmlns:r="http://schemas.openxmlformats.org/officeDocument/2006/relationships" r:id="rId4"/>
          <a:extLst>
            <a:ext uri="{FF2B5EF4-FFF2-40B4-BE49-F238E27FC236}">
              <a16:creationId xmlns:a16="http://schemas.microsoft.com/office/drawing/2014/main" id="{7F9655EA-6FC8-428F-B443-D465E59E98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5" name="AutoShape 4" descr="Story">
          <a:hlinkClick xmlns:r="http://schemas.openxmlformats.org/officeDocument/2006/relationships" r:id="rId5"/>
          <a:extLst>
            <a:ext uri="{FF2B5EF4-FFF2-40B4-BE49-F238E27FC236}">
              <a16:creationId xmlns:a16="http://schemas.microsoft.com/office/drawing/2014/main" id="{B188D69B-326B-4D60-B784-F9A8997877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6" name="AutoShape 1" descr="Story">
          <a:hlinkClick xmlns:r="http://schemas.openxmlformats.org/officeDocument/2006/relationships" r:id="rId7"/>
          <a:extLst>
            <a:ext uri="{FF2B5EF4-FFF2-40B4-BE49-F238E27FC236}">
              <a16:creationId xmlns:a16="http://schemas.microsoft.com/office/drawing/2014/main" id="{03E5D396-0FB7-415F-ADE3-7B4E1FDF55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7" name="AutoShape 2" descr="Story">
          <a:hlinkClick xmlns:r="http://schemas.openxmlformats.org/officeDocument/2006/relationships" r:id="rId8"/>
          <a:extLst>
            <a:ext uri="{FF2B5EF4-FFF2-40B4-BE49-F238E27FC236}">
              <a16:creationId xmlns:a16="http://schemas.microsoft.com/office/drawing/2014/main" id="{A8B11BB3-C8A1-485E-AAD8-6F5C19A77C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8" name="AutoShape 3" descr="Story">
          <a:hlinkClick xmlns:r="http://schemas.openxmlformats.org/officeDocument/2006/relationships" r:id="rId4"/>
          <a:extLst>
            <a:ext uri="{FF2B5EF4-FFF2-40B4-BE49-F238E27FC236}">
              <a16:creationId xmlns:a16="http://schemas.microsoft.com/office/drawing/2014/main" id="{C9728F83-1D27-4C24-B2D6-DD4645ED85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29" name="AutoShape 4" descr="Story">
          <a:hlinkClick xmlns:r="http://schemas.openxmlformats.org/officeDocument/2006/relationships" r:id="rId5"/>
          <a:extLst>
            <a:ext uri="{FF2B5EF4-FFF2-40B4-BE49-F238E27FC236}">
              <a16:creationId xmlns:a16="http://schemas.microsoft.com/office/drawing/2014/main" id="{0750A04C-2B74-48AD-9CF4-3329B7C060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0" name="AutoShape 5" descr="Story">
          <a:hlinkClick xmlns:r="http://schemas.openxmlformats.org/officeDocument/2006/relationships" r:id="rId6"/>
          <a:extLst>
            <a:ext uri="{FF2B5EF4-FFF2-40B4-BE49-F238E27FC236}">
              <a16:creationId xmlns:a16="http://schemas.microsoft.com/office/drawing/2014/main" id="{150A7A10-76FE-44A8-95CF-79C75489F8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1" name="AutoShape 1" descr="Sub-task">
          <a:hlinkClick xmlns:r="http://schemas.openxmlformats.org/officeDocument/2006/relationships" r:id="rId9"/>
          <a:extLst>
            <a:ext uri="{FF2B5EF4-FFF2-40B4-BE49-F238E27FC236}">
              <a16:creationId xmlns:a16="http://schemas.microsoft.com/office/drawing/2014/main" id="{D5B0F421-3FFC-46E5-829D-679786D1F3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2" name="AutoShape 2" descr="Sub-task">
          <a:hlinkClick xmlns:r="http://schemas.openxmlformats.org/officeDocument/2006/relationships" r:id="rId10"/>
          <a:extLst>
            <a:ext uri="{FF2B5EF4-FFF2-40B4-BE49-F238E27FC236}">
              <a16:creationId xmlns:a16="http://schemas.microsoft.com/office/drawing/2014/main" id="{179DE7C5-807B-4D0C-BB74-5E7C6F9BF4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3" name="AutoShape 7" descr="Story">
          <a:hlinkClick xmlns:r="http://schemas.openxmlformats.org/officeDocument/2006/relationships" r:id="rId3"/>
          <a:extLst>
            <a:ext uri="{FF2B5EF4-FFF2-40B4-BE49-F238E27FC236}">
              <a16:creationId xmlns:a16="http://schemas.microsoft.com/office/drawing/2014/main" id="{BEECBD61-1133-43C1-A240-D421E1848C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4" name="AutoShape 3" descr="Story">
          <a:hlinkClick xmlns:r="http://schemas.openxmlformats.org/officeDocument/2006/relationships" r:id="rId11"/>
          <a:extLst>
            <a:ext uri="{FF2B5EF4-FFF2-40B4-BE49-F238E27FC236}">
              <a16:creationId xmlns:a16="http://schemas.microsoft.com/office/drawing/2014/main" id="{F2B2FF3D-6C25-4CEB-8182-3255685AB6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5" name="AutoShape 12" descr="Story">
          <a:hlinkClick xmlns:r="http://schemas.openxmlformats.org/officeDocument/2006/relationships" r:id="rId12"/>
          <a:extLst>
            <a:ext uri="{FF2B5EF4-FFF2-40B4-BE49-F238E27FC236}">
              <a16:creationId xmlns:a16="http://schemas.microsoft.com/office/drawing/2014/main" id="{C0B49970-90D2-48E3-9B10-693D66BD9C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6" name="AutoShape 1" descr="Story">
          <a:hlinkClick xmlns:r="http://schemas.openxmlformats.org/officeDocument/2006/relationships" r:id="rId13"/>
          <a:extLst>
            <a:ext uri="{FF2B5EF4-FFF2-40B4-BE49-F238E27FC236}">
              <a16:creationId xmlns:a16="http://schemas.microsoft.com/office/drawing/2014/main" id="{8825CC00-B8F9-4F5E-94F8-77A08B10E5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7" name="AutoShape 1" descr="Story">
          <a:hlinkClick xmlns:r="http://schemas.openxmlformats.org/officeDocument/2006/relationships" r:id="rId13"/>
          <a:extLst>
            <a:ext uri="{FF2B5EF4-FFF2-40B4-BE49-F238E27FC236}">
              <a16:creationId xmlns:a16="http://schemas.microsoft.com/office/drawing/2014/main" id="{81CE5C6C-5521-4F4C-A0D1-AA4563C40C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8" name="AutoShape 3" descr="Story">
          <a:hlinkClick xmlns:r="http://schemas.openxmlformats.org/officeDocument/2006/relationships" r:id="rId4"/>
          <a:extLst>
            <a:ext uri="{FF2B5EF4-FFF2-40B4-BE49-F238E27FC236}">
              <a16:creationId xmlns:a16="http://schemas.microsoft.com/office/drawing/2014/main" id="{5918335D-4DFE-4003-A04B-E1D2032BCD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39" name="AutoShape 4" descr="Story">
          <a:hlinkClick xmlns:r="http://schemas.openxmlformats.org/officeDocument/2006/relationships" r:id="rId5"/>
          <a:extLst>
            <a:ext uri="{FF2B5EF4-FFF2-40B4-BE49-F238E27FC236}">
              <a16:creationId xmlns:a16="http://schemas.microsoft.com/office/drawing/2014/main" id="{58E5ED0C-11CD-4507-A3AF-C8DEF15409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40" name="AutoShape 7" descr="Story">
          <a:hlinkClick xmlns:r="http://schemas.openxmlformats.org/officeDocument/2006/relationships" r:id="rId3"/>
          <a:extLst>
            <a:ext uri="{FF2B5EF4-FFF2-40B4-BE49-F238E27FC236}">
              <a16:creationId xmlns:a16="http://schemas.microsoft.com/office/drawing/2014/main" id="{5160C171-9FDE-4A6A-8B0A-AA147B96D5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41" name="AutoShape 8" descr="Story">
          <a:hlinkClick xmlns:r="http://schemas.openxmlformats.org/officeDocument/2006/relationships" r:id="rId4"/>
          <a:extLst>
            <a:ext uri="{FF2B5EF4-FFF2-40B4-BE49-F238E27FC236}">
              <a16:creationId xmlns:a16="http://schemas.microsoft.com/office/drawing/2014/main" id="{452B85F8-4A32-455A-B690-D188454DA6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42" name="AutoShape 8" descr="Story">
          <a:hlinkClick xmlns:r="http://schemas.openxmlformats.org/officeDocument/2006/relationships" r:id="rId4"/>
          <a:extLst>
            <a:ext uri="{FF2B5EF4-FFF2-40B4-BE49-F238E27FC236}">
              <a16:creationId xmlns:a16="http://schemas.microsoft.com/office/drawing/2014/main" id="{943F3D39-222A-4785-8ECF-1509637FB16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943" name="AutoShape 1" descr="Story">
          <a:hlinkClick xmlns:r="http://schemas.openxmlformats.org/officeDocument/2006/relationships" r:id="rId13"/>
          <a:extLst>
            <a:ext uri="{FF2B5EF4-FFF2-40B4-BE49-F238E27FC236}">
              <a16:creationId xmlns:a16="http://schemas.microsoft.com/office/drawing/2014/main" id="{9C9328C7-5F52-41D6-BC6E-2E1AA0B30E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4" name="AutoShape 2" descr="Story">
          <a:hlinkClick xmlns:r="http://schemas.openxmlformats.org/officeDocument/2006/relationships" r:id="rId12"/>
          <a:extLst>
            <a:ext uri="{FF2B5EF4-FFF2-40B4-BE49-F238E27FC236}">
              <a16:creationId xmlns:a16="http://schemas.microsoft.com/office/drawing/2014/main" id="{FB034467-2109-4B51-A75C-E86C2D75FC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5" name="AutoShape 3" descr="Story">
          <a:hlinkClick xmlns:r="http://schemas.openxmlformats.org/officeDocument/2006/relationships" r:id="rId11"/>
          <a:extLst>
            <a:ext uri="{FF2B5EF4-FFF2-40B4-BE49-F238E27FC236}">
              <a16:creationId xmlns:a16="http://schemas.microsoft.com/office/drawing/2014/main" id="{9FA9E721-991A-41D1-9343-B0CFA08BCF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6" name="AutoShape 4" descr="Bug">
          <a:hlinkClick xmlns:r="http://schemas.openxmlformats.org/officeDocument/2006/relationships" r:id="rId1"/>
          <a:extLst>
            <a:ext uri="{FF2B5EF4-FFF2-40B4-BE49-F238E27FC236}">
              <a16:creationId xmlns:a16="http://schemas.microsoft.com/office/drawing/2014/main" id="{F0C3A1DC-6CE2-4CBC-B9F2-CD92A6505A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7" name="AutoShape 5" descr="Story">
          <a:hlinkClick xmlns:r="http://schemas.openxmlformats.org/officeDocument/2006/relationships" r:id="rId14"/>
          <a:extLst>
            <a:ext uri="{FF2B5EF4-FFF2-40B4-BE49-F238E27FC236}">
              <a16:creationId xmlns:a16="http://schemas.microsoft.com/office/drawing/2014/main" id="{9229A9B7-D915-4F0C-8465-0A8DAF4D91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8" name="AutoShape 6" descr="Bug">
          <a:hlinkClick xmlns:r="http://schemas.openxmlformats.org/officeDocument/2006/relationships" r:id="rId2"/>
          <a:extLst>
            <a:ext uri="{FF2B5EF4-FFF2-40B4-BE49-F238E27FC236}">
              <a16:creationId xmlns:a16="http://schemas.microsoft.com/office/drawing/2014/main" id="{23133A81-CAC2-4711-983B-25CCBDCAC6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49" name="AutoShape 7" descr="Story">
          <a:hlinkClick xmlns:r="http://schemas.openxmlformats.org/officeDocument/2006/relationships" r:id="rId3"/>
          <a:extLst>
            <a:ext uri="{FF2B5EF4-FFF2-40B4-BE49-F238E27FC236}">
              <a16:creationId xmlns:a16="http://schemas.microsoft.com/office/drawing/2014/main" id="{C9B58A01-9AB0-4CEE-81D8-259621DE17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0" name="AutoShape 8" descr="Story">
          <a:hlinkClick xmlns:r="http://schemas.openxmlformats.org/officeDocument/2006/relationships" r:id="rId4"/>
          <a:extLst>
            <a:ext uri="{FF2B5EF4-FFF2-40B4-BE49-F238E27FC236}">
              <a16:creationId xmlns:a16="http://schemas.microsoft.com/office/drawing/2014/main" id="{A6F31C83-5AD6-48FA-B0C0-F4F68E2BE5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1" name="AutoShape 9" descr="Story">
          <a:hlinkClick xmlns:r="http://schemas.openxmlformats.org/officeDocument/2006/relationships" r:id="rId5"/>
          <a:extLst>
            <a:ext uri="{FF2B5EF4-FFF2-40B4-BE49-F238E27FC236}">
              <a16:creationId xmlns:a16="http://schemas.microsoft.com/office/drawing/2014/main" id="{00A90E34-C2AF-4EA1-AF02-133186D508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2" name="AutoShape 10" descr="Story">
          <a:hlinkClick xmlns:r="http://schemas.openxmlformats.org/officeDocument/2006/relationships" r:id="rId6"/>
          <a:extLst>
            <a:ext uri="{FF2B5EF4-FFF2-40B4-BE49-F238E27FC236}">
              <a16:creationId xmlns:a16="http://schemas.microsoft.com/office/drawing/2014/main" id="{90BE5D8B-DA38-4A71-84BE-296B4D0459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3" name="AutoShape 11" descr="Story">
          <a:hlinkClick xmlns:r="http://schemas.openxmlformats.org/officeDocument/2006/relationships" r:id="rId15"/>
          <a:extLst>
            <a:ext uri="{FF2B5EF4-FFF2-40B4-BE49-F238E27FC236}">
              <a16:creationId xmlns:a16="http://schemas.microsoft.com/office/drawing/2014/main" id="{C19EA56B-DB98-4C4A-9B59-FFF7232D95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4" name="AutoShape 12" descr="Story">
          <a:hlinkClick xmlns:r="http://schemas.openxmlformats.org/officeDocument/2006/relationships" r:id="rId12"/>
          <a:extLst>
            <a:ext uri="{FF2B5EF4-FFF2-40B4-BE49-F238E27FC236}">
              <a16:creationId xmlns:a16="http://schemas.microsoft.com/office/drawing/2014/main" id="{4BD5D80C-3187-4EBA-8B85-8973CB9D59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5" name="AutoShape 13" descr="Story">
          <a:hlinkClick xmlns:r="http://schemas.openxmlformats.org/officeDocument/2006/relationships" r:id="rId4"/>
          <a:extLst>
            <a:ext uri="{FF2B5EF4-FFF2-40B4-BE49-F238E27FC236}">
              <a16:creationId xmlns:a16="http://schemas.microsoft.com/office/drawing/2014/main" id="{C97B4C87-D190-4779-A03C-C6DF829FE9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6" name="AutoShape 14" descr="Story">
          <a:hlinkClick xmlns:r="http://schemas.openxmlformats.org/officeDocument/2006/relationships" r:id="rId4"/>
          <a:extLst>
            <a:ext uri="{FF2B5EF4-FFF2-40B4-BE49-F238E27FC236}">
              <a16:creationId xmlns:a16="http://schemas.microsoft.com/office/drawing/2014/main" id="{A3CE9BCE-A5D9-486A-9A95-04CE98E653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57" name="AutoShape 15" descr="Story">
          <a:hlinkClick xmlns:r="http://schemas.openxmlformats.org/officeDocument/2006/relationships" r:id="rId4"/>
          <a:extLst>
            <a:ext uri="{FF2B5EF4-FFF2-40B4-BE49-F238E27FC236}">
              <a16:creationId xmlns:a16="http://schemas.microsoft.com/office/drawing/2014/main" id="{A6503935-7E05-422C-B0DA-3320997F66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1958" name="AutoShape 1" descr="Story">
          <a:hlinkClick xmlns:r="http://schemas.openxmlformats.org/officeDocument/2006/relationships" r:id="rId7"/>
          <a:extLst>
            <a:ext uri="{FF2B5EF4-FFF2-40B4-BE49-F238E27FC236}">
              <a16:creationId xmlns:a16="http://schemas.microsoft.com/office/drawing/2014/main" id="{67EDF541-3985-4427-8A20-D00BC80E70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59" name="AutoShape 2" descr="Story">
          <a:hlinkClick xmlns:r="http://schemas.openxmlformats.org/officeDocument/2006/relationships" r:id="rId8"/>
          <a:extLst>
            <a:ext uri="{FF2B5EF4-FFF2-40B4-BE49-F238E27FC236}">
              <a16:creationId xmlns:a16="http://schemas.microsoft.com/office/drawing/2014/main" id="{239D9377-573D-4C9E-9BEC-EF0AAA7CC1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0" name="AutoShape 5" descr="Story">
          <a:hlinkClick xmlns:r="http://schemas.openxmlformats.org/officeDocument/2006/relationships" r:id="rId6"/>
          <a:extLst>
            <a:ext uri="{FF2B5EF4-FFF2-40B4-BE49-F238E27FC236}">
              <a16:creationId xmlns:a16="http://schemas.microsoft.com/office/drawing/2014/main" id="{625D0CB5-DE8A-48DE-9CBE-0DC6B284CF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1" name="AutoShape 1" descr="Sub-task">
          <a:hlinkClick xmlns:r="http://schemas.openxmlformats.org/officeDocument/2006/relationships" r:id="rId9"/>
          <a:extLst>
            <a:ext uri="{FF2B5EF4-FFF2-40B4-BE49-F238E27FC236}">
              <a16:creationId xmlns:a16="http://schemas.microsoft.com/office/drawing/2014/main" id="{6038ED56-B4FE-4B61-BC09-1FFE3563D5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2" name="AutoShape 2" descr="Sub-task">
          <a:hlinkClick xmlns:r="http://schemas.openxmlformats.org/officeDocument/2006/relationships" r:id="rId10"/>
          <a:extLst>
            <a:ext uri="{FF2B5EF4-FFF2-40B4-BE49-F238E27FC236}">
              <a16:creationId xmlns:a16="http://schemas.microsoft.com/office/drawing/2014/main" id="{AC997846-270F-49CC-A26A-8A2E65CDBE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3" name="AutoShape 3" descr="Story">
          <a:hlinkClick xmlns:r="http://schemas.openxmlformats.org/officeDocument/2006/relationships" r:id="rId11"/>
          <a:extLst>
            <a:ext uri="{FF2B5EF4-FFF2-40B4-BE49-F238E27FC236}">
              <a16:creationId xmlns:a16="http://schemas.microsoft.com/office/drawing/2014/main" id="{E65911BF-347F-411C-9FAE-63EF8D845D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4" name="AutoShape 12" descr="Story">
          <a:hlinkClick xmlns:r="http://schemas.openxmlformats.org/officeDocument/2006/relationships" r:id="rId12"/>
          <a:extLst>
            <a:ext uri="{FF2B5EF4-FFF2-40B4-BE49-F238E27FC236}">
              <a16:creationId xmlns:a16="http://schemas.microsoft.com/office/drawing/2014/main" id="{86ECAC82-F56F-4AC3-A771-CAE9E0ED9B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5" name="AutoShape 1" descr="Story">
          <a:hlinkClick xmlns:r="http://schemas.openxmlformats.org/officeDocument/2006/relationships" r:id="rId13"/>
          <a:extLst>
            <a:ext uri="{FF2B5EF4-FFF2-40B4-BE49-F238E27FC236}">
              <a16:creationId xmlns:a16="http://schemas.microsoft.com/office/drawing/2014/main" id="{54294AB4-CB8B-4B6E-9730-6692EBC325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6" name="AutoShape 1" descr="Story">
          <a:hlinkClick xmlns:r="http://schemas.openxmlformats.org/officeDocument/2006/relationships" r:id="rId13"/>
          <a:extLst>
            <a:ext uri="{FF2B5EF4-FFF2-40B4-BE49-F238E27FC236}">
              <a16:creationId xmlns:a16="http://schemas.microsoft.com/office/drawing/2014/main" id="{3BCB8C27-9286-46CE-AEAF-DF8FCAED49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7" name="AutoShape 3" descr="Story">
          <a:hlinkClick xmlns:r="http://schemas.openxmlformats.org/officeDocument/2006/relationships" r:id="rId4"/>
          <a:extLst>
            <a:ext uri="{FF2B5EF4-FFF2-40B4-BE49-F238E27FC236}">
              <a16:creationId xmlns:a16="http://schemas.microsoft.com/office/drawing/2014/main" id="{00B7FE2F-BBBA-417B-845C-0099345A20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8" name="AutoShape 4" descr="Story">
          <a:hlinkClick xmlns:r="http://schemas.openxmlformats.org/officeDocument/2006/relationships" r:id="rId5"/>
          <a:extLst>
            <a:ext uri="{FF2B5EF4-FFF2-40B4-BE49-F238E27FC236}">
              <a16:creationId xmlns:a16="http://schemas.microsoft.com/office/drawing/2014/main" id="{8236E65E-4A9F-4617-98E3-0AF26EBDE5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69" name="AutoShape 1" descr="Story">
          <a:hlinkClick xmlns:r="http://schemas.openxmlformats.org/officeDocument/2006/relationships" r:id="rId7"/>
          <a:extLst>
            <a:ext uri="{FF2B5EF4-FFF2-40B4-BE49-F238E27FC236}">
              <a16:creationId xmlns:a16="http://schemas.microsoft.com/office/drawing/2014/main" id="{732F8129-AF09-4C06-BCC1-32DB844D12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0" name="AutoShape 2" descr="Story">
          <a:hlinkClick xmlns:r="http://schemas.openxmlformats.org/officeDocument/2006/relationships" r:id="rId8"/>
          <a:extLst>
            <a:ext uri="{FF2B5EF4-FFF2-40B4-BE49-F238E27FC236}">
              <a16:creationId xmlns:a16="http://schemas.microsoft.com/office/drawing/2014/main" id="{CF1BCE94-DC4D-43C7-B4BD-0ACFA257DF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1" name="AutoShape 3" descr="Story">
          <a:hlinkClick xmlns:r="http://schemas.openxmlformats.org/officeDocument/2006/relationships" r:id="rId4"/>
          <a:extLst>
            <a:ext uri="{FF2B5EF4-FFF2-40B4-BE49-F238E27FC236}">
              <a16:creationId xmlns:a16="http://schemas.microsoft.com/office/drawing/2014/main" id="{04F7E3DB-6631-4A69-8E37-EC3354A692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2" name="AutoShape 4" descr="Story">
          <a:hlinkClick xmlns:r="http://schemas.openxmlformats.org/officeDocument/2006/relationships" r:id="rId5"/>
          <a:extLst>
            <a:ext uri="{FF2B5EF4-FFF2-40B4-BE49-F238E27FC236}">
              <a16:creationId xmlns:a16="http://schemas.microsoft.com/office/drawing/2014/main" id="{C10D81CD-690D-429C-B378-97712E7E5A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3" name="AutoShape 5" descr="Story">
          <a:hlinkClick xmlns:r="http://schemas.openxmlformats.org/officeDocument/2006/relationships" r:id="rId6"/>
          <a:extLst>
            <a:ext uri="{FF2B5EF4-FFF2-40B4-BE49-F238E27FC236}">
              <a16:creationId xmlns:a16="http://schemas.microsoft.com/office/drawing/2014/main" id="{800C025C-2186-437F-B953-B0342163C9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4" name="AutoShape 1" descr="Sub-task">
          <a:hlinkClick xmlns:r="http://schemas.openxmlformats.org/officeDocument/2006/relationships" r:id="rId9"/>
          <a:extLst>
            <a:ext uri="{FF2B5EF4-FFF2-40B4-BE49-F238E27FC236}">
              <a16:creationId xmlns:a16="http://schemas.microsoft.com/office/drawing/2014/main" id="{723983E4-AF9B-4D7E-9165-E3CDA463E1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5" name="AutoShape 2" descr="Sub-task">
          <a:hlinkClick xmlns:r="http://schemas.openxmlformats.org/officeDocument/2006/relationships" r:id="rId10"/>
          <a:extLst>
            <a:ext uri="{FF2B5EF4-FFF2-40B4-BE49-F238E27FC236}">
              <a16:creationId xmlns:a16="http://schemas.microsoft.com/office/drawing/2014/main" id="{5FB0ACBB-DC38-4013-85ED-633CF787CB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6" name="AutoShape 7" descr="Story">
          <a:hlinkClick xmlns:r="http://schemas.openxmlformats.org/officeDocument/2006/relationships" r:id="rId3"/>
          <a:extLst>
            <a:ext uri="{FF2B5EF4-FFF2-40B4-BE49-F238E27FC236}">
              <a16:creationId xmlns:a16="http://schemas.microsoft.com/office/drawing/2014/main" id="{424CBBBD-217A-4D34-8D7E-DCB3F345CD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7" name="AutoShape 3" descr="Story">
          <a:hlinkClick xmlns:r="http://schemas.openxmlformats.org/officeDocument/2006/relationships" r:id="rId11"/>
          <a:extLst>
            <a:ext uri="{FF2B5EF4-FFF2-40B4-BE49-F238E27FC236}">
              <a16:creationId xmlns:a16="http://schemas.microsoft.com/office/drawing/2014/main" id="{47FF4E9E-2445-4986-BC43-998FC08DC7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8" name="AutoShape 12" descr="Story">
          <a:hlinkClick xmlns:r="http://schemas.openxmlformats.org/officeDocument/2006/relationships" r:id="rId12"/>
          <a:extLst>
            <a:ext uri="{FF2B5EF4-FFF2-40B4-BE49-F238E27FC236}">
              <a16:creationId xmlns:a16="http://schemas.microsoft.com/office/drawing/2014/main" id="{3317DD1C-915D-40A8-B5A4-CA1C0419F2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79" name="AutoShape 1" descr="Story">
          <a:hlinkClick xmlns:r="http://schemas.openxmlformats.org/officeDocument/2006/relationships" r:id="rId13"/>
          <a:extLst>
            <a:ext uri="{FF2B5EF4-FFF2-40B4-BE49-F238E27FC236}">
              <a16:creationId xmlns:a16="http://schemas.microsoft.com/office/drawing/2014/main" id="{75EC7D2D-E4BE-4550-94F5-2E69E41C6B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0" name="AutoShape 1" descr="Story">
          <a:hlinkClick xmlns:r="http://schemas.openxmlformats.org/officeDocument/2006/relationships" r:id="rId13"/>
          <a:extLst>
            <a:ext uri="{FF2B5EF4-FFF2-40B4-BE49-F238E27FC236}">
              <a16:creationId xmlns:a16="http://schemas.microsoft.com/office/drawing/2014/main" id="{7A568F29-2936-4A31-B13F-5373B0C122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1" name="AutoShape 3" descr="Story">
          <a:hlinkClick xmlns:r="http://schemas.openxmlformats.org/officeDocument/2006/relationships" r:id="rId4"/>
          <a:extLst>
            <a:ext uri="{FF2B5EF4-FFF2-40B4-BE49-F238E27FC236}">
              <a16:creationId xmlns:a16="http://schemas.microsoft.com/office/drawing/2014/main" id="{EFF83432-3CB7-4212-BA83-851636950D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2" name="AutoShape 4" descr="Story">
          <a:hlinkClick xmlns:r="http://schemas.openxmlformats.org/officeDocument/2006/relationships" r:id="rId5"/>
          <a:extLst>
            <a:ext uri="{FF2B5EF4-FFF2-40B4-BE49-F238E27FC236}">
              <a16:creationId xmlns:a16="http://schemas.microsoft.com/office/drawing/2014/main" id="{11947D02-A94E-40D4-899D-F9CBAB4FE3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3" name="AutoShape 7" descr="Story">
          <a:hlinkClick xmlns:r="http://schemas.openxmlformats.org/officeDocument/2006/relationships" r:id="rId3"/>
          <a:extLst>
            <a:ext uri="{FF2B5EF4-FFF2-40B4-BE49-F238E27FC236}">
              <a16:creationId xmlns:a16="http://schemas.microsoft.com/office/drawing/2014/main" id="{A5AA7DAC-987B-4324-A713-E25F9F3D63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4" name="AutoShape 8" descr="Story">
          <a:hlinkClick xmlns:r="http://schemas.openxmlformats.org/officeDocument/2006/relationships" r:id="rId4"/>
          <a:extLst>
            <a:ext uri="{FF2B5EF4-FFF2-40B4-BE49-F238E27FC236}">
              <a16:creationId xmlns:a16="http://schemas.microsoft.com/office/drawing/2014/main" id="{5F5EE5B6-E570-4BD0-B81D-E2BE170617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985" name="AutoShape 8" descr="Story">
          <a:hlinkClick xmlns:r="http://schemas.openxmlformats.org/officeDocument/2006/relationships" r:id="rId4"/>
          <a:extLst>
            <a:ext uri="{FF2B5EF4-FFF2-40B4-BE49-F238E27FC236}">
              <a16:creationId xmlns:a16="http://schemas.microsoft.com/office/drawing/2014/main" id="{9A45A66B-47FB-424C-AAD3-A3BA16172E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1986" name="AutoShape 1" descr="Story">
          <a:hlinkClick xmlns:r="http://schemas.openxmlformats.org/officeDocument/2006/relationships" r:id="rId13"/>
          <a:extLst>
            <a:ext uri="{FF2B5EF4-FFF2-40B4-BE49-F238E27FC236}">
              <a16:creationId xmlns:a16="http://schemas.microsoft.com/office/drawing/2014/main" id="{B7DC2C19-EB2E-44D8-8827-F8AB4934B3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87" name="AutoShape 2" descr="Story">
          <a:hlinkClick xmlns:r="http://schemas.openxmlformats.org/officeDocument/2006/relationships" r:id="rId12"/>
          <a:extLst>
            <a:ext uri="{FF2B5EF4-FFF2-40B4-BE49-F238E27FC236}">
              <a16:creationId xmlns:a16="http://schemas.microsoft.com/office/drawing/2014/main" id="{93EEAB80-5807-4CE9-AA63-7F5F5C3847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88" name="AutoShape 3" descr="Story">
          <a:hlinkClick xmlns:r="http://schemas.openxmlformats.org/officeDocument/2006/relationships" r:id="rId11"/>
          <a:extLst>
            <a:ext uri="{FF2B5EF4-FFF2-40B4-BE49-F238E27FC236}">
              <a16:creationId xmlns:a16="http://schemas.microsoft.com/office/drawing/2014/main" id="{1E445896-65D3-49A4-9F98-A6CE907914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89" name="AutoShape 4" descr="Bug">
          <a:hlinkClick xmlns:r="http://schemas.openxmlformats.org/officeDocument/2006/relationships" r:id="rId1"/>
          <a:extLst>
            <a:ext uri="{FF2B5EF4-FFF2-40B4-BE49-F238E27FC236}">
              <a16:creationId xmlns:a16="http://schemas.microsoft.com/office/drawing/2014/main" id="{B36F1B56-FB30-4FC2-94CA-E5FA8083D3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0" name="AutoShape 5" descr="Story">
          <a:hlinkClick xmlns:r="http://schemas.openxmlformats.org/officeDocument/2006/relationships" r:id="rId14"/>
          <a:extLst>
            <a:ext uri="{FF2B5EF4-FFF2-40B4-BE49-F238E27FC236}">
              <a16:creationId xmlns:a16="http://schemas.microsoft.com/office/drawing/2014/main" id="{68D8D84A-5D5A-404B-8521-69BE7BAC1F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1" name="AutoShape 6" descr="Bug">
          <a:hlinkClick xmlns:r="http://schemas.openxmlformats.org/officeDocument/2006/relationships" r:id="rId2"/>
          <a:extLst>
            <a:ext uri="{FF2B5EF4-FFF2-40B4-BE49-F238E27FC236}">
              <a16:creationId xmlns:a16="http://schemas.microsoft.com/office/drawing/2014/main" id="{4E7E8BE0-5990-4389-B06D-77274E6AAC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2" name="AutoShape 7" descr="Story">
          <a:hlinkClick xmlns:r="http://schemas.openxmlformats.org/officeDocument/2006/relationships" r:id="rId3"/>
          <a:extLst>
            <a:ext uri="{FF2B5EF4-FFF2-40B4-BE49-F238E27FC236}">
              <a16:creationId xmlns:a16="http://schemas.microsoft.com/office/drawing/2014/main" id="{FE847FBD-7172-4660-994A-486BD17C82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3" name="AutoShape 8" descr="Story">
          <a:hlinkClick xmlns:r="http://schemas.openxmlformats.org/officeDocument/2006/relationships" r:id="rId4"/>
          <a:extLst>
            <a:ext uri="{FF2B5EF4-FFF2-40B4-BE49-F238E27FC236}">
              <a16:creationId xmlns:a16="http://schemas.microsoft.com/office/drawing/2014/main" id="{62BF423D-F704-45CF-A932-C8CC08CCC4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4" name="AutoShape 9" descr="Story">
          <a:hlinkClick xmlns:r="http://schemas.openxmlformats.org/officeDocument/2006/relationships" r:id="rId5"/>
          <a:extLst>
            <a:ext uri="{FF2B5EF4-FFF2-40B4-BE49-F238E27FC236}">
              <a16:creationId xmlns:a16="http://schemas.microsoft.com/office/drawing/2014/main" id="{5910A0D9-BE7F-4170-BE4C-943BE9BB5F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5" name="AutoShape 10" descr="Story">
          <a:hlinkClick xmlns:r="http://schemas.openxmlformats.org/officeDocument/2006/relationships" r:id="rId6"/>
          <a:extLst>
            <a:ext uri="{FF2B5EF4-FFF2-40B4-BE49-F238E27FC236}">
              <a16:creationId xmlns:a16="http://schemas.microsoft.com/office/drawing/2014/main" id="{94F56B04-E7B6-4615-8C9F-3631DC93AB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6" name="AutoShape 11" descr="Story">
          <a:hlinkClick xmlns:r="http://schemas.openxmlformats.org/officeDocument/2006/relationships" r:id="rId15"/>
          <a:extLst>
            <a:ext uri="{FF2B5EF4-FFF2-40B4-BE49-F238E27FC236}">
              <a16:creationId xmlns:a16="http://schemas.microsoft.com/office/drawing/2014/main" id="{3790849D-F066-4488-9F2E-8E3ABA90E2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7" name="AutoShape 12" descr="Story">
          <a:hlinkClick xmlns:r="http://schemas.openxmlformats.org/officeDocument/2006/relationships" r:id="rId12"/>
          <a:extLst>
            <a:ext uri="{FF2B5EF4-FFF2-40B4-BE49-F238E27FC236}">
              <a16:creationId xmlns:a16="http://schemas.microsoft.com/office/drawing/2014/main" id="{28DE79CD-73AF-4336-A07B-57AE7441A4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8" name="AutoShape 13" descr="Story">
          <a:hlinkClick xmlns:r="http://schemas.openxmlformats.org/officeDocument/2006/relationships" r:id="rId4"/>
          <a:extLst>
            <a:ext uri="{FF2B5EF4-FFF2-40B4-BE49-F238E27FC236}">
              <a16:creationId xmlns:a16="http://schemas.microsoft.com/office/drawing/2014/main" id="{6DD5038D-20D4-4F23-9FA1-7C2BD6ABD0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999" name="AutoShape 14" descr="Story">
          <a:hlinkClick xmlns:r="http://schemas.openxmlformats.org/officeDocument/2006/relationships" r:id="rId4"/>
          <a:extLst>
            <a:ext uri="{FF2B5EF4-FFF2-40B4-BE49-F238E27FC236}">
              <a16:creationId xmlns:a16="http://schemas.microsoft.com/office/drawing/2014/main" id="{FF582DCB-4B2F-4DBC-9B72-F8AB67CB11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00" name="AutoShape 15" descr="Story">
          <a:hlinkClick xmlns:r="http://schemas.openxmlformats.org/officeDocument/2006/relationships" r:id="rId4"/>
          <a:extLst>
            <a:ext uri="{FF2B5EF4-FFF2-40B4-BE49-F238E27FC236}">
              <a16:creationId xmlns:a16="http://schemas.microsoft.com/office/drawing/2014/main" id="{BBB53C9C-EFE3-49E7-85C6-0E5FA65AD4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001" name="AutoShape 1" descr="Story">
          <a:hlinkClick xmlns:r="http://schemas.openxmlformats.org/officeDocument/2006/relationships" r:id="rId7"/>
          <a:extLst>
            <a:ext uri="{FF2B5EF4-FFF2-40B4-BE49-F238E27FC236}">
              <a16:creationId xmlns:a16="http://schemas.microsoft.com/office/drawing/2014/main" id="{8B1BD93F-A995-4F44-8DF7-B0FC0847DA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2" name="AutoShape 2" descr="Story">
          <a:hlinkClick xmlns:r="http://schemas.openxmlformats.org/officeDocument/2006/relationships" r:id="rId8"/>
          <a:extLst>
            <a:ext uri="{FF2B5EF4-FFF2-40B4-BE49-F238E27FC236}">
              <a16:creationId xmlns:a16="http://schemas.microsoft.com/office/drawing/2014/main" id="{CA1FFD95-B97C-480B-894A-8011F77DB6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3" name="AutoShape 5" descr="Story">
          <a:hlinkClick xmlns:r="http://schemas.openxmlformats.org/officeDocument/2006/relationships" r:id="rId6"/>
          <a:extLst>
            <a:ext uri="{FF2B5EF4-FFF2-40B4-BE49-F238E27FC236}">
              <a16:creationId xmlns:a16="http://schemas.microsoft.com/office/drawing/2014/main" id="{1CE08128-FFC7-411B-9585-EBBECFADCF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4" name="AutoShape 1" descr="Sub-task">
          <a:hlinkClick xmlns:r="http://schemas.openxmlformats.org/officeDocument/2006/relationships" r:id="rId9"/>
          <a:extLst>
            <a:ext uri="{FF2B5EF4-FFF2-40B4-BE49-F238E27FC236}">
              <a16:creationId xmlns:a16="http://schemas.microsoft.com/office/drawing/2014/main" id="{69899992-11A0-43A1-9A24-0E6E83104B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5" name="AutoShape 2" descr="Sub-task">
          <a:hlinkClick xmlns:r="http://schemas.openxmlformats.org/officeDocument/2006/relationships" r:id="rId10"/>
          <a:extLst>
            <a:ext uri="{FF2B5EF4-FFF2-40B4-BE49-F238E27FC236}">
              <a16:creationId xmlns:a16="http://schemas.microsoft.com/office/drawing/2014/main" id="{C91F755B-94D2-468E-9B30-908BB4E732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6" name="AutoShape 3" descr="Story">
          <a:hlinkClick xmlns:r="http://schemas.openxmlformats.org/officeDocument/2006/relationships" r:id="rId11"/>
          <a:extLst>
            <a:ext uri="{FF2B5EF4-FFF2-40B4-BE49-F238E27FC236}">
              <a16:creationId xmlns:a16="http://schemas.microsoft.com/office/drawing/2014/main" id="{58E93E2F-8C69-47E5-976E-3A9C46D064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7" name="AutoShape 12" descr="Story">
          <a:hlinkClick xmlns:r="http://schemas.openxmlformats.org/officeDocument/2006/relationships" r:id="rId12"/>
          <a:extLst>
            <a:ext uri="{FF2B5EF4-FFF2-40B4-BE49-F238E27FC236}">
              <a16:creationId xmlns:a16="http://schemas.microsoft.com/office/drawing/2014/main" id="{85BFFFED-238C-4FC6-AD4C-A3C638DE2B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8" name="AutoShape 1" descr="Story">
          <a:hlinkClick xmlns:r="http://schemas.openxmlformats.org/officeDocument/2006/relationships" r:id="rId13"/>
          <a:extLst>
            <a:ext uri="{FF2B5EF4-FFF2-40B4-BE49-F238E27FC236}">
              <a16:creationId xmlns:a16="http://schemas.microsoft.com/office/drawing/2014/main" id="{DB9D3BA0-AEF9-4A84-A4EE-52EBAF608A1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09" name="AutoShape 1" descr="Story">
          <a:hlinkClick xmlns:r="http://schemas.openxmlformats.org/officeDocument/2006/relationships" r:id="rId13"/>
          <a:extLst>
            <a:ext uri="{FF2B5EF4-FFF2-40B4-BE49-F238E27FC236}">
              <a16:creationId xmlns:a16="http://schemas.microsoft.com/office/drawing/2014/main" id="{475F1AC0-CCE1-44AB-97E0-FBE80D8004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0" name="AutoShape 3" descr="Story">
          <a:hlinkClick xmlns:r="http://schemas.openxmlformats.org/officeDocument/2006/relationships" r:id="rId4"/>
          <a:extLst>
            <a:ext uri="{FF2B5EF4-FFF2-40B4-BE49-F238E27FC236}">
              <a16:creationId xmlns:a16="http://schemas.microsoft.com/office/drawing/2014/main" id="{17F3205E-86B3-41DD-AA85-AC4CB7AE1C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1" name="AutoShape 4" descr="Story">
          <a:hlinkClick xmlns:r="http://schemas.openxmlformats.org/officeDocument/2006/relationships" r:id="rId5"/>
          <a:extLst>
            <a:ext uri="{FF2B5EF4-FFF2-40B4-BE49-F238E27FC236}">
              <a16:creationId xmlns:a16="http://schemas.microsoft.com/office/drawing/2014/main" id="{E88A0DC1-4FFE-4E56-BD11-9391085926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2" name="AutoShape 1" descr="Story">
          <a:hlinkClick xmlns:r="http://schemas.openxmlformats.org/officeDocument/2006/relationships" r:id="rId7"/>
          <a:extLst>
            <a:ext uri="{FF2B5EF4-FFF2-40B4-BE49-F238E27FC236}">
              <a16:creationId xmlns:a16="http://schemas.microsoft.com/office/drawing/2014/main" id="{9455DA2D-0636-4186-A7D5-0972E0520B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3" name="AutoShape 2" descr="Story">
          <a:hlinkClick xmlns:r="http://schemas.openxmlformats.org/officeDocument/2006/relationships" r:id="rId8"/>
          <a:extLst>
            <a:ext uri="{FF2B5EF4-FFF2-40B4-BE49-F238E27FC236}">
              <a16:creationId xmlns:a16="http://schemas.microsoft.com/office/drawing/2014/main" id="{395E560C-4D46-4C6C-A6AD-31F290602B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4" name="AutoShape 3" descr="Story">
          <a:hlinkClick xmlns:r="http://schemas.openxmlformats.org/officeDocument/2006/relationships" r:id="rId4"/>
          <a:extLst>
            <a:ext uri="{FF2B5EF4-FFF2-40B4-BE49-F238E27FC236}">
              <a16:creationId xmlns:a16="http://schemas.microsoft.com/office/drawing/2014/main" id="{56DDBF7C-6835-4E07-B578-933C868B3C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5" name="AutoShape 4" descr="Story">
          <a:hlinkClick xmlns:r="http://schemas.openxmlformats.org/officeDocument/2006/relationships" r:id="rId5"/>
          <a:extLst>
            <a:ext uri="{FF2B5EF4-FFF2-40B4-BE49-F238E27FC236}">
              <a16:creationId xmlns:a16="http://schemas.microsoft.com/office/drawing/2014/main" id="{1BD8BE86-1387-4ECE-A450-BD91A2DC1D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6" name="AutoShape 5" descr="Story">
          <a:hlinkClick xmlns:r="http://schemas.openxmlformats.org/officeDocument/2006/relationships" r:id="rId6"/>
          <a:extLst>
            <a:ext uri="{FF2B5EF4-FFF2-40B4-BE49-F238E27FC236}">
              <a16:creationId xmlns:a16="http://schemas.microsoft.com/office/drawing/2014/main" id="{84C558A4-37A4-4700-9E55-2F72517270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7" name="AutoShape 1" descr="Sub-task">
          <a:hlinkClick xmlns:r="http://schemas.openxmlformats.org/officeDocument/2006/relationships" r:id="rId9"/>
          <a:extLst>
            <a:ext uri="{FF2B5EF4-FFF2-40B4-BE49-F238E27FC236}">
              <a16:creationId xmlns:a16="http://schemas.microsoft.com/office/drawing/2014/main" id="{8D977003-FEBA-470E-9474-2DAE0E2850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8" name="AutoShape 2" descr="Sub-task">
          <a:hlinkClick xmlns:r="http://schemas.openxmlformats.org/officeDocument/2006/relationships" r:id="rId10"/>
          <a:extLst>
            <a:ext uri="{FF2B5EF4-FFF2-40B4-BE49-F238E27FC236}">
              <a16:creationId xmlns:a16="http://schemas.microsoft.com/office/drawing/2014/main" id="{2013670C-8255-4F67-8940-8AF19F6482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19" name="AutoShape 7" descr="Story">
          <a:hlinkClick xmlns:r="http://schemas.openxmlformats.org/officeDocument/2006/relationships" r:id="rId3"/>
          <a:extLst>
            <a:ext uri="{FF2B5EF4-FFF2-40B4-BE49-F238E27FC236}">
              <a16:creationId xmlns:a16="http://schemas.microsoft.com/office/drawing/2014/main" id="{2C0273E4-3525-4041-BD25-72417B7DE8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0" name="AutoShape 3" descr="Story">
          <a:hlinkClick xmlns:r="http://schemas.openxmlformats.org/officeDocument/2006/relationships" r:id="rId11"/>
          <a:extLst>
            <a:ext uri="{FF2B5EF4-FFF2-40B4-BE49-F238E27FC236}">
              <a16:creationId xmlns:a16="http://schemas.microsoft.com/office/drawing/2014/main" id="{D23CA27B-CBA7-4839-A519-DB2E0A1526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1" name="AutoShape 12" descr="Story">
          <a:hlinkClick xmlns:r="http://schemas.openxmlformats.org/officeDocument/2006/relationships" r:id="rId12"/>
          <a:extLst>
            <a:ext uri="{FF2B5EF4-FFF2-40B4-BE49-F238E27FC236}">
              <a16:creationId xmlns:a16="http://schemas.microsoft.com/office/drawing/2014/main" id="{FB23B446-A4EF-45B5-B9A3-03F1CD165C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2" name="AutoShape 1" descr="Story">
          <a:hlinkClick xmlns:r="http://schemas.openxmlformats.org/officeDocument/2006/relationships" r:id="rId13"/>
          <a:extLst>
            <a:ext uri="{FF2B5EF4-FFF2-40B4-BE49-F238E27FC236}">
              <a16:creationId xmlns:a16="http://schemas.microsoft.com/office/drawing/2014/main" id="{91388026-EFCE-467C-B71E-7DA30CAAC6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3" name="AutoShape 1" descr="Story">
          <a:hlinkClick xmlns:r="http://schemas.openxmlformats.org/officeDocument/2006/relationships" r:id="rId13"/>
          <a:extLst>
            <a:ext uri="{FF2B5EF4-FFF2-40B4-BE49-F238E27FC236}">
              <a16:creationId xmlns:a16="http://schemas.microsoft.com/office/drawing/2014/main" id="{936F566C-214F-41AC-9D58-FB84BA47BD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4" name="AutoShape 3" descr="Story">
          <a:hlinkClick xmlns:r="http://schemas.openxmlformats.org/officeDocument/2006/relationships" r:id="rId4"/>
          <a:extLst>
            <a:ext uri="{FF2B5EF4-FFF2-40B4-BE49-F238E27FC236}">
              <a16:creationId xmlns:a16="http://schemas.microsoft.com/office/drawing/2014/main" id="{55BAF0A2-F892-49CC-82ED-E416C5DFBD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5" name="AutoShape 4" descr="Story">
          <a:hlinkClick xmlns:r="http://schemas.openxmlformats.org/officeDocument/2006/relationships" r:id="rId5"/>
          <a:extLst>
            <a:ext uri="{FF2B5EF4-FFF2-40B4-BE49-F238E27FC236}">
              <a16:creationId xmlns:a16="http://schemas.microsoft.com/office/drawing/2014/main" id="{F97C272F-CA89-481C-BCA5-E6D15DC97E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6" name="AutoShape 7" descr="Story">
          <a:hlinkClick xmlns:r="http://schemas.openxmlformats.org/officeDocument/2006/relationships" r:id="rId3"/>
          <a:extLst>
            <a:ext uri="{FF2B5EF4-FFF2-40B4-BE49-F238E27FC236}">
              <a16:creationId xmlns:a16="http://schemas.microsoft.com/office/drawing/2014/main" id="{581DE22C-A80D-4301-ACA1-0C2119863C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7" name="AutoShape 8" descr="Story">
          <a:hlinkClick xmlns:r="http://schemas.openxmlformats.org/officeDocument/2006/relationships" r:id="rId4"/>
          <a:extLst>
            <a:ext uri="{FF2B5EF4-FFF2-40B4-BE49-F238E27FC236}">
              <a16:creationId xmlns:a16="http://schemas.microsoft.com/office/drawing/2014/main" id="{5262ECCB-AE4F-4C45-BF45-D5E8CF31E5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28" name="AutoShape 8" descr="Story">
          <a:hlinkClick xmlns:r="http://schemas.openxmlformats.org/officeDocument/2006/relationships" r:id="rId4"/>
          <a:extLst>
            <a:ext uri="{FF2B5EF4-FFF2-40B4-BE49-F238E27FC236}">
              <a16:creationId xmlns:a16="http://schemas.microsoft.com/office/drawing/2014/main" id="{5BC48488-5F52-4668-ACFC-1898B4EA10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029" name="AutoShape 10" descr="Story">
          <a:hlinkClick xmlns:r="http://schemas.openxmlformats.org/officeDocument/2006/relationships" r:id="rId6"/>
          <a:extLst>
            <a:ext uri="{FF2B5EF4-FFF2-40B4-BE49-F238E27FC236}">
              <a16:creationId xmlns:a16="http://schemas.microsoft.com/office/drawing/2014/main" id="{D3E4684A-9A66-4A02-ABFF-DD5B73C508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0" name="AutoShape 14" descr="Story">
          <a:hlinkClick xmlns:r="http://schemas.openxmlformats.org/officeDocument/2006/relationships" r:id="rId4"/>
          <a:extLst>
            <a:ext uri="{FF2B5EF4-FFF2-40B4-BE49-F238E27FC236}">
              <a16:creationId xmlns:a16="http://schemas.microsoft.com/office/drawing/2014/main" id="{3AEEF9D3-9CD3-4CEB-B75D-162EAEFF54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1" name="AutoShape 10" descr="Story">
          <a:hlinkClick xmlns:r="http://schemas.openxmlformats.org/officeDocument/2006/relationships" r:id="rId6"/>
          <a:extLst>
            <a:ext uri="{FF2B5EF4-FFF2-40B4-BE49-F238E27FC236}">
              <a16:creationId xmlns:a16="http://schemas.microsoft.com/office/drawing/2014/main" id="{18395565-E20B-46C0-B183-2A41A2CEA4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2" name="AutoShape 14" descr="Story">
          <a:hlinkClick xmlns:r="http://schemas.openxmlformats.org/officeDocument/2006/relationships" r:id="rId4"/>
          <a:extLst>
            <a:ext uri="{FF2B5EF4-FFF2-40B4-BE49-F238E27FC236}">
              <a16:creationId xmlns:a16="http://schemas.microsoft.com/office/drawing/2014/main" id="{B5C2CC65-1C32-4008-A3B8-29C5354F5E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3" name="AutoShape 1" descr="Story">
          <a:hlinkClick xmlns:r="http://schemas.openxmlformats.org/officeDocument/2006/relationships" r:id="rId13"/>
          <a:extLst>
            <a:ext uri="{FF2B5EF4-FFF2-40B4-BE49-F238E27FC236}">
              <a16:creationId xmlns:a16="http://schemas.microsoft.com/office/drawing/2014/main" id="{F71BC9B5-DFD5-49E0-88FB-C9746B5D03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4" name="AutoShape 2" descr="Story">
          <a:hlinkClick xmlns:r="http://schemas.openxmlformats.org/officeDocument/2006/relationships" r:id="rId12"/>
          <a:extLst>
            <a:ext uri="{FF2B5EF4-FFF2-40B4-BE49-F238E27FC236}">
              <a16:creationId xmlns:a16="http://schemas.microsoft.com/office/drawing/2014/main" id="{F2963621-D457-45F7-A5F4-1B4B4D92FB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5" name="AutoShape 3" descr="Story">
          <a:hlinkClick xmlns:r="http://schemas.openxmlformats.org/officeDocument/2006/relationships" r:id="rId11"/>
          <a:extLst>
            <a:ext uri="{FF2B5EF4-FFF2-40B4-BE49-F238E27FC236}">
              <a16:creationId xmlns:a16="http://schemas.microsoft.com/office/drawing/2014/main" id="{EF6A38FB-92BB-4041-B7C7-FADAA13946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6" name="AutoShape 4" descr="Bug">
          <a:hlinkClick xmlns:r="http://schemas.openxmlformats.org/officeDocument/2006/relationships" r:id="rId1"/>
          <a:extLst>
            <a:ext uri="{FF2B5EF4-FFF2-40B4-BE49-F238E27FC236}">
              <a16:creationId xmlns:a16="http://schemas.microsoft.com/office/drawing/2014/main" id="{5521E35F-2AD0-4168-879E-85818CCA70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7" name="AutoShape 5" descr="Story">
          <a:hlinkClick xmlns:r="http://schemas.openxmlformats.org/officeDocument/2006/relationships" r:id="rId14"/>
          <a:extLst>
            <a:ext uri="{FF2B5EF4-FFF2-40B4-BE49-F238E27FC236}">
              <a16:creationId xmlns:a16="http://schemas.microsoft.com/office/drawing/2014/main" id="{B4CC1C7E-5B19-46F4-8A89-02BDEB0E77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8" name="AutoShape 6" descr="Bug">
          <a:hlinkClick xmlns:r="http://schemas.openxmlformats.org/officeDocument/2006/relationships" r:id="rId2"/>
          <a:extLst>
            <a:ext uri="{FF2B5EF4-FFF2-40B4-BE49-F238E27FC236}">
              <a16:creationId xmlns:a16="http://schemas.microsoft.com/office/drawing/2014/main" id="{EAE09432-D086-4C7C-9DC5-B1B47E39C0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39" name="AutoShape 7" descr="Story">
          <a:hlinkClick xmlns:r="http://schemas.openxmlformats.org/officeDocument/2006/relationships" r:id="rId3"/>
          <a:extLst>
            <a:ext uri="{FF2B5EF4-FFF2-40B4-BE49-F238E27FC236}">
              <a16:creationId xmlns:a16="http://schemas.microsoft.com/office/drawing/2014/main" id="{A5D14A09-3E66-4FFE-93BD-8E114FE61C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0" name="AutoShape 8" descr="Story">
          <a:hlinkClick xmlns:r="http://schemas.openxmlformats.org/officeDocument/2006/relationships" r:id="rId4"/>
          <a:extLst>
            <a:ext uri="{FF2B5EF4-FFF2-40B4-BE49-F238E27FC236}">
              <a16:creationId xmlns:a16="http://schemas.microsoft.com/office/drawing/2014/main" id="{54ADD3F7-192B-47BE-A7F7-EB3379A33D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1" name="AutoShape 9" descr="Story">
          <a:hlinkClick xmlns:r="http://schemas.openxmlformats.org/officeDocument/2006/relationships" r:id="rId5"/>
          <a:extLst>
            <a:ext uri="{FF2B5EF4-FFF2-40B4-BE49-F238E27FC236}">
              <a16:creationId xmlns:a16="http://schemas.microsoft.com/office/drawing/2014/main" id="{F52E85FF-21AD-4481-87C1-5416CD4AEA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2" name="AutoShape 10" descr="Story">
          <a:hlinkClick xmlns:r="http://schemas.openxmlformats.org/officeDocument/2006/relationships" r:id="rId6"/>
          <a:extLst>
            <a:ext uri="{FF2B5EF4-FFF2-40B4-BE49-F238E27FC236}">
              <a16:creationId xmlns:a16="http://schemas.microsoft.com/office/drawing/2014/main" id="{150DEA0C-0240-44E9-88C9-97E89DD42C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3" name="AutoShape 11" descr="Story">
          <a:hlinkClick xmlns:r="http://schemas.openxmlformats.org/officeDocument/2006/relationships" r:id="rId15"/>
          <a:extLst>
            <a:ext uri="{FF2B5EF4-FFF2-40B4-BE49-F238E27FC236}">
              <a16:creationId xmlns:a16="http://schemas.microsoft.com/office/drawing/2014/main" id="{37E78769-54B6-4692-ACB4-5CE63C8F1F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4" name="AutoShape 12" descr="Story">
          <a:hlinkClick xmlns:r="http://schemas.openxmlformats.org/officeDocument/2006/relationships" r:id="rId12"/>
          <a:extLst>
            <a:ext uri="{FF2B5EF4-FFF2-40B4-BE49-F238E27FC236}">
              <a16:creationId xmlns:a16="http://schemas.microsoft.com/office/drawing/2014/main" id="{925D2614-DC47-4065-8062-2174B4EABF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5" name="AutoShape 13" descr="Story">
          <a:hlinkClick xmlns:r="http://schemas.openxmlformats.org/officeDocument/2006/relationships" r:id="rId4"/>
          <a:extLst>
            <a:ext uri="{FF2B5EF4-FFF2-40B4-BE49-F238E27FC236}">
              <a16:creationId xmlns:a16="http://schemas.microsoft.com/office/drawing/2014/main" id="{986C712A-12FC-4655-A6DD-2AE4993428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6" name="AutoShape 14" descr="Story">
          <a:hlinkClick xmlns:r="http://schemas.openxmlformats.org/officeDocument/2006/relationships" r:id="rId4"/>
          <a:extLst>
            <a:ext uri="{FF2B5EF4-FFF2-40B4-BE49-F238E27FC236}">
              <a16:creationId xmlns:a16="http://schemas.microsoft.com/office/drawing/2014/main" id="{D2D7646E-1668-4439-96B0-B9F8537926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47" name="AutoShape 15" descr="Story">
          <a:hlinkClick xmlns:r="http://schemas.openxmlformats.org/officeDocument/2006/relationships" r:id="rId4"/>
          <a:extLst>
            <a:ext uri="{FF2B5EF4-FFF2-40B4-BE49-F238E27FC236}">
              <a16:creationId xmlns:a16="http://schemas.microsoft.com/office/drawing/2014/main" id="{EB6BF05B-A321-4794-BE09-BE0EB386D8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048" name="AutoShape 1" descr="Story">
          <a:hlinkClick xmlns:r="http://schemas.openxmlformats.org/officeDocument/2006/relationships" r:id="rId7"/>
          <a:extLst>
            <a:ext uri="{FF2B5EF4-FFF2-40B4-BE49-F238E27FC236}">
              <a16:creationId xmlns:a16="http://schemas.microsoft.com/office/drawing/2014/main" id="{E0E33C95-1A09-44DE-A9F7-48CEC0EA39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49" name="AutoShape 2" descr="Story">
          <a:hlinkClick xmlns:r="http://schemas.openxmlformats.org/officeDocument/2006/relationships" r:id="rId8"/>
          <a:extLst>
            <a:ext uri="{FF2B5EF4-FFF2-40B4-BE49-F238E27FC236}">
              <a16:creationId xmlns:a16="http://schemas.microsoft.com/office/drawing/2014/main" id="{FCC2A1C1-FF40-4FBF-A1DD-6A502F43C1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0" name="AutoShape 5" descr="Story">
          <a:hlinkClick xmlns:r="http://schemas.openxmlformats.org/officeDocument/2006/relationships" r:id="rId6"/>
          <a:extLst>
            <a:ext uri="{FF2B5EF4-FFF2-40B4-BE49-F238E27FC236}">
              <a16:creationId xmlns:a16="http://schemas.microsoft.com/office/drawing/2014/main" id="{26B7B7F3-1388-4902-902A-DF3E08A5DE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1" name="AutoShape 1" descr="Sub-task">
          <a:hlinkClick xmlns:r="http://schemas.openxmlformats.org/officeDocument/2006/relationships" r:id="rId9"/>
          <a:extLst>
            <a:ext uri="{FF2B5EF4-FFF2-40B4-BE49-F238E27FC236}">
              <a16:creationId xmlns:a16="http://schemas.microsoft.com/office/drawing/2014/main" id="{990A5E48-1DDE-41F3-BA20-2AF11AA449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2" name="AutoShape 2" descr="Sub-task">
          <a:hlinkClick xmlns:r="http://schemas.openxmlformats.org/officeDocument/2006/relationships" r:id="rId10"/>
          <a:extLst>
            <a:ext uri="{FF2B5EF4-FFF2-40B4-BE49-F238E27FC236}">
              <a16:creationId xmlns:a16="http://schemas.microsoft.com/office/drawing/2014/main" id="{2968D9E7-B8FA-4D06-A414-911ECE97E9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3" name="AutoShape 3" descr="Story">
          <a:hlinkClick xmlns:r="http://schemas.openxmlformats.org/officeDocument/2006/relationships" r:id="rId11"/>
          <a:extLst>
            <a:ext uri="{FF2B5EF4-FFF2-40B4-BE49-F238E27FC236}">
              <a16:creationId xmlns:a16="http://schemas.microsoft.com/office/drawing/2014/main" id="{D40A99DF-BF56-419B-B257-FA9C59D9F8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4" name="AutoShape 12" descr="Story">
          <a:hlinkClick xmlns:r="http://schemas.openxmlformats.org/officeDocument/2006/relationships" r:id="rId12"/>
          <a:extLst>
            <a:ext uri="{FF2B5EF4-FFF2-40B4-BE49-F238E27FC236}">
              <a16:creationId xmlns:a16="http://schemas.microsoft.com/office/drawing/2014/main" id="{90EF774D-6725-4DE0-B76C-7E08D87957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5" name="AutoShape 1" descr="Story">
          <a:hlinkClick xmlns:r="http://schemas.openxmlformats.org/officeDocument/2006/relationships" r:id="rId13"/>
          <a:extLst>
            <a:ext uri="{FF2B5EF4-FFF2-40B4-BE49-F238E27FC236}">
              <a16:creationId xmlns:a16="http://schemas.microsoft.com/office/drawing/2014/main" id="{FC6B635D-708D-4878-9063-B54A77645D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6" name="AutoShape 1" descr="Story">
          <a:hlinkClick xmlns:r="http://schemas.openxmlformats.org/officeDocument/2006/relationships" r:id="rId13"/>
          <a:extLst>
            <a:ext uri="{FF2B5EF4-FFF2-40B4-BE49-F238E27FC236}">
              <a16:creationId xmlns:a16="http://schemas.microsoft.com/office/drawing/2014/main" id="{0524F581-271E-4621-BE69-1F766FF189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7" name="AutoShape 3" descr="Story">
          <a:hlinkClick xmlns:r="http://schemas.openxmlformats.org/officeDocument/2006/relationships" r:id="rId4"/>
          <a:extLst>
            <a:ext uri="{FF2B5EF4-FFF2-40B4-BE49-F238E27FC236}">
              <a16:creationId xmlns:a16="http://schemas.microsoft.com/office/drawing/2014/main" id="{578B79B9-180E-4848-A8B6-55F0324F2D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8" name="AutoShape 4" descr="Story">
          <a:hlinkClick xmlns:r="http://schemas.openxmlformats.org/officeDocument/2006/relationships" r:id="rId5"/>
          <a:extLst>
            <a:ext uri="{FF2B5EF4-FFF2-40B4-BE49-F238E27FC236}">
              <a16:creationId xmlns:a16="http://schemas.microsoft.com/office/drawing/2014/main" id="{02BCBD5D-3E24-4E8B-AED8-69EF26A1C0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59" name="AutoShape 1" descr="Story">
          <a:hlinkClick xmlns:r="http://schemas.openxmlformats.org/officeDocument/2006/relationships" r:id="rId7"/>
          <a:extLst>
            <a:ext uri="{FF2B5EF4-FFF2-40B4-BE49-F238E27FC236}">
              <a16:creationId xmlns:a16="http://schemas.microsoft.com/office/drawing/2014/main" id="{D7D466AC-C94B-48A7-AFAF-7B53B1E762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0" name="AutoShape 2" descr="Story">
          <a:hlinkClick xmlns:r="http://schemas.openxmlformats.org/officeDocument/2006/relationships" r:id="rId8"/>
          <a:extLst>
            <a:ext uri="{FF2B5EF4-FFF2-40B4-BE49-F238E27FC236}">
              <a16:creationId xmlns:a16="http://schemas.microsoft.com/office/drawing/2014/main" id="{3AF91555-4D2E-47D6-849B-C104E45B69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1" name="AutoShape 3" descr="Story">
          <a:hlinkClick xmlns:r="http://schemas.openxmlformats.org/officeDocument/2006/relationships" r:id="rId4"/>
          <a:extLst>
            <a:ext uri="{FF2B5EF4-FFF2-40B4-BE49-F238E27FC236}">
              <a16:creationId xmlns:a16="http://schemas.microsoft.com/office/drawing/2014/main" id="{48722E67-B041-4A35-AF48-52E0971BF4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2" name="AutoShape 4" descr="Story">
          <a:hlinkClick xmlns:r="http://schemas.openxmlformats.org/officeDocument/2006/relationships" r:id="rId5"/>
          <a:extLst>
            <a:ext uri="{FF2B5EF4-FFF2-40B4-BE49-F238E27FC236}">
              <a16:creationId xmlns:a16="http://schemas.microsoft.com/office/drawing/2014/main" id="{F2623393-9B99-47D6-8773-15426222A0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3" name="AutoShape 5" descr="Story">
          <a:hlinkClick xmlns:r="http://schemas.openxmlformats.org/officeDocument/2006/relationships" r:id="rId6"/>
          <a:extLst>
            <a:ext uri="{FF2B5EF4-FFF2-40B4-BE49-F238E27FC236}">
              <a16:creationId xmlns:a16="http://schemas.microsoft.com/office/drawing/2014/main" id="{81DF69D5-394F-44A3-9546-3608C995F9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4" name="AutoShape 1" descr="Sub-task">
          <a:hlinkClick xmlns:r="http://schemas.openxmlformats.org/officeDocument/2006/relationships" r:id="rId9"/>
          <a:extLst>
            <a:ext uri="{FF2B5EF4-FFF2-40B4-BE49-F238E27FC236}">
              <a16:creationId xmlns:a16="http://schemas.microsoft.com/office/drawing/2014/main" id="{1F764A16-524B-422C-A2FB-2D502D7EEB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5" name="AutoShape 2" descr="Sub-task">
          <a:hlinkClick xmlns:r="http://schemas.openxmlformats.org/officeDocument/2006/relationships" r:id="rId10"/>
          <a:extLst>
            <a:ext uri="{FF2B5EF4-FFF2-40B4-BE49-F238E27FC236}">
              <a16:creationId xmlns:a16="http://schemas.microsoft.com/office/drawing/2014/main" id="{B42A1DEF-CD5F-4E4B-9522-EF304E1BF6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6" name="AutoShape 7" descr="Story">
          <a:hlinkClick xmlns:r="http://schemas.openxmlformats.org/officeDocument/2006/relationships" r:id="rId3"/>
          <a:extLst>
            <a:ext uri="{FF2B5EF4-FFF2-40B4-BE49-F238E27FC236}">
              <a16:creationId xmlns:a16="http://schemas.microsoft.com/office/drawing/2014/main" id="{A84AA731-D1C6-40FA-B74E-35A98285E2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7" name="AutoShape 3" descr="Story">
          <a:hlinkClick xmlns:r="http://schemas.openxmlformats.org/officeDocument/2006/relationships" r:id="rId11"/>
          <a:extLst>
            <a:ext uri="{FF2B5EF4-FFF2-40B4-BE49-F238E27FC236}">
              <a16:creationId xmlns:a16="http://schemas.microsoft.com/office/drawing/2014/main" id="{C1C3779D-7660-4D71-9764-F5D07E685F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8" name="AutoShape 12" descr="Story">
          <a:hlinkClick xmlns:r="http://schemas.openxmlformats.org/officeDocument/2006/relationships" r:id="rId12"/>
          <a:extLst>
            <a:ext uri="{FF2B5EF4-FFF2-40B4-BE49-F238E27FC236}">
              <a16:creationId xmlns:a16="http://schemas.microsoft.com/office/drawing/2014/main" id="{6D46F098-F2F0-4A8C-A963-16A8B4A557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69" name="AutoShape 1" descr="Story">
          <a:hlinkClick xmlns:r="http://schemas.openxmlformats.org/officeDocument/2006/relationships" r:id="rId13"/>
          <a:extLst>
            <a:ext uri="{FF2B5EF4-FFF2-40B4-BE49-F238E27FC236}">
              <a16:creationId xmlns:a16="http://schemas.microsoft.com/office/drawing/2014/main" id="{DA37971C-952E-40A4-87B6-239E20EF9A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0" name="AutoShape 1" descr="Story">
          <a:hlinkClick xmlns:r="http://schemas.openxmlformats.org/officeDocument/2006/relationships" r:id="rId13"/>
          <a:extLst>
            <a:ext uri="{FF2B5EF4-FFF2-40B4-BE49-F238E27FC236}">
              <a16:creationId xmlns:a16="http://schemas.microsoft.com/office/drawing/2014/main" id="{C6B1F4CD-062E-4A3A-8D0B-DA9EDD74CF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1" name="AutoShape 3" descr="Story">
          <a:hlinkClick xmlns:r="http://schemas.openxmlformats.org/officeDocument/2006/relationships" r:id="rId4"/>
          <a:extLst>
            <a:ext uri="{FF2B5EF4-FFF2-40B4-BE49-F238E27FC236}">
              <a16:creationId xmlns:a16="http://schemas.microsoft.com/office/drawing/2014/main" id="{D995097B-507E-487D-8599-F96F9A2583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2" name="AutoShape 4" descr="Story">
          <a:hlinkClick xmlns:r="http://schemas.openxmlformats.org/officeDocument/2006/relationships" r:id="rId5"/>
          <a:extLst>
            <a:ext uri="{FF2B5EF4-FFF2-40B4-BE49-F238E27FC236}">
              <a16:creationId xmlns:a16="http://schemas.microsoft.com/office/drawing/2014/main" id="{5BC65F7C-A014-4F6E-B1D2-563D789E56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3" name="AutoShape 7" descr="Story">
          <a:hlinkClick xmlns:r="http://schemas.openxmlformats.org/officeDocument/2006/relationships" r:id="rId3"/>
          <a:extLst>
            <a:ext uri="{FF2B5EF4-FFF2-40B4-BE49-F238E27FC236}">
              <a16:creationId xmlns:a16="http://schemas.microsoft.com/office/drawing/2014/main" id="{182B1A88-C158-43A7-AE31-9780AF930A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4" name="AutoShape 8" descr="Story">
          <a:hlinkClick xmlns:r="http://schemas.openxmlformats.org/officeDocument/2006/relationships" r:id="rId4"/>
          <a:extLst>
            <a:ext uri="{FF2B5EF4-FFF2-40B4-BE49-F238E27FC236}">
              <a16:creationId xmlns:a16="http://schemas.microsoft.com/office/drawing/2014/main" id="{7B29F757-6E45-4412-9B4A-78F92F5EFB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75" name="AutoShape 8" descr="Story">
          <a:hlinkClick xmlns:r="http://schemas.openxmlformats.org/officeDocument/2006/relationships" r:id="rId4"/>
          <a:extLst>
            <a:ext uri="{FF2B5EF4-FFF2-40B4-BE49-F238E27FC236}">
              <a16:creationId xmlns:a16="http://schemas.microsoft.com/office/drawing/2014/main" id="{1E1D266F-E5B6-48D6-B226-44AABD3C6F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076" name="AutoShape 10" descr="Story">
          <a:hlinkClick xmlns:r="http://schemas.openxmlformats.org/officeDocument/2006/relationships" r:id="rId6"/>
          <a:extLst>
            <a:ext uri="{FF2B5EF4-FFF2-40B4-BE49-F238E27FC236}">
              <a16:creationId xmlns:a16="http://schemas.microsoft.com/office/drawing/2014/main" id="{4362BD03-E759-4039-A16A-72C9F8B7B6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77" name="AutoShape 14" descr="Story">
          <a:hlinkClick xmlns:r="http://schemas.openxmlformats.org/officeDocument/2006/relationships" r:id="rId4"/>
          <a:extLst>
            <a:ext uri="{FF2B5EF4-FFF2-40B4-BE49-F238E27FC236}">
              <a16:creationId xmlns:a16="http://schemas.microsoft.com/office/drawing/2014/main" id="{D9BA148E-B19A-4F7C-9EEF-DC66661234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78" name="AutoShape 10" descr="Story">
          <a:hlinkClick xmlns:r="http://schemas.openxmlformats.org/officeDocument/2006/relationships" r:id="rId6"/>
          <a:extLst>
            <a:ext uri="{FF2B5EF4-FFF2-40B4-BE49-F238E27FC236}">
              <a16:creationId xmlns:a16="http://schemas.microsoft.com/office/drawing/2014/main" id="{9C7BEED3-33D5-493D-8B28-C7357C35E6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79" name="AutoShape 14" descr="Story">
          <a:hlinkClick xmlns:r="http://schemas.openxmlformats.org/officeDocument/2006/relationships" r:id="rId4"/>
          <a:extLst>
            <a:ext uri="{FF2B5EF4-FFF2-40B4-BE49-F238E27FC236}">
              <a16:creationId xmlns:a16="http://schemas.microsoft.com/office/drawing/2014/main" id="{C84E2AD8-2534-4874-900F-A0CC96164C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0" name="AutoShape 4" descr="Bug">
          <a:hlinkClick xmlns:r="http://schemas.openxmlformats.org/officeDocument/2006/relationships" r:id="rId1"/>
          <a:extLst>
            <a:ext uri="{FF2B5EF4-FFF2-40B4-BE49-F238E27FC236}">
              <a16:creationId xmlns:a16="http://schemas.microsoft.com/office/drawing/2014/main" id="{AD2207B9-0457-4C5B-B3D7-C7E312EEE9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1" name="AutoShape 6" descr="Bug">
          <a:hlinkClick xmlns:r="http://schemas.openxmlformats.org/officeDocument/2006/relationships" r:id="rId2"/>
          <a:extLst>
            <a:ext uri="{FF2B5EF4-FFF2-40B4-BE49-F238E27FC236}">
              <a16:creationId xmlns:a16="http://schemas.microsoft.com/office/drawing/2014/main" id="{9E11FCBF-E2F9-4E5C-8682-5299973FCA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2" name="AutoShape 7" descr="Story">
          <a:hlinkClick xmlns:r="http://schemas.openxmlformats.org/officeDocument/2006/relationships" r:id="rId3"/>
          <a:extLst>
            <a:ext uri="{FF2B5EF4-FFF2-40B4-BE49-F238E27FC236}">
              <a16:creationId xmlns:a16="http://schemas.microsoft.com/office/drawing/2014/main" id="{37E9D7B8-1146-4659-BE5D-1195E34C42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3" name="AutoShape 8" descr="Story">
          <a:hlinkClick xmlns:r="http://schemas.openxmlformats.org/officeDocument/2006/relationships" r:id="rId4"/>
          <a:extLst>
            <a:ext uri="{FF2B5EF4-FFF2-40B4-BE49-F238E27FC236}">
              <a16:creationId xmlns:a16="http://schemas.microsoft.com/office/drawing/2014/main" id="{32AF602A-250F-4367-95FD-C2E8C6B7F7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4" name="AutoShape 9" descr="Story">
          <a:hlinkClick xmlns:r="http://schemas.openxmlformats.org/officeDocument/2006/relationships" r:id="rId5"/>
          <a:extLst>
            <a:ext uri="{FF2B5EF4-FFF2-40B4-BE49-F238E27FC236}">
              <a16:creationId xmlns:a16="http://schemas.microsoft.com/office/drawing/2014/main" id="{D1C3690A-FDA2-4170-85EC-1D74EE934A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085" name="AutoShape 10" descr="Story">
          <a:hlinkClick xmlns:r="http://schemas.openxmlformats.org/officeDocument/2006/relationships" r:id="rId6"/>
          <a:extLst>
            <a:ext uri="{FF2B5EF4-FFF2-40B4-BE49-F238E27FC236}">
              <a16:creationId xmlns:a16="http://schemas.microsoft.com/office/drawing/2014/main" id="{4C91582E-7EDE-4883-9FC4-CAF696D8B4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086" name="AutoShape 13" descr="Story">
          <a:hlinkClick xmlns:r="http://schemas.openxmlformats.org/officeDocument/2006/relationships" r:id="rId4"/>
          <a:extLst>
            <a:ext uri="{FF2B5EF4-FFF2-40B4-BE49-F238E27FC236}">
              <a16:creationId xmlns:a16="http://schemas.microsoft.com/office/drawing/2014/main" id="{EAD31B63-6755-47AC-B638-50A7B7C890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087" name="AutoShape 14" descr="Story">
          <a:hlinkClick xmlns:r="http://schemas.openxmlformats.org/officeDocument/2006/relationships" r:id="rId4"/>
          <a:extLst>
            <a:ext uri="{FF2B5EF4-FFF2-40B4-BE49-F238E27FC236}">
              <a16:creationId xmlns:a16="http://schemas.microsoft.com/office/drawing/2014/main" id="{3101818A-361C-48E0-B700-65D916C38A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088" name="AutoShape 1" descr="Story">
          <a:hlinkClick xmlns:r="http://schemas.openxmlformats.org/officeDocument/2006/relationships" r:id="rId7"/>
          <a:extLst>
            <a:ext uri="{FF2B5EF4-FFF2-40B4-BE49-F238E27FC236}">
              <a16:creationId xmlns:a16="http://schemas.microsoft.com/office/drawing/2014/main" id="{F0C66DDC-279A-4348-B637-D330408C7C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89" name="AutoShape 2" descr="Story">
          <a:hlinkClick xmlns:r="http://schemas.openxmlformats.org/officeDocument/2006/relationships" r:id="rId8"/>
          <a:extLst>
            <a:ext uri="{FF2B5EF4-FFF2-40B4-BE49-F238E27FC236}">
              <a16:creationId xmlns:a16="http://schemas.microsoft.com/office/drawing/2014/main" id="{CECADD1B-6B94-44B1-9558-6617106BE5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0" name="AutoShape 5" descr="Story">
          <a:hlinkClick xmlns:r="http://schemas.openxmlformats.org/officeDocument/2006/relationships" r:id="rId6"/>
          <a:extLst>
            <a:ext uri="{FF2B5EF4-FFF2-40B4-BE49-F238E27FC236}">
              <a16:creationId xmlns:a16="http://schemas.microsoft.com/office/drawing/2014/main" id="{AE3A85B8-4C64-4D5D-BEBB-123F05AD06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1" name="AutoShape 1" descr="Sub-task">
          <a:hlinkClick xmlns:r="http://schemas.openxmlformats.org/officeDocument/2006/relationships" r:id="rId9"/>
          <a:extLst>
            <a:ext uri="{FF2B5EF4-FFF2-40B4-BE49-F238E27FC236}">
              <a16:creationId xmlns:a16="http://schemas.microsoft.com/office/drawing/2014/main" id="{3F29CE50-3E16-4AA8-98FA-249EC1DF10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2" name="AutoShape 2" descr="Sub-task">
          <a:hlinkClick xmlns:r="http://schemas.openxmlformats.org/officeDocument/2006/relationships" r:id="rId10"/>
          <a:extLst>
            <a:ext uri="{FF2B5EF4-FFF2-40B4-BE49-F238E27FC236}">
              <a16:creationId xmlns:a16="http://schemas.microsoft.com/office/drawing/2014/main" id="{5694BE6E-465C-4A3D-A419-F5FD2ADB6B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3" name="AutoShape 3" descr="Story">
          <a:hlinkClick xmlns:r="http://schemas.openxmlformats.org/officeDocument/2006/relationships" r:id="rId11"/>
          <a:extLst>
            <a:ext uri="{FF2B5EF4-FFF2-40B4-BE49-F238E27FC236}">
              <a16:creationId xmlns:a16="http://schemas.microsoft.com/office/drawing/2014/main" id="{D9472BB2-5218-4FA7-8267-685AC7D2ED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4" name="AutoShape 12" descr="Story">
          <a:hlinkClick xmlns:r="http://schemas.openxmlformats.org/officeDocument/2006/relationships" r:id="rId12"/>
          <a:extLst>
            <a:ext uri="{FF2B5EF4-FFF2-40B4-BE49-F238E27FC236}">
              <a16:creationId xmlns:a16="http://schemas.microsoft.com/office/drawing/2014/main" id="{F6FAEE3D-AD94-4BAD-8B39-9B3B202C88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5" name="AutoShape 1" descr="Story">
          <a:hlinkClick xmlns:r="http://schemas.openxmlformats.org/officeDocument/2006/relationships" r:id="rId13"/>
          <a:extLst>
            <a:ext uri="{FF2B5EF4-FFF2-40B4-BE49-F238E27FC236}">
              <a16:creationId xmlns:a16="http://schemas.microsoft.com/office/drawing/2014/main" id="{509EC630-AE7A-4593-81DF-F139BE9397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6" name="AutoShape 1" descr="Story">
          <a:hlinkClick xmlns:r="http://schemas.openxmlformats.org/officeDocument/2006/relationships" r:id="rId13"/>
          <a:extLst>
            <a:ext uri="{FF2B5EF4-FFF2-40B4-BE49-F238E27FC236}">
              <a16:creationId xmlns:a16="http://schemas.microsoft.com/office/drawing/2014/main" id="{83722097-FC70-4414-A7D1-722F29A1E3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7" name="AutoShape 3" descr="Story">
          <a:hlinkClick xmlns:r="http://schemas.openxmlformats.org/officeDocument/2006/relationships" r:id="rId4"/>
          <a:extLst>
            <a:ext uri="{FF2B5EF4-FFF2-40B4-BE49-F238E27FC236}">
              <a16:creationId xmlns:a16="http://schemas.microsoft.com/office/drawing/2014/main" id="{0A6CB931-8A9C-4CD3-ABB1-D669F8B014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8" name="AutoShape 4" descr="Story">
          <a:hlinkClick xmlns:r="http://schemas.openxmlformats.org/officeDocument/2006/relationships" r:id="rId5"/>
          <a:extLst>
            <a:ext uri="{FF2B5EF4-FFF2-40B4-BE49-F238E27FC236}">
              <a16:creationId xmlns:a16="http://schemas.microsoft.com/office/drawing/2014/main" id="{CC29A640-AFB2-47C9-BCDA-B42950FFDD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099" name="AutoShape 3" descr="Story">
          <a:hlinkClick xmlns:r="http://schemas.openxmlformats.org/officeDocument/2006/relationships" r:id="rId4"/>
          <a:extLst>
            <a:ext uri="{FF2B5EF4-FFF2-40B4-BE49-F238E27FC236}">
              <a16:creationId xmlns:a16="http://schemas.microsoft.com/office/drawing/2014/main" id="{565A2F9B-1FCD-4B4A-8BD7-9EE58C61CA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00" name="AutoShape 4" descr="Story">
          <a:hlinkClick xmlns:r="http://schemas.openxmlformats.org/officeDocument/2006/relationships" r:id="rId5"/>
          <a:extLst>
            <a:ext uri="{FF2B5EF4-FFF2-40B4-BE49-F238E27FC236}">
              <a16:creationId xmlns:a16="http://schemas.microsoft.com/office/drawing/2014/main" id="{F39E6BBD-4A78-43DB-9B1C-B6585E7977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01" name="AutoShape 7" descr="Story">
          <a:hlinkClick xmlns:r="http://schemas.openxmlformats.org/officeDocument/2006/relationships" r:id="rId3"/>
          <a:extLst>
            <a:ext uri="{FF2B5EF4-FFF2-40B4-BE49-F238E27FC236}">
              <a16:creationId xmlns:a16="http://schemas.microsoft.com/office/drawing/2014/main" id="{F12FF877-0F2C-456F-8DD8-87F0A27671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02" name="AutoShape 8" descr="Story">
          <a:hlinkClick xmlns:r="http://schemas.openxmlformats.org/officeDocument/2006/relationships" r:id="rId4"/>
          <a:extLst>
            <a:ext uri="{FF2B5EF4-FFF2-40B4-BE49-F238E27FC236}">
              <a16:creationId xmlns:a16="http://schemas.microsoft.com/office/drawing/2014/main" id="{92038C42-94D5-4655-B531-CBF196C6DD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03" name="AutoShape 8" descr="Story">
          <a:hlinkClick xmlns:r="http://schemas.openxmlformats.org/officeDocument/2006/relationships" r:id="rId4"/>
          <a:extLst>
            <a:ext uri="{FF2B5EF4-FFF2-40B4-BE49-F238E27FC236}">
              <a16:creationId xmlns:a16="http://schemas.microsoft.com/office/drawing/2014/main" id="{5148616C-2416-4028-BC04-B6AF2817E6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104" name="AutoShape 4" descr="Bug">
          <a:hlinkClick xmlns:r="http://schemas.openxmlformats.org/officeDocument/2006/relationships" r:id="rId1"/>
          <a:extLst>
            <a:ext uri="{FF2B5EF4-FFF2-40B4-BE49-F238E27FC236}">
              <a16:creationId xmlns:a16="http://schemas.microsoft.com/office/drawing/2014/main" id="{AC12A8C7-A9E1-445A-8464-0BE5E4AC1B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05" name="AutoShape 6" descr="Bug">
          <a:hlinkClick xmlns:r="http://schemas.openxmlformats.org/officeDocument/2006/relationships" r:id="rId2"/>
          <a:extLst>
            <a:ext uri="{FF2B5EF4-FFF2-40B4-BE49-F238E27FC236}">
              <a16:creationId xmlns:a16="http://schemas.microsoft.com/office/drawing/2014/main" id="{C888F057-9CC3-4D5B-AF30-5F1C226827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06" name="AutoShape 7" descr="Story">
          <a:hlinkClick xmlns:r="http://schemas.openxmlformats.org/officeDocument/2006/relationships" r:id="rId3"/>
          <a:extLst>
            <a:ext uri="{FF2B5EF4-FFF2-40B4-BE49-F238E27FC236}">
              <a16:creationId xmlns:a16="http://schemas.microsoft.com/office/drawing/2014/main" id="{F206B4E5-E64F-4178-BACA-5A0860ACCE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07" name="AutoShape 8" descr="Story">
          <a:hlinkClick xmlns:r="http://schemas.openxmlformats.org/officeDocument/2006/relationships" r:id="rId4"/>
          <a:extLst>
            <a:ext uri="{FF2B5EF4-FFF2-40B4-BE49-F238E27FC236}">
              <a16:creationId xmlns:a16="http://schemas.microsoft.com/office/drawing/2014/main" id="{E9880CD7-5DE7-4FDE-B027-DE480CA3F6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08" name="AutoShape 9" descr="Story">
          <a:hlinkClick xmlns:r="http://schemas.openxmlformats.org/officeDocument/2006/relationships" r:id="rId5"/>
          <a:extLst>
            <a:ext uri="{FF2B5EF4-FFF2-40B4-BE49-F238E27FC236}">
              <a16:creationId xmlns:a16="http://schemas.microsoft.com/office/drawing/2014/main" id="{28A07EC0-350C-4DCD-BE9A-3CC078BD17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09" name="AutoShape 10" descr="Story">
          <a:hlinkClick xmlns:r="http://schemas.openxmlformats.org/officeDocument/2006/relationships" r:id="rId6"/>
          <a:extLst>
            <a:ext uri="{FF2B5EF4-FFF2-40B4-BE49-F238E27FC236}">
              <a16:creationId xmlns:a16="http://schemas.microsoft.com/office/drawing/2014/main" id="{EAD63920-F506-4066-8D11-55F6CC8F56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10" name="AutoShape 13" descr="Story">
          <a:hlinkClick xmlns:r="http://schemas.openxmlformats.org/officeDocument/2006/relationships" r:id="rId4"/>
          <a:extLst>
            <a:ext uri="{FF2B5EF4-FFF2-40B4-BE49-F238E27FC236}">
              <a16:creationId xmlns:a16="http://schemas.microsoft.com/office/drawing/2014/main" id="{C4B79414-7FDF-47EB-B569-C3DF5E96F3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11" name="AutoShape 14" descr="Story">
          <a:hlinkClick xmlns:r="http://schemas.openxmlformats.org/officeDocument/2006/relationships" r:id="rId4"/>
          <a:extLst>
            <a:ext uri="{FF2B5EF4-FFF2-40B4-BE49-F238E27FC236}">
              <a16:creationId xmlns:a16="http://schemas.microsoft.com/office/drawing/2014/main" id="{6D7A3FF1-4D38-4858-B6F0-6ACC3CDF03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112" name="AutoShape 1" descr="Story">
          <a:hlinkClick xmlns:r="http://schemas.openxmlformats.org/officeDocument/2006/relationships" r:id="rId7"/>
          <a:extLst>
            <a:ext uri="{FF2B5EF4-FFF2-40B4-BE49-F238E27FC236}">
              <a16:creationId xmlns:a16="http://schemas.microsoft.com/office/drawing/2014/main" id="{6023A86E-0DEC-4354-8E85-61D451D684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3" name="AutoShape 2" descr="Story">
          <a:hlinkClick xmlns:r="http://schemas.openxmlformats.org/officeDocument/2006/relationships" r:id="rId8"/>
          <a:extLst>
            <a:ext uri="{FF2B5EF4-FFF2-40B4-BE49-F238E27FC236}">
              <a16:creationId xmlns:a16="http://schemas.microsoft.com/office/drawing/2014/main" id="{3B981585-99B0-4B02-AE0B-DEEFD0D3D7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4" name="AutoShape 5" descr="Story">
          <a:hlinkClick xmlns:r="http://schemas.openxmlformats.org/officeDocument/2006/relationships" r:id="rId6"/>
          <a:extLst>
            <a:ext uri="{FF2B5EF4-FFF2-40B4-BE49-F238E27FC236}">
              <a16:creationId xmlns:a16="http://schemas.microsoft.com/office/drawing/2014/main" id="{3881F127-A197-48BF-B571-1B6F89A4E5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5" name="AutoShape 1" descr="Sub-task">
          <a:hlinkClick xmlns:r="http://schemas.openxmlformats.org/officeDocument/2006/relationships" r:id="rId9"/>
          <a:extLst>
            <a:ext uri="{FF2B5EF4-FFF2-40B4-BE49-F238E27FC236}">
              <a16:creationId xmlns:a16="http://schemas.microsoft.com/office/drawing/2014/main" id="{917AE159-C0A2-4A0F-B2D6-F476887162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6" name="AutoShape 2" descr="Sub-task">
          <a:hlinkClick xmlns:r="http://schemas.openxmlformats.org/officeDocument/2006/relationships" r:id="rId10"/>
          <a:extLst>
            <a:ext uri="{FF2B5EF4-FFF2-40B4-BE49-F238E27FC236}">
              <a16:creationId xmlns:a16="http://schemas.microsoft.com/office/drawing/2014/main" id="{3825CCFD-7555-4F21-A4C1-E114010521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7" name="AutoShape 3" descr="Story">
          <a:hlinkClick xmlns:r="http://schemas.openxmlformats.org/officeDocument/2006/relationships" r:id="rId11"/>
          <a:extLst>
            <a:ext uri="{FF2B5EF4-FFF2-40B4-BE49-F238E27FC236}">
              <a16:creationId xmlns:a16="http://schemas.microsoft.com/office/drawing/2014/main" id="{81B70C42-183C-43BE-88B6-416EE80E66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8" name="AutoShape 12" descr="Story">
          <a:hlinkClick xmlns:r="http://schemas.openxmlformats.org/officeDocument/2006/relationships" r:id="rId12"/>
          <a:extLst>
            <a:ext uri="{FF2B5EF4-FFF2-40B4-BE49-F238E27FC236}">
              <a16:creationId xmlns:a16="http://schemas.microsoft.com/office/drawing/2014/main" id="{076C57DB-7B5C-4089-ABEA-D152C3E006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19" name="AutoShape 1" descr="Story">
          <a:hlinkClick xmlns:r="http://schemas.openxmlformats.org/officeDocument/2006/relationships" r:id="rId13"/>
          <a:extLst>
            <a:ext uri="{FF2B5EF4-FFF2-40B4-BE49-F238E27FC236}">
              <a16:creationId xmlns:a16="http://schemas.microsoft.com/office/drawing/2014/main" id="{1DA3B903-FEE7-49C9-87FA-C9C8369072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0" name="AutoShape 1" descr="Story">
          <a:hlinkClick xmlns:r="http://schemas.openxmlformats.org/officeDocument/2006/relationships" r:id="rId13"/>
          <a:extLst>
            <a:ext uri="{FF2B5EF4-FFF2-40B4-BE49-F238E27FC236}">
              <a16:creationId xmlns:a16="http://schemas.microsoft.com/office/drawing/2014/main" id="{FFC21B28-CC4D-45F1-88FE-1384DABAAD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1" name="AutoShape 3" descr="Story">
          <a:hlinkClick xmlns:r="http://schemas.openxmlformats.org/officeDocument/2006/relationships" r:id="rId4"/>
          <a:extLst>
            <a:ext uri="{FF2B5EF4-FFF2-40B4-BE49-F238E27FC236}">
              <a16:creationId xmlns:a16="http://schemas.microsoft.com/office/drawing/2014/main" id="{221AFA35-1C5F-4A7E-8B5F-C8D49448AE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2" name="AutoShape 4" descr="Story">
          <a:hlinkClick xmlns:r="http://schemas.openxmlformats.org/officeDocument/2006/relationships" r:id="rId5"/>
          <a:extLst>
            <a:ext uri="{FF2B5EF4-FFF2-40B4-BE49-F238E27FC236}">
              <a16:creationId xmlns:a16="http://schemas.microsoft.com/office/drawing/2014/main" id="{66FD9FE0-6EB0-4EC5-BCC1-7CD05EF914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3" name="AutoShape 3" descr="Story">
          <a:hlinkClick xmlns:r="http://schemas.openxmlformats.org/officeDocument/2006/relationships" r:id="rId4"/>
          <a:extLst>
            <a:ext uri="{FF2B5EF4-FFF2-40B4-BE49-F238E27FC236}">
              <a16:creationId xmlns:a16="http://schemas.microsoft.com/office/drawing/2014/main" id="{2E30BCCF-1681-4A2A-B267-394BE6B6B0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4" name="AutoShape 4" descr="Story">
          <a:hlinkClick xmlns:r="http://schemas.openxmlformats.org/officeDocument/2006/relationships" r:id="rId5"/>
          <a:extLst>
            <a:ext uri="{FF2B5EF4-FFF2-40B4-BE49-F238E27FC236}">
              <a16:creationId xmlns:a16="http://schemas.microsoft.com/office/drawing/2014/main" id="{F901CE2A-2AC6-4394-B524-C642A8FC82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5" name="AutoShape 7" descr="Story">
          <a:hlinkClick xmlns:r="http://schemas.openxmlformats.org/officeDocument/2006/relationships" r:id="rId3"/>
          <a:extLst>
            <a:ext uri="{FF2B5EF4-FFF2-40B4-BE49-F238E27FC236}">
              <a16:creationId xmlns:a16="http://schemas.microsoft.com/office/drawing/2014/main" id="{D580159B-3965-4514-85A0-E4BEF05541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6" name="AutoShape 8" descr="Story">
          <a:hlinkClick xmlns:r="http://schemas.openxmlformats.org/officeDocument/2006/relationships" r:id="rId4"/>
          <a:extLst>
            <a:ext uri="{FF2B5EF4-FFF2-40B4-BE49-F238E27FC236}">
              <a16:creationId xmlns:a16="http://schemas.microsoft.com/office/drawing/2014/main" id="{43C26B40-0EA6-4ADC-85A4-C8D17B73F97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27" name="AutoShape 8" descr="Story">
          <a:hlinkClick xmlns:r="http://schemas.openxmlformats.org/officeDocument/2006/relationships" r:id="rId4"/>
          <a:extLst>
            <a:ext uri="{FF2B5EF4-FFF2-40B4-BE49-F238E27FC236}">
              <a16:creationId xmlns:a16="http://schemas.microsoft.com/office/drawing/2014/main" id="{2CEC500D-C856-44B8-90A1-78D2A87707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128" name="AutoShape 4" descr="Bug">
          <a:hlinkClick xmlns:r="http://schemas.openxmlformats.org/officeDocument/2006/relationships" r:id="rId1"/>
          <a:extLst>
            <a:ext uri="{FF2B5EF4-FFF2-40B4-BE49-F238E27FC236}">
              <a16:creationId xmlns:a16="http://schemas.microsoft.com/office/drawing/2014/main" id="{6F3299B7-A465-4263-B547-C8ED2318DB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29" name="AutoShape 6" descr="Bug">
          <a:hlinkClick xmlns:r="http://schemas.openxmlformats.org/officeDocument/2006/relationships" r:id="rId2"/>
          <a:extLst>
            <a:ext uri="{FF2B5EF4-FFF2-40B4-BE49-F238E27FC236}">
              <a16:creationId xmlns:a16="http://schemas.microsoft.com/office/drawing/2014/main" id="{66E95322-9110-436B-8204-22DDA80A24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30" name="AutoShape 7" descr="Story">
          <a:hlinkClick xmlns:r="http://schemas.openxmlformats.org/officeDocument/2006/relationships" r:id="rId3"/>
          <a:extLst>
            <a:ext uri="{FF2B5EF4-FFF2-40B4-BE49-F238E27FC236}">
              <a16:creationId xmlns:a16="http://schemas.microsoft.com/office/drawing/2014/main" id="{D479AE00-0A4E-4105-8FC1-6EA5BE5898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31" name="AutoShape 8" descr="Story">
          <a:hlinkClick xmlns:r="http://schemas.openxmlformats.org/officeDocument/2006/relationships" r:id="rId4"/>
          <a:extLst>
            <a:ext uri="{FF2B5EF4-FFF2-40B4-BE49-F238E27FC236}">
              <a16:creationId xmlns:a16="http://schemas.microsoft.com/office/drawing/2014/main" id="{6383F311-3E42-4D3A-92D3-15C4334C3A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32" name="AutoShape 9" descr="Story">
          <a:hlinkClick xmlns:r="http://schemas.openxmlformats.org/officeDocument/2006/relationships" r:id="rId5"/>
          <a:extLst>
            <a:ext uri="{FF2B5EF4-FFF2-40B4-BE49-F238E27FC236}">
              <a16:creationId xmlns:a16="http://schemas.microsoft.com/office/drawing/2014/main" id="{88779414-1FC2-4613-B1C4-54A1881E32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33" name="AutoShape 10" descr="Story">
          <a:hlinkClick xmlns:r="http://schemas.openxmlformats.org/officeDocument/2006/relationships" r:id="rId6"/>
          <a:extLst>
            <a:ext uri="{FF2B5EF4-FFF2-40B4-BE49-F238E27FC236}">
              <a16:creationId xmlns:a16="http://schemas.microsoft.com/office/drawing/2014/main" id="{6B0BD0F5-AE42-4C9C-99AA-2A07840A5F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34" name="AutoShape 13" descr="Story">
          <a:hlinkClick xmlns:r="http://schemas.openxmlformats.org/officeDocument/2006/relationships" r:id="rId4"/>
          <a:extLst>
            <a:ext uri="{FF2B5EF4-FFF2-40B4-BE49-F238E27FC236}">
              <a16:creationId xmlns:a16="http://schemas.microsoft.com/office/drawing/2014/main" id="{41324268-9473-40CE-BFCF-88BCE1469E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35" name="AutoShape 14" descr="Story">
          <a:hlinkClick xmlns:r="http://schemas.openxmlformats.org/officeDocument/2006/relationships" r:id="rId4"/>
          <a:extLst>
            <a:ext uri="{FF2B5EF4-FFF2-40B4-BE49-F238E27FC236}">
              <a16:creationId xmlns:a16="http://schemas.microsoft.com/office/drawing/2014/main" id="{ECE3C79A-F0D8-4A6F-9497-84A443F3A5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136" name="AutoShape 1" descr="Story">
          <a:hlinkClick xmlns:r="http://schemas.openxmlformats.org/officeDocument/2006/relationships" r:id="rId7"/>
          <a:extLst>
            <a:ext uri="{FF2B5EF4-FFF2-40B4-BE49-F238E27FC236}">
              <a16:creationId xmlns:a16="http://schemas.microsoft.com/office/drawing/2014/main" id="{38A0B7BF-8536-4E77-A0E6-1FD40A0C4E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37" name="AutoShape 2" descr="Story">
          <a:hlinkClick xmlns:r="http://schemas.openxmlformats.org/officeDocument/2006/relationships" r:id="rId8"/>
          <a:extLst>
            <a:ext uri="{FF2B5EF4-FFF2-40B4-BE49-F238E27FC236}">
              <a16:creationId xmlns:a16="http://schemas.microsoft.com/office/drawing/2014/main" id="{5AA2F200-8AF0-46B9-A087-2E28A173EB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38" name="AutoShape 5" descr="Story">
          <a:hlinkClick xmlns:r="http://schemas.openxmlformats.org/officeDocument/2006/relationships" r:id="rId6"/>
          <a:extLst>
            <a:ext uri="{FF2B5EF4-FFF2-40B4-BE49-F238E27FC236}">
              <a16:creationId xmlns:a16="http://schemas.microsoft.com/office/drawing/2014/main" id="{92B2BB19-5D32-4C0B-BF1D-66FD936F09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39" name="AutoShape 1" descr="Sub-task">
          <a:hlinkClick xmlns:r="http://schemas.openxmlformats.org/officeDocument/2006/relationships" r:id="rId9"/>
          <a:extLst>
            <a:ext uri="{FF2B5EF4-FFF2-40B4-BE49-F238E27FC236}">
              <a16:creationId xmlns:a16="http://schemas.microsoft.com/office/drawing/2014/main" id="{A3FED4AD-BFFE-4133-BF6B-BAFDCDF099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0" name="AutoShape 2" descr="Sub-task">
          <a:hlinkClick xmlns:r="http://schemas.openxmlformats.org/officeDocument/2006/relationships" r:id="rId10"/>
          <a:extLst>
            <a:ext uri="{FF2B5EF4-FFF2-40B4-BE49-F238E27FC236}">
              <a16:creationId xmlns:a16="http://schemas.microsoft.com/office/drawing/2014/main" id="{C219045C-2607-4025-8FA8-2F9B15FFF5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1" name="AutoShape 3" descr="Story">
          <a:hlinkClick xmlns:r="http://schemas.openxmlformats.org/officeDocument/2006/relationships" r:id="rId11"/>
          <a:extLst>
            <a:ext uri="{FF2B5EF4-FFF2-40B4-BE49-F238E27FC236}">
              <a16:creationId xmlns:a16="http://schemas.microsoft.com/office/drawing/2014/main" id="{1A9A9033-027C-4B58-92A7-40AFD4F372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2" name="AutoShape 12" descr="Story">
          <a:hlinkClick xmlns:r="http://schemas.openxmlformats.org/officeDocument/2006/relationships" r:id="rId12"/>
          <a:extLst>
            <a:ext uri="{FF2B5EF4-FFF2-40B4-BE49-F238E27FC236}">
              <a16:creationId xmlns:a16="http://schemas.microsoft.com/office/drawing/2014/main" id="{9B5B8C56-D3B6-47B6-92EE-2E0499C5A8F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3" name="AutoShape 1" descr="Story">
          <a:hlinkClick xmlns:r="http://schemas.openxmlformats.org/officeDocument/2006/relationships" r:id="rId13"/>
          <a:extLst>
            <a:ext uri="{FF2B5EF4-FFF2-40B4-BE49-F238E27FC236}">
              <a16:creationId xmlns:a16="http://schemas.microsoft.com/office/drawing/2014/main" id="{D635C251-8A56-477C-82E8-95619A2FC8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4" name="AutoShape 1" descr="Story">
          <a:hlinkClick xmlns:r="http://schemas.openxmlformats.org/officeDocument/2006/relationships" r:id="rId13"/>
          <a:extLst>
            <a:ext uri="{FF2B5EF4-FFF2-40B4-BE49-F238E27FC236}">
              <a16:creationId xmlns:a16="http://schemas.microsoft.com/office/drawing/2014/main" id="{481A6914-2A56-496F-B5D4-02DE7FC132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5" name="AutoShape 3" descr="Story">
          <a:hlinkClick xmlns:r="http://schemas.openxmlformats.org/officeDocument/2006/relationships" r:id="rId4"/>
          <a:extLst>
            <a:ext uri="{FF2B5EF4-FFF2-40B4-BE49-F238E27FC236}">
              <a16:creationId xmlns:a16="http://schemas.microsoft.com/office/drawing/2014/main" id="{4A3DB7A9-5F72-4F2F-86D3-157B51D8AD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6" name="AutoShape 4" descr="Story">
          <a:hlinkClick xmlns:r="http://schemas.openxmlformats.org/officeDocument/2006/relationships" r:id="rId5"/>
          <a:extLst>
            <a:ext uri="{FF2B5EF4-FFF2-40B4-BE49-F238E27FC236}">
              <a16:creationId xmlns:a16="http://schemas.microsoft.com/office/drawing/2014/main" id="{0FCE9317-3D47-4E64-B559-B316777E763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7" name="AutoShape 3" descr="Story">
          <a:hlinkClick xmlns:r="http://schemas.openxmlformats.org/officeDocument/2006/relationships" r:id="rId4"/>
          <a:extLst>
            <a:ext uri="{FF2B5EF4-FFF2-40B4-BE49-F238E27FC236}">
              <a16:creationId xmlns:a16="http://schemas.microsoft.com/office/drawing/2014/main" id="{51D5A769-3C78-4EAA-BD32-3A9C4E6422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8" name="AutoShape 4" descr="Story">
          <a:hlinkClick xmlns:r="http://schemas.openxmlformats.org/officeDocument/2006/relationships" r:id="rId5"/>
          <a:extLst>
            <a:ext uri="{FF2B5EF4-FFF2-40B4-BE49-F238E27FC236}">
              <a16:creationId xmlns:a16="http://schemas.microsoft.com/office/drawing/2014/main" id="{4A5641C1-7E4C-4C01-9014-A2AACD6CE4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49" name="AutoShape 7" descr="Story">
          <a:hlinkClick xmlns:r="http://schemas.openxmlformats.org/officeDocument/2006/relationships" r:id="rId3"/>
          <a:extLst>
            <a:ext uri="{FF2B5EF4-FFF2-40B4-BE49-F238E27FC236}">
              <a16:creationId xmlns:a16="http://schemas.microsoft.com/office/drawing/2014/main" id="{901CD1BE-9783-4698-974C-6FEB93B529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50" name="AutoShape 8" descr="Story">
          <a:hlinkClick xmlns:r="http://schemas.openxmlformats.org/officeDocument/2006/relationships" r:id="rId4"/>
          <a:extLst>
            <a:ext uri="{FF2B5EF4-FFF2-40B4-BE49-F238E27FC236}">
              <a16:creationId xmlns:a16="http://schemas.microsoft.com/office/drawing/2014/main" id="{812E2AB5-5AD0-49A2-BF18-F4782C0323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51" name="AutoShape 8" descr="Story">
          <a:hlinkClick xmlns:r="http://schemas.openxmlformats.org/officeDocument/2006/relationships" r:id="rId4"/>
          <a:extLst>
            <a:ext uri="{FF2B5EF4-FFF2-40B4-BE49-F238E27FC236}">
              <a16:creationId xmlns:a16="http://schemas.microsoft.com/office/drawing/2014/main" id="{A90A7CE0-A722-4762-B43F-9FE9A9E228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1302</xdr:row>
      <xdr:rowOff>0</xdr:rowOff>
    </xdr:from>
    <xdr:to>
      <xdr:col>0</xdr:col>
      <xdr:colOff>152400</xdr:colOff>
      <xdr:row>1302</xdr:row>
      <xdr:rowOff>152400</xdr:rowOff>
    </xdr:to>
    <xdr:sp macro="" textlink="">
      <xdr:nvSpPr>
        <xdr:cNvPr id="2152" name="AutoShape 10" descr="Story">
          <a:hlinkClick xmlns:r="http://schemas.openxmlformats.org/officeDocument/2006/relationships" r:id="rId6"/>
          <a:extLst>
            <a:ext uri="{FF2B5EF4-FFF2-40B4-BE49-F238E27FC236}">
              <a16:creationId xmlns:a16="http://schemas.microsoft.com/office/drawing/2014/main" id="{1011996F-093D-4E1A-9071-C136F835E6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53" name="AutoShape 14" descr="Story">
          <a:hlinkClick xmlns:r="http://schemas.openxmlformats.org/officeDocument/2006/relationships" r:id="rId4"/>
          <a:extLst>
            <a:ext uri="{FF2B5EF4-FFF2-40B4-BE49-F238E27FC236}">
              <a16:creationId xmlns:a16="http://schemas.microsoft.com/office/drawing/2014/main" id="{20E0C09C-AACE-4810-B9D8-465D8E4B62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54" name="AutoShape 10" descr="Story">
          <a:hlinkClick xmlns:r="http://schemas.openxmlformats.org/officeDocument/2006/relationships" r:id="rId6"/>
          <a:extLst>
            <a:ext uri="{FF2B5EF4-FFF2-40B4-BE49-F238E27FC236}">
              <a16:creationId xmlns:a16="http://schemas.microsoft.com/office/drawing/2014/main" id="{C447D1AE-640B-4B99-9215-BB1275B47B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55" name="AutoShape 14" descr="Story">
          <a:hlinkClick xmlns:r="http://schemas.openxmlformats.org/officeDocument/2006/relationships" r:id="rId4"/>
          <a:extLst>
            <a:ext uri="{FF2B5EF4-FFF2-40B4-BE49-F238E27FC236}">
              <a16:creationId xmlns:a16="http://schemas.microsoft.com/office/drawing/2014/main" id="{E081B46A-8F1D-4DB7-BAC4-9906BB0130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56" name="AutoShape 4" descr="Bug">
          <a:hlinkClick xmlns:r="http://schemas.openxmlformats.org/officeDocument/2006/relationships" r:id="rId1"/>
          <a:extLst>
            <a:ext uri="{FF2B5EF4-FFF2-40B4-BE49-F238E27FC236}">
              <a16:creationId xmlns:a16="http://schemas.microsoft.com/office/drawing/2014/main" id="{B844E259-F433-4BB2-93E4-3B5D588C3B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57" name="AutoShape 6" descr="Bug">
          <a:hlinkClick xmlns:r="http://schemas.openxmlformats.org/officeDocument/2006/relationships" r:id="rId2"/>
          <a:extLst>
            <a:ext uri="{FF2B5EF4-FFF2-40B4-BE49-F238E27FC236}">
              <a16:creationId xmlns:a16="http://schemas.microsoft.com/office/drawing/2014/main" id="{122F9A8B-D189-4D3B-BD14-E2E57131F6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58" name="AutoShape 7" descr="Story">
          <a:hlinkClick xmlns:r="http://schemas.openxmlformats.org/officeDocument/2006/relationships" r:id="rId3"/>
          <a:extLst>
            <a:ext uri="{FF2B5EF4-FFF2-40B4-BE49-F238E27FC236}">
              <a16:creationId xmlns:a16="http://schemas.microsoft.com/office/drawing/2014/main" id="{D095D3C4-D876-4618-AB44-4577CC9132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59" name="AutoShape 8" descr="Story">
          <a:hlinkClick xmlns:r="http://schemas.openxmlformats.org/officeDocument/2006/relationships" r:id="rId4"/>
          <a:extLst>
            <a:ext uri="{FF2B5EF4-FFF2-40B4-BE49-F238E27FC236}">
              <a16:creationId xmlns:a16="http://schemas.microsoft.com/office/drawing/2014/main" id="{E02A189E-06BF-4789-9CF4-4C8F330563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60" name="AutoShape 9" descr="Story">
          <a:hlinkClick xmlns:r="http://schemas.openxmlformats.org/officeDocument/2006/relationships" r:id="rId5"/>
          <a:extLst>
            <a:ext uri="{FF2B5EF4-FFF2-40B4-BE49-F238E27FC236}">
              <a16:creationId xmlns:a16="http://schemas.microsoft.com/office/drawing/2014/main" id="{5196D9CC-1CDF-49AE-A281-43813424FD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61" name="AutoShape 10" descr="Story">
          <a:hlinkClick xmlns:r="http://schemas.openxmlformats.org/officeDocument/2006/relationships" r:id="rId6"/>
          <a:extLst>
            <a:ext uri="{FF2B5EF4-FFF2-40B4-BE49-F238E27FC236}">
              <a16:creationId xmlns:a16="http://schemas.microsoft.com/office/drawing/2014/main" id="{7FD0B412-C8DE-453B-B2C1-83A8EF1F42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62" name="AutoShape 13" descr="Story">
          <a:hlinkClick xmlns:r="http://schemas.openxmlformats.org/officeDocument/2006/relationships" r:id="rId4"/>
          <a:extLst>
            <a:ext uri="{FF2B5EF4-FFF2-40B4-BE49-F238E27FC236}">
              <a16:creationId xmlns:a16="http://schemas.microsoft.com/office/drawing/2014/main" id="{BF429404-96D6-440E-ABF6-6B742E43FB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63" name="AutoShape 14" descr="Story">
          <a:hlinkClick xmlns:r="http://schemas.openxmlformats.org/officeDocument/2006/relationships" r:id="rId4"/>
          <a:extLst>
            <a:ext uri="{FF2B5EF4-FFF2-40B4-BE49-F238E27FC236}">
              <a16:creationId xmlns:a16="http://schemas.microsoft.com/office/drawing/2014/main" id="{7F6E77CE-6B12-42AB-9C03-A81E1CCE65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164" name="AutoShape 1" descr="Story">
          <a:hlinkClick xmlns:r="http://schemas.openxmlformats.org/officeDocument/2006/relationships" r:id="rId7"/>
          <a:extLst>
            <a:ext uri="{FF2B5EF4-FFF2-40B4-BE49-F238E27FC236}">
              <a16:creationId xmlns:a16="http://schemas.microsoft.com/office/drawing/2014/main" id="{FBFAB950-7E2E-4677-AF4C-930D8F65C8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65" name="AutoShape 2" descr="Story">
          <a:hlinkClick xmlns:r="http://schemas.openxmlformats.org/officeDocument/2006/relationships" r:id="rId8"/>
          <a:extLst>
            <a:ext uri="{FF2B5EF4-FFF2-40B4-BE49-F238E27FC236}">
              <a16:creationId xmlns:a16="http://schemas.microsoft.com/office/drawing/2014/main" id="{9BBCF99E-8653-4564-9756-269BF419F7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66" name="AutoShape 5" descr="Story">
          <a:hlinkClick xmlns:r="http://schemas.openxmlformats.org/officeDocument/2006/relationships" r:id="rId6"/>
          <a:extLst>
            <a:ext uri="{FF2B5EF4-FFF2-40B4-BE49-F238E27FC236}">
              <a16:creationId xmlns:a16="http://schemas.microsoft.com/office/drawing/2014/main" id="{7F2334A9-A78B-4D4E-8F20-C3F535C391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67" name="AutoShape 1" descr="Sub-task">
          <a:hlinkClick xmlns:r="http://schemas.openxmlformats.org/officeDocument/2006/relationships" r:id="rId9"/>
          <a:extLst>
            <a:ext uri="{FF2B5EF4-FFF2-40B4-BE49-F238E27FC236}">
              <a16:creationId xmlns:a16="http://schemas.microsoft.com/office/drawing/2014/main" id="{0F382A01-D4E2-4DE8-B4AD-7ADD1E1F2B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68" name="AutoShape 2" descr="Sub-task">
          <a:hlinkClick xmlns:r="http://schemas.openxmlformats.org/officeDocument/2006/relationships" r:id="rId10"/>
          <a:extLst>
            <a:ext uri="{FF2B5EF4-FFF2-40B4-BE49-F238E27FC236}">
              <a16:creationId xmlns:a16="http://schemas.microsoft.com/office/drawing/2014/main" id="{143117A9-8F68-4680-A7E5-EB46AD7A65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69" name="AutoShape 3" descr="Story">
          <a:hlinkClick xmlns:r="http://schemas.openxmlformats.org/officeDocument/2006/relationships" r:id="rId11"/>
          <a:extLst>
            <a:ext uri="{FF2B5EF4-FFF2-40B4-BE49-F238E27FC236}">
              <a16:creationId xmlns:a16="http://schemas.microsoft.com/office/drawing/2014/main" id="{F2B667F0-B921-44C8-9D9D-3BF9EC4445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0" name="AutoShape 12" descr="Story">
          <a:hlinkClick xmlns:r="http://schemas.openxmlformats.org/officeDocument/2006/relationships" r:id="rId12"/>
          <a:extLst>
            <a:ext uri="{FF2B5EF4-FFF2-40B4-BE49-F238E27FC236}">
              <a16:creationId xmlns:a16="http://schemas.microsoft.com/office/drawing/2014/main" id="{7E1D4DF6-5E19-4C84-9B97-901C1DCC1D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1" name="AutoShape 1" descr="Story">
          <a:hlinkClick xmlns:r="http://schemas.openxmlformats.org/officeDocument/2006/relationships" r:id="rId13"/>
          <a:extLst>
            <a:ext uri="{FF2B5EF4-FFF2-40B4-BE49-F238E27FC236}">
              <a16:creationId xmlns:a16="http://schemas.microsoft.com/office/drawing/2014/main" id="{D27C0DA8-D086-4BF9-8D48-588C1076A1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2" name="AutoShape 1" descr="Story">
          <a:hlinkClick xmlns:r="http://schemas.openxmlformats.org/officeDocument/2006/relationships" r:id="rId13"/>
          <a:extLst>
            <a:ext uri="{FF2B5EF4-FFF2-40B4-BE49-F238E27FC236}">
              <a16:creationId xmlns:a16="http://schemas.microsoft.com/office/drawing/2014/main" id="{5EF0BE04-9CC5-405D-985C-719A207AE9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3" name="AutoShape 3" descr="Story">
          <a:hlinkClick xmlns:r="http://schemas.openxmlformats.org/officeDocument/2006/relationships" r:id="rId4"/>
          <a:extLst>
            <a:ext uri="{FF2B5EF4-FFF2-40B4-BE49-F238E27FC236}">
              <a16:creationId xmlns:a16="http://schemas.microsoft.com/office/drawing/2014/main" id="{42145853-ED2C-4626-B58F-F7DB056924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4" name="AutoShape 4" descr="Story">
          <a:hlinkClick xmlns:r="http://schemas.openxmlformats.org/officeDocument/2006/relationships" r:id="rId5"/>
          <a:extLst>
            <a:ext uri="{FF2B5EF4-FFF2-40B4-BE49-F238E27FC236}">
              <a16:creationId xmlns:a16="http://schemas.microsoft.com/office/drawing/2014/main" id="{E2CE50AF-A243-4324-A534-A0CE8C21F9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5" name="AutoShape 3" descr="Story">
          <a:hlinkClick xmlns:r="http://schemas.openxmlformats.org/officeDocument/2006/relationships" r:id="rId4"/>
          <a:extLst>
            <a:ext uri="{FF2B5EF4-FFF2-40B4-BE49-F238E27FC236}">
              <a16:creationId xmlns:a16="http://schemas.microsoft.com/office/drawing/2014/main" id="{888488FE-B3C8-480D-BDFA-EBDF8C700E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6" name="AutoShape 4" descr="Story">
          <a:hlinkClick xmlns:r="http://schemas.openxmlformats.org/officeDocument/2006/relationships" r:id="rId5"/>
          <a:extLst>
            <a:ext uri="{FF2B5EF4-FFF2-40B4-BE49-F238E27FC236}">
              <a16:creationId xmlns:a16="http://schemas.microsoft.com/office/drawing/2014/main" id="{E6ECEDDF-557A-4A9D-A481-BA605E8BCC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7" name="AutoShape 7" descr="Story">
          <a:hlinkClick xmlns:r="http://schemas.openxmlformats.org/officeDocument/2006/relationships" r:id="rId3"/>
          <a:extLst>
            <a:ext uri="{FF2B5EF4-FFF2-40B4-BE49-F238E27FC236}">
              <a16:creationId xmlns:a16="http://schemas.microsoft.com/office/drawing/2014/main" id="{C83A10F7-359D-42CD-B972-882E6261C84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8" name="AutoShape 8" descr="Story">
          <a:hlinkClick xmlns:r="http://schemas.openxmlformats.org/officeDocument/2006/relationships" r:id="rId4"/>
          <a:extLst>
            <a:ext uri="{FF2B5EF4-FFF2-40B4-BE49-F238E27FC236}">
              <a16:creationId xmlns:a16="http://schemas.microsoft.com/office/drawing/2014/main" id="{A572CDAE-8556-437D-9A80-C0AB14B58E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79" name="AutoShape 8" descr="Story">
          <a:hlinkClick xmlns:r="http://schemas.openxmlformats.org/officeDocument/2006/relationships" r:id="rId4"/>
          <a:extLst>
            <a:ext uri="{FF2B5EF4-FFF2-40B4-BE49-F238E27FC236}">
              <a16:creationId xmlns:a16="http://schemas.microsoft.com/office/drawing/2014/main" id="{8FF5FB53-B305-4B1B-8A90-99C3573433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1302</xdr:row>
      <xdr:rowOff>0</xdr:rowOff>
    </xdr:from>
    <xdr:to>
      <xdr:col>0</xdr:col>
      <xdr:colOff>152400</xdr:colOff>
      <xdr:row>1302</xdr:row>
      <xdr:rowOff>152400</xdr:rowOff>
    </xdr:to>
    <xdr:sp macro="" textlink="">
      <xdr:nvSpPr>
        <xdr:cNvPr id="2180" name="AutoShape 10" descr="Story">
          <a:hlinkClick xmlns:r="http://schemas.openxmlformats.org/officeDocument/2006/relationships" r:id="rId6"/>
          <a:extLst>
            <a:ext uri="{FF2B5EF4-FFF2-40B4-BE49-F238E27FC236}">
              <a16:creationId xmlns:a16="http://schemas.microsoft.com/office/drawing/2014/main" id="{1CF461B9-2633-4B50-86E9-8470414005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81" name="AutoShape 14" descr="Story">
          <a:hlinkClick xmlns:r="http://schemas.openxmlformats.org/officeDocument/2006/relationships" r:id="rId4"/>
          <a:extLst>
            <a:ext uri="{FF2B5EF4-FFF2-40B4-BE49-F238E27FC236}">
              <a16:creationId xmlns:a16="http://schemas.microsoft.com/office/drawing/2014/main" id="{7C16CA58-D915-411A-97D1-5F42EFDA00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82" name="AutoShape 10" descr="Story">
          <a:hlinkClick xmlns:r="http://schemas.openxmlformats.org/officeDocument/2006/relationships" r:id="rId6"/>
          <a:extLst>
            <a:ext uri="{FF2B5EF4-FFF2-40B4-BE49-F238E27FC236}">
              <a16:creationId xmlns:a16="http://schemas.microsoft.com/office/drawing/2014/main" id="{AD1E0E0D-FFE2-4734-BA96-A361A45095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83" name="AutoShape 14" descr="Story">
          <a:hlinkClick xmlns:r="http://schemas.openxmlformats.org/officeDocument/2006/relationships" r:id="rId4"/>
          <a:extLst>
            <a:ext uri="{FF2B5EF4-FFF2-40B4-BE49-F238E27FC236}">
              <a16:creationId xmlns:a16="http://schemas.microsoft.com/office/drawing/2014/main" id="{2A2264BE-C594-4269-9F19-46B7BAAF6D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84" name="AutoShape 4" descr="Bug">
          <a:hlinkClick xmlns:r="http://schemas.openxmlformats.org/officeDocument/2006/relationships" r:id="rId1"/>
          <a:extLst>
            <a:ext uri="{FF2B5EF4-FFF2-40B4-BE49-F238E27FC236}">
              <a16:creationId xmlns:a16="http://schemas.microsoft.com/office/drawing/2014/main" id="{AA57418B-D61D-4E3E-865E-B51813405A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85" name="AutoShape 6" descr="Bug">
          <a:hlinkClick xmlns:r="http://schemas.openxmlformats.org/officeDocument/2006/relationships" r:id="rId2"/>
          <a:extLst>
            <a:ext uri="{FF2B5EF4-FFF2-40B4-BE49-F238E27FC236}">
              <a16:creationId xmlns:a16="http://schemas.microsoft.com/office/drawing/2014/main" id="{640B6C83-ABA4-47E3-9C63-F9714F4B71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86" name="AutoShape 7" descr="Story">
          <a:hlinkClick xmlns:r="http://schemas.openxmlformats.org/officeDocument/2006/relationships" r:id="rId3"/>
          <a:extLst>
            <a:ext uri="{FF2B5EF4-FFF2-40B4-BE49-F238E27FC236}">
              <a16:creationId xmlns:a16="http://schemas.microsoft.com/office/drawing/2014/main" id="{D64BC46F-6F66-4823-A292-FB30979BA0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87" name="AutoShape 8" descr="Story">
          <a:hlinkClick xmlns:r="http://schemas.openxmlformats.org/officeDocument/2006/relationships" r:id="rId4"/>
          <a:extLst>
            <a:ext uri="{FF2B5EF4-FFF2-40B4-BE49-F238E27FC236}">
              <a16:creationId xmlns:a16="http://schemas.microsoft.com/office/drawing/2014/main" id="{8E1E0BCA-557C-4F1B-B7B5-AF7562CF0B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88" name="AutoShape 9" descr="Story">
          <a:hlinkClick xmlns:r="http://schemas.openxmlformats.org/officeDocument/2006/relationships" r:id="rId5"/>
          <a:extLst>
            <a:ext uri="{FF2B5EF4-FFF2-40B4-BE49-F238E27FC236}">
              <a16:creationId xmlns:a16="http://schemas.microsoft.com/office/drawing/2014/main" id="{95AB92F4-906B-4DCC-8242-F43E9F1C9A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89" name="AutoShape 10" descr="Story">
          <a:hlinkClick xmlns:r="http://schemas.openxmlformats.org/officeDocument/2006/relationships" r:id="rId6"/>
          <a:extLst>
            <a:ext uri="{FF2B5EF4-FFF2-40B4-BE49-F238E27FC236}">
              <a16:creationId xmlns:a16="http://schemas.microsoft.com/office/drawing/2014/main" id="{2FD18262-1931-4955-A106-D48EA47992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190" name="AutoShape 13" descr="Story">
          <a:hlinkClick xmlns:r="http://schemas.openxmlformats.org/officeDocument/2006/relationships" r:id="rId4"/>
          <a:extLst>
            <a:ext uri="{FF2B5EF4-FFF2-40B4-BE49-F238E27FC236}">
              <a16:creationId xmlns:a16="http://schemas.microsoft.com/office/drawing/2014/main" id="{7DF9B81C-31FB-4BFF-B53B-AEF3EE997B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191" name="AutoShape 14" descr="Story">
          <a:hlinkClick xmlns:r="http://schemas.openxmlformats.org/officeDocument/2006/relationships" r:id="rId4"/>
          <a:extLst>
            <a:ext uri="{FF2B5EF4-FFF2-40B4-BE49-F238E27FC236}">
              <a16:creationId xmlns:a16="http://schemas.microsoft.com/office/drawing/2014/main" id="{87724589-C6F6-4A5E-91D1-A7CD52A062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192" name="AutoShape 1" descr="Story">
          <a:hlinkClick xmlns:r="http://schemas.openxmlformats.org/officeDocument/2006/relationships" r:id="rId7"/>
          <a:extLst>
            <a:ext uri="{FF2B5EF4-FFF2-40B4-BE49-F238E27FC236}">
              <a16:creationId xmlns:a16="http://schemas.microsoft.com/office/drawing/2014/main" id="{BF10879D-31EA-4E36-A8E9-C85C660A43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3" name="AutoShape 2" descr="Story">
          <a:hlinkClick xmlns:r="http://schemas.openxmlformats.org/officeDocument/2006/relationships" r:id="rId8"/>
          <a:extLst>
            <a:ext uri="{FF2B5EF4-FFF2-40B4-BE49-F238E27FC236}">
              <a16:creationId xmlns:a16="http://schemas.microsoft.com/office/drawing/2014/main" id="{0B7D9D8F-DE26-45D0-A54A-E038A9B795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4" name="AutoShape 5" descr="Story">
          <a:hlinkClick xmlns:r="http://schemas.openxmlformats.org/officeDocument/2006/relationships" r:id="rId6"/>
          <a:extLst>
            <a:ext uri="{FF2B5EF4-FFF2-40B4-BE49-F238E27FC236}">
              <a16:creationId xmlns:a16="http://schemas.microsoft.com/office/drawing/2014/main" id="{BD361D9D-6A38-45DB-9145-7A2A9B2FC8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5" name="AutoShape 1" descr="Sub-task">
          <a:hlinkClick xmlns:r="http://schemas.openxmlformats.org/officeDocument/2006/relationships" r:id="rId9"/>
          <a:extLst>
            <a:ext uri="{FF2B5EF4-FFF2-40B4-BE49-F238E27FC236}">
              <a16:creationId xmlns:a16="http://schemas.microsoft.com/office/drawing/2014/main" id="{7DD505F2-65AE-4C7F-9447-75414F35AB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6" name="AutoShape 2" descr="Sub-task">
          <a:hlinkClick xmlns:r="http://schemas.openxmlformats.org/officeDocument/2006/relationships" r:id="rId10"/>
          <a:extLst>
            <a:ext uri="{FF2B5EF4-FFF2-40B4-BE49-F238E27FC236}">
              <a16:creationId xmlns:a16="http://schemas.microsoft.com/office/drawing/2014/main" id="{3CAF7152-5083-44D0-BBC5-4F65CE46E9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7" name="AutoShape 3" descr="Story">
          <a:hlinkClick xmlns:r="http://schemas.openxmlformats.org/officeDocument/2006/relationships" r:id="rId11"/>
          <a:extLst>
            <a:ext uri="{FF2B5EF4-FFF2-40B4-BE49-F238E27FC236}">
              <a16:creationId xmlns:a16="http://schemas.microsoft.com/office/drawing/2014/main" id="{C1E82D98-B54B-499B-9C41-BB3ED711EA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8" name="AutoShape 12" descr="Story">
          <a:hlinkClick xmlns:r="http://schemas.openxmlformats.org/officeDocument/2006/relationships" r:id="rId12"/>
          <a:extLst>
            <a:ext uri="{FF2B5EF4-FFF2-40B4-BE49-F238E27FC236}">
              <a16:creationId xmlns:a16="http://schemas.microsoft.com/office/drawing/2014/main" id="{D28E9DCC-F493-4F85-B034-22CE6C134B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199" name="AutoShape 1" descr="Story">
          <a:hlinkClick xmlns:r="http://schemas.openxmlformats.org/officeDocument/2006/relationships" r:id="rId13"/>
          <a:extLst>
            <a:ext uri="{FF2B5EF4-FFF2-40B4-BE49-F238E27FC236}">
              <a16:creationId xmlns:a16="http://schemas.microsoft.com/office/drawing/2014/main" id="{85B79B6C-FA03-4CA1-99DC-405075B6BE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0" name="AutoShape 1" descr="Story">
          <a:hlinkClick xmlns:r="http://schemas.openxmlformats.org/officeDocument/2006/relationships" r:id="rId13"/>
          <a:extLst>
            <a:ext uri="{FF2B5EF4-FFF2-40B4-BE49-F238E27FC236}">
              <a16:creationId xmlns:a16="http://schemas.microsoft.com/office/drawing/2014/main" id="{110B973F-87AF-4D33-A805-08BE1888F9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1" name="AutoShape 3" descr="Story">
          <a:hlinkClick xmlns:r="http://schemas.openxmlformats.org/officeDocument/2006/relationships" r:id="rId4"/>
          <a:extLst>
            <a:ext uri="{FF2B5EF4-FFF2-40B4-BE49-F238E27FC236}">
              <a16:creationId xmlns:a16="http://schemas.microsoft.com/office/drawing/2014/main" id="{0D77F737-73D8-4047-AC7C-DDA136FFF7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2" name="AutoShape 4" descr="Story">
          <a:hlinkClick xmlns:r="http://schemas.openxmlformats.org/officeDocument/2006/relationships" r:id="rId5"/>
          <a:extLst>
            <a:ext uri="{FF2B5EF4-FFF2-40B4-BE49-F238E27FC236}">
              <a16:creationId xmlns:a16="http://schemas.microsoft.com/office/drawing/2014/main" id="{D04EF114-1C3B-4BEA-BD72-90303240A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3" name="AutoShape 3" descr="Story">
          <a:hlinkClick xmlns:r="http://schemas.openxmlformats.org/officeDocument/2006/relationships" r:id="rId4"/>
          <a:extLst>
            <a:ext uri="{FF2B5EF4-FFF2-40B4-BE49-F238E27FC236}">
              <a16:creationId xmlns:a16="http://schemas.microsoft.com/office/drawing/2014/main" id="{A688B923-AF9C-4A38-985E-4B5623CD58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4" name="AutoShape 4" descr="Story">
          <a:hlinkClick xmlns:r="http://schemas.openxmlformats.org/officeDocument/2006/relationships" r:id="rId5"/>
          <a:extLst>
            <a:ext uri="{FF2B5EF4-FFF2-40B4-BE49-F238E27FC236}">
              <a16:creationId xmlns:a16="http://schemas.microsoft.com/office/drawing/2014/main" id="{414224CA-4E7B-4834-91CB-7A2E7EEE0C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5" name="AutoShape 7" descr="Story">
          <a:hlinkClick xmlns:r="http://schemas.openxmlformats.org/officeDocument/2006/relationships" r:id="rId3"/>
          <a:extLst>
            <a:ext uri="{FF2B5EF4-FFF2-40B4-BE49-F238E27FC236}">
              <a16:creationId xmlns:a16="http://schemas.microsoft.com/office/drawing/2014/main" id="{6528EDB8-5B4E-4925-BBFB-63B725373E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6" name="AutoShape 8" descr="Story">
          <a:hlinkClick xmlns:r="http://schemas.openxmlformats.org/officeDocument/2006/relationships" r:id="rId4"/>
          <a:extLst>
            <a:ext uri="{FF2B5EF4-FFF2-40B4-BE49-F238E27FC236}">
              <a16:creationId xmlns:a16="http://schemas.microsoft.com/office/drawing/2014/main" id="{5E4115E9-6E0C-4F63-B00D-FE6165D1F4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207" name="AutoShape 8" descr="Story">
          <a:hlinkClick xmlns:r="http://schemas.openxmlformats.org/officeDocument/2006/relationships" r:id="rId4"/>
          <a:extLst>
            <a:ext uri="{FF2B5EF4-FFF2-40B4-BE49-F238E27FC236}">
              <a16:creationId xmlns:a16="http://schemas.microsoft.com/office/drawing/2014/main" id="{39D79145-F9C5-4B94-BDA8-F53D4E22AA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1302</xdr:row>
      <xdr:rowOff>0</xdr:rowOff>
    </xdr:from>
    <xdr:to>
      <xdr:col>0</xdr:col>
      <xdr:colOff>152400</xdr:colOff>
      <xdr:row>1302</xdr:row>
      <xdr:rowOff>152400</xdr:rowOff>
    </xdr:to>
    <xdr:sp macro="" textlink="">
      <xdr:nvSpPr>
        <xdr:cNvPr id="2208" name="AutoShape 10" descr="Story">
          <a:hlinkClick xmlns:r="http://schemas.openxmlformats.org/officeDocument/2006/relationships" r:id="rId6"/>
          <a:extLst>
            <a:ext uri="{FF2B5EF4-FFF2-40B4-BE49-F238E27FC236}">
              <a16:creationId xmlns:a16="http://schemas.microsoft.com/office/drawing/2014/main" id="{D1758A51-925B-4333-B4BD-07B039B8EA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209" name="AutoShape 14" descr="Story">
          <a:hlinkClick xmlns:r="http://schemas.openxmlformats.org/officeDocument/2006/relationships" r:id="rId4"/>
          <a:extLst>
            <a:ext uri="{FF2B5EF4-FFF2-40B4-BE49-F238E27FC236}">
              <a16:creationId xmlns:a16="http://schemas.microsoft.com/office/drawing/2014/main" id="{89892236-13F9-4C51-AE99-F6E4E701F6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210" name="AutoShape 10" descr="Story">
          <a:hlinkClick xmlns:r="http://schemas.openxmlformats.org/officeDocument/2006/relationships" r:id="rId6"/>
          <a:extLst>
            <a:ext uri="{FF2B5EF4-FFF2-40B4-BE49-F238E27FC236}">
              <a16:creationId xmlns:a16="http://schemas.microsoft.com/office/drawing/2014/main" id="{7F204938-20D7-423D-94E6-18437F3C7F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2211" name="AutoShape 14" descr="Story">
          <a:hlinkClick xmlns:r="http://schemas.openxmlformats.org/officeDocument/2006/relationships" r:id="rId4"/>
          <a:extLst>
            <a:ext uri="{FF2B5EF4-FFF2-40B4-BE49-F238E27FC236}">
              <a16:creationId xmlns:a16="http://schemas.microsoft.com/office/drawing/2014/main" id="{5AC056C2-E678-4F88-B291-805DDD122C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12" name="AutoShape 2" descr="Story">
          <a:hlinkClick xmlns:r="http://schemas.openxmlformats.org/officeDocument/2006/relationships" r:id="rId12"/>
          <a:extLst>
            <a:ext uri="{FF2B5EF4-FFF2-40B4-BE49-F238E27FC236}">
              <a16:creationId xmlns:a16="http://schemas.microsoft.com/office/drawing/2014/main" id="{A259C62B-B492-4B95-AF24-D574083568C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13" name="AutoShape 3" descr="Story">
          <a:hlinkClick xmlns:r="http://schemas.openxmlformats.org/officeDocument/2006/relationships" r:id="rId11"/>
          <a:extLst>
            <a:ext uri="{FF2B5EF4-FFF2-40B4-BE49-F238E27FC236}">
              <a16:creationId xmlns:a16="http://schemas.microsoft.com/office/drawing/2014/main" id="{9AB88E07-D24B-4CBA-9C7F-B1FFF918F53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14" name="AutoShape 5" descr="Story">
          <a:hlinkClick xmlns:r="http://schemas.openxmlformats.org/officeDocument/2006/relationships" r:id="rId14"/>
          <a:extLst>
            <a:ext uri="{FF2B5EF4-FFF2-40B4-BE49-F238E27FC236}">
              <a16:creationId xmlns:a16="http://schemas.microsoft.com/office/drawing/2014/main" id="{67A95C3D-5A5B-4CA9-AB8E-6EBDEC9370B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15" name="AutoShape 11" descr="Story">
          <a:hlinkClick xmlns:r="http://schemas.openxmlformats.org/officeDocument/2006/relationships" r:id="rId15"/>
          <a:extLst>
            <a:ext uri="{FF2B5EF4-FFF2-40B4-BE49-F238E27FC236}">
              <a16:creationId xmlns:a16="http://schemas.microsoft.com/office/drawing/2014/main" id="{A0CBB1DF-38E7-4F7F-87D7-8EDF5EE4532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16" name="AutoShape 12" descr="Story">
          <a:hlinkClick xmlns:r="http://schemas.openxmlformats.org/officeDocument/2006/relationships" r:id="rId12"/>
          <a:extLst>
            <a:ext uri="{FF2B5EF4-FFF2-40B4-BE49-F238E27FC236}">
              <a16:creationId xmlns:a16="http://schemas.microsoft.com/office/drawing/2014/main" id="{1B51CE7F-3FA5-4CBB-BC8E-4CEF0382440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17" name="AutoShape 15" descr="Story">
          <a:hlinkClick xmlns:r="http://schemas.openxmlformats.org/officeDocument/2006/relationships" r:id="rId4"/>
          <a:extLst>
            <a:ext uri="{FF2B5EF4-FFF2-40B4-BE49-F238E27FC236}">
              <a16:creationId xmlns:a16="http://schemas.microsoft.com/office/drawing/2014/main" id="{B281A109-C557-404F-A9EE-57C3C1F5B72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218" name="AutoShape 1" descr="Story">
          <a:hlinkClick xmlns:r="http://schemas.openxmlformats.org/officeDocument/2006/relationships" r:id="rId7"/>
          <a:extLst>
            <a:ext uri="{FF2B5EF4-FFF2-40B4-BE49-F238E27FC236}">
              <a16:creationId xmlns:a16="http://schemas.microsoft.com/office/drawing/2014/main" id="{01B1B174-6324-4044-BFED-ACFEE7E1F89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19" name="AutoShape 2" descr="Story">
          <a:hlinkClick xmlns:r="http://schemas.openxmlformats.org/officeDocument/2006/relationships" r:id="rId8"/>
          <a:extLst>
            <a:ext uri="{FF2B5EF4-FFF2-40B4-BE49-F238E27FC236}">
              <a16:creationId xmlns:a16="http://schemas.microsoft.com/office/drawing/2014/main" id="{2661C6C9-0D44-4B9A-BCED-13996ADD686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0" name="AutoShape 5" descr="Story">
          <a:hlinkClick xmlns:r="http://schemas.openxmlformats.org/officeDocument/2006/relationships" r:id="rId6"/>
          <a:extLst>
            <a:ext uri="{FF2B5EF4-FFF2-40B4-BE49-F238E27FC236}">
              <a16:creationId xmlns:a16="http://schemas.microsoft.com/office/drawing/2014/main" id="{6F1258DD-3A98-4EF0-9ED6-E19078628C5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1" name="AutoShape 1" descr="Sub-task">
          <a:hlinkClick xmlns:r="http://schemas.openxmlformats.org/officeDocument/2006/relationships" r:id="rId9"/>
          <a:extLst>
            <a:ext uri="{FF2B5EF4-FFF2-40B4-BE49-F238E27FC236}">
              <a16:creationId xmlns:a16="http://schemas.microsoft.com/office/drawing/2014/main" id="{9BD75A4A-4CAF-4717-AFD0-09F280CE9E1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2" name="AutoShape 2" descr="Sub-task">
          <a:hlinkClick xmlns:r="http://schemas.openxmlformats.org/officeDocument/2006/relationships" r:id="rId10"/>
          <a:extLst>
            <a:ext uri="{FF2B5EF4-FFF2-40B4-BE49-F238E27FC236}">
              <a16:creationId xmlns:a16="http://schemas.microsoft.com/office/drawing/2014/main" id="{4ADDAC3A-6678-44FE-BD54-A1A601AF235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3" name="AutoShape 3" descr="Story">
          <a:hlinkClick xmlns:r="http://schemas.openxmlformats.org/officeDocument/2006/relationships" r:id="rId11"/>
          <a:extLst>
            <a:ext uri="{FF2B5EF4-FFF2-40B4-BE49-F238E27FC236}">
              <a16:creationId xmlns:a16="http://schemas.microsoft.com/office/drawing/2014/main" id="{B41B7E0E-D9A9-4649-9BA8-DE586CAE033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4" name="AutoShape 12" descr="Story">
          <a:hlinkClick xmlns:r="http://schemas.openxmlformats.org/officeDocument/2006/relationships" r:id="rId12"/>
          <a:extLst>
            <a:ext uri="{FF2B5EF4-FFF2-40B4-BE49-F238E27FC236}">
              <a16:creationId xmlns:a16="http://schemas.microsoft.com/office/drawing/2014/main" id="{0F83BA98-0539-4691-8742-11A971BD899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5" name="AutoShape 1" descr="Story">
          <a:hlinkClick xmlns:r="http://schemas.openxmlformats.org/officeDocument/2006/relationships" r:id="rId13"/>
          <a:extLst>
            <a:ext uri="{FF2B5EF4-FFF2-40B4-BE49-F238E27FC236}">
              <a16:creationId xmlns:a16="http://schemas.microsoft.com/office/drawing/2014/main" id="{83A9516E-D2E5-457A-9BCA-29597A91356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6" name="AutoShape 1" descr="Story">
          <a:hlinkClick xmlns:r="http://schemas.openxmlformats.org/officeDocument/2006/relationships" r:id="rId13"/>
          <a:extLst>
            <a:ext uri="{FF2B5EF4-FFF2-40B4-BE49-F238E27FC236}">
              <a16:creationId xmlns:a16="http://schemas.microsoft.com/office/drawing/2014/main" id="{0DC347B7-629F-4D8C-A928-03B11AA23F4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7" name="AutoShape 3" descr="Story">
          <a:hlinkClick xmlns:r="http://schemas.openxmlformats.org/officeDocument/2006/relationships" r:id="rId4"/>
          <a:extLst>
            <a:ext uri="{FF2B5EF4-FFF2-40B4-BE49-F238E27FC236}">
              <a16:creationId xmlns:a16="http://schemas.microsoft.com/office/drawing/2014/main" id="{99F46EE3-0C41-4DB0-8C63-25624B741B2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8" name="AutoShape 4" descr="Story">
          <a:hlinkClick xmlns:r="http://schemas.openxmlformats.org/officeDocument/2006/relationships" r:id="rId5"/>
          <a:extLst>
            <a:ext uri="{FF2B5EF4-FFF2-40B4-BE49-F238E27FC236}">
              <a16:creationId xmlns:a16="http://schemas.microsoft.com/office/drawing/2014/main" id="{69603329-10F0-40F8-B7C7-C6EDC69B4DF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29" name="AutoShape 7" descr="Story">
          <a:hlinkClick xmlns:r="http://schemas.openxmlformats.org/officeDocument/2006/relationships" r:id="rId3"/>
          <a:extLst>
            <a:ext uri="{FF2B5EF4-FFF2-40B4-BE49-F238E27FC236}">
              <a16:creationId xmlns:a16="http://schemas.microsoft.com/office/drawing/2014/main" id="{1126E835-1FC9-4B98-8BEF-FDA22388A6F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1304</xdr:row>
      <xdr:rowOff>0</xdr:rowOff>
    </xdr:from>
    <xdr:to>
      <xdr:col>0</xdr:col>
      <xdr:colOff>152400</xdr:colOff>
      <xdr:row>1304</xdr:row>
      <xdr:rowOff>152400</xdr:rowOff>
    </xdr:to>
    <xdr:sp macro="" textlink="">
      <xdr:nvSpPr>
        <xdr:cNvPr id="2230" name="AutoShape 2" descr="Story">
          <a:hlinkClick xmlns:r="http://schemas.openxmlformats.org/officeDocument/2006/relationships" r:id="rId12"/>
          <a:extLst>
            <a:ext uri="{FF2B5EF4-FFF2-40B4-BE49-F238E27FC236}">
              <a16:creationId xmlns:a16="http://schemas.microsoft.com/office/drawing/2014/main" id="{F382DFE5-047F-4CAC-94A6-15D50316302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31" name="AutoShape 3" descr="Story">
          <a:hlinkClick xmlns:r="http://schemas.openxmlformats.org/officeDocument/2006/relationships" r:id="rId11"/>
          <a:extLst>
            <a:ext uri="{FF2B5EF4-FFF2-40B4-BE49-F238E27FC236}">
              <a16:creationId xmlns:a16="http://schemas.microsoft.com/office/drawing/2014/main" id="{BDF1DA63-ABB5-4AB2-82A2-812C4BEDFE8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32" name="AutoShape 5" descr="Story">
          <a:hlinkClick xmlns:r="http://schemas.openxmlformats.org/officeDocument/2006/relationships" r:id="rId14"/>
          <a:extLst>
            <a:ext uri="{FF2B5EF4-FFF2-40B4-BE49-F238E27FC236}">
              <a16:creationId xmlns:a16="http://schemas.microsoft.com/office/drawing/2014/main" id="{2C3DC850-3568-48DE-832F-0EAF1776A14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33" name="AutoShape 11" descr="Story">
          <a:hlinkClick xmlns:r="http://schemas.openxmlformats.org/officeDocument/2006/relationships" r:id="rId15"/>
          <a:extLst>
            <a:ext uri="{FF2B5EF4-FFF2-40B4-BE49-F238E27FC236}">
              <a16:creationId xmlns:a16="http://schemas.microsoft.com/office/drawing/2014/main" id="{9826DD25-9D26-402C-913B-E509F311FD7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34" name="AutoShape 12" descr="Story">
          <a:hlinkClick xmlns:r="http://schemas.openxmlformats.org/officeDocument/2006/relationships" r:id="rId12"/>
          <a:extLst>
            <a:ext uri="{FF2B5EF4-FFF2-40B4-BE49-F238E27FC236}">
              <a16:creationId xmlns:a16="http://schemas.microsoft.com/office/drawing/2014/main" id="{76E53F28-504F-4363-B535-C0C34DBEB39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35" name="AutoShape 15" descr="Story">
          <a:hlinkClick xmlns:r="http://schemas.openxmlformats.org/officeDocument/2006/relationships" r:id="rId4"/>
          <a:extLst>
            <a:ext uri="{FF2B5EF4-FFF2-40B4-BE49-F238E27FC236}">
              <a16:creationId xmlns:a16="http://schemas.microsoft.com/office/drawing/2014/main" id="{46DB33E3-D951-470F-B7EC-AC0FC9559D1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236" name="AutoShape 1" descr="Story">
          <a:hlinkClick xmlns:r="http://schemas.openxmlformats.org/officeDocument/2006/relationships" r:id="rId7"/>
          <a:extLst>
            <a:ext uri="{FF2B5EF4-FFF2-40B4-BE49-F238E27FC236}">
              <a16:creationId xmlns:a16="http://schemas.microsoft.com/office/drawing/2014/main" id="{FCC62D71-0884-48F4-B753-3FDFBF94106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37" name="AutoShape 2" descr="Story">
          <a:hlinkClick xmlns:r="http://schemas.openxmlformats.org/officeDocument/2006/relationships" r:id="rId8"/>
          <a:extLst>
            <a:ext uri="{FF2B5EF4-FFF2-40B4-BE49-F238E27FC236}">
              <a16:creationId xmlns:a16="http://schemas.microsoft.com/office/drawing/2014/main" id="{D803319C-F6F9-496B-9DF2-B28D3D71800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38" name="AutoShape 5" descr="Story">
          <a:hlinkClick xmlns:r="http://schemas.openxmlformats.org/officeDocument/2006/relationships" r:id="rId6"/>
          <a:extLst>
            <a:ext uri="{FF2B5EF4-FFF2-40B4-BE49-F238E27FC236}">
              <a16:creationId xmlns:a16="http://schemas.microsoft.com/office/drawing/2014/main" id="{CD51327B-D5E0-450C-B344-1C3016C2E47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39" name="AutoShape 1" descr="Sub-task">
          <a:hlinkClick xmlns:r="http://schemas.openxmlformats.org/officeDocument/2006/relationships" r:id="rId9"/>
          <a:extLst>
            <a:ext uri="{FF2B5EF4-FFF2-40B4-BE49-F238E27FC236}">
              <a16:creationId xmlns:a16="http://schemas.microsoft.com/office/drawing/2014/main" id="{7F64E7D1-3C53-49E6-9DFA-639A93B0E95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0" name="AutoShape 2" descr="Sub-task">
          <a:hlinkClick xmlns:r="http://schemas.openxmlformats.org/officeDocument/2006/relationships" r:id="rId10"/>
          <a:extLst>
            <a:ext uri="{FF2B5EF4-FFF2-40B4-BE49-F238E27FC236}">
              <a16:creationId xmlns:a16="http://schemas.microsoft.com/office/drawing/2014/main" id="{283B03FF-AC15-456F-9ADD-A2E0ED4AC899}"/>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1" name="AutoShape 3" descr="Story">
          <a:hlinkClick xmlns:r="http://schemas.openxmlformats.org/officeDocument/2006/relationships" r:id="rId11"/>
          <a:extLst>
            <a:ext uri="{FF2B5EF4-FFF2-40B4-BE49-F238E27FC236}">
              <a16:creationId xmlns:a16="http://schemas.microsoft.com/office/drawing/2014/main" id="{59E956B1-5406-4753-8BB5-5857B62F500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2" name="AutoShape 12" descr="Story">
          <a:hlinkClick xmlns:r="http://schemas.openxmlformats.org/officeDocument/2006/relationships" r:id="rId12"/>
          <a:extLst>
            <a:ext uri="{FF2B5EF4-FFF2-40B4-BE49-F238E27FC236}">
              <a16:creationId xmlns:a16="http://schemas.microsoft.com/office/drawing/2014/main" id="{8CF13CAB-0365-4F75-AC8C-BC8600239F9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3" name="AutoShape 1" descr="Story">
          <a:hlinkClick xmlns:r="http://schemas.openxmlformats.org/officeDocument/2006/relationships" r:id="rId13"/>
          <a:extLst>
            <a:ext uri="{FF2B5EF4-FFF2-40B4-BE49-F238E27FC236}">
              <a16:creationId xmlns:a16="http://schemas.microsoft.com/office/drawing/2014/main" id="{91900F67-89F2-4CD2-A63D-ADC1BE23E56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4" name="AutoShape 1" descr="Story">
          <a:hlinkClick xmlns:r="http://schemas.openxmlformats.org/officeDocument/2006/relationships" r:id="rId13"/>
          <a:extLst>
            <a:ext uri="{FF2B5EF4-FFF2-40B4-BE49-F238E27FC236}">
              <a16:creationId xmlns:a16="http://schemas.microsoft.com/office/drawing/2014/main" id="{A73C0641-CF77-447F-9E96-4A5DF6746F2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5" name="AutoShape 3" descr="Story">
          <a:hlinkClick xmlns:r="http://schemas.openxmlformats.org/officeDocument/2006/relationships" r:id="rId4"/>
          <a:extLst>
            <a:ext uri="{FF2B5EF4-FFF2-40B4-BE49-F238E27FC236}">
              <a16:creationId xmlns:a16="http://schemas.microsoft.com/office/drawing/2014/main" id="{6BD4CA84-3E64-4848-81E8-2C18349A224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6" name="AutoShape 4" descr="Story">
          <a:hlinkClick xmlns:r="http://schemas.openxmlformats.org/officeDocument/2006/relationships" r:id="rId5"/>
          <a:extLst>
            <a:ext uri="{FF2B5EF4-FFF2-40B4-BE49-F238E27FC236}">
              <a16:creationId xmlns:a16="http://schemas.microsoft.com/office/drawing/2014/main" id="{01BA35D3-E463-4EA2-A1C2-FAFB01CFABC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47" name="AutoShape 7" descr="Story">
          <a:hlinkClick xmlns:r="http://schemas.openxmlformats.org/officeDocument/2006/relationships" r:id="rId3"/>
          <a:extLst>
            <a:ext uri="{FF2B5EF4-FFF2-40B4-BE49-F238E27FC236}">
              <a16:creationId xmlns:a16="http://schemas.microsoft.com/office/drawing/2014/main" id="{787ECD88-455C-439E-AD0B-9122E3846B9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1304</xdr:row>
      <xdr:rowOff>0</xdr:rowOff>
    </xdr:from>
    <xdr:to>
      <xdr:col>0</xdr:col>
      <xdr:colOff>152400</xdr:colOff>
      <xdr:row>1304</xdr:row>
      <xdr:rowOff>152400</xdr:rowOff>
    </xdr:to>
    <xdr:sp macro="" textlink="">
      <xdr:nvSpPr>
        <xdr:cNvPr id="2248" name="AutoShape 2" descr="Story">
          <a:hlinkClick xmlns:r="http://schemas.openxmlformats.org/officeDocument/2006/relationships" r:id="rId12"/>
          <a:extLst>
            <a:ext uri="{FF2B5EF4-FFF2-40B4-BE49-F238E27FC236}">
              <a16:creationId xmlns:a16="http://schemas.microsoft.com/office/drawing/2014/main" id="{22813202-B7F3-4A7A-A447-A4D154018408}"/>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49" name="AutoShape 3" descr="Story">
          <a:hlinkClick xmlns:r="http://schemas.openxmlformats.org/officeDocument/2006/relationships" r:id="rId11"/>
          <a:extLst>
            <a:ext uri="{FF2B5EF4-FFF2-40B4-BE49-F238E27FC236}">
              <a16:creationId xmlns:a16="http://schemas.microsoft.com/office/drawing/2014/main" id="{D9CFBF06-B3B4-4C80-8BF5-2C1E99090FE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50" name="AutoShape 5" descr="Story">
          <a:hlinkClick xmlns:r="http://schemas.openxmlformats.org/officeDocument/2006/relationships" r:id="rId14"/>
          <a:extLst>
            <a:ext uri="{FF2B5EF4-FFF2-40B4-BE49-F238E27FC236}">
              <a16:creationId xmlns:a16="http://schemas.microsoft.com/office/drawing/2014/main" id="{CA9AE2F0-6228-40F6-8CBB-F480AD2A5C3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51" name="AutoShape 11" descr="Story">
          <a:hlinkClick xmlns:r="http://schemas.openxmlformats.org/officeDocument/2006/relationships" r:id="rId15"/>
          <a:extLst>
            <a:ext uri="{FF2B5EF4-FFF2-40B4-BE49-F238E27FC236}">
              <a16:creationId xmlns:a16="http://schemas.microsoft.com/office/drawing/2014/main" id="{40405741-6DB7-4D58-8C70-1E6B7B62961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52" name="AutoShape 12" descr="Story">
          <a:hlinkClick xmlns:r="http://schemas.openxmlformats.org/officeDocument/2006/relationships" r:id="rId12"/>
          <a:extLst>
            <a:ext uri="{FF2B5EF4-FFF2-40B4-BE49-F238E27FC236}">
              <a16:creationId xmlns:a16="http://schemas.microsoft.com/office/drawing/2014/main" id="{FC13328A-F90E-449E-9D20-DA3ED3072D6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53" name="AutoShape 15" descr="Story">
          <a:hlinkClick xmlns:r="http://schemas.openxmlformats.org/officeDocument/2006/relationships" r:id="rId4"/>
          <a:extLst>
            <a:ext uri="{FF2B5EF4-FFF2-40B4-BE49-F238E27FC236}">
              <a16:creationId xmlns:a16="http://schemas.microsoft.com/office/drawing/2014/main" id="{E720EB4D-C9E5-482A-998A-1CD5AC55B89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254" name="AutoShape 1" descr="Story">
          <a:hlinkClick xmlns:r="http://schemas.openxmlformats.org/officeDocument/2006/relationships" r:id="rId7"/>
          <a:extLst>
            <a:ext uri="{FF2B5EF4-FFF2-40B4-BE49-F238E27FC236}">
              <a16:creationId xmlns:a16="http://schemas.microsoft.com/office/drawing/2014/main" id="{0880E2EF-12B8-434D-9808-50D51C74C32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55" name="AutoShape 2" descr="Story">
          <a:hlinkClick xmlns:r="http://schemas.openxmlformats.org/officeDocument/2006/relationships" r:id="rId8"/>
          <a:extLst>
            <a:ext uri="{FF2B5EF4-FFF2-40B4-BE49-F238E27FC236}">
              <a16:creationId xmlns:a16="http://schemas.microsoft.com/office/drawing/2014/main" id="{664A0D54-C9FA-4547-9BF5-4FEF740DA44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56" name="AutoShape 5" descr="Story">
          <a:hlinkClick xmlns:r="http://schemas.openxmlformats.org/officeDocument/2006/relationships" r:id="rId6"/>
          <a:extLst>
            <a:ext uri="{FF2B5EF4-FFF2-40B4-BE49-F238E27FC236}">
              <a16:creationId xmlns:a16="http://schemas.microsoft.com/office/drawing/2014/main" id="{73CC9AD9-BFA4-421D-ACBA-5826280E10F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57" name="AutoShape 1" descr="Sub-task">
          <a:hlinkClick xmlns:r="http://schemas.openxmlformats.org/officeDocument/2006/relationships" r:id="rId9"/>
          <a:extLst>
            <a:ext uri="{FF2B5EF4-FFF2-40B4-BE49-F238E27FC236}">
              <a16:creationId xmlns:a16="http://schemas.microsoft.com/office/drawing/2014/main" id="{B53B4071-BFAC-463C-85C3-D29D128287F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58" name="AutoShape 2" descr="Sub-task">
          <a:hlinkClick xmlns:r="http://schemas.openxmlformats.org/officeDocument/2006/relationships" r:id="rId10"/>
          <a:extLst>
            <a:ext uri="{FF2B5EF4-FFF2-40B4-BE49-F238E27FC236}">
              <a16:creationId xmlns:a16="http://schemas.microsoft.com/office/drawing/2014/main" id="{027A2F79-B0B3-422A-A084-AA4D479F340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59" name="AutoShape 3" descr="Story">
          <a:hlinkClick xmlns:r="http://schemas.openxmlformats.org/officeDocument/2006/relationships" r:id="rId11"/>
          <a:extLst>
            <a:ext uri="{FF2B5EF4-FFF2-40B4-BE49-F238E27FC236}">
              <a16:creationId xmlns:a16="http://schemas.microsoft.com/office/drawing/2014/main" id="{42E42B12-FF23-42C2-9B9C-DFC278C376B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0" name="AutoShape 12" descr="Story">
          <a:hlinkClick xmlns:r="http://schemas.openxmlformats.org/officeDocument/2006/relationships" r:id="rId12"/>
          <a:extLst>
            <a:ext uri="{FF2B5EF4-FFF2-40B4-BE49-F238E27FC236}">
              <a16:creationId xmlns:a16="http://schemas.microsoft.com/office/drawing/2014/main" id="{5A92D316-6B7B-4DC1-98C0-78BAA6141E0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1" name="AutoShape 1" descr="Story">
          <a:hlinkClick xmlns:r="http://schemas.openxmlformats.org/officeDocument/2006/relationships" r:id="rId13"/>
          <a:extLst>
            <a:ext uri="{FF2B5EF4-FFF2-40B4-BE49-F238E27FC236}">
              <a16:creationId xmlns:a16="http://schemas.microsoft.com/office/drawing/2014/main" id="{56E2D4EF-EFE6-45CC-B0CB-9CCC82A393F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2" name="AutoShape 1" descr="Story">
          <a:hlinkClick xmlns:r="http://schemas.openxmlformats.org/officeDocument/2006/relationships" r:id="rId13"/>
          <a:extLst>
            <a:ext uri="{FF2B5EF4-FFF2-40B4-BE49-F238E27FC236}">
              <a16:creationId xmlns:a16="http://schemas.microsoft.com/office/drawing/2014/main" id="{B22F2C37-4094-4CE8-9FFA-F5B16A01AFF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3" name="AutoShape 3" descr="Story">
          <a:hlinkClick xmlns:r="http://schemas.openxmlformats.org/officeDocument/2006/relationships" r:id="rId4"/>
          <a:extLst>
            <a:ext uri="{FF2B5EF4-FFF2-40B4-BE49-F238E27FC236}">
              <a16:creationId xmlns:a16="http://schemas.microsoft.com/office/drawing/2014/main" id="{56DC1D3B-B5C6-47C5-B3BB-AD3DC8EBBBD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4" name="AutoShape 4" descr="Story">
          <a:hlinkClick xmlns:r="http://schemas.openxmlformats.org/officeDocument/2006/relationships" r:id="rId5"/>
          <a:extLst>
            <a:ext uri="{FF2B5EF4-FFF2-40B4-BE49-F238E27FC236}">
              <a16:creationId xmlns:a16="http://schemas.microsoft.com/office/drawing/2014/main" id="{ACE7E621-AAD9-409D-8ECA-CCFD121C398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65" name="AutoShape 7" descr="Story">
          <a:hlinkClick xmlns:r="http://schemas.openxmlformats.org/officeDocument/2006/relationships" r:id="rId3"/>
          <a:extLst>
            <a:ext uri="{FF2B5EF4-FFF2-40B4-BE49-F238E27FC236}">
              <a16:creationId xmlns:a16="http://schemas.microsoft.com/office/drawing/2014/main" id="{B9E95064-3EC7-47F8-AB75-800C5C977D8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1304</xdr:row>
      <xdr:rowOff>0</xdr:rowOff>
    </xdr:from>
    <xdr:to>
      <xdr:col>0</xdr:col>
      <xdr:colOff>152400</xdr:colOff>
      <xdr:row>1304</xdr:row>
      <xdr:rowOff>152400</xdr:rowOff>
    </xdr:to>
    <xdr:sp macro="" textlink="">
      <xdr:nvSpPr>
        <xdr:cNvPr id="2266" name="AutoShape 2" descr="Story">
          <a:hlinkClick xmlns:r="http://schemas.openxmlformats.org/officeDocument/2006/relationships" r:id="rId12"/>
          <a:extLst>
            <a:ext uri="{FF2B5EF4-FFF2-40B4-BE49-F238E27FC236}">
              <a16:creationId xmlns:a16="http://schemas.microsoft.com/office/drawing/2014/main" id="{65A29D2B-1FF9-484F-8852-61BE8F7026A9}"/>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67" name="AutoShape 3" descr="Story">
          <a:hlinkClick xmlns:r="http://schemas.openxmlformats.org/officeDocument/2006/relationships" r:id="rId11"/>
          <a:extLst>
            <a:ext uri="{FF2B5EF4-FFF2-40B4-BE49-F238E27FC236}">
              <a16:creationId xmlns:a16="http://schemas.microsoft.com/office/drawing/2014/main" id="{68912508-C66D-4151-A6B6-AEB5EFF9814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68" name="AutoShape 5" descr="Story">
          <a:hlinkClick xmlns:r="http://schemas.openxmlformats.org/officeDocument/2006/relationships" r:id="rId14"/>
          <a:extLst>
            <a:ext uri="{FF2B5EF4-FFF2-40B4-BE49-F238E27FC236}">
              <a16:creationId xmlns:a16="http://schemas.microsoft.com/office/drawing/2014/main" id="{BA0D55CC-F297-4250-A31B-B0F3D7D66CA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69" name="AutoShape 11" descr="Story">
          <a:hlinkClick xmlns:r="http://schemas.openxmlformats.org/officeDocument/2006/relationships" r:id="rId15"/>
          <a:extLst>
            <a:ext uri="{FF2B5EF4-FFF2-40B4-BE49-F238E27FC236}">
              <a16:creationId xmlns:a16="http://schemas.microsoft.com/office/drawing/2014/main" id="{1F75D762-DEB7-4D12-AF1B-4D1143D93F1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70" name="AutoShape 12" descr="Story">
          <a:hlinkClick xmlns:r="http://schemas.openxmlformats.org/officeDocument/2006/relationships" r:id="rId12"/>
          <a:extLst>
            <a:ext uri="{FF2B5EF4-FFF2-40B4-BE49-F238E27FC236}">
              <a16:creationId xmlns:a16="http://schemas.microsoft.com/office/drawing/2014/main" id="{54F5FB6F-653E-4BB7-88FA-AA46C256F72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71" name="AutoShape 15" descr="Story">
          <a:hlinkClick xmlns:r="http://schemas.openxmlformats.org/officeDocument/2006/relationships" r:id="rId4"/>
          <a:extLst>
            <a:ext uri="{FF2B5EF4-FFF2-40B4-BE49-F238E27FC236}">
              <a16:creationId xmlns:a16="http://schemas.microsoft.com/office/drawing/2014/main" id="{09C9FA9C-64E2-464E-B0C6-EB93630F052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272" name="AutoShape 1" descr="Story">
          <a:hlinkClick xmlns:r="http://schemas.openxmlformats.org/officeDocument/2006/relationships" r:id="rId7"/>
          <a:extLst>
            <a:ext uri="{FF2B5EF4-FFF2-40B4-BE49-F238E27FC236}">
              <a16:creationId xmlns:a16="http://schemas.microsoft.com/office/drawing/2014/main" id="{DE24A983-4B85-4148-8168-40BCA66F3C5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3" name="AutoShape 2" descr="Story">
          <a:hlinkClick xmlns:r="http://schemas.openxmlformats.org/officeDocument/2006/relationships" r:id="rId8"/>
          <a:extLst>
            <a:ext uri="{FF2B5EF4-FFF2-40B4-BE49-F238E27FC236}">
              <a16:creationId xmlns:a16="http://schemas.microsoft.com/office/drawing/2014/main" id="{586E470B-1161-430D-B714-6035D23ECFE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4" name="AutoShape 5" descr="Story">
          <a:hlinkClick xmlns:r="http://schemas.openxmlformats.org/officeDocument/2006/relationships" r:id="rId6"/>
          <a:extLst>
            <a:ext uri="{FF2B5EF4-FFF2-40B4-BE49-F238E27FC236}">
              <a16:creationId xmlns:a16="http://schemas.microsoft.com/office/drawing/2014/main" id="{64B25FC5-E56E-400F-9F78-9A738D89A67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5" name="AutoShape 1" descr="Sub-task">
          <a:hlinkClick xmlns:r="http://schemas.openxmlformats.org/officeDocument/2006/relationships" r:id="rId9"/>
          <a:extLst>
            <a:ext uri="{FF2B5EF4-FFF2-40B4-BE49-F238E27FC236}">
              <a16:creationId xmlns:a16="http://schemas.microsoft.com/office/drawing/2014/main" id="{A296316B-0AE4-47C5-B68B-A5190EBBDD2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6" name="AutoShape 2" descr="Sub-task">
          <a:hlinkClick xmlns:r="http://schemas.openxmlformats.org/officeDocument/2006/relationships" r:id="rId10"/>
          <a:extLst>
            <a:ext uri="{FF2B5EF4-FFF2-40B4-BE49-F238E27FC236}">
              <a16:creationId xmlns:a16="http://schemas.microsoft.com/office/drawing/2014/main" id="{9788103E-A22D-4EF2-A0EA-C563F3806C4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7" name="AutoShape 3" descr="Story">
          <a:hlinkClick xmlns:r="http://schemas.openxmlformats.org/officeDocument/2006/relationships" r:id="rId11"/>
          <a:extLst>
            <a:ext uri="{FF2B5EF4-FFF2-40B4-BE49-F238E27FC236}">
              <a16:creationId xmlns:a16="http://schemas.microsoft.com/office/drawing/2014/main" id="{9AFB145F-E171-42CF-A6AC-078671347B9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8" name="AutoShape 12" descr="Story">
          <a:hlinkClick xmlns:r="http://schemas.openxmlformats.org/officeDocument/2006/relationships" r:id="rId12"/>
          <a:extLst>
            <a:ext uri="{FF2B5EF4-FFF2-40B4-BE49-F238E27FC236}">
              <a16:creationId xmlns:a16="http://schemas.microsoft.com/office/drawing/2014/main" id="{39B8FA42-964C-414F-A882-B554476CB62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79" name="AutoShape 1" descr="Story">
          <a:hlinkClick xmlns:r="http://schemas.openxmlformats.org/officeDocument/2006/relationships" r:id="rId13"/>
          <a:extLst>
            <a:ext uri="{FF2B5EF4-FFF2-40B4-BE49-F238E27FC236}">
              <a16:creationId xmlns:a16="http://schemas.microsoft.com/office/drawing/2014/main" id="{3BB1D2CA-8B31-4A4F-95F4-2BF58497989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80" name="AutoShape 1" descr="Story">
          <a:hlinkClick xmlns:r="http://schemas.openxmlformats.org/officeDocument/2006/relationships" r:id="rId13"/>
          <a:extLst>
            <a:ext uri="{FF2B5EF4-FFF2-40B4-BE49-F238E27FC236}">
              <a16:creationId xmlns:a16="http://schemas.microsoft.com/office/drawing/2014/main" id="{4C47CFC9-D8DB-4920-9B9E-AEA8A114B40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81" name="AutoShape 3" descr="Story">
          <a:hlinkClick xmlns:r="http://schemas.openxmlformats.org/officeDocument/2006/relationships" r:id="rId4"/>
          <a:extLst>
            <a:ext uri="{FF2B5EF4-FFF2-40B4-BE49-F238E27FC236}">
              <a16:creationId xmlns:a16="http://schemas.microsoft.com/office/drawing/2014/main" id="{CB5828DD-D6CE-4F86-BCB5-75621EA253F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82" name="AutoShape 4" descr="Story">
          <a:hlinkClick xmlns:r="http://schemas.openxmlformats.org/officeDocument/2006/relationships" r:id="rId5"/>
          <a:extLst>
            <a:ext uri="{FF2B5EF4-FFF2-40B4-BE49-F238E27FC236}">
              <a16:creationId xmlns:a16="http://schemas.microsoft.com/office/drawing/2014/main" id="{97653C6A-DB81-44EF-B459-71586AF42E0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83" name="AutoShape 7" descr="Story">
          <a:hlinkClick xmlns:r="http://schemas.openxmlformats.org/officeDocument/2006/relationships" r:id="rId3"/>
          <a:extLst>
            <a:ext uri="{FF2B5EF4-FFF2-40B4-BE49-F238E27FC236}">
              <a16:creationId xmlns:a16="http://schemas.microsoft.com/office/drawing/2014/main" id="{DC184210-1963-4FD7-93D1-FD9A8F7457B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1304</xdr:row>
      <xdr:rowOff>0</xdr:rowOff>
    </xdr:from>
    <xdr:to>
      <xdr:col>0</xdr:col>
      <xdr:colOff>152400</xdr:colOff>
      <xdr:row>1304</xdr:row>
      <xdr:rowOff>152400</xdr:rowOff>
    </xdr:to>
    <xdr:sp macro="" textlink="">
      <xdr:nvSpPr>
        <xdr:cNvPr id="2284" name="AutoShape 2" descr="Story">
          <a:hlinkClick xmlns:r="http://schemas.openxmlformats.org/officeDocument/2006/relationships" r:id="rId12"/>
          <a:extLst>
            <a:ext uri="{FF2B5EF4-FFF2-40B4-BE49-F238E27FC236}">
              <a16:creationId xmlns:a16="http://schemas.microsoft.com/office/drawing/2014/main" id="{17BA9478-8A6D-4E3C-A5E2-0FCCF6AF5D8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85" name="AutoShape 3" descr="Story">
          <a:hlinkClick xmlns:r="http://schemas.openxmlformats.org/officeDocument/2006/relationships" r:id="rId11"/>
          <a:extLst>
            <a:ext uri="{FF2B5EF4-FFF2-40B4-BE49-F238E27FC236}">
              <a16:creationId xmlns:a16="http://schemas.microsoft.com/office/drawing/2014/main" id="{398C1069-28D3-4B28-B605-D7134C27D98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86" name="AutoShape 5" descr="Story">
          <a:hlinkClick xmlns:r="http://schemas.openxmlformats.org/officeDocument/2006/relationships" r:id="rId14"/>
          <a:extLst>
            <a:ext uri="{FF2B5EF4-FFF2-40B4-BE49-F238E27FC236}">
              <a16:creationId xmlns:a16="http://schemas.microsoft.com/office/drawing/2014/main" id="{69B8CBD2-2AA1-49E6-9DAB-BB2D3AE1DBB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87" name="AutoShape 11" descr="Story">
          <a:hlinkClick xmlns:r="http://schemas.openxmlformats.org/officeDocument/2006/relationships" r:id="rId15"/>
          <a:extLst>
            <a:ext uri="{FF2B5EF4-FFF2-40B4-BE49-F238E27FC236}">
              <a16:creationId xmlns:a16="http://schemas.microsoft.com/office/drawing/2014/main" id="{E8324F6D-C448-452C-81C1-3ED0DD72ED1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288" name="AutoShape 12" descr="Story">
          <a:hlinkClick xmlns:r="http://schemas.openxmlformats.org/officeDocument/2006/relationships" r:id="rId12"/>
          <a:extLst>
            <a:ext uri="{FF2B5EF4-FFF2-40B4-BE49-F238E27FC236}">
              <a16:creationId xmlns:a16="http://schemas.microsoft.com/office/drawing/2014/main" id="{29A7C39B-8DD0-403B-87E8-93955B7B2AC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1304</xdr:row>
      <xdr:rowOff>0</xdr:rowOff>
    </xdr:from>
    <xdr:to>
      <xdr:col>0</xdr:col>
      <xdr:colOff>152400</xdr:colOff>
      <xdr:row>1304</xdr:row>
      <xdr:rowOff>152400</xdr:rowOff>
    </xdr:to>
    <xdr:sp macro="" textlink="">
      <xdr:nvSpPr>
        <xdr:cNvPr id="2289" name="AutoShape 15" descr="Story">
          <a:hlinkClick xmlns:r="http://schemas.openxmlformats.org/officeDocument/2006/relationships" r:id="rId4"/>
          <a:extLst>
            <a:ext uri="{FF2B5EF4-FFF2-40B4-BE49-F238E27FC236}">
              <a16:creationId xmlns:a16="http://schemas.microsoft.com/office/drawing/2014/main" id="{4FD2A674-87DA-47AE-BF54-F4BC2FEB44A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290" name="AutoShape 1" descr="Story">
          <a:hlinkClick xmlns:r="http://schemas.openxmlformats.org/officeDocument/2006/relationships" r:id="rId7"/>
          <a:extLst>
            <a:ext uri="{FF2B5EF4-FFF2-40B4-BE49-F238E27FC236}">
              <a16:creationId xmlns:a16="http://schemas.microsoft.com/office/drawing/2014/main" id="{2E927060-5770-4681-8273-CB27017CF66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1" name="AutoShape 2" descr="Story">
          <a:hlinkClick xmlns:r="http://schemas.openxmlformats.org/officeDocument/2006/relationships" r:id="rId8"/>
          <a:extLst>
            <a:ext uri="{FF2B5EF4-FFF2-40B4-BE49-F238E27FC236}">
              <a16:creationId xmlns:a16="http://schemas.microsoft.com/office/drawing/2014/main" id="{10586AF7-8889-45F3-906F-6DB8D634A7D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2" name="AutoShape 5" descr="Story">
          <a:hlinkClick xmlns:r="http://schemas.openxmlformats.org/officeDocument/2006/relationships" r:id="rId6"/>
          <a:extLst>
            <a:ext uri="{FF2B5EF4-FFF2-40B4-BE49-F238E27FC236}">
              <a16:creationId xmlns:a16="http://schemas.microsoft.com/office/drawing/2014/main" id="{6B0E61B3-35C0-422F-B222-5DD8EB282DF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3" name="AutoShape 1" descr="Sub-task">
          <a:hlinkClick xmlns:r="http://schemas.openxmlformats.org/officeDocument/2006/relationships" r:id="rId9"/>
          <a:extLst>
            <a:ext uri="{FF2B5EF4-FFF2-40B4-BE49-F238E27FC236}">
              <a16:creationId xmlns:a16="http://schemas.microsoft.com/office/drawing/2014/main" id="{9158E206-3AF5-47E0-8B91-2E91C2033D9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4" name="AutoShape 2" descr="Sub-task">
          <a:hlinkClick xmlns:r="http://schemas.openxmlformats.org/officeDocument/2006/relationships" r:id="rId10"/>
          <a:extLst>
            <a:ext uri="{FF2B5EF4-FFF2-40B4-BE49-F238E27FC236}">
              <a16:creationId xmlns:a16="http://schemas.microsoft.com/office/drawing/2014/main" id="{4590F490-FE42-4A15-8B2B-ED3B6DFAF26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5" name="AutoShape 3" descr="Story">
          <a:hlinkClick xmlns:r="http://schemas.openxmlformats.org/officeDocument/2006/relationships" r:id="rId11"/>
          <a:extLst>
            <a:ext uri="{FF2B5EF4-FFF2-40B4-BE49-F238E27FC236}">
              <a16:creationId xmlns:a16="http://schemas.microsoft.com/office/drawing/2014/main" id="{5171314F-6E5D-446D-A8C2-3F7AA41D324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6" name="AutoShape 12" descr="Story">
          <a:hlinkClick xmlns:r="http://schemas.openxmlformats.org/officeDocument/2006/relationships" r:id="rId12"/>
          <a:extLst>
            <a:ext uri="{FF2B5EF4-FFF2-40B4-BE49-F238E27FC236}">
              <a16:creationId xmlns:a16="http://schemas.microsoft.com/office/drawing/2014/main" id="{A56F5936-7CD5-4A75-BCEB-56B1A2BB325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7" name="AutoShape 1" descr="Story">
          <a:hlinkClick xmlns:r="http://schemas.openxmlformats.org/officeDocument/2006/relationships" r:id="rId13"/>
          <a:extLst>
            <a:ext uri="{FF2B5EF4-FFF2-40B4-BE49-F238E27FC236}">
              <a16:creationId xmlns:a16="http://schemas.microsoft.com/office/drawing/2014/main" id="{F8E147FE-EB7D-4360-BDA8-8DFB7FA649F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8" name="AutoShape 1" descr="Story">
          <a:hlinkClick xmlns:r="http://schemas.openxmlformats.org/officeDocument/2006/relationships" r:id="rId13"/>
          <a:extLst>
            <a:ext uri="{FF2B5EF4-FFF2-40B4-BE49-F238E27FC236}">
              <a16:creationId xmlns:a16="http://schemas.microsoft.com/office/drawing/2014/main" id="{2D80EF92-E96C-48E9-9312-FF01F471BE2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299" name="AutoShape 3" descr="Story">
          <a:hlinkClick xmlns:r="http://schemas.openxmlformats.org/officeDocument/2006/relationships" r:id="rId4"/>
          <a:extLst>
            <a:ext uri="{FF2B5EF4-FFF2-40B4-BE49-F238E27FC236}">
              <a16:creationId xmlns:a16="http://schemas.microsoft.com/office/drawing/2014/main" id="{0D465399-EA3E-4B9D-87A0-DE0A0D90258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300" name="AutoShape 4" descr="Story">
          <a:hlinkClick xmlns:r="http://schemas.openxmlformats.org/officeDocument/2006/relationships" r:id="rId5"/>
          <a:extLst>
            <a:ext uri="{FF2B5EF4-FFF2-40B4-BE49-F238E27FC236}">
              <a16:creationId xmlns:a16="http://schemas.microsoft.com/office/drawing/2014/main" id="{8F31A172-67C5-4626-9839-2D22F75B715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301" name="AutoShape 7" descr="Story">
          <a:hlinkClick xmlns:r="http://schemas.openxmlformats.org/officeDocument/2006/relationships" r:id="rId3"/>
          <a:extLst>
            <a:ext uri="{FF2B5EF4-FFF2-40B4-BE49-F238E27FC236}">
              <a16:creationId xmlns:a16="http://schemas.microsoft.com/office/drawing/2014/main" id="{E46ED450-414D-4BA1-ACE6-E2F69337BF8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2302" name="AutoShape 1" descr="Story">
          <a:hlinkClick xmlns:r="http://schemas.openxmlformats.org/officeDocument/2006/relationships" r:id="rId13"/>
          <a:extLst>
            <a:ext uri="{FF2B5EF4-FFF2-40B4-BE49-F238E27FC236}">
              <a16:creationId xmlns:a16="http://schemas.microsoft.com/office/drawing/2014/main" id="{0944A4CD-7110-4CBB-9A2C-81DC47F6504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303" name="AutoShape 1" descr="Story">
          <a:hlinkClick xmlns:r="http://schemas.openxmlformats.org/officeDocument/2006/relationships" r:id="rId13"/>
          <a:extLst>
            <a:ext uri="{FF2B5EF4-FFF2-40B4-BE49-F238E27FC236}">
              <a16:creationId xmlns:a16="http://schemas.microsoft.com/office/drawing/2014/main" id="{3FC32E4F-851C-49DD-AF53-E27F83A0A07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304" name="AutoShape 1" descr="Story">
          <a:hlinkClick xmlns:r="http://schemas.openxmlformats.org/officeDocument/2006/relationships" r:id="rId13"/>
          <a:extLst>
            <a:ext uri="{FF2B5EF4-FFF2-40B4-BE49-F238E27FC236}">
              <a16:creationId xmlns:a16="http://schemas.microsoft.com/office/drawing/2014/main" id="{95BEBA81-25DE-46C7-8083-AFB05D13474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305" name="AutoShape 1" descr="Story">
          <a:hlinkClick xmlns:r="http://schemas.openxmlformats.org/officeDocument/2006/relationships" r:id="rId13"/>
          <a:extLst>
            <a:ext uri="{FF2B5EF4-FFF2-40B4-BE49-F238E27FC236}">
              <a16:creationId xmlns:a16="http://schemas.microsoft.com/office/drawing/2014/main" id="{D49B8E0E-11FE-46DA-BB78-1C1938C80F9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306" name="AutoShape 1" descr="Story">
          <a:hlinkClick xmlns:r="http://schemas.openxmlformats.org/officeDocument/2006/relationships" r:id="rId13"/>
          <a:extLst>
            <a:ext uri="{FF2B5EF4-FFF2-40B4-BE49-F238E27FC236}">
              <a16:creationId xmlns:a16="http://schemas.microsoft.com/office/drawing/2014/main" id="{DB383B5B-B4AA-4BDF-8DCC-3E8D4F805FF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07" name="AutoShape 4" descr="Bug">
          <a:hlinkClick xmlns:r="http://schemas.openxmlformats.org/officeDocument/2006/relationships" r:id="rId1"/>
          <a:extLst>
            <a:ext uri="{FF2B5EF4-FFF2-40B4-BE49-F238E27FC236}">
              <a16:creationId xmlns:a16="http://schemas.microsoft.com/office/drawing/2014/main" id="{F7081E8A-DF33-48F4-827F-86C3AC5E2BB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08" name="AutoShape 6" descr="Bug">
          <a:hlinkClick xmlns:r="http://schemas.openxmlformats.org/officeDocument/2006/relationships" r:id="rId2"/>
          <a:extLst>
            <a:ext uri="{FF2B5EF4-FFF2-40B4-BE49-F238E27FC236}">
              <a16:creationId xmlns:a16="http://schemas.microsoft.com/office/drawing/2014/main" id="{647DAB49-5FE2-42DD-B831-FDBDAEF2ED8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09" name="AutoShape 7" descr="Story">
          <a:hlinkClick xmlns:r="http://schemas.openxmlformats.org/officeDocument/2006/relationships" r:id="rId3"/>
          <a:extLst>
            <a:ext uri="{FF2B5EF4-FFF2-40B4-BE49-F238E27FC236}">
              <a16:creationId xmlns:a16="http://schemas.microsoft.com/office/drawing/2014/main" id="{3AFDD7E7-4CC8-4429-85BA-A525C4BB1DD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10" name="AutoShape 8" descr="Story">
          <a:hlinkClick xmlns:r="http://schemas.openxmlformats.org/officeDocument/2006/relationships" r:id="rId4"/>
          <a:extLst>
            <a:ext uri="{FF2B5EF4-FFF2-40B4-BE49-F238E27FC236}">
              <a16:creationId xmlns:a16="http://schemas.microsoft.com/office/drawing/2014/main" id="{4F647A10-A10D-4C87-AFCD-1EDF62EC80B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11" name="AutoShape 9" descr="Story">
          <a:hlinkClick xmlns:r="http://schemas.openxmlformats.org/officeDocument/2006/relationships" r:id="rId5"/>
          <a:extLst>
            <a:ext uri="{FF2B5EF4-FFF2-40B4-BE49-F238E27FC236}">
              <a16:creationId xmlns:a16="http://schemas.microsoft.com/office/drawing/2014/main" id="{72BC7912-5806-4975-AAC4-94B74F34694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12" name="AutoShape 13" descr="Story">
          <a:hlinkClick xmlns:r="http://schemas.openxmlformats.org/officeDocument/2006/relationships" r:id="rId4"/>
          <a:extLst>
            <a:ext uri="{FF2B5EF4-FFF2-40B4-BE49-F238E27FC236}">
              <a16:creationId xmlns:a16="http://schemas.microsoft.com/office/drawing/2014/main" id="{B393858A-D169-443D-AE7B-361337FB271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1299</xdr:row>
      <xdr:rowOff>0</xdr:rowOff>
    </xdr:from>
    <xdr:ext cx="152400" cy="152400"/>
    <xdr:sp macro="" textlink="">
      <xdr:nvSpPr>
        <xdr:cNvPr id="2313" name="AutoShape 1" descr="Story">
          <a:hlinkClick xmlns:r="http://schemas.openxmlformats.org/officeDocument/2006/relationships" r:id="rId7"/>
          <a:extLst>
            <a:ext uri="{FF2B5EF4-FFF2-40B4-BE49-F238E27FC236}">
              <a16:creationId xmlns:a16="http://schemas.microsoft.com/office/drawing/2014/main" id="{2FF2491D-3510-4EF1-851D-28D96818992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4" name="AutoShape 2" descr="Story">
          <a:hlinkClick xmlns:r="http://schemas.openxmlformats.org/officeDocument/2006/relationships" r:id="rId8"/>
          <a:extLst>
            <a:ext uri="{FF2B5EF4-FFF2-40B4-BE49-F238E27FC236}">
              <a16:creationId xmlns:a16="http://schemas.microsoft.com/office/drawing/2014/main" id="{750E7AA9-1F98-41EB-A800-EEF9149A1B8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5" name="AutoShape 5" descr="Story">
          <a:hlinkClick xmlns:r="http://schemas.openxmlformats.org/officeDocument/2006/relationships" r:id="rId6"/>
          <a:extLst>
            <a:ext uri="{FF2B5EF4-FFF2-40B4-BE49-F238E27FC236}">
              <a16:creationId xmlns:a16="http://schemas.microsoft.com/office/drawing/2014/main" id="{6719CD6C-36E8-4095-A797-EE0495AD1C8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6" name="AutoShape 1" descr="Sub-task">
          <a:hlinkClick xmlns:r="http://schemas.openxmlformats.org/officeDocument/2006/relationships" r:id="rId9"/>
          <a:extLst>
            <a:ext uri="{FF2B5EF4-FFF2-40B4-BE49-F238E27FC236}">
              <a16:creationId xmlns:a16="http://schemas.microsoft.com/office/drawing/2014/main" id="{BAECC618-02CB-43A6-A256-22005864A00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7" name="AutoShape 2" descr="Sub-task">
          <a:hlinkClick xmlns:r="http://schemas.openxmlformats.org/officeDocument/2006/relationships" r:id="rId10"/>
          <a:extLst>
            <a:ext uri="{FF2B5EF4-FFF2-40B4-BE49-F238E27FC236}">
              <a16:creationId xmlns:a16="http://schemas.microsoft.com/office/drawing/2014/main" id="{EF66E74A-2D7C-47FD-8705-F71D8D5DDA8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8" name="AutoShape 3" descr="Story">
          <a:hlinkClick xmlns:r="http://schemas.openxmlformats.org/officeDocument/2006/relationships" r:id="rId11"/>
          <a:extLst>
            <a:ext uri="{FF2B5EF4-FFF2-40B4-BE49-F238E27FC236}">
              <a16:creationId xmlns:a16="http://schemas.microsoft.com/office/drawing/2014/main" id="{92200097-7917-4AB6-B0AA-39B91A51ADE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19" name="AutoShape 12" descr="Story">
          <a:hlinkClick xmlns:r="http://schemas.openxmlformats.org/officeDocument/2006/relationships" r:id="rId12"/>
          <a:extLst>
            <a:ext uri="{FF2B5EF4-FFF2-40B4-BE49-F238E27FC236}">
              <a16:creationId xmlns:a16="http://schemas.microsoft.com/office/drawing/2014/main" id="{53E78B67-1D48-4CCA-A496-C7086C49999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0" name="AutoShape 1" descr="Story">
          <a:hlinkClick xmlns:r="http://schemas.openxmlformats.org/officeDocument/2006/relationships" r:id="rId13"/>
          <a:extLst>
            <a:ext uri="{FF2B5EF4-FFF2-40B4-BE49-F238E27FC236}">
              <a16:creationId xmlns:a16="http://schemas.microsoft.com/office/drawing/2014/main" id="{09C9D4AB-CB3F-4AB0-9A3F-EDF5DD3451C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1" name="AutoShape 1" descr="Story">
          <a:hlinkClick xmlns:r="http://schemas.openxmlformats.org/officeDocument/2006/relationships" r:id="rId13"/>
          <a:extLst>
            <a:ext uri="{FF2B5EF4-FFF2-40B4-BE49-F238E27FC236}">
              <a16:creationId xmlns:a16="http://schemas.microsoft.com/office/drawing/2014/main" id="{DA455417-B5B4-46D9-A418-6C67EBC0C5A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2" name="AutoShape 3" descr="Story">
          <a:hlinkClick xmlns:r="http://schemas.openxmlformats.org/officeDocument/2006/relationships" r:id="rId4"/>
          <a:extLst>
            <a:ext uri="{FF2B5EF4-FFF2-40B4-BE49-F238E27FC236}">
              <a16:creationId xmlns:a16="http://schemas.microsoft.com/office/drawing/2014/main" id="{8B18EBE9-29BB-4841-822F-D0C3243DE43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3" name="AutoShape 4" descr="Story">
          <a:hlinkClick xmlns:r="http://schemas.openxmlformats.org/officeDocument/2006/relationships" r:id="rId5"/>
          <a:extLst>
            <a:ext uri="{FF2B5EF4-FFF2-40B4-BE49-F238E27FC236}">
              <a16:creationId xmlns:a16="http://schemas.microsoft.com/office/drawing/2014/main" id="{B9261155-4BC0-471A-8907-28521D5DA88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4" name="AutoShape 3" descr="Story">
          <a:hlinkClick xmlns:r="http://schemas.openxmlformats.org/officeDocument/2006/relationships" r:id="rId4"/>
          <a:extLst>
            <a:ext uri="{FF2B5EF4-FFF2-40B4-BE49-F238E27FC236}">
              <a16:creationId xmlns:a16="http://schemas.microsoft.com/office/drawing/2014/main" id="{F0A31575-651B-4CAE-89AE-0EAFF946E0D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5" name="AutoShape 4" descr="Story">
          <a:hlinkClick xmlns:r="http://schemas.openxmlformats.org/officeDocument/2006/relationships" r:id="rId5"/>
          <a:extLst>
            <a:ext uri="{FF2B5EF4-FFF2-40B4-BE49-F238E27FC236}">
              <a16:creationId xmlns:a16="http://schemas.microsoft.com/office/drawing/2014/main" id="{CFAC6B00-342B-443A-B1E0-3E36DC5AD28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6" name="AutoShape 7" descr="Story">
          <a:hlinkClick xmlns:r="http://schemas.openxmlformats.org/officeDocument/2006/relationships" r:id="rId3"/>
          <a:extLst>
            <a:ext uri="{FF2B5EF4-FFF2-40B4-BE49-F238E27FC236}">
              <a16:creationId xmlns:a16="http://schemas.microsoft.com/office/drawing/2014/main" id="{15372E16-81AB-4909-A953-A4C81719CFE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7" name="AutoShape 8" descr="Story">
          <a:hlinkClick xmlns:r="http://schemas.openxmlformats.org/officeDocument/2006/relationships" r:id="rId4"/>
          <a:extLst>
            <a:ext uri="{FF2B5EF4-FFF2-40B4-BE49-F238E27FC236}">
              <a16:creationId xmlns:a16="http://schemas.microsoft.com/office/drawing/2014/main" id="{A655263E-6717-4F0F-882D-0CED28969AC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28" name="AutoShape 8" descr="Story">
          <a:hlinkClick xmlns:r="http://schemas.openxmlformats.org/officeDocument/2006/relationships" r:id="rId4"/>
          <a:extLst>
            <a:ext uri="{FF2B5EF4-FFF2-40B4-BE49-F238E27FC236}">
              <a16:creationId xmlns:a16="http://schemas.microsoft.com/office/drawing/2014/main" id="{0778AE59-4612-4411-8B9B-97697F26C57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2329" name="AutoShape 4" descr="Bug">
          <a:hlinkClick xmlns:r="http://schemas.openxmlformats.org/officeDocument/2006/relationships" r:id="rId1"/>
          <a:extLst>
            <a:ext uri="{FF2B5EF4-FFF2-40B4-BE49-F238E27FC236}">
              <a16:creationId xmlns:a16="http://schemas.microsoft.com/office/drawing/2014/main" id="{4CB4A968-5BE9-403F-9537-BBF37A4B2E1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30" name="AutoShape 6" descr="Bug">
          <a:hlinkClick xmlns:r="http://schemas.openxmlformats.org/officeDocument/2006/relationships" r:id="rId2"/>
          <a:extLst>
            <a:ext uri="{FF2B5EF4-FFF2-40B4-BE49-F238E27FC236}">
              <a16:creationId xmlns:a16="http://schemas.microsoft.com/office/drawing/2014/main" id="{B41C3B09-2C42-42E5-9C63-9C2D72934D7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31" name="AutoShape 7" descr="Story">
          <a:hlinkClick xmlns:r="http://schemas.openxmlformats.org/officeDocument/2006/relationships" r:id="rId3"/>
          <a:extLst>
            <a:ext uri="{FF2B5EF4-FFF2-40B4-BE49-F238E27FC236}">
              <a16:creationId xmlns:a16="http://schemas.microsoft.com/office/drawing/2014/main" id="{CBC6A144-5A50-4083-9CFE-4FFEEE9F042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32" name="AutoShape 8" descr="Story">
          <a:hlinkClick xmlns:r="http://schemas.openxmlformats.org/officeDocument/2006/relationships" r:id="rId4"/>
          <a:extLst>
            <a:ext uri="{FF2B5EF4-FFF2-40B4-BE49-F238E27FC236}">
              <a16:creationId xmlns:a16="http://schemas.microsoft.com/office/drawing/2014/main" id="{EA547921-2D48-42C3-BC2D-6B0ECDC9E95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33" name="AutoShape 9" descr="Story">
          <a:hlinkClick xmlns:r="http://schemas.openxmlformats.org/officeDocument/2006/relationships" r:id="rId5"/>
          <a:extLst>
            <a:ext uri="{FF2B5EF4-FFF2-40B4-BE49-F238E27FC236}">
              <a16:creationId xmlns:a16="http://schemas.microsoft.com/office/drawing/2014/main" id="{F11885AB-1D3F-47EF-838A-9F819F8C817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34" name="AutoShape 13" descr="Story">
          <a:hlinkClick xmlns:r="http://schemas.openxmlformats.org/officeDocument/2006/relationships" r:id="rId4"/>
          <a:extLst>
            <a:ext uri="{FF2B5EF4-FFF2-40B4-BE49-F238E27FC236}">
              <a16:creationId xmlns:a16="http://schemas.microsoft.com/office/drawing/2014/main" id="{6232DBA9-0856-4119-BB60-FA1F70A6222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1299</xdr:row>
      <xdr:rowOff>0</xdr:rowOff>
    </xdr:from>
    <xdr:ext cx="152400" cy="152400"/>
    <xdr:sp macro="" textlink="">
      <xdr:nvSpPr>
        <xdr:cNvPr id="2335" name="AutoShape 1" descr="Story">
          <a:hlinkClick xmlns:r="http://schemas.openxmlformats.org/officeDocument/2006/relationships" r:id="rId7"/>
          <a:extLst>
            <a:ext uri="{FF2B5EF4-FFF2-40B4-BE49-F238E27FC236}">
              <a16:creationId xmlns:a16="http://schemas.microsoft.com/office/drawing/2014/main" id="{4C3010E7-4694-471E-9CE5-AADF2251AEA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36" name="AutoShape 2" descr="Story">
          <a:hlinkClick xmlns:r="http://schemas.openxmlformats.org/officeDocument/2006/relationships" r:id="rId8"/>
          <a:extLst>
            <a:ext uri="{FF2B5EF4-FFF2-40B4-BE49-F238E27FC236}">
              <a16:creationId xmlns:a16="http://schemas.microsoft.com/office/drawing/2014/main" id="{4C79265C-3A05-4E15-BD41-8B294B4A92AC}"/>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37" name="AutoShape 5" descr="Story">
          <a:hlinkClick xmlns:r="http://schemas.openxmlformats.org/officeDocument/2006/relationships" r:id="rId6"/>
          <a:extLst>
            <a:ext uri="{FF2B5EF4-FFF2-40B4-BE49-F238E27FC236}">
              <a16:creationId xmlns:a16="http://schemas.microsoft.com/office/drawing/2014/main" id="{0ED08503-FF9E-4D57-BAF1-AA366986382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38" name="AutoShape 1" descr="Sub-task">
          <a:hlinkClick xmlns:r="http://schemas.openxmlformats.org/officeDocument/2006/relationships" r:id="rId9"/>
          <a:extLst>
            <a:ext uri="{FF2B5EF4-FFF2-40B4-BE49-F238E27FC236}">
              <a16:creationId xmlns:a16="http://schemas.microsoft.com/office/drawing/2014/main" id="{E797C3FC-F238-4A23-9F55-96CD3E98864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39" name="AutoShape 2" descr="Sub-task">
          <a:hlinkClick xmlns:r="http://schemas.openxmlformats.org/officeDocument/2006/relationships" r:id="rId10"/>
          <a:extLst>
            <a:ext uri="{FF2B5EF4-FFF2-40B4-BE49-F238E27FC236}">
              <a16:creationId xmlns:a16="http://schemas.microsoft.com/office/drawing/2014/main" id="{83C854D5-C12A-4F99-90FF-5D9847326DB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0" name="AutoShape 3" descr="Story">
          <a:hlinkClick xmlns:r="http://schemas.openxmlformats.org/officeDocument/2006/relationships" r:id="rId11"/>
          <a:extLst>
            <a:ext uri="{FF2B5EF4-FFF2-40B4-BE49-F238E27FC236}">
              <a16:creationId xmlns:a16="http://schemas.microsoft.com/office/drawing/2014/main" id="{73FF139E-DA31-46F2-BC8C-44721C43901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1" name="AutoShape 12" descr="Story">
          <a:hlinkClick xmlns:r="http://schemas.openxmlformats.org/officeDocument/2006/relationships" r:id="rId12"/>
          <a:extLst>
            <a:ext uri="{FF2B5EF4-FFF2-40B4-BE49-F238E27FC236}">
              <a16:creationId xmlns:a16="http://schemas.microsoft.com/office/drawing/2014/main" id="{F1C0FACC-8552-47AA-97E4-E0AF4BBF45D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2" name="AutoShape 1" descr="Story">
          <a:hlinkClick xmlns:r="http://schemas.openxmlformats.org/officeDocument/2006/relationships" r:id="rId13"/>
          <a:extLst>
            <a:ext uri="{FF2B5EF4-FFF2-40B4-BE49-F238E27FC236}">
              <a16:creationId xmlns:a16="http://schemas.microsoft.com/office/drawing/2014/main" id="{5739D831-F89F-45C8-A03A-8249C45ED9A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3" name="AutoShape 1" descr="Story">
          <a:hlinkClick xmlns:r="http://schemas.openxmlformats.org/officeDocument/2006/relationships" r:id="rId13"/>
          <a:extLst>
            <a:ext uri="{FF2B5EF4-FFF2-40B4-BE49-F238E27FC236}">
              <a16:creationId xmlns:a16="http://schemas.microsoft.com/office/drawing/2014/main" id="{CF19A54E-7CAF-4AE3-A98D-12F20713BF3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4" name="AutoShape 3" descr="Story">
          <a:hlinkClick xmlns:r="http://schemas.openxmlformats.org/officeDocument/2006/relationships" r:id="rId4"/>
          <a:extLst>
            <a:ext uri="{FF2B5EF4-FFF2-40B4-BE49-F238E27FC236}">
              <a16:creationId xmlns:a16="http://schemas.microsoft.com/office/drawing/2014/main" id="{C28D35F3-FF80-4D58-AF5E-F209BB0EE0B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5" name="AutoShape 4" descr="Story">
          <a:hlinkClick xmlns:r="http://schemas.openxmlformats.org/officeDocument/2006/relationships" r:id="rId5"/>
          <a:extLst>
            <a:ext uri="{FF2B5EF4-FFF2-40B4-BE49-F238E27FC236}">
              <a16:creationId xmlns:a16="http://schemas.microsoft.com/office/drawing/2014/main" id="{A2F2A521-DA81-4125-90AB-1531F499E7EC}"/>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6" name="AutoShape 3" descr="Story">
          <a:hlinkClick xmlns:r="http://schemas.openxmlformats.org/officeDocument/2006/relationships" r:id="rId4"/>
          <a:extLst>
            <a:ext uri="{FF2B5EF4-FFF2-40B4-BE49-F238E27FC236}">
              <a16:creationId xmlns:a16="http://schemas.microsoft.com/office/drawing/2014/main" id="{E8A3833C-BF0E-48F3-87CC-637F3CDAC05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7" name="AutoShape 4" descr="Story">
          <a:hlinkClick xmlns:r="http://schemas.openxmlformats.org/officeDocument/2006/relationships" r:id="rId5"/>
          <a:extLst>
            <a:ext uri="{FF2B5EF4-FFF2-40B4-BE49-F238E27FC236}">
              <a16:creationId xmlns:a16="http://schemas.microsoft.com/office/drawing/2014/main" id="{4EE4AA4B-E93C-4F47-B199-9359064EE9A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8" name="AutoShape 7" descr="Story">
          <a:hlinkClick xmlns:r="http://schemas.openxmlformats.org/officeDocument/2006/relationships" r:id="rId3"/>
          <a:extLst>
            <a:ext uri="{FF2B5EF4-FFF2-40B4-BE49-F238E27FC236}">
              <a16:creationId xmlns:a16="http://schemas.microsoft.com/office/drawing/2014/main" id="{65FE2745-2CF3-4B50-A4E2-E9AD9C4B92C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49" name="AutoShape 8" descr="Story">
          <a:hlinkClick xmlns:r="http://schemas.openxmlformats.org/officeDocument/2006/relationships" r:id="rId4"/>
          <a:extLst>
            <a:ext uri="{FF2B5EF4-FFF2-40B4-BE49-F238E27FC236}">
              <a16:creationId xmlns:a16="http://schemas.microsoft.com/office/drawing/2014/main" id="{42DACB67-E2FA-477D-8C25-FC6ACC55591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50" name="AutoShape 8" descr="Story">
          <a:hlinkClick xmlns:r="http://schemas.openxmlformats.org/officeDocument/2006/relationships" r:id="rId4"/>
          <a:extLst>
            <a:ext uri="{FF2B5EF4-FFF2-40B4-BE49-F238E27FC236}">
              <a16:creationId xmlns:a16="http://schemas.microsoft.com/office/drawing/2014/main" id="{9F303A34-C4C4-4669-9794-03950F19758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2351" name="AutoShape 4" descr="Bug">
          <a:hlinkClick xmlns:r="http://schemas.openxmlformats.org/officeDocument/2006/relationships" r:id="rId1"/>
          <a:extLst>
            <a:ext uri="{FF2B5EF4-FFF2-40B4-BE49-F238E27FC236}">
              <a16:creationId xmlns:a16="http://schemas.microsoft.com/office/drawing/2014/main" id="{48EE5FFD-2E31-4E04-9327-12D17064FFC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52" name="AutoShape 6" descr="Bug">
          <a:hlinkClick xmlns:r="http://schemas.openxmlformats.org/officeDocument/2006/relationships" r:id="rId2"/>
          <a:extLst>
            <a:ext uri="{FF2B5EF4-FFF2-40B4-BE49-F238E27FC236}">
              <a16:creationId xmlns:a16="http://schemas.microsoft.com/office/drawing/2014/main" id="{EFE580FD-3818-4FF3-9507-E6848D9220F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53" name="AutoShape 7" descr="Story">
          <a:hlinkClick xmlns:r="http://schemas.openxmlformats.org/officeDocument/2006/relationships" r:id="rId3"/>
          <a:extLst>
            <a:ext uri="{FF2B5EF4-FFF2-40B4-BE49-F238E27FC236}">
              <a16:creationId xmlns:a16="http://schemas.microsoft.com/office/drawing/2014/main" id="{427D451A-3221-466C-A8EC-C9A5E190CF1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54" name="AutoShape 8" descr="Story">
          <a:hlinkClick xmlns:r="http://schemas.openxmlformats.org/officeDocument/2006/relationships" r:id="rId4"/>
          <a:extLst>
            <a:ext uri="{FF2B5EF4-FFF2-40B4-BE49-F238E27FC236}">
              <a16:creationId xmlns:a16="http://schemas.microsoft.com/office/drawing/2014/main" id="{681AE929-C2CB-4385-8192-E9FD50833D6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55" name="AutoShape 9" descr="Story">
          <a:hlinkClick xmlns:r="http://schemas.openxmlformats.org/officeDocument/2006/relationships" r:id="rId5"/>
          <a:extLst>
            <a:ext uri="{FF2B5EF4-FFF2-40B4-BE49-F238E27FC236}">
              <a16:creationId xmlns:a16="http://schemas.microsoft.com/office/drawing/2014/main" id="{D490A35E-992E-4934-8DDD-18FD4E50BAB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56" name="AutoShape 13" descr="Story">
          <a:hlinkClick xmlns:r="http://schemas.openxmlformats.org/officeDocument/2006/relationships" r:id="rId4"/>
          <a:extLst>
            <a:ext uri="{FF2B5EF4-FFF2-40B4-BE49-F238E27FC236}">
              <a16:creationId xmlns:a16="http://schemas.microsoft.com/office/drawing/2014/main" id="{16F03820-6E4B-4FC2-A0AB-19D6E810E36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1299</xdr:row>
      <xdr:rowOff>0</xdr:rowOff>
    </xdr:from>
    <xdr:ext cx="152400" cy="152400"/>
    <xdr:sp macro="" textlink="">
      <xdr:nvSpPr>
        <xdr:cNvPr id="2357" name="AutoShape 1" descr="Story">
          <a:hlinkClick xmlns:r="http://schemas.openxmlformats.org/officeDocument/2006/relationships" r:id="rId7"/>
          <a:extLst>
            <a:ext uri="{FF2B5EF4-FFF2-40B4-BE49-F238E27FC236}">
              <a16:creationId xmlns:a16="http://schemas.microsoft.com/office/drawing/2014/main" id="{D2DE32F5-78DD-408E-B69D-12712B03056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58" name="AutoShape 2" descr="Story">
          <a:hlinkClick xmlns:r="http://schemas.openxmlformats.org/officeDocument/2006/relationships" r:id="rId8"/>
          <a:extLst>
            <a:ext uri="{FF2B5EF4-FFF2-40B4-BE49-F238E27FC236}">
              <a16:creationId xmlns:a16="http://schemas.microsoft.com/office/drawing/2014/main" id="{FE9DB3C9-BDEF-45C0-9FCE-71EE9CDFE1D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59" name="AutoShape 5" descr="Story">
          <a:hlinkClick xmlns:r="http://schemas.openxmlformats.org/officeDocument/2006/relationships" r:id="rId6"/>
          <a:extLst>
            <a:ext uri="{FF2B5EF4-FFF2-40B4-BE49-F238E27FC236}">
              <a16:creationId xmlns:a16="http://schemas.microsoft.com/office/drawing/2014/main" id="{78CF3F08-2EED-4DA7-A3B2-696C9F4C7F5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0" name="AutoShape 1" descr="Sub-task">
          <a:hlinkClick xmlns:r="http://schemas.openxmlformats.org/officeDocument/2006/relationships" r:id="rId9"/>
          <a:extLst>
            <a:ext uri="{FF2B5EF4-FFF2-40B4-BE49-F238E27FC236}">
              <a16:creationId xmlns:a16="http://schemas.microsoft.com/office/drawing/2014/main" id="{95EC07FA-2C6A-4B79-A538-074A887B95A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1" name="AutoShape 2" descr="Sub-task">
          <a:hlinkClick xmlns:r="http://schemas.openxmlformats.org/officeDocument/2006/relationships" r:id="rId10"/>
          <a:extLst>
            <a:ext uri="{FF2B5EF4-FFF2-40B4-BE49-F238E27FC236}">
              <a16:creationId xmlns:a16="http://schemas.microsoft.com/office/drawing/2014/main" id="{980588DE-6E0E-4009-A6F4-A0D82E4A24A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2" name="AutoShape 3" descr="Story">
          <a:hlinkClick xmlns:r="http://schemas.openxmlformats.org/officeDocument/2006/relationships" r:id="rId11"/>
          <a:extLst>
            <a:ext uri="{FF2B5EF4-FFF2-40B4-BE49-F238E27FC236}">
              <a16:creationId xmlns:a16="http://schemas.microsoft.com/office/drawing/2014/main" id="{6D50B3E5-E269-4D88-AFE0-1851D790B1E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3" name="AutoShape 12" descr="Story">
          <a:hlinkClick xmlns:r="http://schemas.openxmlformats.org/officeDocument/2006/relationships" r:id="rId12"/>
          <a:extLst>
            <a:ext uri="{FF2B5EF4-FFF2-40B4-BE49-F238E27FC236}">
              <a16:creationId xmlns:a16="http://schemas.microsoft.com/office/drawing/2014/main" id="{B33C176C-E3B6-4477-9983-6A1671AA3C4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4" name="AutoShape 1" descr="Story">
          <a:hlinkClick xmlns:r="http://schemas.openxmlformats.org/officeDocument/2006/relationships" r:id="rId13"/>
          <a:extLst>
            <a:ext uri="{FF2B5EF4-FFF2-40B4-BE49-F238E27FC236}">
              <a16:creationId xmlns:a16="http://schemas.microsoft.com/office/drawing/2014/main" id="{A29DA7D8-2B18-4643-800F-CFBC00A3EA4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5" name="AutoShape 1" descr="Story">
          <a:hlinkClick xmlns:r="http://schemas.openxmlformats.org/officeDocument/2006/relationships" r:id="rId13"/>
          <a:extLst>
            <a:ext uri="{FF2B5EF4-FFF2-40B4-BE49-F238E27FC236}">
              <a16:creationId xmlns:a16="http://schemas.microsoft.com/office/drawing/2014/main" id="{AA92E61C-B0C0-4C50-B029-9D79EA95524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6" name="AutoShape 3" descr="Story">
          <a:hlinkClick xmlns:r="http://schemas.openxmlformats.org/officeDocument/2006/relationships" r:id="rId4"/>
          <a:extLst>
            <a:ext uri="{FF2B5EF4-FFF2-40B4-BE49-F238E27FC236}">
              <a16:creationId xmlns:a16="http://schemas.microsoft.com/office/drawing/2014/main" id="{67267969-CB9B-40C1-B553-4F54AA88FC8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7" name="AutoShape 4" descr="Story">
          <a:hlinkClick xmlns:r="http://schemas.openxmlformats.org/officeDocument/2006/relationships" r:id="rId5"/>
          <a:extLst>
            <a:ext uri="{FF2B5EF4-FFF2-40B4-BE49-F238E27FC236}">
              <a16:creationId xmlns:a16="http://schemas.microsoft.com/office/drawing/2014/main" id="{B34AB777-7758-4ABD-B6D7-550F943582A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8" name="AutoShape 3" descr="Story">
          <a:hlinkClick xmlns:r="http://schemas.openxmlformats.org/officeDocument/2006/relationships" r:id="rId4"/>
          <a:extLst>
            <a:ext uri="{FF2B5EF4-FFF2-40B4-BE49-F238E27FC236}">
              <a16:creationId xmlns:a16="http://schemas.microsoft.com/office/drawing/2014/main" id="{46C1D290-5472-4E04-8892-C4DD366E7E2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69" name="AutoShape 4" descr="Story">
          <a:hlinkClick xmlns:r="http://schemas.openxmlformats.org/officeDocument/2006/relationships" r:id="rId5"/>
          <a:extLst>
            <a:ext uri="{FF2B5EF4-FFF2-40B4-BE49-F238E27FC236}">
              <a16:creationId xmlns:a16="http://schemas.microsoft.com/office/drawing/2014/main" id="{075979A7-04A6-4D3F-9B8C-3BEB8E751D7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70" name="AutoShape 7" descr="Story">
          <a:hlinkClick xmlns:r="http://schemas.openxmlformats.org/officeDocument/2006/relationships" r:id="rId3"/>
          <a:extLst>
            <a:ext uri="{FF2B5EF4-FFF2-40B4-BE49-F238E27FC236}">
              <a16:creationId xmlns:a16="http://schemas.microsoft.com/office/drawing/2014/main" id="{6D008C77-793C-4F26-B5EF-016A868CA4A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71" name="AutoShape 8" descr="Story">
          <a:hlinkClick xmlns:r="http://schemas.openxmlformats.org/officeDocument/2006/relationships" r:id="rId4"/>
          <a:extLst>
            <a:ext uri="{FF2B5EF4-FFF2-40B4-BE49-F238E27FC236}">
              <a16:creationId xmlns:a16="http://schemas.microsoft.com/office/drawing/2014/main" id="{289ACC3C-7AF6-4758-A373-50A89719E9F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72" name="AutoShape 8" descr="Story">
          <a:hlinkClick xmlns:r="http://schemas.openxmlformats.org/officeDocument/2006/relationships" r:id="rId4"/>
          <a:extLst>
            <a:ext uri="{FF2B5EF4-FFF2-40B4-BE49-F238E27FC236}">
              <a16:creationId xmlns:a16="http://schemas.microsoft.com/office/drawing/2014/main" id="{D909C13D-A8C6-4713-8BEC-E322EA607B7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2373" name="AutoShape 4" descr="Bug">
          <a:hlinkClick xmlns:r="http://schemas.openxmlformats.org/officeDocument/2006/relationships" r:id="rId1"/>
          <a:extLst>
            <a:ext uri="{FF2B5EF4-FFF2-40B4-BE49-F238E27FC236}">
              <a16:creationId xmlns:a16="http://schemas.microsoft.com/office/drawing/2014/main" id="{F352A169-EA08-4A82-9237-E6702979C12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74" name="AutoShape 6" descr="Bug">
          <a:hlinkClick xmlns:r="http://schemas.openxmlformats.org/officeDocument/2006/relationships" r:id="rId2"/>
          <a:extLst>
            <a:ext uri="{FF2B5EF4-FFF2-40B4-BE49-F238E27FC236}">
              <a16:creationId xmlns:a16="http://schemas.microsoft.com/office/drawing/2014/main" id="{9166F0D9-F896-4C96-9B63-0611CD5FBAF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75" name="AutoShape 7" descr="Story">
          <a:hlinkClick xmlns:r="http://schemas.openxmlformats.org/officeDocument/2006/relationships" r:id="rId3"/>
          <a:extLst>
            <a:ext uri="{FF2B5EF4-FFF2-40B4-BE49-F238E27FC236}">
              <a16:creationId xmlns:a16="http://schemas.microsoft.com/office/drawing/2014/main" id="{AC922CC4-7D7B-4E3E-8031-BA67ECFC82E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76" name="AutoShape 8" descr="Story">
          <a:hlinkClick xmlns:r="http://schemas.openxmlformats.org/officeDocument/2006/relationships" r:id="rId4"/>
          <a:extLst>
            <a:ext uri="{FF2B5EF4-FFF2-40B4-BE49-F238E27FC236}">
              <a16:creationId xmlns:a16="http://schemas.microsoft.com/office/drawing/2014/main" id="{77ACD9C1-EED8-485F-BEB1-06FB088850D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77" name="AutoShape 9" descr="Story">
          <a:hlinkClick xmlns:r="http://schemas.openxmlformats.org/officeDocument/2006/relationships" r:id="rId5"/>
          <a:extLst>
            <a:ext uri="{FF2B5EF4-FFF2-40B4-BE49-F238E27FC236}">
              <a16:creationId xmlns:a16="http://schemas.microsoft.com/office/drawing/2014/main" id="{246C4566-03DD-4E26-BC96-B1ABEAD2131C}"/>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378" name="AutoShape 13" descr="Story">
          <a:hlinkClick xmlns:r="http://schemas.openxmlformats.org/officeDocument/2006/relationships" r:id="rId4"/>
          <a:extLst>
            <a:ext uri="{FF2B5EF4-FFF2-40B4-BE49-F238E27FC236}">
              <a16:creationId xmlns:a16="http://schemas.microsoft.com/office/drawing/2014/main" id="{C8436917-96CE-4051-BD36-E75B09EC9F8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1299</xdr:row>
      <xdr:rowOff>0</xdr:rowOff>
    </xdr:from>
    <xdr:ext cx="152400" cy="152400"/>
    <xdr:sp macro="" textlink="">
      <xdr:nvSpPr>
        <xdr:cNvPr id="2379" name="AutoShape 1" descr="Story">
          <a:hlinkClick xmlns:r="http://schemas.openxmlformats.org/officeDocument/2006/relationships" r:id="rId7"/>
          <a:extLst>
            <a:ext uri="{FF2B5EF4-FFF2-40B4-BE49-F238E27FC236}">
              <a16:creationId xmlns:a16="http://schemas.microsoft.com/office/drawing/2014/main" id="{81CF8493-D827-431A-A6A1-A1C1881CA0A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0" name="AutoShape 2" descr="Story">
          <a:hlinkClick xmlns:r="http://schemas.openxmlformats.org/officeDocument/2006/relationships" r:id="rId8"/>
          <a:extLst>
            <a:ext uri="{FF2B5EF4-FFF2-40B4-BE49-F238E27FC236}">
              <a16:creationId xmlns:a16="http://schemas.microsoft.com/office/drawing/2014/main" id="{F906FD47-EF5F-4620-98D9-375462822EE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1" name="AutoShape 5" descr="Story">
          <a:hlinkClick xmlns:r="http://schemas.openxmlformats.org/officeDocument/2006/relationships" r:id="rId6"/>
          <a:extLst>
            <a:ext uri="{FF2B5EF4-FFF2-40B4-BE49-F238E27FC236}">
              <a16:creationId xmlns:a16="http://schemas.microsoft.com/office/drawing/2014/main" id="{CA19EB5A-B707-4C91-91C9-884482C72ED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2" name="AutoShape 1" descr="Sub-task">
          <a:hlinkClick xmlns:r="http://schemas.openxmlformats.org/officeDocument/2006/relationships" r:id="rId9"/>
          <a:extLst>
            <a:ext uri="{FF2B5EF4-FFF2-40B4-BE49-F238E27FC236}">
              <a16:creationId xmlns:a16="http://schemas.microsoft.com/office/drawing/2014/main" id="{16263779-89C1-469E-80A2-2F536C80087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3" name="AutoShape 2" descr="Sub-task">
          <a:hlinkClick xmlns:r="http://schemas.openxmlformats.org/officeDocument/2006/relationships" r:id="rId10"/>
          <a:extLst>
            <a:ext uri="{FF2B5EF4-FFF2-40B4-BE49-F238E27FC236}">
              <a16:creationId xmlns:a16="http://schemas.microsoft.com/office/drawing/2014/main" id="{597C5AF8-AB9A-433A-B914-23ACD3B3004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4" name="AutoShape 3" descr="Story">
          <a:hlinkClick xmlns:r="http://schemas.openxmlformats.org/officeDocument/2006/relationships" r:id="rId11"/>
          <a:extLst>
            <a:ext uri="{FF2B5EF4-FFF2-40B4-BE49-F238E27FC236}">
              <a16:creationId xmlns:a16="http://schemas.microsoft.com/office/drawing/2014/main" id="{A24721A5-E2DC-4B33-9F7A-D806C836547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5" name="AutoShape 12" descr="Story">
          <a:hlinkClick xmlns:r="http://schemas.openxmlformats.org/officeDocument/2006/relationships" r:id="rId12"/>
          <a:extLst>
            <a:ext uri="{FF2B5EF4-FFF2-40B4-BE49-F238E27FC236}">
              <a16:creationId xmlns:a16="http://schemas.microsoft.com/office/drawing/2014/main" id="{BA1C2B60-66CD-44D8-B801-CC8D40FA239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6" name="AutoShape 1" descr="Story">
          <a:hlinkClick xmlns:r="http://schemas.openxmlformats.org/officeDocument/2006/relationships" r:id="rId13"/>
          <a:extLst>
            <a:ext uri="{FF2B5EF4-FFF2-40B4-BE49-F238E27FC236}">
              <a16:creationId xmlns:a16="http://schemas.microsoft.com/office/drawing/2014/main" id="{E507BEC2-40F5-44C0-9556-3F3F79FA2FD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7" name="AutoShape 1" descr="Story">
          <a:hlinkClick xmlns:r="http://schemas.openxmlformats.org/officeDocument/2006/relationships" r:id="rId13"/>
          <a:extLst>
            <a:ext uri="{FF2B5EF4-FFF2-40B4-BE49-F238E27FC236}">
              <a16:creationId xmlns:a16="http://schemas.microsoft.com/office/drawing/2014/main" id="{2DAE4800-967A-41B7-B2FB-489191E2447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8" name="AutoShape 3" descr="Story">
          <a:hlinkClick xmlns:r="http://schemas.openxmlformats.org/officeDocument/2006/relationships" r:id="rId4"/>
          <a:extLst>
            <a:ext uri="{FF2B5EF4-FFF2-40B4-BE49-F238E27FC236}">
              <a16:creationId xmlns:a16="http://schemas.microsoft.com/office/drawing/2014/main" id="{A4C4E2F6-6977-47F8-8A3E-66B240E8F07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89" name="AutoShape 4" descr="Story">
          <a:hlinkClick xmlns:r="http://schemas.openxmlformats.org/officeDocument/2006/relationships" r:id="rId5"/>
          <a:extLst>
            <a:ext uri="{FF2B5EF4-FFF2-40B4-BE49-F238E27FC236}">
              <a16:creationId xmlns:a16="http://schemas.microsoft.com/office/drawing/2014/main" id="{AB72DECC-3714-4ADE-B33E-845F8D03792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90" name="AutoShape 3" descr="Story">
          <a:hlinkClick xmlns:r="http://schemas.openxmlformats.org/officeDocument/2006/relationships" r:id="rId4"/>
          <a:extLst>
            <a:ext uri="{FF2B5EF4-FFF2-40B4-BE49-F238E27FC236}">
              <a16:creationId xmlns:a16="http://schemas.microsoft.com/office/drawing/2014/main" id="{23FAE2AF-46D3-4BB1-B505-15C70027257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91" name="AutoShape 4" descr="Story">
          <a:hlinkClick xmlns:r="http://schemas.openxmlformats.org/officeDocument/2006/relationships" r:id="rId5"/>
          <a:extLst>
            <a:ext uri="{FF2B5EF4-FFF2-40B4-BE49-F238E27FC236}">
              <a16:creationId xmlns:a16="http://schemas.microsoft.com/office/drawing/2014/main" id="{81FC4A9B-3B5D-4F4A-B990-8B2F162EB99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92" name="AutoShape 7" descr="Story">
          <a:hlinkClick xmlns:r="http://schemas.openxmlformats.org/officeDocument/2006/relationships" r:id="rId3"/>
          <a:extLst>
            <a:ext uri="{FF2B5EF4-FFF2-40B4-BE49-F238E27FC236}">
              <a16:creationId xmlns:a16="http://schemas.microsoft.com/office/drawing/2014/main" id="{862E1303-F3A3-48E1-A43B-CB5BA3BCD34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93" name="AutoShape 8" descr="Story">
          <a:hlinkClick xmlns:r="http://schemas.openxmlformats.org/officeDocument/2006/relationships" r:id="rId4"/>
          <a:extLst>
            <a:ext uri="{FF2B5EF4-FFF2-40B4-BE49-F238E27FC236}">
              <a16:creationId xmlns:a16="http://schemas.microsoft.com/office/drawing/2014/main" id="{48D482BA-F8C2-4DD6-A10E-ABB25D3C822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1299</xdr:row>
      <xdr:rowOff>0</xdr:rowOff>
    </xdr:from>
    <xdr:ext cx="152400" cy="152400"/>
    <xdr:sp macro="" textlink="">
      <xdr:nvSpPr>
        <xdr:cNvPr id="2394" name="AutoShape 8" descr="Story">
          <a:hlinkClick xmlns:r="http://schemas.openxmlformats.org/officeDocument/2006/relationships" r:id="rId4"/>
          <a:extLst>
            <a:ext uri="{FF2B5EF4-FFF2-40B4-BE49-F238E27FC236}">
              <a16:creationId xmlns:a16="http://schemas.microsoft.com/office/drawing/2014/main" id="{163BAA03-B35C-4168-B2FE-C698DC46C77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1303</xdr:row>
      <xdr:rowOff>0</xdr:rowOff>
    </xdr:from>
    <xdr:to>
      <xdr:col>0</xdr:col>
      <xdr:colOff>152400</xdr:colOff>
      <xdr:row>1303</xdr:row>
      <xdr:rowOff>152400</xdr:rowOff>
    </xdr:to>
    <xdr:sp macro="" textlink="">
      <xdr:nvSpPr>
        <xdr:cNvPr id="2395" name="AutoShape 4" descr="Bug">
          <a:hlinkClick xmlns:r="http://schemas.openxmlformats.org/officeDocument/2006/relationships" r:id="rId1"/>
          <a:extLst>
            <a:ext uri="{FF2B5EF4-FFF2-40B4-BE49-F238E27FC236}">
              <a16:creationId xmlns:a16="http://schemas.microsoft.com/office/drawing/2014/main" id="{B25BBDF7-E886-422F-885B-0DFCB8DD62F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396" name="AutoShape 6" descr="Bug">
          <a:hlinkClick xmlns:r="http://schemas.openxmlformats.org/officeDocument/2006/relationships" r:id="rId2"/>
          <a:extLst>
            <a:ext uri="{FF2B5EF4-FFF2-40B4-BE49-F238E27FC236}">
              <a16:creationId xmlns:a16="http://schemas.microsoft.com/office/drawing/2014/main" id="{AADBD2AF-0B1B-41C4-9D84-6B8CB0E4DB5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397" name="AutoShape 7" descr="Story">
          <a:hlinkClick xmlns:r="http://schemas.openxmlformats.org/officeDocument/2006/relationships" r:id="rId3"/>
          <a:extLst>
            <a:ext uri="{FF2B5EF4-FFF2-40B4-BE49-F238E27FC236}">
              <a16:creationId xmlns:a16="http://schemas.microsoft.com/office/drawing/2014/main" id="{2356A1C8-A11F-4AD5-9C0D-24C6B023FA0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398" name="AutoShape 8" descr="Story">
          <a:hlinkClick xmlns:r="http://schemas.openxmlformats.org/officeDocument/2006/relationships" r:id="rId4"/>
          <a:extLst>
            <a:ext uri="{FF2B5EF4-FFF2-40B4-BE49-F238E27FC236}">
              <a16:creationId xmlns:a16="http://schemas.microsoft.com/office/drawing/2014/main" id="{FF45E389-D928-41B9-8EE0-2E8624C1CF3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399" name="AutoShape 9" descr="Story">
          <a:hlinkClick xmlns:r="http://schemas.openxmlformats.org/officeDocument/2006/relationships" r:id="rId5"/>
          <a:extLst>
            <a:ext uri="{FF2B5EF4-FFF2-40B4-BE49-F238E27FC236}">
              <a16:creationId xmlns:a16="http://schemas.microsoft.com/office/drawing/2014/main" id="{6A5687C4-9BAB-420C-BEB3-322A1E0FDE6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00" name="AutoShape 13" descr="Story">
          <a:hlinkClick xmlns:r="http://schemas.openxmlformats.org/officeDocument/2006/relationships" r:id="rId4"/>
          <a:extLst>
            <a:ext uri="{FF2B5EF4-FFF2-40B4-BE49-F238E27FC236}">
              <a16:creationId xmlns:a16="http://schemas.microsoft.com/office/drawing/2014/main" id="{ACF524B4-B7CB-425E-B186-E70A73D09A1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401" name="AutoShape 1" descr="Story">
          <a:hlinkClick xmlns:r="http://schemas.openxmlformats.org/officeDocument/2006/relationships" r:id="rId7"/>
          <a:extLst>
            <a:ext uri="{FF2B5EF4-FFF2-40B4-BE49-F238E27FC236}">
              <a16:creationId xmlns:a16="http://schemas.microsoft.com/office/drawing/2014/main" id="{ADB177C1-680A-44AE-A8A0-CA419C844BF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2" name="AutoShape 2" descr="Story">
          <a:hlinkClick xmlns:r="http://schemas.openxmlformats.org/officeDocument/2006/relationships" r:id="rId8"/>
          <a:extLst>
            <a:ext uri="{FF2B5EF4-FFF2-40B4-BE49-F238E27FC236}">
              <a16:creationId xmlns:a16="http://schemas.microsoft.com/office/drawing/2014/main" id="{2A1C35AA-8861-4246-A55F-531050C12AB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3" name="AutoShape 5" descr="Story">
          <a:hlinkClick xmlns:r="http://schemas.openxmlformats.org/officeDocument/2006/relationships" r:id="rId6"/>
          <a:extLst>
            <a:ext uri="{FF2B5EF4-FFF2-40B4-BE49-F238E27FC236}">
              <a16:creationId xmlns:a16="http://schemas.microsoft.com/office/drawing/2014/main" id="{E0188572-43F6-4FAA-AFDD-B417DFE120F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4" name="AutoShape 1" descr="Sub-task">
          <a:hlinkClick xmlns:r="http://schemas.openxmlformats.org/officeDocument/2006/relationships" r:id="rId9"/>
          <a:extLst>
            <a:ext uri="{FF2B5EF4-FFF2-40B4-BE49-F238E27FC236}">
              <a16:creationId xmlns:a16="http://schemas.microsoft.com/office/drawing/2014/main" id="{F5F8C870-BD54-4417-8F8D-BBA17E29A4C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5" name="AutoShape 2" descr="Sub-task">
          <a:hlinkClick xmlns:r="http://schemas.openxmlformats.org/officeDocument/2006/relationships" r:id="rId10"/>
          <a:extLst>
            <a:ext uri="{FF2B5EF4-FFF2-40B4-BE49-F238E27FC236}">
              <a16:creationId xmlns:a16="http://schemas.microsoft.com/office/drawing/2014/main" id="{4CADFFAE-D445-40CC-9C16-DC334174945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6" name="AutoShape 3" descr="Story">
          <a:hlinkClick xmlns:r="http://schemas.openxmlformats.org/officeDocument/2006/relationships" r:id="rId11"/>
          <a:extLst>
            <a:ext uri="{FF2B5EF4-FFF2-40B4-BE49-F238E27FC236}">
              <a16:creationId xmlns:a16="http://schemas.microsoft.com/office/drawing/2014/main" id="{68F1F529-A31F-46B2-A76B-C28974F522B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7" name="AutoShape 12" descr="Story">
          <a:hlinkClick xmlns:r="http://schemas.openxmlformats.org/officeDocument/2006/relationships" r:id="rId12"/>
          <a:extLst>
            <a:ext uri="{FF2B5EF4-FFF2-40B4-BE49-F238E27FC236}">
              <a16:creationId xmlns:a16="http://schemas.microsoft.com/office/drawing/2014/main" id="{5A7C39B3-65A5-44E8-AABA-126AC1CC3B7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8" name="AutoShape 1" descr="Story">
          <a:hlinkClick xmlns:r="http://schemas.openxmlformats.org/officeDocument/2006/relationships" r:id="rId13"/>
          <a:extLst>
            <a:ext uri="{FF2B5EF4-FFF2-40B4-BE49-F238E27FC236}">
              <a16:creationId xmlns:a16="http://schemas.microsoft.com/office/drawing/2014/main" id="{19F99606-03A6-4997-BF4E-55E6B86368A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09" name="AutoShape 1" descr="Story">
          <a:hlinkClick xmlns:r="http://schemas.openxmlformats.org/officeDocument/2006/relationships" r:id="rId13"/>
          <a:extLst>
            <a:ext uri="{FF2B5EF4-FFF2-40B4-BE49-F238E27FC236}">
              <a16:creationId xmlns:a16="http://schemas.microsoft.com/office/drawing/2014/main" id="{A470C9EC-C221-450D-9102-A1772FE9E0F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0" name="AutoShape 3" descr="Story">
          <a:hlinkClick xmlns:r="http://schemas.openxmlformats.org/officeDocument/2006/relationships" r:id="rId4"/>
          <a:extLst>
            <a:ext uri="{FF2B5EF4-FFF2-40B4-BE49-F238E27FC236}">
              <a16:creationId xmlns:a16="http://schemas.microsoft.com/office/drawing/2014/main" id="{867653C6-74E6-4236-92CD-61787651934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1" name="AutoShape 4" descr="Story">
          <a:hlinkClick xmlns:r="http://schemas.openxmlformats.org/officeDocument/2006/relationships" r:id="rId5"/>
          <a:extLst>
            <a:ext uri="{FF2B5EF4-FFF2-40B4-BE49-F238E27FC236}">
              <a16:creationId xmlns:a16="http://schemas.microsoft.com/office/drawing/2014/main" id="{25DEABC0-F217-48CE-96F9-B6EFA0321B1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2" name="AutoShape 3" descr="Story">
          <a:hlinkClick xmlns:r="http://schemas.openxmlformats.org/officeDocument/2006/relationships" r:id="rId4"/>
          <a:extLst>
            <a:ext uri="{FF2B5EF4-FFF2-40B4-BE49-F238E27FC236}">
              <a16:creationId xmlns:a16="http://schemas.microsoft.com/office/drawing/2014/main" id="{03FAB5E0-ECDF-45DC-98D0-6A4815D05DB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3" name="AutoShape 4" descr="Story">
          <a:hlinkClick xmlns:r="http://schemas.openxmlformats.org/officeDocument/2006/relationships" r:id="rId5"/>
          <a:extLst>
            <a:ext uri="{FF2B5EF4-FFF2-40B4-BE49-F238E27FC236}">
              <a16:creationId xmlns:a16="http://schemas.microsoft.com/office/drawing/2014/main" id="{05841764-19AA-4665-922B-499E86D0DE3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4" name="AutoShape 7" descr="Story">
          <a:hlinkClick xmlns:r="http://schemas.openxmlformats.org/officeDocument/2006/relationships" r:id="rId3"/>
          <a:extLst>
            <a:ext uri="{FF2B5EF4-FFF2-40B4-BE49-F238E27FC236}">
              <a16:creationId xmlns:a16="http://schemas.microsoft.com/office/drawing/2014/main" id="{9EF7F559-638A-4C16-8646-C9CBE007B9B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5" name="AutoShape 8" descr="Story">
          <a:hlinkClick xmlns:r="http://schemas.openxmlformats.org/officeDocument/2006/relationships" r:id="rId4"/>
          <a:extLst>
            <a:ext uri="{FF2B5EF4-FFF2-40B4-BE49-F238E27FC236}">
              <a16:creationId xmlns:a16="http://schemas.microsoft.com/office/drawing/2014/main" id="{6B9D0F3E-A444-4FAB-9A5A-290B03AAA93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16" name="AutoShape 8" descr="Story">
          <a:hlinkClick xmlns:r="http://schemas.openxmlformats.org/officeDocument/2006/relationships" r:id="rId4"/>
          <a:extLst>
            <a:ext uri="{FF2B5EF4-FFF2-40B4-BE49-F238E27FC236}">
              <a16:creationId xmlns:a16="http://schemas.microsoft.com/office/drawing/2014/main" id="{5C0FE4F2-E11C-4C1A-AF5C-DB03CEC30A4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1303</xdr:row>
      <xdr:rowOff>0</xdr:rowOff>
    </xdr:from>
    <xdr:to>
      <xdr:col>0</xdr:col>
      <xdr:colOff>152400</xdr:colOff>
      <xdr:row>1303</xdr:row>
      <xdr:rowOff>152400</xdr:rowOff>
    </xdr:to>
    <xdr:sp macro="" textlink="">
      <xdr:nvSpPr>
        <xdr:cNvPr id="2417" name="AutoShape 4" descr="Bug">
          <a:hlinkClick xmlns:r="http://schemas.openxmlformats.org/officeDocument/2006/relationships" r:id="rId1"/>
          <a:extLst>
            <a:ext uri="{FF2B5EF4-FFF2-40B4-BE49-F238E27FC236}">
              <a16:creationId xmlns:a16="http://schemas.microsoft.com/office/drawing/2014/main" id="{4280121E-C8B8-4813-9B5B-EC8EB5D6D0D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18" name="AutoShape 6" descr="Bug">
          <a:hlinkClick xmlns:r="http://schemas.openxmlformats.org/officeDocument/2006/relationships" r:id="rId2"/>
          <a:extLst>
            <a:ext uri="{FF2B5EF4-FFF2-40B4-BE49-F238E27FC236}">
              <a16:creationId xmlns:a16="http://schemas.microsoft.com/office/drawing/2014/main" id="{B292D41B-D86C-4E74-B0BF-2014E1E8A22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19" name="AutoShape 7" descr="Story">
          <a:hlinkClick xmlns:r="http://schemas.openxmlformats.org/officeDocument/2006/relationships" r:id="rId3"/>
          <a:extLst>
            <a:ext uri="{FF2B5EF4-FFF2-40B4-BE49-F238E27FC236}">
              <a16:creationId xmlns:a16="http://schemas.microsoft.com/office/drawing/2014/main" id="{3876AC63-CAEB-4FCD-AA97-6E49243533CC}"/>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20" name="AutoShape 8" descr="Story">
          <a:hlinkClick xmlns:r="http://schemas.openxmlformats.org/officeDocument/2006/relationships" r:id="rId4"/>
          <a:extLst>
            <a:ext uri="{FF2B5EF4-FFF2-40B4-BE49-F238E27FC236}">
              <a16:creationId xmlns:a16="http://schemas.microsoft.com/office/drawing/2014/main" id="{D8F4E5EB-4F8C-4A3B-AD38-9850B48BCC9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21" name="AutoShape 9" descr="Story">
          <a:hlinkClick xmlns:r="http://schemas.openxmlformats.org/officeDocument/2006/relationships" r:id="rId5"/>
          <a:extLst>
            <a:ext uri="{FF2B5EF4-FFF2-40B4-BE49-F238E27FC236}">
              <a16:creationId xmlns:a16="http://schemas.microsoft.com/office/drawing/2014/main" id="{A23A0B37-276D-429B-8477-8762757BFCE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22" name="AutoShape 13" descr="Story">
          <a:hlinkClick xmlns:r="http://schemas.openxmlformats.org/officeDocument/2006/relationships" r:id="rId4"/>
          <a:extLst>
            <a:ext uri="{FF2B5EF4-FFF2-40B4-BE49-F238E27FC236}">
              <a16:creationId xmlns:a16="http://schemas.microsoft.com/office/drawing/2014/main" id="{57F1FB6D-2B3A-436E-B46A-B668E67DFB4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423" name="AutoShape 1" descr="Story">
          <a:hlinkClick xmlns:r="http://schemas.openxmlformats.org/officeDocument/2006/relationships" r:id="rId7"/>
          <a:extLst>
            <a:ext uri="{FF2B5EF4-FFF2-40B4-BE49-F238E27FC236}">
              <a16:creationId xmlns:a16="http://schemas.microsoft.com/office/drawing/2014/main" id="{E48EFA0E-B66F-44E7-9C6D-8456048471B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4" name="AutoShape 2" descr="Story">
          <a:hlinkClick xmlns:r="http://schemas.openxmlformats.org/officeDocument/2006/relationships" r:id="rId8"/>
          <a:extLst>
            <a:ext uri="{FF2B5EF4-FFF2-40B4-BE49-F238E27FC236}">
              <a16:creationId xmlns:a16="http://schemas.microsoft.com/office/drawing/2014/main" id="{2AFE9AD3-D109-49BD-846D-4652A0EB934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5" name="AutoShape 5" descr="Story">
          <a:hlinkClick xmlns:r="http://schemas.openxmlformats.org/officeDocument/2006/relationships" r:id="rId6"/>
          <a:extLst>
            <a:ext uri="{FF2B5EF4-FFF2-40B4-BE49-F238E27FC236}">
              <a16:creationId xmlns:a16="http://schemas.microsoft.com/office/drawing/2014/main" id="{9D19BAF3-A96D-4FF1-9EFD-2A02A3E0966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6" name="AutoShape 1" descr="Sub-task">
          <a:hlinkClick xmlns:r="http://schemas.openxmlformats.org/officeDocument/2006/relationships" r:id="rId9"/>
          <a:extLst>
            <a:ext uri="{FF2B5EF4-FFF2-40B4-BE49-F238E27FC236}">
              <a16:creationId xmlns:a16="http://schemas.microsoft.com/office/drawing/2014/main" id="{5F20AB40-5F6D-4E1D-82B5-0141C37F060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7" name="AutoShape 2" descr="Sub-task">
          <a:hlinkClick xmlns:r="http://schemas.openxmlformats.org/officeDocument/2006/relationships" r:id="rId10"/>
          <a:extLst>
            <a:ext uri="{FF2B5EF4-FFF2-40B4-BE49-F238E27FC236}">
              <a16:creationId xmlns:a16="http://schemas.microsoft.com/office/drawing/2014/main" id="{892B322F-CFBB-42E5-B421-EFA6156695D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8" name="AutoShape 3" descr="Story">
          <a:hlinkClick xmlns:r="http://schemas.openxmlformats.org/officeDocument/2006/relationships" r:id="rId11"/>
          <a:extLst>
            <a:ext uri="{FF2B5EF4-FFF2-40B4-BE49-F238E27FC236}">
              <a16:creationId xmlns:a16="http://schemas.microsoft.com/office/drawing/2014/main" id="{273E8C45-7593-415D-A50D-54237D82CEE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29" name="AutoShape 12" descr="Story">
          <a:hlinkClick xmlns:r="http://schemas.openxmlformats.org/officeDocument/2006/relationships" r:id="rId12"/>
          <a:extLst>
            <a:ext uri="{FF2B5EF4-FFF2-40B4-BE49-F238E27FC236}">
              <a16:creationId xmlns:a16="http://schemas.microsoft.com/office/drawing/2014/main" id="{D3CD8D5D-01C6-4BEC-8FE2-BCF6C4BB421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0" name="AutoShape 1" descr="Story">
          <a:hlinkClick xmlns:r="http://schemas.openxmlformats.org/officeDocument/2006/relationships" r:id="rId13"/>
          <a:extLst>
            <a:ext uri="{FF2B5EF4-FFF2-40B4-BE49-F238E27FC236}">
              <a16:creationId xmlns:a16="http://schemas.microsoft.com/office/drawing/2014/main" id="{76057076-5403-4721-ADA3-F39F7CB120D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1" name="AutoShape 1" descr="Story">
          <a:hlinkClick xmlns:r="http://schemas.openxmlformats.org/officeDocument/2006/relationships" r:id="rId13"/>
          <a:extLst>
            <a:ext uri="{FF2B5EF4-FFF2-40B4-BE49-F238E27FC236}">
              <a16:creationId xmlns:a16="http://schemas.microsoft.com/office/drawing/2014/main" id="{78C25D35-78DB-4189-9868-80090875DD7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2" name="AutoShape 3" descr="Story">
          <a:hlinkClick xmlns:r="http://schemas.openxmlformats.org/officeDocument/2006/relationships" r:id="rId4"/>
          <a:extLst>
            <a:ext uri="{FF2B5EF4-FFF2-40B4-BE49-F238E27FC236}">
              <a16:creationId xmlns:a16="http://schemas.microsoft.com/office/drawing/2014/main" id="{1910EB82-13E8-4B13-8817-E4C5ADDC7A2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3" name="AutoShape 4" descr="Story">
          <a:hlinkClick xmlns:r="http://schemas.openxmlformats.org/officeDocument/2006/relationships" r:id="rId5"/>
          <a:extLst>
            <a:ext uri="{FF2B5EF4-FFF2-40B4-BE49-F238E27FC236}">
              <a16:creationId xmlns:a16="http://schemas.microsoft.com/office/drawing/2014/main" id="{F422FCED-D711-49D3-885F-C3A9DF41F91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4" name="AutoShape 3" descr="Story">
          <a:hlinkClick xmlns:r="http://schemas.openxmlformats.org/officeDocument/2006/relationships" r:id="rId4"/>
          <a:extLst>
            <a:ext uri="{FF2B5EF4-FFF2-40B4-BE49-F238E27FC236}">
              <a16:creationId xmlns:a16="http://schemas.microsoft.com/office/drawing/2014/main" id="{63A104D0-E503-4B72-9DBE-24AA23793E3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5" name="AutoShape 4" descr="Story">
          <a:hlinkClick xmlns:r="http://schemas.openxmlformats.org/officeDocument/2006/relationships" r:id="rId5"/>
          <a:extLst>
            <a:ext uri="{FF2B5EF4-FFF2-40B4-BE49-F238E27FC236}">
              <a16:creationId xmlns:a16="http://schemas.microsoft.com/office/drawing/2014/main" id="{D2CC4226-46C7-49F9-B3FC-7A95807441B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6" name="AutoShape 7" descr="Story">
          <a:hlinkClick xmlns:r="http://schemas.openxmlformats.org/officeDocument/2006/relationships" r:id="rId3"/>
          <a:extLst>
            <a:ext uri="{FF2B5EF4-FFF2-40B4-BE49-F238E27FC236}">
              <a16:creationId xmlns:a16="http://schemas.microsoft.com/office/drawing/2014/main" id="{B7D5FAEB-45F8-4BA2-AAB3-78FF51A1278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7" name="AutoShape 8" descr="Story">
          <a:hlinkClick xmlns:r="http://schemas.openxmlformats.org/officeDocument/2006/relationships" r:id="rId4"/>
          <a:extLst>
            <a:ext uri="{FF2B5EF4-FFF2-40B4-BE49-F238E27FC236}">
              <a16:creationId xmlns:a16="http://schemas.microsoft.com/office/drawing/2014/main" id="{D2A45307-2E5B-433A-B349-203F3C0AAD8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38" name="AutoShape 8" descr="Story">
          <a:hlinkClick xmlns:r="http://schemas.openxmlformats.org/officeDocument/2006/relationships" r:id="rId4"/>
          <a:extLst>
            <a:ext uri="{FF2B5EF4-FFF2-40B4-BE49-F238E27FC236}">
              <a16:creationId xmlns:a16="http://schemas.microsoft.com/office/drawing/2014/main" id="{AA544F22-98BD-40DB-BC2D-FB78B40029B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1303</xdr:row>
      <xdr:rowOff>0</xdr:rowOff>
    </xdr:from>
    <xdr:to>
      <xdr:col>0</xdr:col>
      <xdr:colOff>152400</xdr:colOff>
      <xdr:row>1303</xdr:row>
      <xdr:rowOff>152400</xdr:rowOff>
    </xdr:to>
    <xdr:sp macro="" textlink="">
      <xdr:nvSpPr>
        <xdr:cNvPr id="2439" name="AutoShape 4" descr="Bug">
          <a:hlinkClick xmlns:r="http://schemas.openxmlformats.org/officeDocument/2006/relationships" r:id="rId1"/>
          <a:extLst>
            <a:ext uri="{FF2B5EF4-FFF2-40B4-BE49-F238E27FC236}">
              <a16:creationId xmlns:a16="http://schemas.microsoft.com/office/drawing/2014/main" id="{9B865B78-D8D2-4A9D-B9AA-6AD96859A50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40" name="AutoShape 6" descr="Bug">
          <a:hlinkClick xmlns:r="http://schemas.openxmlformats.org/officeDocument/2006/relationships" r:id="rId2"/>
          <a:extLst>
            <a:ext uri="{FF2B5EF4-FFF2-40B4-BE49-F238E27FC236}">
              <a16:creationId xmlns:a16="http://schemas.microsoft.com/office/drawing/2014/main" id="{2DDB0CB1-FA7B-426F-9B5D-CD49E9E171D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41" name="AutoShape 7" descr="Story">
          <a:hlinkClick xmlns:r="http://schemas.openxmlformats.org/officeDocument/2006/relationships" r:id="rId3"/>
          <a:extLst>
            <a:ext uri="{FF2B5EF4-FFF2-40B4-BE49-F238E27FC236}">
              <a16:creationId xmlns:a16="http://schemas.microsoft.com/office/drawing/2014/main" id="{802E554B-3D88-4322-B5D6-77098B50B4B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42" name="AutoShape 8" descr="Story">
          <a:hlinkClick xmlns:r="http://schemas.openxmlformats.org/officeDocument/2006/relationships" r:id="rId4"/>
          <a:extLst>
            <a:ext uri="{FF2B5EF4-FFF2-40B4-BE49-F238E27FC236}">
              <a16:creationId xmlns:a16="http://schemas.microsoft.com/office/drawing/2014/main" id="{A599CE7D-C52B-4354-96C6-07A4A0FEA5B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43" name="AutoShape 9" descr="Story">
          <a:hlinkClick xmlns:r="http://schemas.openxmlformats.org/officeDocument/2006/relationships" r:id="rId5"/>
          <a:extLst>
            <a:ext uri="{FF2B5EF4-FFF2-40B4-BE49-F238E27FC236}">
              <a16:creationId xmlns:a16="http://schemas.microsoft.com/office/drawing/2014/main" id="{D065E13E-1864-401D-8B90-064386FA07FC}"/>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44" name="AutoShape 13" descr="Story">
          <a:hlinkClick xmlns:r="http://schemas.openxmlformats.org/officeDocument/2006/relationships" r:id="rId4"/>
          <a:extLst>
            <a:ext uri="{FF2B5EF4-FFF2-40B4-BE49-F238E27FC236}">
              <a16:creationId xmlns:a16="http://schemas.microsoft.com/office/drawing/2014/main" id="{097E3B26-7599-4129-BAEE-7D703BFA590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445" name="AutoShape 1" descr="Story">
          <a:hlinkClick xmlns:r="http://schemas.openxmlformats.org/officeDocument/2006/relationships" r:id="rId7"/>
          <a:extLst>
            <a:ext uri="{FF2B5EF4-FFF2-40B4-BE49-F238E27FC236}">
              <a16:creationId xmlns:a16="http://schemas.microsoft.com/office/drawing/2014/main" id="{146C2DD8-2B13-42F2-B338-8DA605C067E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46" name="AutoShape 2" descr="Story">
          <a:hlinkClick xmlns:r="http://schemas.openxmlformats.org/officeDocument/2006/relationships" r:id="rId8"/>
          <a:extLst>
            <a:ext uri="{FF2B5EF4-FFF2-40B4-BE49-F238E27FC236}">
              <a16:creationId xmlns:a16="http://schemas.microsoft.com/office/drawing/2014/main" id="{57AE2EAB-6699-4C99-9DB8-79CC220A812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47" name="AutoShape 5" descr="Story">
          <a:hlinkClick xmlns:r="http://schemas.openxmlformats.org/officeDocument/2006/relationships" r:id="rId6"/>
          <a:extLst>
            <a:ext uri="{FF2B5EF4-FFF2-40B4-BE49-F238E27FC236}">
              <a16:creationId xmlns:a16="http://schemas.microsoft.com/office/drawing/2014/main" id="{7D077813-2683-4209-8469-8ACE80230A9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48" name="AutoShape 1" descr="Sub-task">
          <a:hlinkClick xmlns:r="http://schemas.openxmlformats.org/officeDocument/2006/relationships" r:id="rId9"/>
          <a:extLst>
            <a:ext uri="{FF2B5EF4-FFF2-40B4-BE49-F238E27FC236}">
              <a16:creationId xmlns:a16="http://schemas.microsoft.com/office/drawing/2014/main" id="{4AAC3D78-7A96-4FA6-89F5-8C7CBACE1A9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49" name="AutoShape 2" descr="Sub-task">
          <a:hlinkClick xmlns:r="http://schemas.openxmlformats.org/officeDocument/2006/relationships" r:id="rId10"/>
          <a:extLst>
            <a:ext uri="{FF2B5EF4-FFF2-40B4-BE49-F238E27FC236}">
              <a16:creationId xmlns:a16="http://schemas.microsoft.com/office/drawing/2014/main" id="{F7C7CB5C-3795-4D6E-A9B1-551BFB647D5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0" name="AutoShape 3" descr="Story">
          <a:hlinkClick xmlns:r="http://schemas.openxmlformats.org/officeDocument/2006/relationships" r:id="rId11"/>
          <a:extLst>
            <a:ext uri="{FF2B5EF4-FFF2-40B4-BE49-F238E27FC236}">
              <a16:creationId xmlns:a16="http://schemas.microsoft.com/office/drawing/2014/main" id="{5717AD29-9B45-4EA0-B58E-E60CF98991E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1" name="AutoShape 12" descr="Story">
          <a:hlinkClick xmlns:r="http://schemas.openxmlformats.org/officeDocument/2006/relationships" r:id="rId12"/>
          <a:extLst>
            <a:ext uri="{FF2B5EF4-FFF2-40B4-BE49-F238E27FC236}">
              <a16:creationId xmlns:a16="http://schemas.microsoft.com/office/drawing/2014/main" id="{AD47A293-FE28-440B-894C-B8B83A498FB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2" name="AutoShape 1" descr="Story">
          <a:hlinkClick xmlns:r="http://schemas.openxmlformats.org/officeDocument/2006/relationships" r:id="rId13"/>
          <a:extLst>
            <a:ext uri="{FF2B5EF4-FFF2-40B4-BE49-F238E27FC236}">
              <a16:creationId xmlns:a16="http://schemas.microsoft.com/office/drawing/2014/main" id="{C7927640-5D3B-40B2-9114-E7467A69684D}"/>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3" name="AutoShape 1" descr="Story">
          <a:hlinkClick xmlns:r="http://schemas.openxmlformats.org/officeDocument/2006/relationships" r:id="rId13"/>
          <a:extLst>
            <a:ext uri="{FF2B5EF4-FFF2-40B4-BE49-F238E27FC236}">
              <a16:creationId xmlns:a16="http://schemas.microsoft.com/office/drawing/2014/main" id="{E420295D-8B26-4BE2-A91F-FE37DBD3BFC7}"/>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4" name="AutoShape 3" descr="Story">
          <a:hlinkClick xmlns:r="http://schemas.openxmlformats.org/officeDocument/2006/relationships" r:id="rId4"/>
          <a:extLst>
            <a:ext uri="{FF2B5EF4-FFF2-40B4-BE49-F238E27FC236}">
              <a16:creationId xmlns:a16="http://schemas.microsoft.com/office/drawing/2014/main" id="{BB72D21D-D7C7-42D3-BBE4-C933A12C7EC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5" name="AutoShape 4" descr="Story">
          <a:hlinkClick xmlns:r="http://schemas.openxmlformats.org/officeDocument/2006/relationships" r:id="rId5"/>
          <a:extLst>
            <a:ext uri="{FF2B5EF4-FFF2-40B4-BE49-F238E27FC236}">
              <a16:creationId xmlns:a16="http://schemas.microsoft.com/office/drawing/2014/main" id="{43D94531-5B48-4B50-B7F2-759207F157B8}"/>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6" name="AutoShape 3" descr="Story">
          <a:hlinkClick xmlns:r="http://schemas.openxmlformats.org/officeDocument/2006/relationships" r:id="rId4"/>
          <a:extLst>
            <a:ext uri="{FF2B5EF4-FFF2-40B4-BE49-F238E27FC236}">
              <a16:creationId xmlns:a16="http://schemas.microsoft.com/office/drawing/2014/main" id="{CE8308EF-33BF-454F-8948-1D10EEE7F89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7" name="AutoShape 4" descr="Story">
          <a:hlinkClick xmlns:r="http://schemas.openxmlformats.org/officeDocument/2006/relationships" r:id="rId5"/>
          <a:extLst>
            <a:ext uri="{FF2B5EF4-FFF2-40B4-BE49-F238E27FC236}">
              <a16:creationId xmlns:a16="http://schemas.microsoft.com/office/drawing/2014/main" id="{42F5A6A5-D409-4A90-BB67-F6264E84E4E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8" name="AutoShape 7" descr="Story">
          <a:hlinkClick xmlns:r="http://schemas.openxmlformats.org/officeDocument/2006/relationships" r:id="rId3"/>
          <a:extLst>
            <a:ext uri="{FF2B5EF4-FFF2-40B4-BE49-F238E27FC236}">
              <a16:creationId xmlns:a16="http://schemas.microsoft.com/office/drawing/2014/main" id="{EDB764C9-9CD6-409A-A42A-3E7F8BF8C69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59" name="AutoShape 8" descr="Story">
          <a:hlinkClick xmlns:r="http://schemas.openxmlformats.org/officeDocument/2006/relationships" r:id="rId4"/>
          <a:extLst>
            <a:ext uri="{FF2B5EF4-FFF2-40B4-BE49-F238E27FC236}">
              <a16:creationId xmlns:a16="http://schemas.microsoft.com/office/drawing/2014/main" id="{DF7DFF99-881B-483D-B120-3DCEB59EB0F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60" name="AutoShape 8" descr="Story">
          <a:hlinkClick xmlns:r="http://schemas.openxmlformats.org/officeDocument/2006/relationships" r:id="rId4"/>
          <a:extLst>
            <a:ext uri="{FF2B5EF4-FFF2-40B4-BE49-F238E27FC236}">
              <a16:creationId xmlns:a16="http://schemas.microsoft.com/office/drawing/2014/main" id="{F7380A59-251F-42E6-B9EB-D7F090222E9B}"/>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1303</xdr:row>
      <xdr:rowOff>0</xdr:rowOff>
    </xdr:from>
    <xdr:to>
      <xdr:col>0</xdr:col>
      <xdr:colOff>152400</xdr:colOff>
      <xdr:row>1303</xdr:row>
      <xdr:rowOff>152400</xdr:rowOff>
    </xdr:to>
    <xdr:sp macro="" textlink="">
      <xdr:nvSpPr>
        <xdr:cNvPr id="2461" name="AutoShape 4" descr="Bug">
          <a:hlinkClick xmlns:r="http://schemas.openxmlformats.org/officeDocument/2006/relationships" r:id="rId1"/>
          <a:extLst>
            <a:ext uri="{FF2B5EF4-FFF2-40B4-BE49-F238E27FC236}">
              <a16:creationId xmlns:a16="http://schemas.microsoft.com/office/drawing/2014/main" id="{B1D86C23-E6EA-4171-AF1F-B5C2716356D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62" name="AutoShape 6" descr="Bug">
          <a:hlinkClick xmlns:r="http://schemas.openxmlformats.org/officeDocument/2006/relationships" r:id="rId2"/>
          <a:extLst>
            <a:ext uri="{FF2B5EF4-FFF2-40B4-BE49-F238E27FC236}">
              <a16:creationId xmlns:a16="http://schemas.microsoft.com/office/drawing/2014/main" id="{FF3596A5-5A68-43D4-81D2-296F3B954DD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63" name="AutoShape 7" descr="Story">
          <a:hlinkClick xmlns:r="http://schemas.openxmlformats.org/officeDocument/2006/relationships" r:id="rId3"/>
          <a:extLst>
            <a:ext uri="{FF2B5EF4-FFF2-40B4-BE49-F238E27FC236}">
              <a16:creationId xmlns:a16="http://schemas.microsoft.com/office/drawing/2014/main" id="{109F1664-32B8-42B6-A33A-A5497734C5C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64" name="AutoShape 8" descr="Story">
          <a:hlinkClick xmlns:r="http://schemas.openxmlformats.org/officeDocument/2006/relationships" r:id="rId4"/>
          <a:extLst>
            <a:ext uri="{FF2B5EF4-FFF2-40B4-BE49-F238E27FC236}">
              <a16:creationId xmlns:a16="http://schemas.microsoft.com/office/drawing/2014/main" id="{E6197C34-E367-46E9-B34F-4485BA3E00A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65" name="AutoShape 9" descr="Story">
          <a:hlinkClick xmlns:r="http://schemas.openxmlformats.org/officeDocument/2006/relationships" r:id="rId5"/>
          <a:extLst>
            <a:ext uri="{FF2B5EF4-FFF2-40B4-BE49-F238E27FC236}">
              <a16:creationId xmlns:a16="http://schemas.microsoft.com/office/drawing/2014/main" id="{FB19F621-396A-4C15-9941-7B754A0CE34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1303</xdr:row>
      <xdr:rowOff>0</xdr:rowOff>
    </xdr:from>
    <xdr:to>
      <xdr:col>0</xdr:col>
      <xdr:colOff>152400</xdr:colOff>
      <xdr:row>1303</xdr:row>
      <xdr:rowOff>152400</xdr:rowOff>
    </xdr:to>
    <xdr:sp macro="" textlink="">
      <xdr:nvSpPr>
        <xdr:cNvPr id="2466" name="AutoShape 13" descr="Story">
          <a:hlinkClick xmlns:r="http://schemas.openxmlformats.org/officeDocument/2006/relationships" r:id="rId4"/>
          <a:extLst>
            <a:ext uri="{FF2B5EF4-FFF2-40B4-BE49-F238E27FC236}">
              <a16:creationId xmlns:a16="http://schemas.microsoft.com/office/drawing/2014/main" id="{B150868E-4CE5-4B86-95A4-E1F16B2B8961}"/>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1303</xdr:row>
      <xdr:rowOff>0</xdr:rowOff>
    </xdr:from>
    <xdr:ext cx="152400" cy="152400"/>
    <xdr:sp macro="" textlink="">
      <xdr:nvSpPr>
        <xdr:cNvPr id="2467" name="AutoShape 1" descr="Story">
          <a:hlinkClick xmlns:r="http://schemas.openxmlformats.org/officeDocument/2006/relationships" r:id="rId7"/>
          <a:extLst>
            <a:ext uri="{FF2B5EF4-FFF2-40B4-BE49-F238E27FC236}">
              <a16:creationId xmlns:a16="http://schemas.microsoft.com/office/drawing/2014/main" id="{8FBA1673-99AE-44AD-A3B9-86F403957AE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68" name="AutoShape 2" descr="Story">
          <a:hlinkClick xmlns:r="http://schemas.openxmlformats.org/officeDocument/2006/relationships" r:id="rId8"/>
          <a:extLst>
            <a:ext uri="{FF2B5EF4-FFF2-40B4-BE49-F238E27FC236}">
              <a16:creationId xmlns:a16="http://schemas.microsoft.com/office/drawing/2014/main" id="{2617D614-6329-4F10-B77F-F060464F541E}"/>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69" name="AutoShape 5" descr="Story">
          <a:hlinkClick xmlns:r="http://schemas.openxmlformats.org/officeDocument/2006/relationships" r:id="rId6"/>
          <a:extLst>
            <a:ext uri="{FF2B5EF4-FFF2-40B4-BE49-F238E27FC236}">
              <a16:creationId xmlns:a16="http://schemas.microsoft.com/office/drawing/2014/main" id="{2A1A7D6C-620C-403A-9BEE-AE65D9081AF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0" name="AutoShape 1" descr="Sub-task">
          <a:hlinkClick xmlns:r="http://schemas.openxmlformats.org/officeDocument/2006/relationships" r:id="rId9"/>
          <a:extLst>
            <a:ext uri="{FF2B5EF4-FFF2-40B4-BE49-F238E27FC236}">
              <a16:creationId xmlns:a16="http://schemas.microsoft.com/office/drawing/2014/main" id="{26A1A273-EC8D-4812-9B3D-3094C64623B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1" name="AutoShape 2" descr="Sub-task">
          <a:hlinkClick xmlns:r="http://schemas.openxmlformats.org/officeDocument/2006/relationships" r:id="rId10"/>
          <a:extLst>
            <a:ext uri="{FF2B5EF4-FFF2-40B4-BE49-F238E27FC236}">
              <a16:creationId xmlns:a16="http://schemas.microsoft.com/office/drawing/2014/main" id="{118F62AE-8BE9-4535-95E0-865E4113AA5A}"/>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2" name="AutoShape 3" descr="Story">
          <a:hlinkClick xmlns:r="http://schemas.openxmlformats.org/officeDocument/2006/relationships" r:id="rId11"/>
          <a:extLst>
            <a:ext uri="{FF2B5EF4-FFF2-40B4-BE49-F238E27FC236}">
              <a16:creationId xmlns:a16="http://schemas.microsoft.com/office/drawing/2014/main" id="{C247C9DF-C9EC-4E3A-82AE-371622AF37F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3" name="AutoShape 12" descr="Story">
          <a:hlinkClick xmlns:r="http://schemas.openxmlformats.org/officeDocument/2006/relationships" r:id="rId12"/>
          <a:extLst>
            <a:ext uri="{FF2B5EF4-FFF2-40B4-BE49-F238E27FC236}">
              <a16:creationId xmlns:a16="http://schemas.microsoft.com/office/drawing/2014/main" id="{B17918CD-C15C-4771-9F8B-135EB6E232C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4" name="AutoShape 1" descr="Story">
          <a:hlinkClick xmlns:r="http://schemas.openxmlformats.org/officeDocument/2006/relationships" r:id="rId13"/>
          <a:extLst>
            <a:ext uri="{FF2B5EF4-FFF2-40B4-BE49-F238E27FC236}">
              <a16:creationId xmlns:a16="http://schemas.microsoft.com/office/drawing/2014/main" id="{D397491A-B394-4E4C-900A-2888F703E682}"/>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5" name="AutoShape 1" descr="Story">
          <a:hlinkClick xmlns:r="http://schemas.openxmlformats.org/officeDocument/2006/relationships" r:id="rId13"/>
          <a:extLst>
            <a:ext uri="{FF2B5EF4-FFF2-40B4-BE49-F238E27FC236}">
              <a16:creationId xmlns:a16="http://schemas.microsoft.com/office/drawing/2014/main" id="{71C39403-E4EB-4842-A71F-668DE1E73676}"/>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6" name="AutoShape 3" descr="Story">
          <a:hlinkClick xmlns:r="http://schemas.openxmlformats.org/officeDocument/2006/relationships" r:id="rId4"/>
          <a:extLst>
            <a:ext uri="{FF2B5EF4-FFF2-40B4-BE49-F238E27FC236}">
              <a16:creationId xmlns:a16="http://schemas.microsoft.com/office/drawing/2014/main" id="{6687DD58-1E0E-4027-BABE-F95A296AC87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7" name="AutoShape 4" descr="Story">
          <a:hlinkClick xmlns:r="http://schemas.openxmlformats.org/officeDocument/2006/relationships" r:id="rId5"/>
          <a:extLst>
            <a:ext uri="{FF2B5EF4-FFF2-40B4-BE49-F238E27FC236}">
              <a16:creationId xmlns:a16="http://schemas.microsoft.com/office/drawing/2014/main" id="{528E1A8E-ADA1-450F-8825-823A5381DE20}"/>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8" name="AutoShape 3" descr="Story">
          <a:hlinkClick xmlns:r="http://schemas.openxmlformats.org/officeDocument/2006/relationships" r:id="rId4"/>
          <a:extLst>
            <a:ext uri="{FF2B5EF4-FFF2-40B4-BE49-F238E27FC236}">
              <a16:creationId xmlns:a16="http://schemas.microsoft.com/office/drawing/2014/main" id="{B51DB34C-DD50-4104-B7DC-65DE2559C3A4}"/>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79" name="AutoShape 4" descr="Story">
          <a:hlinkClick xmlns:r="http://schemas.openxmlformats.org/officeDocument/2006/relationships" r:id="rId5"/>
          <a:extLst>
            <a:ext uri="{FF2B5EF4-FFF2-40B4-BE49-F238E27FC236}">
              <a16:creationId xmlns:a16="http://schemas.microsoft.com/office/drawing/2014/main" id="{F6EC3536-B70D-45E3-A427-5FF025DE5AD5}"/>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80" name="AutoShape 7" descr="Story">
          <a:hlinkClick xmlns:r="http://schemas.openxmlformats.org/officeDocument/2006/relationships" r:id="rId3"/>
          <a:extLst>
            <a:ext uri="{FF2B5EF4-FFF2-40B4-BE49-F238E27FC236}">
              <a16:creationId xmlns:a16="http://schemas.microsoft.com/office/drawing/2014/main" id="{88E4E632-8617-4FF1-84B1-AF0F3C3E50F3}"/>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81" name="AutoShape 8" descr="Story">
          <a:hlinkClick xmlns:r="http://schemas.openxmlformats.org/officeDocument/2006/relationships" r:id="rId4"/>
          <a:extLst>
            <a:ext uri="{FF2B5EF4-FFF2-40B4-BE49-F238E27FC236}">
              <a16:creationId xmlns:a16="http://schemas.microsoft.com/office/drawing/2014/main" id="{91998135-D3C6-48B7-8798-7691BCC14F4F}"/>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1303</xdr:row>
      <xdr:rowOff>0</xdr:rowOff>
    </xdr:from>
    <xdr:ext cx="152400" cy="152400"/>
    <xdr:sp macro="" textlink="">
      <xdr:nvSpPr>
        <xdr:cNvPr id="2482" name="AutoShape 8" descr="Story">
          <a:hlinkClick xmlns:r="http://schemas.openxmlformats.org/officeDocument/2006/relationships" r:id="rId4"/>
          <a:extLst>
            <a:ext uri="{FF2B5EF4-FFF2-40B4-BE49-F238E27FC236}">
              <a16:creationId xmlns:a16="http://schemas.microsoft.com/office/drawing/2014/main" id="{CD0C42A5-FCDF-4800-B851-7978F1C6B439}"/>
            </a:ext>
          </a:extLst>
        </xdr:cNvPr>
        <xdr:cNvSpPr>
          <a:spLocks noChangeAspect="1" noChangeArrowheads="1"/>
        </xdr:cNvSpPr>
      </xdr:nvSpPr>
      <xdr:spPr bwMode="auto">
        <a:xfrm>
          <a:off x="0" y="548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1295</xdr:row>
      <xdr:rowOff>0</xdr:rowOff>
    </xdr:from>
    <xdr:to>
      <xdr:col>0</xdr:col>
      <xdr:colOff>152400</xdr:colOff>
      <xdr:row>1295</xdr:row>
      <xdr:rowOff>152400</xdr:rowOff>
    </xdr:to>
    <xdr:sp macro="" textlink="">
      <xdr:nvSpPr>
        <xdr:cNvPr id="2483" name="AutoShape 1" descr="Story">
          <a:hlinkClick xmlns:r="http://schemas.openxmlformats.org/officeDocument/2006/relationships" r:id="rId13"/>
          <a:extLst>
            <a:ext uri="{FF2B5EF4-FFF2-40B4-BE49-F238E27FC236}">
              <a16:creationId xmlns:a16="http://schemas.microsoft.com/office/drawing/2014/main" id="{4780263F-6A00-4B51-B383-249EB6D65F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4" name="AutoShape 2" descr="Story">
          <a:hlinkClick xmlns:r="http://schemas.openxmlformats.org/officeDocument/2006/relationships" r:id="rId12"/>
          <a:extLst>
            <a:ext uri="{FF2B5EF4-FFF2-40B4-BE49-F238E27FC236}">
              <a16:creationId xmlns:a16="http://schemas.microsoft.com/office/drawing/2014/main" id="{2DFF94BE-D263-4041-98C3-ADCAE96D4D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5" name="AutoShape 3" descr="Story">
          <a:hlinkClick xmlns:r="http://schemas.openxmlformats.org/officeDocument/2006/relationships" r:id="rId11"/>
          <a:extLst>
            <a:ext uri="{FF2B5EF4-FFF2-40B4-BE49-F238E27FC236}">
              <a16:creationId xmlns:a16="http://schemas.microsoft.com/office/drawing/2014/main" id="{00E31524-7D6B-4557-99DB-DAB11E7BFF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6" name="AutoShape 4" descr="Bug">
          <a:hlinkClick xmlns:r="http://schemas.openxmlformats.org/officeDocument/2006/relationships" r:id="rId1"/>
          <a:extLst>
            <a:ext uri="{FF2B5EF4-FFF2-40B4-BE49-F238E27FC236}">
              <a16:creationId xmlns:a16="http://schemas.microsoft.com/office/drawing/2014/main" id="{0BB3019B-BC6E-479A-BFAB-F12188A02C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7" name="AutoShape 5" descr="Story">
          <a:hlinkClick xmlns:r="http://schemas.openxmlformats.org/officeDocument/2006/relationships" r:id="rId14"/>
          <a:extLst>
            <a:ext uri="{FF2B5EF4-FFF2-40B4-BE49-F238E27FC236}">
              <a16:creationId xmlns:a16="http://schemas.microsoft.com/office/drawing/2014/main" id="{83EA4491-A83D-4F35-A024-8C389C1788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8" name="AutoShape 6" descr="Bug">
          <a:hlinkClick xmlns:r="http://schemas.openxmlformats.org/officeDocument/2006/relationships" r:id="rId2"/>
          <a:extLst>
            <a:ext uri="{FF2B5EF4-FFF2-40B4-BE49-F238E27FC236}">
              <a16:creationId xmlns:a16="http://schemas.microsoft.com/office/drawing/2014/main" id="{E8985A38-CFF0-47EE-98E0-64277BA6BE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89" name="AutoShape 7" descr="Story">
          <a:hlinkClick xmlns:r="http://schemas.openxmlformats.org/officeDocument/2006/relationships" r:id="rId3"/>
          <a:extLst>
            <a:ext uri="{FF2B5EF4-FFF2-40B4-BE49-F238E27FC236}">
              <a16:creationId xmlns:a16="http://schemas.microsoft.com/office/drawing/2014/main" id="{A0907CC9-E9C0-42B2-9A7A-7FCE3E444B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0" name="AutoShape 8" descr="Story">
          <a:hlinkClick xmlns:r="http://schemas.openxmlformats.org/officeDocument/2006/relationships" r:id="rId4"/>
          <a:extLst>
            <a:ext uri="{FF2B5EF4-FFF2-40B4-BE49-F238E27FC236}">
              <a16:creationId xmlns:a16="http://schemas.microsoft.com/office/drawing/2014/main" id="{A6446D4A-08CA-4CFE-99CD-86D1C48FAF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1" name="AutoShape 9" descr="Story">
          <a:hlinkClick xmlns:r="http://schemas.openxmlformats.org/officeDocument/2006/relationships" r:id="rId5"/>
          <a:extLst>
            <a:ext uri="{FF2B5EF4-FFF2-40B4-BE49-F238E27FC236}">
              <a16:creationId xmlns:a16="http://schemas.microsoft.com/office/drawing/2014/main" id="{39A04275-0ED9-4413-852B-B2E270AB6C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2" name="AutoShape 10" descr="Story">
          <a:hlinkClick xmlns:r="http://schemas.openxmlformats.org/officeDocument/2006/relationships" r:id="rId6"/>
          <a:extLst>
            <a:ext uri="{FF2B5EF4-FFF2-40B4-BE49-F238E27FC236}">
              <a16:creationId xmlns:a16="http://schemas.microsoft.com/office/drawing/2014/main" id="{5A021F44-991E-48E6-BDF8-D3B2EC60DC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3" name="AutoShape 11" descr="Story">
          <a:hlinkClick xmlns:r="http://schemas.openxmlformats.org/officeDocument/2006/relationships" r:id="rId15"/>
          <a:extLst>
            <a:ext uri="{FF2B5EF4-FFF2-40B4-BE49-F238E27FC236}">
              <a16:creationId xmlns:a16="http://schemas.microsoft.com/office/drawing/2014/main" id="{0E53BB18-7DAE-4364-8A86-1AF66B1C01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4" name="AutoShape 12" descr="Story">
          <a:hlinkClick xmlns:r="http://schemas.openxmlformats.org/officeDocument/2006/relationships" r:id="rId12"/>
          <a:extLst>
            <a:ext uri="{FF2B5EF4-FFF2-40B4-BE49-F238E27FC236}">
              <a16:creationId xmlns:a16="http://schemas.microsoft.com/office/drawing/2014/main" id="{35441292-446B-491C-BA0B-68EC94C530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5" name="AutoShape 13" descr="Story">
          <a:hlinkClick xmlns:r="http://schemas.openxmlformats.org/officeDocument/2006/relationships" r:id="rId4"/>
          <a:extLst>
            <a:ext uri="{FF2B5EF4-FFF2-40B4-BE49-F238E27FC236}">
              <a16:creationId xmlns:a16="http://schemas.microsoft.com/office/drawing/2014/main" id="{651E135F-8AC9-425E-9D20-9DA3054198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6" name="AutoShape 14" descr="Story">
          <a:hlinkClick xmlns:r="http://schemas.openxmlformats.org/officeDocument/2006/relationships" r:id="rId4"/>
          <a:extLst>
            <a:ext uri="{FF2B5EF4-FFF2-40B4-BE49-F238E27FC236}">
              <a16:creationId xmlns:a16="http://schemas.microsoft.com/office/drawing/2014/main" id="{2F5337AA-92F1-47F1-849F-6594AD38E0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497" name="AutoShape 15" descr="Story">
          <a:hlinkClick xmlns:r="http://schemas.openxmlformats.org/officeDocument/2006/relationships" r:id="rId4"/>
          <a:extLst>
            <a:ext uri="{FF2B5EF4-FFF2-40B4-BE49-F238E27FC236}">
              <a16:creationId xmlns:a16="http://schemas.microsoft.com/office/drawing/2014/main" id="{EDCCCD95-B5B3-4920-81F2-7280BA00BA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498" name="AutoShape 1" descr="Story">
          <a:hlinkClick xmlns:r="http://schemas.openxmlformats.org/officeDocument/2006/relationships" r:id="rId7"/>
          <a:extLst>
            <a:ext uri="{FF2B5EF4-FFF2-40B4-BE49-F238E27FC236}">
              <a16:creationId xmlns:a16="http://schemas.microsoft.com/office/drawing/2014/main" id="{D771E33F-F473-4F65-A2F2-041D60A837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499" name="AutoShape 2" descr="Story">
          <a:hlinkClick xmlns:r="http://schemas.openxmlformats.org/officeDocument/2006/relationships" r:id="rId8"/>
          <a:extLst>
            <a:ext uri="{FF2B5EF4-FFF2-40B4-BE49-F238E27FC236}">
              <a16:creationId xmlns:a16="http://schemas.microsoft.com/office/drawing/2014/main" id="{5C690AE4-8A7D-410E-97B4-35A3EA55F5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0" name="AutoShape 5" descr="Story">
          <a:hlinkClick xmlns:r="http://schemas.openxmlformats.org/officeDocument/2006/relationships" r:id="rId6"/>
          <a:extLst>
            <a:ext uri="{FF2B5EF4-FFF2-40B4-BE49-F238E27FC236}">
              <a16:creationId xmlns:a16="http://schemas.microsoft.com/office/drawing/2014/main" id="{69053678-740B-47BC-964A-8D7D99734B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1" name="AutoShape 1" descr="Sub-task">
          <a:hlinkClick xmlns:r="http://schemas.openxmlformats.org/officeDocument/2006/relationships" r:id="rId9"/>
          <a:extLst>
            <a:ext uri="{FF2B5EF4-FFF2-40B4-BE49-F238E27FC236}">
              <a16:creationId xmlns:a16="http://schemas.microsoft.com/office/drawing/2014/main" id="{6BF0D80B-45E8-4E06-9122-63F4F526C6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2" name="AutoShape 2" descr="Sub-task">
          <a:hlinkClick xmlns:r="http://schemas.openxmlformats.org/officeDocument/2006/relationships" r:id="rId10"/>
          <a:extLst>
            <a:ext uri="{FF2B5EF4-FFF2-40B4-BE49-F238E27FC236}">
              <a16:creationId xmlns:a16="http://schemas.microsoft.com/office/drawing/2014/main" id="{E01DBF22-3C87-4496-B1CF-16367F7EA3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3" name="AutoShape 3" descr="Story">
          <a:hlinkClick xmlns:r="http://schemas.openxmlformats.org/officeDocument/2006/relationships" r:id="rId11"/>
          <a:extLst>
            <a:ext uri="{FF2B5EF4-FFF2-40B4-BE49-F238E27FC236}">
              <a16:creationId xmlns:a16="http://schemas.microsoft.com/office/drawing/2014/main" id="{BC3476BF-0F95-4422-9237-8BD514096C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4" name="AutoShape 12" descr="Story">
          <a:hlinkClick xmlns:r="http://schemas.openxmlformats.org/officeDocument/2006/relationships" r:id="rId12"/>
          <a:extLst>
            <a:ext uri="{FF2B5EF4-FFF2-40B4-BE49-F238E27FC236}">
              <a16:creationId xmlns:a16="http://schemas.microsoft.com/office/drawing/2014/main" id="{35037D4E-81B9-44AD-B930-66A6589C5C7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5" name="AutoShape 1" descr="Story">
          <a:hlinkClick xmlns:r="http://schemas.openxmlformats.org/officeDocument/2006/relationships" r:id="rId13"/>
          <a:extLst>
            <a:ext uri="{FF2B5EF4-FFF2-40B4-BE49-F238E27FC236}">
              <a16:creationId xmlns:a16="http://schemas.microsoft.com/office/drawing/2014/main" id="{4187B071-2AD3-4714-B0F4-9306C6A771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6" name="AutoShape 1" descr="Story">
          <a:hlinkClick xmlns:r="http://schemas.openxmlformats.org/officeDocument/2006/relationships" r:id="rId13"/>
          <a:extLst>
            <a:ext uri="{FF2B5EF4-FFF2-40B4-BE49-F238E27FC236}">
              <a16:creationId xmlns:a16="http://schemas.microsoft.com/office/drawing/2014/main" id="{07D3517E-003D-42CA-B067-F829DB6C5B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7" name="AutoShape 3" descr="Story">
          <a:hlinkClick xmlns:r="http://schemas.openxmlformats.org/officeDocument/2006/relationships" r:id="rId4"/>
          <a:extLst>
            <a:ext uri="{FF2B5EF4-FFF2-40B4-BE49-F238E27FC236}">
              <a16:creationId xmlns:a16="http://schemas.microsoft.com/office/drawing/2014/main" id="{9DC63388-33ED-401A-A691-4ED358BFA73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8" name="AutoShape 4" descr="Story">
          <a:hlinkClick xmlns:r="http://schemas.openxmlformats.org/officeDocument/2006/relationships" r:id="rId5"/>
          <a:extLst>
            <a:ext uri="{FF2B5EF4-FFF2-40B4-BE49-F238E27FC236}">
              <a16:creationId xmlns:a16="http://schemas.microsoft.com/office/drawing/2014/main" id="{D185CC51-5744-434F-BA3D-C9EF171342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09" name="AutoShape 1" descr="Story">
          <a:hlinkClick xmlns:r="http://schemas.openxmlformats.org/officeDocument/2006/relationships" r:id="rId7"/>
          <a:extLst>
            <a:ext uri="{FF2B5EF4-FFF2-40B4-BE49-F238E27FC236}">
              <a16:creationId xmlns:a16="http://schemas.microsoft.com/office/drawing/2014/main" id="{B10B45C3-F77A-44B3-AC23-DA61A1DE15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0" name="AutoShape 2" descr="Story">
          <a:hlinkClick xmlns:r="http://schemas.openxmlformats.org/officeDocument/2006/relationships" r:id="rId8"/>
          <a:extLst>
            <a:ext uri="{FF2B5EF4-FFF2-40B4-BE49-F238E27FC236}">
              <a16:creationId xmlns:a16="http://schemas.microsoft.com/office/drawing/2014/main" id="{6ACA8028-ADCE-4E01-A746-C259D44302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1" name="AutoShape 3" descr="Story">
          <a:hlinkClick xmlns:r="http://schemas.openxmlformats.org/officeDocument/2006/relationships" r:id="rId4"/>
          <a:extLst>
            <a:ext uri="{FF2B5EF4-FFF2-40B4-BE49-F238E27FC236}">
              <a16:creationId xmlns:a16="http://schemas.microsoft.com/office/drawing/2014/main" id="{B059DA83-0A62-4B86-B792-5F7B05F500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2" name="AutoShape 4" descr="Story">
          <a:hlinkClick xmlns:r="http://schemas.openxmlformats.org/officeDocument/2006/relationships" r:id="rId5"/>
          <a:extLst>
            <a:ext uri="{FF2B5EF4-FFF2-40B4-BE49-F238E27FC236}">
              <a16:creationId xmlns:a16="http://schemas.microsoft.com/office/drawing/2014/main" id="{9D947825-E320-4554-AB7F-EA526A344D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3" name="AutoShape 5" descr="Story">
          <a:hlinkClick xmlns:r="http://schemas.openxmlformats.org/officeDocument/2006/relationships" r:id="rId6"/>
          <a:extLst>
            <a:ext uri="{FF2B5EF4-FFF2-40B4-BE49-F238E27FC236}">
              <a16:creationId xmlns:a16="http://schemas.microsoft.com/office/drawing/2014/main" id="{488146A1-EE1B-4E8D-A155-81075FE36C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4" name="AutoShape 1" descr="Sub-task">
          <a:hlinkClick xmlns:r="http://schemas.openxmlformats.org/officeDocument/2006/relationships" r:id="rId9"/>
          <a:extLst>
            <a:ext uri="{FF2B5EF4-FFF2-40B4-BE49-F238E27FC236}">
              <a16:creationId xmlns:a16="http://schemas.microsoft.com/office/drawing/2014/main" id="{C0EBD6CD-2E56-49BA-9288-7CE5CA724A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5" name="AutoShape 2" descr="Sub-task">
          <a:hlinkClick xmlns:r="http://schemas.openxmlformats.org/officeDocument/2006/relationships" r:id="rId10"/>
          <a:extLst>
            <a:ext uri="{FF2B5EF4-FFF2-40B4-BE49-F238E27FC236}">
              <a16:creationId xmlns:a16="http://schemas.microsoft.com/office/drawing/2014/main" id="{2085ECA6-A00C-49C5-BEF5-E1BF2F5D64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6" name="AutoShape 7" descr="Story">
          <a:hlinkClick xmlns:r="http://schemas.openxmlformats.org/officeDocument/2006/relationships" r:id="rId3"/>
          <a:extLst>
            <a:ext uri="{FF2B5EF4-FFF2-40B4-BE49-F238E27FC236}">
              <a16:creationId xmlns:a16="http://schemas.microsoft.com/office/drawing/2014/main" id="{5AC6951D-7B10-456E-90A7-7C57715FB0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7" name="AutoShape 3" descr="Story">
          <a:hlinkClick xmlns:r="http://schemas.openxmlformats.org/officeDocument/2006/relationships" r:id="rId11"/>
          <a:extLst>
            <a:ext uri="{FF2B5EF4-FFF2-40B4-BE49-F238E27FC236}">
              <a16:creationId xmlns:a16="http://schemas.microsoft.com/office/drawing/2014/main" id="{1B668C0C-A82B-4AE7-9CD6-57DCECA09F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8" name="AutoShape 12" descr="Story">
          <a:hlinkClick xmlns:r="http://schemas.openxmlformats.org/officeDocument/2006/relationships" r:id="rId12"/>
          <a:extLst>
            <a:ext uri="{FF2B5EF4-FFF2-40B4-BE49-F238E27FC236}">
              <a16:creationId xmlns:a16="http://schemas.microsoft.com/office/drawing/2014/main" id="{99333D03-4A84-4711-863D-6C6538235A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19" name="AutoShape 1" descr="Story">
          <a:hlinkClick xmlns:r="http://schemas.openxmlformats.org/officeDocument/2006/relationships" r:id="rId13"/>
          <a:extLst>
            <a:ext uri="{FF2B5EF4-FFF2-40B4-BE49-F238E27FC236}">
              <a16:creationId xmlns:a16="http://schemas.microsoft.com/office/drawing/2014/main" id="{84F434D6-15C2-48BB-9BDC-DE49CE5BF7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0" name="AutoShape 1" descr="Story">
          <a:hlinkClick xmlns:r="http://schemas.openxmlformats.org/officeDocument/2006/relationships" r:id="rId13"/>
          <a:extLst>
            <a:ext uri="{FF2B5EF4-FFF2-40B4-BE49-F238E27FC236}">
              <a16:creationId xmlns:a16="http://schemas.microsoft.com/office/drawing/2014/main" id="{BB1FB22D-B290-4620-8D5F-7B1DCFE936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1" name="AutoShape 3" descr="Story">
          <a:hlinkClick xmlns:r="http://schemas.openxmlformats.org/officeDocument/2006/relationships" r:id="rId4"/>
          <a:extLst>
            <a:ext uri="{FF2B5EF4-FFF2-40B4-BE49-F238E27FC236}">
              <a16:creationId xmlns:a16="http://schemas.microsoft.com/office/drawing/2014/main" id="{0A3385F3-DA3E-42FD-9504-FD3B832DDC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2" name="AutoShape 4" descr="Story">
          <a:hlinkClick xmlns:r="http://schemas.openxmlformats.org/officeDocument/2006/relationships" r:id="rId5"/>
          <a:extLst>
            <a:ext uri="{FF2B5EF4-FFF2-40B4-BE49-F238E27FC236}">
              <a16:creationId xmlns:a16="http://schemas.microsoft.com/office/drawing/2014/main" id="{F947CE06-D489-4064-8CCE-6229AE387E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3" name="AutoShape 7" descr="Story">
          <a:hlinkClick xmlns:r="http://schemas.openxmlformats.org/officeDocument/2006/relationships" r:id="rId3"/>
          <a:extLst>
            <a:ext uri="{FF2B5EF4-FFF2-40B4-BE49-F238E27FC236}">
              <a16:creationId xmlns:a16="http://schemas.microsoft.com/office/drawing/2014/main" id="{06E2ABCE-2E4C-4404-8F64-FCB49F0C42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4" name="AutoShape 8" descr="Story">
          <a:hlinkClick xmlns:r="http://schemas.openxmlformats.org/officeDocument/2006/relationships" r:id="rId4"/>
          <a:extLst>
            <a:ext uri="{FF2B5EF4-FFF2-40B4-BE49-F238E27FC236}">
              <a16:creationId xmlns:a16="http://schemas.microsoft.com/office/drawing/2014/main" id="{3572832F-C988-4EEB-8220-73B802542B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25" name="AutoShape 8" descr="Story">
          <a:hlinkClick xmlns:r="http://schemas.openxmlformats.org/officeDocument/2006/relationships" r:id="rId4"/>
          <a:extLst>
            <a:ext uri="{FF2B5EF4-FFF2-40B4-BE49-F238E27FC236}">
              <a16:creationId xmlns:a16="http://schemas.microsoft.com/office/drawing/2014/main" id="{3DCCDA91-6BD3-40FB-963C-188D3AEA2D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1295</xdr:row>
      <xdr:rowOff>0</xdr:rowOff>
    </xdr:from>
    <xdr:to>
      <xdr:col>0</xdr:col>
      <xdr:colOff>152400</xdr:colOff>
      <xdr:row>1295</xdr:row>
      <xdr:rowOff>152400</xdr:rowOff>
    </xdr:to>
    <xdr:sp macro="" textlink="">
      <xdr:nvSpPr>
        <xdr:cNvPr id="2526" name="AutoShape 10" descr="Story">
          <a:hlinkClick xmlns:r="http://schemas.openxmlformats.org/officeDocument/2006/relationships" r:id="rId6"/>
          <a:extLst>
            <a:ext uri="{FF2B5EF4-FFF2-40B4-BE49-F238E27FC236}">
              <a16:creationId xmlns:a16="http://schemas.microsoft.com/office/drawing/2014/main" id="{F0DA94BD-86EA-419E-AEE2-0EC06DDD05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27" name="AutoShape 14" descr="Story">
          <a:hlinkClick xmlns:r="http://schemas.openxmlformats.org/officeDocument/2006/relationships" r:id="rId4"/>
          <a:extLst>
            <a:ext uri="{FF2B5EF4-FFF2-40B4-BE49-F238E27FC236}">
              <a16:creationId xmlns:a16="http://schemas.microsoft.com/office/drawing/2014/main" id="{7042EC37-5A59-4789-81AD-0A00BBA39B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28" name="AutoShape 10" descr="Story">
          <a:hlinkClick xmlns:r="http://schemas.openxmlformats.org/officeDocument/2006/relationships" r:id="rId6"/>
          <a:extLst>
            <a:ext uri="{FF2B5EF4-FFF2-40B4-BE49-F238E27FC236}">
              <a16:creationId xmlns:a16="http://schemas.microsoft.com/office/drawing/2014/main" id="{615A2A43-2B46-4FD8-B734-E768E6847C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29" name="AutoShape 14" descr="Story">
          <a:hlinkClick xmlns:r="http://schemas.openxmlformats.org/officeDocument/2006/relationships" r:id="rId4"/>
          <a:extLst>
            <a:ext uri="{FF2B5EF4-FFF2-40B4-BE49-F238E27FC236}">
              <a16:creationId xmlns:a16="http://schemas.microsoft.com/office/drawing/2014/main" id="{73A90974-6680-4E84-871D-82B07240C7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0" name="AutoShape 4" descr="Bug">
          <a:hlinkClick xmlns:r="http://schemas.openxmlformats.org/officeDocument/2006/relationships" r:id="rId1"/>
          <a:extLst>
            <a:ext uri="{FF2B5EF4-FFF2-40B4-BE49-F238E27FC236}">
              <a16:creationId xmlns:a16="http://schemas.microsoft.com/office/drawing/2014/main" id="{735D61AD-3203-4B90-97F9-9F8EDBC91D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1" name="AutoShape 6" descr="Bug">
          <a:hlinkClick xmlns:r="http://schemas.openxmlformats.org/officeDocument/2006/relationships" r:id="rId2"/>
          <a:extLst>
            <a:ext uri="{FF2B5EF4-FFF2-40B4-BE49-F238E27FC236}">
              <a16:creationId xmlns:a16="http://schemas.microsoft.com/office/drawing/2014/main" id="{EEC2E0B4-9368-4619-BDDF-26B4ED4150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2" name="AutoShape 7" descr="Story">
          <a:hlinkClick xmlns:r="http://schemas.openxmlformats.org/officeDocument/2006/relationships" r:id="rId3"/>
          <a:extLst>
            <a:ext uri="{FF2B5EF4-FFF2-40B4-BE49-F238E27FC236}">
              <a16:creationId xmlns:a16="http://schemas.microsoft.com/office/drawing/2014/main" id="{746E92D2-1246-4F9B-AAA0-BEF9DF18C2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3" name="AutoShape 8" descr="Story">
          <a:hlinkClick xmlns:r="http://schemas.openxmlformats.org/officeDocument/2006/relationships" r:id="rId4"/>
          <a:extLst>
            <a:ext uri="{FF2B5EF4-FFF2-40B4-BE49-F238E27FC236}">
              <a16:creationId xmlns:a16="http://schemas.microsoft.com/office/drawing/2014/main" id="{0C213677-89F3-4F77-B856-293119ADF3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4" name="AutoShape 9" descr="Story">
          <a:hlinkClick xmlns:r="http://schemas.openxmlformats.org/officeDocument/2006/relationships" r:id="rId5"/>
          <a:extLst>
            <a:ext uri="{FF2B5EF4-FFF2-40B4-BE49-F238E27FC236}">
              <a16:creationId xmlns:a16="http://schemas.microsoft.com/office/drawing/2014/main" id="{5716CD1D-7423-49C7-8449-705D1C8370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35" name="AutoShape 13" descr="Story">
          <a:hlinkClick xmlns:r="http://schemas.openxmlformats.org/officeDocument/2006/relationships" r:id="rId4"/>
          <a:extLst>
            <a:ext uri="{FF2B5EF4-FFF2-40B4-BE49-F238E27FC236}">
              <a16:creationId xmlns:a16="http://schemas.microsoft.com/office/drawing/2014/main" id="{D19778A8-0B8D-4079-9F7E-AF88FDFB30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536" name="AutoShape 1" descr="Story">
          <a:hlinkClick xmlns:r="http://schemas.openxmlformats.org/officeDocument/2006/relationships" r:id="rId7"/>
          <a:extLst>
            <a:ext uri="{FF2B5EF4-FFF2-40B4-BE49-F238E27FC236}">
              <a16:creationId xmlns:a16="http://schemas.microsoft.com/office/drawing/2014/main" id="{DA9D848D-E101-4433-8989-DA7CF7E52E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37" name="AutoShape 2" descr="Story">
          <a:hlinkClick xmlns:r="http://schemas.openxmlformats.org/officeDocument/2006/relationships" r:id="rId8"/>
          <a:extLst>
            <a:ext uri="{FF2B5EF4-FFF2-40B4-BE49-F238E27FC236}">
              <a16:creationId xmlns:a16="http://schemas.microsoft.com/office/drawing/2014/main" id="{482076CE-446C-49D2-AFC2-19AB36FDAE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38" name="AutoShape 5" descr="Story">
          <a:hlinkClick xmlns:r="http://schemas.openxmlformats.org/officeDocument/2006/relationships" r:id="rId6"/>
          <a:extLst>
            <a:ext uri="{FF2B5EF4-FFF2-40B4-BE49-F238E27FC236}">
              <a16:creationId xmlns:a16="http://schemas.microsoft.com/office/drawing/2014/main" id="{594A9544-C973-4CB0-92C7-4EBAA4A032A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39" name="AutoShape 1" descr="Sub-task">
          <a:hlinkClick xmlns:r="http://schemas.openxmlformats.org/officeDocument/2006/relationships" r:id="rId9"/>
          <a:extLst>
            <a:ext uri="{FF2B5EF4-FFF2-40B4-BE49-F238E27FC236}">
              <a16:creationId xmlns:a16="http://schemas.microsoft.com/office/drawing/2014/main" id="{7DB2D9E8-11E1-418A-AA27-C11763189D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0" name="AutoShape 2" descr="Sub-task">
          <a:hlinkClick xmlns:r="http://schemas.openxmlformats.org/officeDocument/2006/relationships" r:id="rId10"/>
          <a:extLst>
            <a:ext uri="{FF2B5EF4-FFF2-40B4-BE49-F238E27FC236}">
              <a16:creationId xmlns:a16="http://schemas.microsoft.com/office/drawing/2014/main" id="{376FE875-E2D9-4351-81B7-8E1560FE24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1" name="AutoShape 3" descr="Story">
          <a:hlinkClick xmlns:r="http://schemas.openxmlformats.org/officeDocument/2006/relationships" r:id="rId11"/>
          <a:extLst>
            <a:ext uri="{FF2B5EF4-FFF2-40B4-BE49-F238E27FC236}">
              <a16:creationId xmlns:a16="http://schemas.microsoft.com/office/drawing/2014/main" id="{FCFF565B-A53C-44DE-BCB9-8AA83B8BB9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2" name="AutoShape 12" descr="Story">
          <a:hlinkClick xmlns:r="http://schemas.openxmlformats.org/officeDocument/2006/relationships" r:id="rId12"/>
          <a:extLst>
            <a:ext uri="{FF2B5EF4-FFF2-40B4-BE49-F238E27FC236}">
              <a16:creationId xmlns:a16="http://schemas.microsoft.com/office/drawing/2014/main" id="{50632788-D1E0-4772-B259-7368B65451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3" name="AutoShape 1" descr="Story">
          <a:hlinkClick xmlns:r="http://schemas.openxmlformats.org/officeDocument/2006/relationships" r:id="rId13"/>
          <a:extLst>
            <a:ext uri="{FF2B5EF4-FFF2-40B4-BE49-F238E27FC236}">
              <a16:creationId xmlns:a16="http://schemas.microsoft.com/office/drawing/2014/main" id="{A3FC05C4-FC33-43C6-AFEE-10C27ED48F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4" name="AutoShape 1" descr="Story">
          <a:hlinkClick xmlns:r="http://schemas.openxmlformats.org/officeDocument/2006/relationships" r:id="rId13"/>
          <a:extLst>
            <a:ext uri="{FF2B5EF4-FFF2-40B4-BE49-F238E27FC236}">
              <a16:creationId xmlns:a16="http://schemas.microsoft.com/office/drawing/2014/main" id="{195D01E2-5C3E-4111-A48A-3280A200B8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5" name="AutoShape 3" descr="Story">
          <a:hlinkClick xmlns:r="http://schemas.openxmlformats.org/officeDocument/2006/relationships" r:id="rId4"/>
          <a:extLst>
            <a:ext uri="{FF2B5EF4-FFF2-40B4-BE49-F238E27FC236}">
              <a16:creationId xmlns:a16="http://schemas.microsoft.com/office/drawing/2014/main" id="{F6B1D3D4-8D0F-4E9A-A625-29CCD8BE0A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6" name="AutoShape 4" descr="Story">
          <a:hlinkClick xmlns:r="http://schemas.openxmlformats.org/officeDocument/2006/relationships" r:id="rId5"/>
          <a:extLst>
            <a:ext uri="{FF2B5EF4-FFF2-40B4-BE49-F238E27FC236}">
              <a16:creationId xmlns:a16="http://schemas.microsoft.com/office/drawing/2014/main" id="{2E366618-D53E-4262-8ACB-0300F6D669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7" name="AutoShape 3" descr="Story">
          <a:hlinkClick xmlns:r="http://schemas.openxmlformats.org/officeDocument/2006/relationships" r:id="rId4"/>
          <a:extLst>
            <a:ext uri="{FF2B5EF4-FFF2-40B4-BE49-F238E27FC236}">
              <a16:creationId xmlns:a16="http://schemas.microsoft.com/office/drawing/2014/main" id="{9AFDA720-DAB4-4D9E-9682-4943250854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8" name="AutoShape 4" descr="Story">
          <a:hlinkClick xmlns:r="http://schemas.openxmlformats.org/officeDocument/2006/relationships" r:id="rId5"/>
          <a:extLst>
            <a:ext uri="{FF2B5EF4-FFF2-40B4-BE49-F238E27FC236}">
              <a16:creationId xmlns:a16="http://schemas.microsoft.com/office/drawing/2014/main" id="{8FB1E846-67DD-440D-8D57-7004E2968F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49" name="AutoShape 7" descr="Story">
          <a:hlinkClick xmlns:r="http://schemas.openxmlformats.org/officeDocument/2006/relationships" r:id="rId3"/>
          <a:extLst>
            <a:ext uri="{FF2B5EF4-FFF2-40B4-BE49-F238E27FC236}">
              <a16:creationId xmlns:a16="http://schemas.microsoft.com/office/drawing/2014/main" id="{9A763054-54F5-4476-B6B2-051363D903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50" name="AutoShape 8" descr="Story">
          <a:hlinkClick xmlns:r="http://schemas.openxmlformats.org/officeDocument/2006/relationships" r:id="rId4"/>
          <a:extLst>
            <a:ext uri="{FF2B5EF4-FFF2-40B4-BE49-F238E27FC236}">
              <a16:creationId xmlns:a16="http://schemas.microsoft.com/office/drawing/2014/main" id="{BD30AB46-63A0-4F6B-BEE2-85A306FCB8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51" name="AutoShape 8" descr="Story">
          <a:hlinkClick xmlns:r="http://schemas.openxmlformats.org/officeDocument/2006/relationships" r:id="rId4"/>
          <a:extLst>
            <a:ext uri="{FF2B5EF4-FFF2-40B4-BE49-F238E27FC236}">
              <a16:creationId xmlns:a16="http://schemas.microsoft.com/office/drawing/2014/main" id="{79E68D7C-CC8A-47C1-88DF-628236769F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1295</xdr:row>
      <xdr:rowOff>0</xdr:rowOff>
    </xdr:from>
    <xdr:to>
      <xdr:col>0</xdr:col>
      <xdr:colOff>152400</xdr:colOff>
      <xdr:row>1295</xdr:row>
      <xdr:rowOff>152400</xdr:rowOff>
    </xdr:to>
    <xdr:sp macro="" textlink="">
      <xdr:nvSpPr>
        <xdr:cNvPr id="2552" name="AutoShape 4" descr="Bug">
          <a:hlinkClick xmlns:r="http://schemas.openxmlformats.org/officeDocument/2006/relationships" r:id="rId1"/>
          <a:extLst>
            <a:ext uri="{FF2B5EF4-FFF2-40B4-BE49-F238E27FC236}">
              <a16:creationId xmlns:a16="http://schemas.microsoft.com/office/drawing/2014/main" id="{6626FB14-6EAF-431A-9C54-E75F332B26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53" name="AutoShape 6" descr="Bug">
          <a:hlinkClick xmlns:r="http://schemas.openxmlformats.org/officeDocument/2006/relationships" r:id="rId2"/>
          <a:extLst>
            <a:ext uri="{FF2B5EF4-FFF2-40B4-BE49-F238E27FC236}">
              <a16:creationId xmlns:a16="http://schemas.microsoft.com/office/drawing/2014/main" id="{0BB08411-4336-4CE4-B0BD-520F5529B6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54" name="AutoShape 7" descr="Story">
          <a:hlinkClick xmlns:r="http://schemas.openxmlformats.org/officeDocument/2006/relationships" r:id="rId3"/>
          <a:extLst>
            <a:ext uri="{FF2B5EF4-FFF2-40B4-BE49-F238E27FC236}">
              <a16:creationId xmlns:a16="http://schemas.microsoft.com/office/drawing/2014/main" id="{30E6FC57-F784-4FBB-9C85-2153FDBA3C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55" name="AutoShape 8" descr="Story">
          <a:hlinkClick xmlns:r="http://schemas.openxmlformats.org/officeDocument/2006/relationships" r:id="rId4"/>
          <a:extLst>
            <a:ext uri="{FF2B5EF4-FFF2-40B4-BE49-F238E27FC236}">
              <a16:creationId xmlns:a16="http://schemas.microsoft.com/office/drawing/2014/main" id="{7FF7E843-12D2-4FE3-80C5-12834E11C0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56" name="AutoShape 9" descr="Story">
          <a:hlinkClick xmlns:r="http://schemas.openxmlformats.org/officeDocument/2006/relationships" r:id="rId5"/>
          <a:extLst>
            <a:ext uri="{FF2B5EF4-FFF2-40B4-BE49-F238E27FC236}">
              <a16:creationId xmlns:a16="http://schemas.microsoft.com/office/drawing/2014/main" id="{873AC3DC-04B8-4D67-B692-36F6B1EF44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57" name="AutoShape 13" descr="Story">
          <a:hlinkClick xmlns:r="http://schemas.openxmlformats.org/officeDocument/2006/relationships" r:id="rId4"/>
          <a:extLst>
            <a:ext uri="{FF2B5EF4-FFF2-40B4-BE49-F238E27FC236}">
              <a16:creationId xmlns:a16="http://schemas.microsoft.com/office/drawing/2014/main" id="{67234497-AC11-4126-A381-FF62C5E0E8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558" name="AutoShape 1" descr="Story">
          <a:hlinkClick xmlns:r="http://schemas.openxmlformats.org/officeDocument/2006/relationships" r:id="rId7"/>
          <a:extLst>
            <a:ext uri="{FF2B5EF4-FFF2-40B4-BE49-F238E27FC236}">
              <a16:creationId xmlns:a16="http://schemas.microsoft.com/office/drawing/2014/main" id="{7FAC174F-4971-4100-AEDB-EEE1248B47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59" name="AutoShape 2" descr="Story">
          <a:hlinkClick xmlns:r="http://schemas.openxmlformats.org/officeDocument/2006/relationships" r:id="rId8"/>
          <a:extLst>
            <a:ext uri="{FF2B5EF4-FFF2-40B4-BE49-F238E27FC236}">
              <a16:creationId xmlns:a16="http://schemas.microsoft.com/office/drawing/2014/main" id="{06622BA5-80EC-44F1-A14F-9C0A85EE1B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0" name="AutoShape 5" descr="Story">
          <a:hlinkClick xmlns:r="http://schemas.openxmlformats.org/officeDocument/2006/relationships" r:id="rId6"/>
          <a:extLst>
            <a:ext uri="{FF2B5EF4-FFF2-40B4-BE49-F238E27FC236}">
              <a16:creationId xmlns:a16="http://schemas.microsoft.com/office/drawing/2014/main" id="{682B98C2-CFDD-4461-99DB-E16EA833F0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1" name="AutoShape 1" descr="Sub-task">
          <a:hlinkClick xmlns:r="http://schemas.openxmlformats.org/officeDocument/2006/relationships" r:id="rId9"/>
          <a:extLst>
            <a:ext uri="{FF2B5EF4-FFF2-40B4-BE49-F238E27FC236}">
              <a16:creationId xmlns:a16="http://schemas.microsoft.com/office/drawing/2014/main" id="{64AAF78B-5F43-40A4-9FB7-A7B84AACFC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2" name="AutoShape 2" descr="Sub-task">
          <a:hlinkClick xmlns:r="http://schemas.openxmlformats.org/officeDocument/2006/relationships" r:id="rId10"/>
          <a:extLst>
            <a:ext uri="{FF2B5EF4-FFF2-40B4-BE49-F238E27FC236}">
              <a16:creationId xmlns:a16="http://schemas.microsoft.com/office/drawing/2014/main" id="{DD739556-5468-4E68-8644-62D5C2D1A4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3" name="AutoShape 3" descr="Story">
          <a:hlinkClick xmlns:r="http://schemas.openxmlformats.org/officeDocument/2006/relationships" r:id="rId11"/>
          <a:extLst>
            <a:ext uri="{FF2B5EF4-FFF2-40B4-BE49-F238E27FC236}">
              <a16:creationId xmlns:a16="http://schemas.microsoft.com/office/drawing/2014/main" id="{D91792AA-E552-4383-A8E5-5C9CC5E7C6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4" name="AutoShape 12" descr="Story">
          <a:hlinkClick xmlns:r="http://schemas.openxmlformats.org/officeDocument/2006/relationships" r:id="rId12"/>
          <a:extLst>
            <a:ext uri="{FF2B5EF4-FFF2-40B4-BE49-F238E27FC236}">
              <a16:creationId xmlns:a16="http://schemas.microsoft.com/office/drawing/2014/main" id="{E890FD05-38B1-4D6B-A650-07177DC62A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5" name="AutoShape 1" descr="Story">
          <a:hlinkClick xmlns:r="http://schemas.openxmlformats.org/officeDocument/2006/relationships" r:id="rId13"/>
          <a:extLst>
            <a:ext uri="{FF2B5EF4-FFF2-40B4-BE49-F238E27FC236}">
              <a16:creationId xmlns:a16="http://schemas.microsoft.com/office/drawing/2014/main" id="{3C12BB8C-C689-4F75-9F2E-5785138457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6" name="AutoShape 1" descr="Story">
          <a:hlinkClick xmlns:r="http://schemas.openxmlformats.org/officeDocument/2006/relationships" r:id="rId13"/>
          <a:extLst>
            <a:ext uri="{FF2B5EF4-FFF2-40B4-BE49-F238E27FC236}">
              <a16:creationId xmlns:a16="http://schemas.microsoft.com/office/drawing/2014/main" id="{8FEDB988-55E0-430F-9E37-E0103EAD42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7" name="AutoShape 3" descr="Story">
          <a:hlinkClick xmlns:r="http://schemas.openxmlformats.org/officeDocument/2006/relationships" r:id="rId4"/>
          <a:extLst>
            <a:ext uri="{FF2B5EF4-FFF2-40B4-BE49-F238E27FC236}">
              <a16:creationId xmlns:a16="http://schemas.microsoft.com/office/drawing/2014/main" id="{8AE440E2-1D80-4DB7-8515-860D58C51E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8" name="AutoShape 4" descr="Story">
          <a:hlinkClick xmlns:r="http://schemas.openxmlformats.org/officeDocument/2006/relationships" r:id="rId5"/>
          <a:extLst>
            <a:ext uri="{FF2B5EF4-FFF2-40B4-BE49-F238E27FC236}">
              <a16:creationId xmlns:a16="http://schemas.microsoft.com/office/drawing/2014/main" id="{FA4387D2-3ACA-43B1-96CB-5A138E3FFF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69" name="AutoShape 3" descr="Story">
          <a:hlinkClick xmlns:r="http://schemas.openxmlformats.org/officeDocument/2006/relationships" r:id="rId4"/>
          <a:extLst>
            <a:ext uri="{FF2B5EF4-FFF2-40B4-BE49-F238E27FC236}">
              <a16:creationId xmlns:a16="http://schemas.microsoft.com/office/drawing/2014/main" id="{A8026193-061C-455B-BBCC-4B144513F2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70" name="AutoShape 4" descr="Story">
          <a:hlinkClick xmlns:r="http://schemas.openxmlformats.org/officeDocument/2006/relationships" r:id="rId5"/>
          <a:extLst>
            <a:ext uri="{FF2B5EF4-FFF2-40B4-BE49-F238E27FC236}">
              <a16:creationId xmlns:a16="http://schemas.microsoft.com/office/drawing/2014/main" id="{98EACB29-E31A-4150-BD42-F35D9C717A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71" name="AutoShape 7" descr="Story">
          <a:hlinkClick xmlns:r="http://schemas.openxmlformats.org/officeDocument/2006/relationships" r:id="rId3"/>
          <a:extLst>
            <a:ext uri="{FF2B5EF4-FFF2-40B4-BE49-F238E27FC236}">
              <a16:creationId xmlns:a16="http://schemas.microsoft.com/office/drawing/2014/main" id="{7D3C45E9-DB3C-4180-909D-8F37BFC397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72" name="AutoShape 8" descr="Story">
          <a:hlinkClick xmlns:r="http://schemas.openxmlformats.org/officeDocument/2006/relationships" r:id="rId4"/>
          <a:extLst>
            <a:ext uri="{FF2B5EF4-FFF2-40B4-BE49-F238E27FC236}">
              <a16:creationId xmlns:a16="http://schemas.microsoft.com/office/drawing/2014/main" id="{56E72822-4678-4242-82C4-A956245686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73" name="AutoShape 8" descr="Story">
          <a:hlinkClick xmlns:r="http://schemas.openxmlformats.org/officeDocument/2006/relationships" r:id="rId4"/>
          <a:extLst>
            <a:ext uri="{FF2B5EF4-FFF2-40B4-BE49-F238E27FC236}">
              <a16:creationId xmlns:a16="http://schemas.microsoft.com/office/drawing/2014/main" id="{B62730B7-ADEE-4ABA-9441-EE95DE11AD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1295</xdr:row>
      <xdr:rowOff>0</xdr:rowOff>
    </xdr:from>
    <xdr:to>
      <xdr:col>0</xdr:col>
      <xdr:colOff>152400</xdr:colOff>
      <xdr:row>1295</xdr:row>
      <xdr:rowOff>152400</xdr:rowOff>
    </xdr:to>
    <xdr:sp macro="" textlink="">
      <xdr:nvSpPr>
        <xdr:cNvPr id="2574" name="AutoShape 4" descr="Bug">
          <a:hlinkClick xmlns:r="http://schemas.openxmlformats.org/officeDocument/2006/relationships" r:id="rId1"/>
          <a:extLst>
            <a:ext uri="{FF2B5EF4-FFF2-40B4-BE49-F238E27FC236}">
              <a16:creationId xmlns:a16="http://schemas.microsoft.com/office/drawing/2014/main" id="{AEE7A8C1-0E5F-44F6-840C-318E61BE7B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75" name="AutoShape 6" descr="Bug">
          <a:hlinkClick xmlns:r="http://schemas.openxmlformats.org/officeDocument/2006/relationships" r:id="rId2"/>
          <a:extLst>
            <a:ext uri="{FF2B5EF4-FFF2-40B4-BE49-F238E27FC236}">
              <a16:creationId xmlns:a16="http://schemas.microsoft.com/office/drawing/2014/main" id="{8D09EE40-59F7-4626-A09D-EF9D68D24B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76" name="AutoShape 7" descr="Story">
          <a:hlinkClick xmlns:r="http://schemas.openxmlformats.org/officeDocument/2006/relationships" r:id="rId3"/>
          <a:extLst>
            <a:ext uri="{FF2B5EF4-FFF2-40B4-BE49-F238E27FC236}">
              <a16:creationId xmlns:a16="http://schemas.microsoft.com/office/drawing/2014/main" id="{FF2B6581-5891-477D-8F6F-404155E6B0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77" name="AutoShape 8" descr="Story">
          <a:hlinkClick xmlns:r="http://schemas.openxmlformats.org/officeDocument/2006/relationships" r:id="rId4"/>
          <a:extLst>
            <a:ext uri="{FF2B5EF4-FFF2-40B4-BE49-F238E27FC236}">
              <a16:creationId xmlns:a16="http://schemas.microsoft.com/office/drawing/2014/main" id="{970B1892-3BD0-461D-A3D0-48C2A449E2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78" name="AutoShape 9" descr="Story">
          <a:hlinkClick xmlns:r="http://schemas.openxmlformats.org/officeDocument/2006/relationships" r:id="rId5"/>
          <a:extLst>
            <a:ext uri="{FF2B5EF4-FFF2-40B4-BE49-F238E27FC236}">
              <a16:creationId xmlns:a16="http://schemas.microsoft.com/office/drawing/2014/main" id="{D3A429DB-6B80-4B99-BDA8-D30354D01C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79" name="AutoShape 13" descr="Story">
          <a:hlinkClick xmlns:r="http://schemas.openxmlformats.org/officeDocument/2006/relationships" r:id="rId4"/>
          <a:extLst>
            <a:ext uri="{FF2B5EF4-FFF2-40B4-BE49-F238E27FC236}">
              <a16:creationId xmlns:a16="http://schemas.microsoft.com/office/drawing/2014/main" id="{7130D196-3B57-41E4-940E-1F9F547007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580" name="AutoShape 1" descr="Story">
          <a:hlinkClick xmlns:r="http://schemas.openxmlformats.org/officeDocument/2006/relationships" r:id="rId7"/>
          <a:extLst>
            <a:ext uri="{FF2B5EF4-FFF2-40B4-BE49-F238E27FC236}">
              <a16:creationId xmlns:a16="http://schemas.microsoft.com/office/drawing/2014/main" id="{5F833AA5-B618-4CA6-BF61-E3BBCA1375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1" name="AutoShape 2" descr="Story">
          <a:hlinkClick xmlns:r="http://schemas.openxmlformats.org/officeDocument/2006/relationships" r:id="rId8"/>
          <a:extLst>
            <a:ext uri="{FF2B5EF4-FFF2-40B4-BE49-F238E27FC236}">
              <a16:creationId xmlns:a16="http://schemas.microsoft.com/office/drawing/2014/main" id="{2ED238E0-7AA2-4460-9C58-CCC536FDD8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2" name="AutoShape 5" descr="Story">
          <a:hlinkClick xmlns:r="http://schemas.openxmlformats.org/officeDocument/2006/relationships" r:id="rId6"/>
          <a:extLst>
            <a:ext uri="{FF2B5EF4-FFF2-40B4-BE49-F238E27FC236}">
              <a16:creationId xmlns:a16="http://schemas.microsoft.com/office/drawing/2014/main" id="{B7C11E1C-7AA7-4075-B537-49D3E04F97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3" name="AutoShape 1" descr="Sub-task">
          <a:hlinkClick xmlns:r="http://schemas.openxmlformats.org/officeDocument/2006/relationships" r:id="rId9"/>
          <a:extLst>
            <a:ext uri="{FF2B5EF4-FFF2-40B4-BE49-F238E27FC236}">
              <a16:creationId xmlns:a16="http://schemas.microsoft.com/office/drawing/2014/main" id="{B8FC121A-0DC0-4447-89DF-CD872AF416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4" name="AutoShape 2" descr="Sub-task">
          <a:hlinkClick xmlns:r="http://schemas.openxmlformats.org/officeDocument/2006/relationships" r:id="rId10"/>
          <a:extLst>
            <a:ext uri="{FF2B5EF4-FFF2-40B4-BE49-F238E27FC236}">
              <a16:creationId xmlns:a16="http://schemas.microsoft.com/office/drawing/2014/main" id="{5844F03F-464D-4D2D-955C-0EC5CB8558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5" name="AutoShape 3" descr="Story">
          <a:hlinkClick xmlns:r="http://schemas.openxmlformats.org/officeDocument/2006/relationships" r:id="rId11"/>
          <a:extLst>
            <a:ext uri="{FF2B5EF4-FFF2-40B4-BE49-F238E27FC236}">
              <a16:creationId xmlns:a16="http://schemas.microsoft.com/office/drawing/2014/main" id="{CEEE9690-FD90-4737-A9D1-656C2CA38F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6" name="AutoShape 12" descr="Story">
          <a:hlinkClick xmlns:r="http://schemas.openxmlformats.org/officeDocument/2006/relationships" r:id="rId12"/>
          <a:extLst>
            <a:ext uri="{FF2B5EF4-FFF2-40B4-BE49-F238E27FC236}">
              <a16:creationId xmlns:a16="http://schemas.microsoft.com/office/drawing/2014/main" id="{3FB82583-8209-4CC7-8ADC-51834CFA3B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7" name="AutoShape 1" descr="Story">
          <a:hlinkClick xmlns:r="http://schemas.openxmlformats.org/officeDocument/2006/relationships" r:id="rId13"/>
          <a:extLst>
            <a:ext uri="{FF2B5EF4-FFF2-40B4-BE49-F238E27FC236}">
              <a16:creationId xmlns:a16="http://schemas.microsoft.com/office/drawing/2014/main" id="{CF92B9EA-FDE6-40C7-B8EB-ED5FFB33A7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8" name="AutoShape 1" descr="Story">
          <a:hlinkClick xmlns:r="http://schemas.openxmlformats.org/officeDocument/2006/relationships" r:id="rId13"/>
          <a:extLst>
            <a:ext uri="{FF2B5EF4-FFF2-40B4-BE49-F238E27FC236}">
              <a16:creationId xmlns:a16="http://schemas.microsoft.com/office/drawing/2014/main" id="{286B5628-8659-405D-AD8A-A96D438574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89" name="AutoShape 3" descr="Story">
          <a:hlinkClick xmlns:r="http://schemas.openxmlformats.org/officeDocument/2006/relationships" r:id="rId4"/>
          <a:extLst>
            <a:ext uri="{FF2B5EF4-FFF2-40B4-BE49-F238E27FC236}">
              <a16:creationId xmlns:a16="http://schemas.microsoft.com/office/drawing/2014/main" id="{66A13F00-6BEC-464B-A36E-0C44AF8284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0" name="AutoShape 4" descr="Story">
          <a:hlinkClick xmlns:r="http://schemas.openxmlformats.org/officeDocument/2006/relationships" r:id="rId5"/>
          <a:extLst>
            <a:ext uri="{FF2B5EF4-FFF2-40B4-BE49-F238E27FC236}">
              <a16:creationId xmlns:a16="http://schemas.microsoft.com/office/drawing/2014/main" id="{FF2CB07B-446F-4C45-8E6F-9306F9B47B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1" name="AutoShape 3" descr="Story">
          <a:hlinkClick xmlns:r="http://schemas.openxmlformats.org/officeDocument/2006/relationships" r:id="rId4"/>
          <a:extLst>
            <a:ext uri="{FF2B5EF4-FFF2-40B4-BE49-F238E27FC236}">
              <a16:creationId xmlns:a16="http://schemas.microsoft.com/office/drawing/2014/main" id="{8AAA07F4-C94B-4364-B3CA-3B2C5A0824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2" name="AutoShape 4" descr="Story">
          <a:hlinkClick xmlns:r="http://schemas.openxmlformats.org/officeDocument/2006/relationships" r:id="rId5"/>
          <a:extLst>
            <a:ext uri="{FF2B5EF4-FFF2-40B4-BE49-F238E27FC236}">
              <a16:creationId xmlns:a16="http://schemas.microsoft.com/office/drawing/2014/main" id="{E5944E94-60D9-4BCF-96FF-385F840A64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3" name="AutoShape 7" descr="Story">
          <a:hlinkClick xmlns:r="http://schemas.openxmlformats.org/officeDocument/2006/relationships" r:id="rId3"/>
          <a:extLst>
            <a:ext uri="{FF2B5EF4-FFF2-40B4-BE49-F238E27FC236}">
              <a16:creationId xmlns:a16="http://schemas.microsoft.com/office/drawing/2014/main" id="{AC49587F-8E7C-44D7-AA8A-4789774244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4" name="AutoShape 8" descr="Story">
          <a:hlinkClick xmlns:r="http://schemas.openxmlformats.org/officeDocument/2006/relationships" r:id="rId4"/>
          <a:extLst>
            <a:ext uri="{FF2B5EF4-FFF2-40B4-BE49-F238E27FC236}">
              <a16:creationId xmlns:a16="http://schemas.microsoft.com/office/drawing/2014/main" id="{F8653F93-5129-4839-BBF2-1DC5AE5E24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595" name="AutoShape 8" descr="Story">
          <a:hlinkClick xmlns:r="http://schemas.openxmlformats.org/officeDocument/2006/relationships" r:id="rId4"/>
          <a:extLst>
            <a:ext uri="{FF2B5EF4-FFF2-40B4-BE49-F238E27FC236}">
              <a16:creationId xmlns:a16="http://schemas.microsoft.com/office/drawing/2014/main" id="{E6A2C915-864A-42EB-B662-1BB7198BF1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1295</xdr:row>
      <xdr:rowOff>0</xdr:rowOff>
    </xdr:from>
    <xdr:to>
      <xdr:col>0</xdr:col>
      <xdr:colOff>152400</xdr:colOff>
      <xdr:row>1295</xdr:row>
      <xdr:rowOff>152400</xdr:rowOff>
    </xdr:to>
    <xdr:sp macro="" textlink="">
      <xdr:nvSpPr>
        <xdr:cNvPr id="2596" name="AutoShape 4" descr="Bug">
          <a:hlinkClick xmlns:r="http://schemas.openxmlformats.org/officeDocument/2006/relationships" r:id="rId1"/>
          <a:extLst>
            <a:ext uri="{FF2B5EF4-FFF2-40B4-BE49-F238E27FC236}">
              <a16:creationId xmlns:a16="http://schemas.microsoft.com/office/drawing/2014/main" id="{A766FB08-4608-443F-80C3-395E2AD0C7E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97" name="AutoShape 6" descr="Bug">
          <a:hlinkClick xmlns:r="http://schemas.openxmlformats.org/officeDocument/2006/relationships" r:id="rId2"/>
          <a:extLst>
            <a:ext uri="{FF2B5EF4-FFF2-40B4-BE49-F238E27FC236}">
              <a16:creationId xmlns:a16="http://schemas.microsoft.com/office/drawing/2014/main" id="{85747928-2A8C-4E98-B133-B7CC3ACB9D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98" name="AutoShape 7" descr="Story">
          <a:hlinkClick xmlns:r="http://schemas.openxmlformats.org/officeDocument/2006/relationships" r:id="rId3"/>
          <a:extLst>
            <a:ext uri="{FF2B5EF4-FFF2-40B4-BE49-F238E27FC236}">
              <a16:creationId xmlns:a16="http://schemas.microsoft.com/office/drawing/2014/main" id="{21290464-9141-4F88-8735-9F830DA762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599" name="AutoShape 8" descr="Story">
          <a:hlinkClick xmlns:r="http://schemas.openxmlformats.org/officeDocument/2006/relationships" r:id="rId4"/>
          <a:extLst>
            <a:ext uri="{FF2B5EF4-FFF2-40B4-BE49-F238E27FC236}">
              <a16:creationId xmlns:a16="http://schemas.microsoft.com/office/drawing/2014/main" id="{0413CA34-0446-43E9-B9F9-D49F06AA04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00" name="AutoShape 9" descr="Story">
          <a:hlinkClick xmlns:r="http://schemas.openxmlformats.org/officeDocument/2006/relationships" r:id="rId5"/>
          <a:extLst>
            <a:ext uri="{FF2B5EF4-FFF2-40B4-BE49-F238E27FC236}">
              <a16:creationId xmlns:a16="http://schemas.microsoft.com/office/drawing/2014/main" id="{653F9CE7-C954-49CA-82FF-901E91E396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01" name="AutoShape 13" descr="Story">
          <a:hlinkClick xmlns:r="http://schemas.openxmlformats.org/officeDocument/2006/relationships" r:id="rId4"/>
          <a:extLst>
            <a:ext uri="{FF2B5EF4-FFF2-40B4-BE49-F238E27FC236}">
              <a16:creationId xmlns:a16="http://schemas.microsoft.com/office/drawing/2014/main" id="{41BA9C49-8AD1-41B8-B380-4ED3337EEB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602" name="AutoShape 1" descr="Story">
          <a:hlinkClick xmlns:r="http://schemas.openxmlformats.org/officeDocument/2006/relationships" r:id="rId7"/>
          <a:extLst>
            <a:ext uri="{FF2B5EF4-FFF2-40B4-BE49-F238E27FC236}">
              <a16:creationId xmlns:a16="http://schemas.microsoft.com/office/drawing/2014/main" id="{611D8C88-2F75-47C6-A3B8-174BE546DE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3" name="AutoShape 2" descr="Story">
          <a:hlinkClick xmlns:r="http://schemas.openxmlformats.org/officeDocument/2006/relationships" r:id="rId8"/>
          <a:extLst>
            <a:ext uri="{FF2B5EF4-FFF2-40B4-BE49-F238E27FC236}">
              <a16:creationId xmlns:a16="http://schemas.microsoft.com/office/drawing/2014/main" id="{B40EC2C5-FD2B-49C8-BA52-F1AF38B0E6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4" name="AutoShape 5" descr="Story">
          <a:hlinkClick xmlns:r="http://schemas.openxmlformats.org/officeDocument/2006/relationships" r:id="rId6"/>
          <a:extLst>
            <a:ext uri="{FF2B5EF4-FFF2-40B4-BE49-F238E27FC236}">
              <a16:creationId xmlns:a16="http://schemas.microsoft.com/office/drawing/2014/main" id="{7C3EC798-ED4B-43C8-A96A-90492D50B6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5" name="AutoShape 1" descr="Sub-task">
          <a:hlinkClick xmlns:r="http://schemas.openxmlformats.org/officeDocument/2006/relationships" r:id="rId9"/>
          <a:extLst>
            <a:ext uri="{FF2B5EF4-FFF2-40B4-BE49-F238E27FC236}">
              <a16:creationId xmlns:a16="http://schemas.microsoft.com/office/drawing/2014/main" id="{13B680ED-6B02-4953-BAA2-E77392E8AE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6" name="AutoShape 2" descr="Sub-task">
          <a:hlinkClick xmlns:r="http://schemas.openxmlformats.org/officeDocument/2006/relationships" r:id="rId10"/>
          <a:extLst>
            <a:ext uri="{FF2B5EF4-FFF2-40B4-BE49-F238E27FC236}">
              <a16:creationId xmlns:a16="http://schemas.microsoft.com/office/drawing/2014/main" id="{7A093A55-901C-4433-AE27-FECD94D57D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7" name="AutoShape 3" descr="Story">
          <a:hlinkClick xmlns:r="http://schemas.openxmlformats.org/officeDocument/2006/relationships" r:id="rId11"/>
          <a:extLst>
            <a:ext uri="{FF2B5EF4-FFF2-40B4-BE49-F238E27FC236}">
              <a16:creationId xmlns:a16="http://schemas.microsoft.com/office/drawing/2014/main" id="{C766A92A-9229-453E-9AB9-937BDDF9E8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8" name="AutoShape 12" descr="Story">
          <a:hlinkClick xmlns:r="http://schemas.openxmlformats.org/officeDocument/2006/relationships" r:id="rId12"/>
          <a:extLst>
            <a:ext uri="{FF2B5EF4-FFF2-40B4-BE49-F238E27FC236}">
              <a16:creationId xmlns:a16="http://schemas.microsoft.com/office/drawing/2014/main" id="{7B1EEDDF-CB39-4A45-8124-9B63CA84E0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09" name="AutoShape 1" descr="Story">
          <a:hlinkClick xmlns:r="http://schemas.openxmlformats.org/officeDocument/2006/relationships" r:id="rId13"/>
          <a:extLst>
            <a:ext uri="{FF2B5EF4-FFF2-40B4-BE49-F238E27FC236}">
              <a16:creationId xmlns:a16="http://schemas.microsoft.com/office/drawing/2014/main" id="{D3B2717C-5621-4C38-AAA3-4EED7AAE16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0" name="AutoShape 1" descr="Story">
          <a:hlinkClick xmlns:r="http://schemas.openxmlformats.org/officeDocument/2006/relationships" r:id="rId13"/>
          <a:extLst>
            <a:ext uri="{FF2B5EF4-FFF2-40B4-BE49-F238E27FC236}">
              <a16:creationId xmlns:a16="http://schemas.microsoft.com/office/drawing/2014/main" id="{551225E7-0F5F-473A-8461-2337349395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1" name="AutoShape 3" descr="Story">
          <a:hlinkClick xmlns:r="http://schemas.openxmlformats.org/officeDocument/2006/relationships" r:id="rId4"/>
          <a:extLst>
            <a:ext uri="{FF2B5EF4-FFF2-40B4-BE49-F238E27FC236}">
              <a16:creationId xmlns:a16="http://schemas.microsoft.com/office/drawing/2014/main" id="{A8C99B10-BABC-413A-B9D6-E5A3CB7451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2" name="AutoShape 4" descr="Story">
          <a:hlinkClick xmlns:r="http://schemas.openxmlformats.org/officeDocument/2006/relationships" r:id="rId5"/>
          <a:extLst>
            <a:ext uri="{FF2B5EF4-FFF2-40B4-BE49-F238E27FC236}">
              <a16:creationId xmlns:a16="http://schemas.microsoft.com/office/drawing/2014/main" id="{161DDC8E-3214-4B48-AC7E-8093C31273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3" name="AutoShape 3" descr="Story">
          <a:hlinkClick xmlns:r="http://schemas.openxmlformats.org/officeDocument/2006/relationships" r:id="rId4"/>
          <a:extLst>
            <a:ext uri="{FF2B5EF4-FFF2-40B4-BE49-F238E27FC236}">
              <a16:creationId xmlns:a16="http://schemas.microsoft.com/office/drawing/2014/main" id="{F1E15CC6-F0FA-4E89-8660-F415F71802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4" name="AutoShape 4" descr="Story">
          <a:hlinkClick xmlns:r="http://schemas.openxmlformats.org/officeDocument/2006/relationships" r:id="rId5"/>
          <a:extLst>
            <a:ext uri="{FF2B5EF4-FFF2-40B4-BE49-F238E27FC236}">
              <a16:creationId xmlns:a16="http://schemas.microsoft.com/office/drawing/2014/main" id="{CCB5E490-86D9-4BD3-979D-3DE13D3B69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5" name="AutoShape 7" descr="Story">
          <a:hlinkClick xmlns:r="http://schemas.openxmlformats.org/officeDocument/2006/relationships" r:id="rId3"/>
          <a:extLst>
            <a:ext uri="{FF2B5EF4-FFF2-40B4-BE49-F238E27FC236}">
              <a16:creationId xmlns:a16="http://schemas.microsoft.com/office/drawing/2014/main" id="{1D94BD28-25D4-4949-AB75-671B1A6260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6" name="AutoShape 8" descr="Story">
          <a:hlinkClick xmlns:r="http://schemas.openxmlformats.org/officeDocument/2006/relationships" r:id="rId4"/>
          <a:extLst>
            <a:ext uri="{FF2B5EF4-FFF2-40B4-BE49-F238E27FC236}">
              <a16:creationId xmlns:a16="http://schemas.microsoft.com/office/drawing/2014/main" id="{6BF07E2F-84D0-4A48-90BA-87CE8BBFF7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17" name="AutoShape 8" descr="Story">
          <a:hlinkClick xmlns:r="http://schemas.openxmlformats.org/officeDocument/2006/relationships" r:id="rId4"/>
          <a:extLst>
            <a:ext uri="{FF2B5EF4-FFF2-40B4-BE49-F238E27FC236}">
              <a16:creationId xmlns:a16="http://schemas.microsoft.com/office/drawing/2014/main" id="{025274D6-6E22-44C4-AE2F-C0F94E1EDC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1300</xdr:row>
      <xdr:rowOff>0</xdr:rowOff>
    </xdr:from>
    <xdr:to>
      <xdr:col>0</xdr:col>
      <xdr:colOff>152400</xdr:colOff>
      <xdr:row>1300</xdr:row>
      <xdr:rowOff>152400</xdr:rowOff>
    </xdr:to>
    <xdr:sp macro="" textlink="">
      <xdr:nvSpPr>
        <xdr:cNvPr id="2618" name="AutoShape 1" descr="Story">
          <a:hlinkClick xmlns:r="http://schemas.openxmlformats.org/officeDocument/2006/relationships" r:id="rId13"/>
          <a:extLst>
            <a:ext uri="{FF2B5EF4-FFF2-40B4-BE49-F238E27FC236}">
              <a16:creationId xmlns:a16="http://schemas.microsoft.com/office/drawing/2014/main" id="{B2C85F1E-ECF1-4C4A-B757-A1110C9695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619" name="AutoShape 2" descr="Story">
          <a:hlinkClick xmlns:r="http://schemas.openxmlformats.org/officeDocument/2006/relationships" r:id="rId12"/>
          <a:extLst>
            <a:ext uri="{FF2B5EF4-FFF2-40B4-BE49-F238E27FC236}">
              <a16:creationId xmlns:a16="http://schemas.microsoft.com/office/drawing/2014/main" id="{26DA8073-608C-4112-993C-814731A00B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620" name="AutoShape 3" descr="Story">
          <a:hlinkClick xmlns:r="http://schemas.openxmlformats.org/officeDocument/2006/relationships" r:id="rId11"/>
          <a:extLst>
            <a:ext uri="{FF2B5EF4-FFF2-40B4-BE49-F238E27FC236}">
              <a16:creationId xmlns:a16="http://schemas.microsoft.com/office/drawing/2014/main" id="{FB045B49-B199-4027-82A2-F4D69517EB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21" name="AutoShape 4" descr="Bug">
          <a:hlinkClick xmlns:r="http://schemas.openxmlformats.org/officeDocument/2006/relationships" r:id="rId1"/>
          <a:extLst>
            <a:ext uri="{FF2B5EF4-FFF2-40B4-BE49-F238E27FC236}">
              <a16:creationId xmlns:a16="http://schemas.microsoft.com/office/drawing/2014/main" id="{BE375C47-3C29-473F-AAA4-7D867B8AE0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622" name="AutoShape 5" descr="Story">
          <a:hlinkClick xmlns:r="http://schemas.openxmlformats.org/officeDocument/2006/relationships" r:id="rId14"/>
          <a:extLst>
            <a:ext uri="{FF2B5EF4-FFF2-40B4-BE49-F238E27FC236}">
              <a16:creationId xmlns:a16="http://schemas.microsoft.com/office/drawing/2014/main" id="{20B86D35-E40E-4721-99AB-7FF92285143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23" name="AutoShape 6" descr="Bug">
          <a:hlinkClick xmlns:r="http://schemas.openxmlformats.org/officeDocument/2006/relationships" r:id="rId2"/>
          <a:extLst>
            <a:ext uri="{FF2B5EF4-FFF2-40B4-BE49-F238E27FC236}">
              <a16:creationId xmlns:a16="http://schemas.microsoft.com/office/drawing/2014/main" id="{623C52E4-60F4-40AD-9953-A16DB76819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24" name="AutoShape 7" descr="Story">
          <a:hlinkClick xmlns:r="http://schemas.openxmlformats.org/officeDocument/2006/relationships" r:id="rId3"/>
          <a:extLst>
            <a:ext uri="{FF2B5EF4-FFF2-40B4-BE49-F238E27FC236}">
              <a16:creationId xmlns:a16="http://schemas.microsoft.com/office/drawing/2014/main" id="{D150A1BE-24C8-482A-8B4E-9CCD0B79BF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25" name="AutoShape 8" descr="Story">
          <a:hlinkClick xmlns:r="http://schemas.openxmlformats.org/officeDocument/2006/relationships" r:id="rId4"/>
          <a:extLst>
            <a:ext uri="{FF2B5EF4-FFF2-40B4-BE49-F238E27FC236}">
              <a16:creationId xmlns:a16="http://schemas.microsoft.com/office/drawing/2014/main" id="{EAD5955F-3B4F-4FF1-AD60-B0A27710CD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26" name="AutoShape 9" descr="Story">
          <a:hlinkClick xmlns:r="http://schemas.openxmlformats.org/officeDocument/2006/relationships" r:id="rId5"/>
          <a:extLst>
            <a:ext uri="{FF2B5EF4-FFF2-40B4-BE49-F238E27FC236}">
              <a16:creationId xmlns:a16="http://schemas.microsoft.com/office/drawing/2014/main" id="{95C6FB56-6BD9-4CA4-A72A-88BE76F4BE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0</xdr:col>
      <xdr:colOff>152400</xdr:colOff>
      <xdr:row>1296</xdr:row>
      <xdr:rowOff>152400</xdr:rowOff>
    </xdr:to>
    <xdr:sp macro="" textlink="">
      <xdr:nvSpPr>
        <xdr:cNvPr id="2627" name="AutoShape 10" descr="Story">
          <a:hlinkClick xmlns:r="http://schemas.openxmlformats.org/officeDocument/2006/relationships" r:id="rId6"/>
          <a:extLst>
            <a:ext uri="{FF2B5EF4-FFF2-40B4-BE49-F238E27FC236}">
              <a16:creationId xmlns:a16="http://schemas.microsoft.com/office/drawing/2014/main" id="{4A5E8E34-0478-45B6-A3E2-B417233A5F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628" name="AutoShape 11" descr="Story">
          <a:hlinkClick xmlns:r="http://schemas.openxmlformats.org/officeDocument/2006/relationships" r:id="rId15"/>
          <a:extLst>
            <a:ext uri="{FF2B5EF4-FFF2-40B4-BE49-F238E27FC236}">
              <a16:creationId xmlns:a16="http://schemas.microsoft.com/office/drawing/2014/main" id="{B61F89F0-E7C1-4478-AEBA-C414867EA3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2629" name="AutoShape 12" descr="Story">
          <a:hlinkClick xmlns:r="http://schemas.openxmlformats.org/officeDocument/2006/relationships" r:id="rId12"/>
          <a:extLst>
            <a:ext uri="{FF2B5EF4-FFF2-40B4-BE49-F238E27FC236}">
              <a16:creationId xmlns:a16="http://schemas.microsoft.com/office/drawing/2014/main" id="{A7FD30A9-8346-4C61-B4D9-4453F1C6A7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1295</xdr:row>
      <xdr:rowOff>0</xdr:rowOff>
    </xdr:from>
    <xdr:to>
      <xdr:col>0</xdr:col>
      <xdr:colOff>152400</xdr:colOff>
      <xdr:row>1295</xdr:row>
      <xdr:rowOff>152400</xdr:rowOff>
    </xdr:to>
    <xdr:sp macro="" textlink="">
      <xdr:nvSpPr>
        <xdr:cNvPr id="2630" name="AutoShape 13" descr="Story">
          <a:hlinkClick xmlns:r="http://schemas.openxmlformats.org/officeDocument/2006/relationships" r:id="rId4"/>
          <a:extLst>
            <a:ext uri="{FF2B5EF4-FFF2-40B4-BE49-F238E27FC236}">
              <a16:creationId xmlns:a16="http://schemas.microsoft.com/office/drawing/2014/main" id="{88292A96-6216-4840-BAA9-40AC051A5F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0</xdr:col>
      <xdr:colOff>152400</xdr:colOff>
      <xdr:row>1296</xdr:row>
      <xdr:rowOff>152400</xdr:rowOff>
    </xdr:to>
    <xdr:sp macro="" textlink="">
      <xdr:nvSpPr>
        <xdr:cNvPr id="2631" name="AutoShape 14" descr="Story">
          <a:hlinkClick xmlns:r="http://schemas.openxmlformats.org/officeDocument/2006/relationships" r:id="rId4"/>
          <a:extLst>
            <a:ext uri="{FF2B5EF4-FFF2-40B4-BE49-F238E27FC236}">
              <a16:creationId xmlns:a16="http://schemas.microsoft.com/office/drawing/2014/main" id="{C52F27E3-139F-4F0D-B279-80353C0539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2632" name="AutoShape 15" descr="Story">
          <a:hlinkClick xmlns:r="http://schemas.openxmlformats.org/officeDocument/2006/relationships" r:id="rId4"/>
          <a:extLst>
            <a:ext uri="{FF2B5EF4-FFF2-40B4-BE49-F238E27FC236}">
              <a16:creationId xmlns:a16="http://schemas.microsoft.com/office/drawing/2014/main" id="{E7E2148D-79BC-4630-9A29-012E42DF6C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1295</xdr:row>
      <xdr:rowOff>0</xdr:rowOff>
    </xdr:from>
    <xdr:ext cx="152400" cy="152400"/>
    <xdr:sp macro="" textlink="">
      <xdr:nvSpPr>
        <xdr:cNvPr id="2633" name="AutoShape 1" descr="Story">
          <a:hlinkClick xmlns:r="http://schemas.openxmlformats.org/officeDocument/2006/relationships" r:id="rId7"/>
          <a:extLst>
            <a:ext uri="{FF2B5EF4-FFF2-40B4-BE49-F238E27FC236}">
              <a16:creationId xmlns:a16="http://schemas.microsoft.com/office/drawing/2014/main" id="{EE7E503E-915E-404E-B9D6-59BF26D041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4" name="AutoShape 2" descr="Story">
          <a:hlinkClick xmlns:r="http://schemas.openxmlformats.org/officeDocument/2006/relationships" r:id="rId8"/>
          <a:extLst>
            <a:ext uri="{FF2B5EF4-FFF2-40B4-BE49-F238E27FC236}">
              <a16:creationId xmlns:a16="http://schemas.microsoft.com/office/drawing/2014/main" id="{9A8FE731-9607-474B-A043-0671B73648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5" name="AutoShape 5" descr="Story">
          <a:hlinkClick xmlns:r="http://schemas.openxmlformats.org/officeDocument/2006/relationships" r:id="rId6"/>
          <a:extLst>
            <a:ext uri="{FF2B5EF4-FFF2-40B4-BE49-F238E27FC236}">
              <a16:creationId xmlns:a16="http://schemas.microsoft.com/office/drawing/2014/main" id="{F0BFC196-EF24-4FFF-9D61-298BE5B272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6" name="AutoShape 1" descr="Sub-task">
          <a:hlinkClick xmlns:r="http://schemas.openxmlformats.org/officeDocument/2006/relationships" r:id="rId9"/>
          <a:extLst>
            <a:ext uri="{FF2B5EF4-FFF2-40B4-BE49-F238E27FC236}">
              <a16:creationId xmlns:a16="http://schemas.microsoft.com/office/drawing/2014/main" id="{8C66D849-BA74-4706-888F-123CAE0CA1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7" name="AutoShape 2" descr="Sub-task">
          <a:hlinkClick xmlns:r="http://schemas.openxmlformats.org/officeDocument/2006/relationships" r:id="rId10"/>
          <a:extLst>
            <a:ext uri="{FF2B5EF4-FFF2-40B4-BE49-F238E27FC236}">
              <a16:creationId xmlns:a16="http://schemas.microsoft.com/office/drawing/2014/main" id="{E05F8A2A-4824-4569-B91D-93C43356B4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8" name="AutoShape 3" descr="Story">
          <a:hlinkClick xmlns:r="http://schemas.openxmlformats.org/officeDocument/2006/relationships" r:id="rId11"/>
          <a:extLst>
            <a:ext uri="{FF2B5EF4-FFF2-40B4-BE49-F238E27FC236}">
              <a16:creationId xmlns:a16="http://schemas.microsoft.com/office/drawing/2014/main" id="{A1E02031-4DBE-4633-8138-65876273C2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39" name="AutoShape 12" descr="Story">
          <a:hlinkClick xmlns:r="http://schemas.openxmlformats.org/officeDocument/2006/relationships" r:id="rId12"/>
          <a:extLst>
            <a:ext uri="{FF2B5EF4-FFF2-40B4-BE49-F238E27FC236}">
              <a16:creationId xmlns:a16="http://schemas.microsoft.com/office/drawing/2014/main" id="{A890CC83-EFA0-4EC8-95E8-46C463A21F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0" name="AutoShape 1" descr="Story">
          <a:hlinkClick xmlns:r="http://schemas.openxmlformats.org/officeDocument/2006/relationships" r:id="rId13"/>
          <a:extLst>
            <a:ext uri="{FF2B5EF4-FFF2-40B4-BE49-F238E27FC236}">
              <a16:creationId xmlns:a16="http://schemas.microsoft.com/office/drawing/2014/main" id="{1272B090-C33C-486B-9F19-B85EA68297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1" name="AutoShape 1" descr="Story">
          <a:hlinkClick xmlns:r="http://schemas.openxmlformats.org/officeDocument/2006/relationships" r:id="rId13"/>
          <a:extLst>
            <a:ext uri="{FF2B5EF4-FFF2-40B4-BE49-F238E27FC236}">
              <a16:creationId xmlns:a16="http://schemas.microsoft.com/office/drawing/2014/main" id="{2CC761BD-8EC5-4EA8-9A6B-5877D10BFB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2" name="AutoShape 3" descr="Story">
          <a:hlinkClick xmlns:r="http://schemas.openxmlformats.org/officeDocument/2006/relationships" r:id="rId4"/>
          <a:extLst>
            <a:ext uri="{FF2B5EF4-FFF2-40B4-BE49-F238E27FC236}">
              <a16:creationId xmlns:a16="http://schemas.microsoft.com/office/drawing/2014/main" id="{0142AFE9-1528-4791-BDD8-75FCEB36E2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3" name="AutoShape 4" descr="Story">
          <a:hlinkClick xmlns:r="http://schemas.openxmlformats.org/officeDocument/2006/relationships" r:id="rId5"/>
          <a:extLst>
            <a:ext uri="{FF2B5EF4-FFF2-40B4-BE49-F238E27FC236}">
              <a16:creationId xmlns:a16="http://schemas.microsoft.com/office/drawing/2014/main" id="{29D5746F-E73F-4FA8-AFAA-C5FD57E5C5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44" name="AutoShape 1" descr="Story">
          <a:hlinkClick xmlns:r="http://schemas.openxmlformats.org/officeDocument/2006/relationships" r:id="rId7"/>
          <a:extLst>
            <a:ext uri="{FF2B5EF4-FFF2-40B4-BE49-F238E27FC236}">
              <a16:creationId xmlns:a16="http://schemas.microsoft.com/office/drawing/2014/main" id="{00ADA395-F6BB-4B55-A4BD-3C15A87BD1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45" name="AutoShape 2" descr="Story">
          <a:hlinkClick xmlns:r="http://schemas.openxmlformats.org/officeDocument/2006/relationships" r:id="rId8"/>
          <a:extLst>
            <a:ext uri="{FF2B5EF4-FFF2-40B4-BE49-F238E27FC236}">
              <a16:creationId xmlns:a16="http://schemas.microsoft.com/office/drawing/2014/main" id="{B1E29A13-0901-438E-A335-228B56F22E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6" name="AutoShape 3" descr="Story">
          <a:hlinkClick xmlns:r="http://schemas.openxmlformats.org/officeDocument/2006/relationships" r:id="rId4"/>
          <a:extLst>
            <a:ext uri="{FF2B5EF4-FFF2-40B4-BE49-F238E27FC236}">
              <a16:creationId xmlns:a16="http://schemas.microsoft.com/office/drawing/2014/main" id="{5EEE0B6D-5C69-404E-BF93-113B6C9BF4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47" name="AutoShape 4" descr="Story">
          <a:hlinkClick xmlns:r="http://schemas.openxmlformats.org/officeDocument/2006/relationships" r:id="rId5"/>
          <a:extLst>
            <a:ext uri="{FF2B5EF4-FFF2-40B4-BE49-F238E27FC236}">
              <a16:creationId xmlns:a16="http://schemas.microsoft.com/office/drawing/2014/main" id="{D820AAFC-04E9-4121-BEDB-AB198CC832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48" name="AutoShape 5" descr="Story">
          <a:hlinkClick xmlns:r="http://schemas.openxmlformats.org/officeDocument/2006/relationships" r:id="rId6"/>
          <a:extLst>
            <a:ext uri="{FF2B5EF4-FFF2-40B4-BE49-F238E27FC236}">
              <a16:creationId xmlns:a16="http://schemas.microsoft.com/office/drawing/2014/main" id="{9B997D1E-AFC7-4C74-8AE1-6E80494E4D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49" name="AutoShape 1" descr="Sub-task">
          <a:hlinkClick xmlns:r="http://schemas.openxmlformats.org/officeDocument/2006/relationships" r:id="rId9"/>
          <a:extLst>
            <a:ext uri="{FF2B5EF4-FFF2-40B4-BE49-F238E27FC236}">
              <a16:creationId xmlns:a16="http://schemas.microsoft.com/office/drawing/2014/main" id="{F6D4E34D-862F-41FB-85CB-8C7C61F2FB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0" name="AutoShape 2" descr="Sub-task">
          <a:hlinkClick xmlns:r="http://schemas.openxmlformats.org/officeDocument/2006/relationships" r:id="rId10"/>
          <a:extLst>
            <a:ext uri="{FF2B5EF4-FFF2-40B4-BE49-F238E27FC236}">
              <a16:creationId xmlns:a16="http://schemas.microsoft.com/office/drawing/2014/main" id="{A1D7A63B-B9CF-4B8B-99CA-357B01CE3D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51" name="AutoShape 7" descr="Story">
          <a:hlinkClick xmlns:r="http://schemas.openxmlformats.org/officeDocument/2006/relationships" r:id="rId3"/>
          <a:extLst>
            <a:ext uri="{FF2B5EF4-FFF2-40B4-BE49-F238E27FC236}">
              <a16:creationId xmlns:a16="http://schemas.microsoft.com/office/drawing/2014/main" id="{419AB07C-43B1-4EB6-87B7-F4E33302BF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2" name="AutoShape 3" descr="Story">
          <a:hlinkClick xmlns:r="http://schemas.openxmlformats.org/officeDocument/2006/relationships" r:id="rId11"/>
          <a:extLst>
            <a:ext uri="{FF2B5EF4-FFF2-40B4-BE49-F238E27FC236}">
              <a16:creationId xmlns:a16="http://schemas.microsoft.com/office/drawing/2014/main" id="{449FC33C-2772-428A-B53B-0DEE3E37D9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3" name="AutoShape 12" descr="Story">
          <a:hlinkClick xmlns:r="http://schemas.openxmlformats.org/officeDocument/2006/relationships" r:id="rId12"/>
          <a:extLst>
            <a:ext uri="{FF2B5EF4-FFF2-40B4-BE49-F238E27FC236}">
              <a16:creationId xmlns:a16="http://schemas.microsoft.com/office/drawing/2014/main" id="{6864B144-CC47-45D7-A348-469E38966A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4" name="AutoShape 1" descr="Story">
          <a:hlinkClick xmlns:r="http://schemas.openxmlformats.org/officeDocument/2006/relationships" r:id="rId13"/>
          <a:extLst>
            <a:ext uri="{FF2B5EF4-FFF2-40B4-BE49-F238E27FC236}">
              <a16:creationId xmlns:a16="http://schemas.microsoft.com/office/drawing/2014/main" id="{FB2D5C0F-36F6-4595-85B9-401D93F41F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5" name="AutoShape 1" descr="Story">
          <a:hlinkClick xmlns:r="http://schemas.openxmlformats.org/officeDocument/2006/relationships" r:id="rId13"/>
          <a:extLst>
            <a:ext uri="{FF2B5EF4-FFF2-40B4-BE49-F238E27FC236}">
              <a16:creationId xmlns:a16="http://schemas.microsoft.com/office/drawing/2014/main" id="{5FD62761-249A-4A3F-A1B8-045CBCF55D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6" name="AutoShape 3" descr="Story">
          <a:hlinkClick xmlns:r="http://schemas.openxmlformats.org/officeDocument/2006/relationships" r:id="rId4"/>
          <a:extLst>
            <a:ext uri="{FF2B5EF4-FFF2-40B4-BE49-F238E27FC236}">
              <a16:creationId xmlns:a16="http://schemas.microsoft.com/office/drawing/2014/main" id="{A5EDD58E-459C-4155-A3C0-972933DF3E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7" name="AutoShape 4" descr="Story">
          <a:hlinkClick xmlns:r="http://schemas.openxmlformats.org/officeDocument/2006/relationships" r:id="rId5"/>
          <a:extLst>
            <a:ext uri="{FF2B5EF4-FFF2-40B4-BE49-F238E27FC236}">
              <a16:creationId xmlns:a16="http://schemas.microsoft.com/office/drawing/2014/main" id="{F9161B51-B101-484E-A038-40D229DE4A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2658" name="AutoShape 7" descr="Story">
          <a:hlinkClick xmlns:r="http://schemas.openxmlformats.org/officeDocument/2006/relationships" r:id="rId3"/>
          <a:extLst>
            <a:ext uri="{FF2B5EF4-FFF2-40B4-BE49-F238E27FC236}">
              <a16:creationId xmlns:a16="http://schemas.microsoft.com/office/drawing/2014/main" id="{9A3B0B72-2FBD-4EE0-BB96-FB7F111D15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59" name="AutoShape 8" descr="Story">
          <a:hlinkClick xmlns:r="http://schemas.openxmlformats.org/officeDocument/2006/relationships" r:id="rId4"/>
          <a:extLst>
            <a:ext uri="{FF2B5EF4-FFF2-40B4-BE49-F238E27FC236}">
              <a16:creationId xmlns:a16="http://schemas.microsoft.com/office/drawing/2014/main" id="{CC31361E-FF5A-4144-9975-5AC1C6F200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1295</xdr:row>
      <xdr:rowOff>0</xdr:rowOff>
    </xdr:from>
    <xdr:ext cx="152400" cy="152400"/>
    <xdr:sp macro="" textlink="">
      <xdr:nvSpPr>
        <xdr:cNvPr id="2660" name="AutoShape 8" descr="Story">
          <a:hlinkClick xmlns:r="http://schemas.openxmlformats.org/officeDocument/2006/relationships" r:id="rId4"/>
          <a:extLst>
            <a:ext uri="{FF2B5EF4-FFF2-40B4-BE49-F238E27FC236}">
              <a16:creationId xmlns:a16="http://schemas.microsoft.com/office/drawing/2014/main" id="{5EB95651-8D21-45E9-B6C8-10DD1F034A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1296</xdr:row>
      <xdr:rowOff>0</xdr:rowOff>
    </xdr:from>
    <xdr:to>
      <xdr:col>0</xdr:col>
      <xdr:colOff>152400</xdr:colOff>
      <xdr:row>1296</xdr:row>
      <xdr:rowOff>152400</xdr:rowOff>
    </xdr:to>
    <xdr:sp macro="" textlink="">
      <xdr:nvSpPr>
        <xdr:cNvPr id="2661" name="AutoShape 10" descr="Story">
          <a:hlinkClick xmlns:r="http://schemas.openxmlformats.org/officeDocument/2006/relationships" r:id="rId6"/>
          <a:extLst>
            <a:ext uri="{FF2B5EF4-FFF2-40B4-BE49-F238E27FC236}">
              <a16:creationId xmlns:a16="http://schemas.microsoft.com/office/drawing/2014/main" id="{374B66D0-8419-4BEE-9801-C85A68A6C3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0</xdr:col>
      <xdr:colOff>152400</xdr:colOff>
      <xdr:row>1296</xdr:row>
      <xdr:rowOff>152400</xdr:rowOff>
    </xdr:to>
    <xdr:sp macro="" textlink="">
      <xdr:nvSpPr>
        <xdr:cNvPr id="2662" name="AutoShape 14" descr="Story">
          <a:hlinkClick xmlns:r="http://schemas.openxmlformats.org/officeDocument/2006/relationships" r:id="rId4"/>
          <a:extLst>
            <a:ext uri="{FF2B5EF4-FFF2-40B4-BE49-F238E27FC236}">
              <a16:creationId xmlns:a16="http://schemas.microsoft.com/office/drawing/2014/main" id="{5F16D4C8-3752-459B-9CF4-A50D60B753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0</xdr:col>
      <xdr:colOff>152400</xdr:colOff>
      <xdr:row>1296</xdr:row>
      <xdr:rowOff>152400</xdr:rowOff>
    </xdr:to>
    <xdr:sp macro="" textlink="">
      <xdr:nvSpPr>
        <xdr:cNvPr id="2663" name="AutoShape 10" descr="Story">
          <a:hlinkClick xmlns:r="http://schemas.openxmlformats.org/officeDocument/2006/relationships" r:id="rId6"/>
          <a:extLst>
            <a:ext uri="{FF2B5EF4-FFF2-40B4-BE49-F238E27FC236}">
              <a16:creationId xmlns:a16="http://schemas.microsoft.com/office/drawing/2014/main" id="{1B36A8CD-B1EF-46A5-B5D7-A28E7A6A3D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1296</xdr:row>
      <xdr:rowOff>0</xdr:rowOff>
    </xdr:from>
    <xdr:to>
      <xdr:col>0</xdr:col>
      <xdr:colOff>152400</xdr:colOff>
      <xdr:row>1296</xdr:row>
      <xdr:rowOff>152400</xdr:rowOff>
    </xdr:to>
    <xdr:sp macro="" textlink="">
      <xdr:nvSpPr>
        <xdr:cNvPr id="2664" name="AutoShape 14" descr="Story">
          <a:hlinkClick xmlns:r="http://schemas.openxmlformats.org/officeDocument/2006/relationships" r:id="rId4"/>
          <a:extLst>
            <a:ext uri="{FF2B5EF4-FFF2-40B4-BE49-F238E27FC236}">
              <a16:creationId xmlns:a16="http://schemas.microsoft.com/office/drawing/2014/main" id="{91EC5EBA-05EA-43C0-B13F-C9F5A2A8FD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65" name="AutoShape 4" descr="Bug">
          <a:hlinkClick xmlns:r="http://schemas.openxmlformats.org/officeDocument/2006/relationships" r:id="rId1"/>
          <a:extLst>
            <a:ext uri="{FF2B5EF4-FFF2-40B4-BE49-F238E27FC236}">
              <a16:creationId xmlns:a16="http://schemas.microsoft.com/office/drawing/2014/main" id="{B3D6EFF2-22DC-4C4E-A410-26B42A1DE01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66" name="AutoShape 6" descr="Bug">
          <a:hlinkClick xmlns:r="http://schemas.openxmlformats.org/officeDocument/2006/relationships" r:id="rId2"/>
          <a:extLst>
            <a:ext uri="{FF2B5EF4-FFF2-40B4-BE49-F238E27FC236}">
              <a16:creationId xmlns:a16="http://schemas.microsoft.com/office/drawing/2014/main" id="{0AA70718-E692-4793-A9C9-9A2B66016C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67" name="AutoShape 7" descr="Story">
          <a:hlinkClick xmlns:r="http://schemas.openxmlformats.org/officeDocument/2006/relationships" r:id="rId3"/>
          <a:extLst>
            <a:ext uri="{FF2B5EF4-FFF2-40B4-BE49-F238E27FC236}">
              <a16:creationId xmlns:a16="http://schemas.microsoft.com/office/drawing/2014/main" id="{78016467-D0D0-471D-BE19-0836E46C92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68" name="AutoShape 8" descr="Story">
          <a:hlinkClick xmlns:r="http://schemas.openxmlformats.org/officeDocument/2006/relationships" r:id="rId4"/>
          <a:extLst>
            <a:ext uri="{FF2B5EF4-FFF2-40B4-BE49-F238E27FC236}">
              <a16:creationId xmlns:a16="http://schemas.microsoft.com/office/drawing/2014/main" id="{617EA670-C735-4618-9B3E-CCA3D03F2A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69" name="AutoShape 9" descr="Story">
          <a:hlinkClick xmlns:r="http://schemas.openxmlformats.org/officeDocument/2006/relationships" r:id="rId5"/>
          <a:extLst>
            <a:ext uri="{FF2B5EF4-FFF2-40B4-BE49-F238E27FC236}">
              <a16:creationId xmlns:a16="http://schemas.microsoft.com/office/drawing/2014/main" id="{54D1D9A5-2CE8-440B-8940-24B32D82C3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70" name="AutoShape 13" descr="Story">
          <a:hlinkClick xmlns:r="http://schemas.openxmlformats.org/officeDocument/2006/relationships" r:id="rId4"/>
          <a:extLst>
            <a:ext uri="{FF2B5EF4-FFF2-40B4-BE49-F238E27FC236}">
              <a16:creationId xmlns:a16="http://schemas.microsoft.com/office/drawing/2014/main" id="{A39B4530-61FA-4712-AFE1-463F8F0CDC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671" name="AutoShape 1" descr="Story">
          <a:hlinkClick xmlns:r="http://schemas.openxmlformats.org/officeDocument/2006/relationships" r:id="rId7"/>
          <a:extLst>
            <a:ext uri="{FF2B5EF4-FFF2-40B4-BE49-F238E27FC236}">
              <a16:creationId xmlns:a16="http://schemas.microsoft.com/office/drawing/2014/main" id="{EB767B2D-09A4-434F-95C3-EFDED2C492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2" name="AutoShape 2" descr="Story">
          <a:hlinkClick xmlns:r="http://schemas.openxmlformats.org/officeDocument/2006/relationships" r:id="rId8"/>
          <a:extLst>
            <a:ext uri="{FF2B5EF4-FFF2-40B4-BE49-F238E27FC236}">
              <a16:creationId xmlns:a16="http://schemas.microsoft.com/office/drawing/2014/main" id="{C4211D46-B261-433A-BEFC-973C992437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3" name="AutoShape 5" descr="Story">
          <a:hlinkClick xmlns:r="http://schemas.openxmlformats.org/officeDocument/2006/relationships" r:id="rId6"/>
          <a:extLst>
            <a:ext uri="{FF2B5EF4-FFF2-40B4-BE49-F238E27FC236}">
              <a16:creationId xmlns:a16="http://schemas.microsoft.com/office/drawing/2014/main" id="{12C3A1BD-59DE-40F3-8DC1-18C10AF626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4" name="AutoShape 1" descr="Sub-task">
          <a:hlinkClick xmlns:r="http://schemas.openxmlformats.org/officeDocument/2006/relationships" r:id="rId9"/>
          <a:extLst>
            <a:ext uri="{FF2B5EF4-FFF2-40B4-BE49-F238E27FC236}">
              <a16:creationId xmlns:a16="http://schemas.microsoft.com/office/drawing/2014/main" id="{0091CAA7-A94A-4829-A6AC-A673C5AA74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5" name="AutoShape 2" descr="Sub-task">
          <a:hlinkClick xmlns:r="http://schemas.openxmlformats.org/officeDocument/2006/relationships" r:id="rId10"/>
          <a:extLst>
            <a:ext uri="{FF2B5EF4-FFF2-40B4-BE49-F238E27FC236}">
              <a16:creationId xmlns:a16="http://schemas.microsoft.com/office/drawing/2014/main" id="{B1C30B9B-9FF9-4F3D-AEB5-AC82D7002C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6" name="AutoShape 3" descr="Story">
          <a:hlinkClick xmlns:r="http://schemas.openxmlformats.org/officeDocument/2006/relationships" r:id="rId11"/>
          <a:extLst>
            <a:ext uri="{FF2B5EF4-FFF2-40B4-BE49-F238E27FC236}">
              <a16:creationId xmlns:a16="http://schemas.microsoft.com/office/drawing/2014/main" id="{B12574A1-A05A-4A3F-A7FA-83FD0513C6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7" name="AutoShape 12" descr="Story">
          <a:hlinkClick xmlns:r="http://schemas.openxmlformats.org/officeDocument/2006/relationships" r:id="rId12"/>
          <a:extLst>
            <a:ext uri="{FF2B5EF4-FFF2-40B4-BE49-F238E27FC236}">
              <a16:creationId xmlns:a16="http://schemas.microsoft.com/office/drawing/2014/main" id="{D2508155-6731-4006-9433-CB2BC432C2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8" name="AutoShape 1" descr="Story">
          <a:hlinkClick xmlns:r="http://schemas.openxmlformats.org/officeDocument/2006/relationships" r:id="rId13"/>
          <a:extLst>
            <a:ext uri="{FF2B5EF4-FFF2-40B4-BE49-F238E27FC236}">
              <a16:creationId xmlns:a16="http://schemas.microsoft.com/office/drawing/2014/main" id="{E9B19A01-0EFC-4D9D-B412-3B993C9BC8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79" name="AutoShape 1" descr="Story">
          <a:hlinkClick xmlns:r="http://schemas.openxmlformats.org/officeDocument/2006/relationships" r:id="rId13"/>
          <a:extLst>
            <a:ext uri="{FF2B5EF4-FFF2-40B4-BE49-F238E27FC236}">
              <a16:creationId xmlns:a16="http://schemas.microsoft.com/office/drawing/2014/main" id="{331D1108-1F58-4635-A979-756C81B9EE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0" name="AutoShape 3" descr="Story">
          <a:hlinkClick xmlns:r="http://schemas.openxmlformats.org/officeDocument/2006/relationships" r:id="rId4"/>
          <a:extLst>
            <a:ext uri="{FF2B5EF4-FFF2-40B4-BE49-F238E27FC236}">
              <a16:creationId xmlns:a16="http://schemas.microsoft.com/office/drawing/2014/main" id="{E8918613-4E4D-4FB4-B8A5-0AEB76521E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1" name="AutoShape 4" descr="Story">
          <a:hlinkClick xmlns:r="http://schemas.openxmlformats.org/officeDocument/2006/relationships" r:id="rId5"/>
          <a:extLst>
            <a:ext uri="{FF2B5EF4-FFF2-40B4-BE49-F238E27FC236}">
              <a16:creationId xmlns:a16="http://schemas.microsoft.com/office/drawing/2014/main" id="{B9A19607-3749-40EE-AE12-4645A0C27B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2" name="AutoShape 3" descr="Story">
          <a:hlinkClick xmlns:r="http://schemas.openxmlformats.org/officeDocument/2006/relationships" r:id="rId4"/>
          <a:extLst>
            <a:ext uri="{FF2B5EF4-FFF2-40B4-BE49-F238E27FC236}">
              <a16:creationId xmlns:a16="http://schemas.microsoft.com/office/drawing/2014/main" id="{5AA5C119-6E44-4E9F-80C3-1AB10E5424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3" name="AutoShape 4" descr="Story">
          <a:hlinkClick xmlns:r="http://schemas.openxmlformats.org/officeDocument/2006/relationships" r:id="rId5"/>
          <a:extLst>
            <a:ext uri="{FF2B5EF4-FFF2-40B4-BE49-F238E27FC236}">
              <a16:creationId xmlns:a16="http://schemas.microsoft.com/office/drawing/2014/main" id="{84C7500E-5C43-481A-A528-C8F56F5EA1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4" name="AutoShape 7" descr="Story">
          <a:hlinkClick xmlns:r="http://schemas.openxmlformats.org/officeDocument/2006/relationships" r:id="rId3"/>
          <a:extLst>
            <a:ext uri="{FF2B5EF4-FFF2-40B4-BE49-F238E27FC236}">
              <a16:creationId xmlns:a16="http://schemas.microsoft.com/office/drawing/2014/main" id="{0637F90C-35BE-420B-8BD9-D97208013F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5" name="AutoShape 8" descr="Story">
          <a:hlinkClick xmlns:r="http://schemas.openxmlformats.org/officeDocument/2006/relationships" r:id="rId4"/>
          <a:extLst>
            <a:ext uri="{FF2B5EF4-FFF2-40B4-BE49-F238E27FC236}">
              <a16:creationId xmlns:a16="http://schemas.microsoft.com/office/drawing/2014/main" id="{0C412DE0-4FF1-436D-A4F4-B54B9464D4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86" name="AutoShape 8" descr="Story">
          <a:hlinkClick xmlns:r="http://schemas.openxmlformats.org/officeDocument/2006/relationships" r:id="rId4"/>
          <a:extLst>
            <a:ext uri="{FF2B5EF4-FFF2-40B4-BE49-F238E27FC236}">
              <a16:creationId xmlns:a16="http://schemas.microsoft.com/office/drawing/2014/main" id="{777F6A86-FAF9-4B86-8FAC-225284C78B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687" name="AutoShape 4" descr="Bug">
          <a:hlinkClick xmlns:r="http://schemas.openxmlformats.org/officeDocument/2006/relationships" r:id="rId1"/>
          <a:extLst>
            <a:ext uri="{FF2B5EF4-FFF2-40B4-BE49-F238E27FC236}">
              <a16:creationId xmlns:a16="http://schemas.microsoft.com/office/drawing/2014/main" id="{E9F9E16A-118B-4ED6-9D42-78F5F57C92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88" name="AutoShape 6" descr="Bug">
          <a:hlinkClick xmlns:r="http://schemas.openxmlformats.org/officeDocument/2006/relationships" r:id="rId2"/>
          <a:extLst>
            <a:ext uri="{FF2B5EF4-FFF2-40B4-BE49-F238E27FC236}">
              <a16:creationId xmlns:a16="http://schemas.microsoft.com/office/drawing/2014/main" id="{9E03EFDA-CA58-49C5-AF49-DE4602DEEB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89" name="AutoShape 7" descr="Story">
          <a:hlinkClick xmlns:r="http://schemas.openxmlformats.org/officeDocument/2006/relationships" r:id="rId3"/>
          <a:extLst>
            <a:ext uri="{FF2B5EF4-FFF2-40B4-BE49-F238E27FC236}">
              <a16:creationId xmlns:a16="http://schemas.microsoft.com/office/drawing/2014/main" id="{E701DB33-9E79-41D2-B8B8-F7A52F292E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90" name="AutoShape 8" descr="Story">
          <a:hlinkClick xmlns:r="http://schemas.openxmlformats.org/officeDocument/2006/relationships" r:id="rId4"/>
          <a:extLst>
            <a:ext uri="{FF2B5EF4-FFF2-40B4-BE49-F238E27FC236}">
              <a16:creationId xmlns:a16="http://schemas.microsoft.com/office/drawing/2014/main" id="{D47AAA10-AB4E-4ACF-B06C-8E77E76163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91" name="AutoShape 9" descr="Story">
          <a:hlinkClick xmlns:r="http://schemas.openxmlformats.org/officeDocument/2006/relationships" r:id="rId5"/>
          <a:extLst>
            <a:ext uri="{FF2B5EF4-FFF2-40B4-BE49-F238E27FC236}">
              <a16:creationId xmlns:a16="http://schemas.microsoft.com/office/drawing/2014/main" id="{9F90EB09-8044-4899-92CB-08DC9259EA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692" name="AutoShape 13" descr="Story">
          <a:hlinkClick xmlns:r="http://schemas.openxmlformats.org/officeDocument/2006/relationships" r:id="rId4"/>
          <a:extLst>
            <a:ext uri="{FF2B5EF4-FFF2-40B4-BE49-F238E27FC236}">
              <a16:creationId xmlns:a16="http://schemas.microsoft.com/office/drawing/2014/main" id="{0E9C03B0-E1F0-4A8C-9DC7-2663E26A73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693" name="AutoShape 1" descr="Story">
          <a:hlinkClick xmlns:r="http://schemas.openxmlformats.org/officeDocument/2006/relationships" r:id="rId7"/>
          <a:extLst>
            <a:ext uri="{FF2B5EF4-FFF2-40B4-BE49-F238E27FC236}">
              <a16:creationId xmlns:a16="http://schemas.microsoft.com/office/drawing/2014/main" id="{23A9E61E-6AB7-4576-A023-A69A801F4B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4" name="AutoShape 2" descr="Story">
          <a:hlinkClick xmlns:r="http://schemas.openxmlformats.org/officeDocument/2006/relationships" r:id="rId8"/>
          <a:extLst>
            <a:ext uri="{FF2B5EF4-FFF2-40B4-BE49-F238E27FC236}">
              <a16:creationId xmlns:a16="http://schemas.microsoft.com/office/drawing/2014/main" id="{D6689C3F-61EB-4B7F-9468-D0EFC81810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5" name="AutoShape 5" descr="Story">
          <a:hlinkClick xmlns:r="http://schemas.openxmlformats.org/officeDocument/2006/relationships" r:id="rId6"/>
          <a:extLst>
            <a:ext uri="{FF2B5EF4-FFF2-40B4-BE49-F238E27FC236}">
              <a16:creationId xmlns:a16="http://schemas.microsoft.com/office/drawing/2014/main" id="{2A9F8523-6FBE-4297-8894-2853E13F93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6" name="AutoShape 1" descr="Sub-task">
          <a:hlinkClick xmlns:r="http://schemas.openxmlformats.org/officeDocument/2006/relationships" r:id="rId9"/>
          <a:extLst>
            <a:ext uri="{FF2B5EF4-FFF2-40B4-BE49-F238E27FC236}">
              <a16:creationId xmlns:a16="http://schemas.microsoft.com/office/drawing/2014/main" id="{98B8F6E7-85ED-49E2-9214-11887B6E33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7" name="AutoShape 2" descr="Sub-task">
          <a:hlinkClick xmlns:r="http://schemas.openxmlformats.org/officeDocument/2006/relationships" r:id="rId10"/>
          <a:extLst>
            <a:ext uri="{FF2B5EF4-FFF2-40B4-BE49-F238E27FC236}">
              <a16:creationId xmlns:a16="http://schemas.microsoft.com/office/drawing/2014/main" id="{5F8CDB24-B1FF-49DA-BBE1-E30F46BD6D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8" name="AutoShape 3" descr="Story">
          <a:hlinkClick xmlns:r="http://schemas.openxmlformats.org/officeDocument/2006/relationships" r:id="rId11"/>
          <a:extLst>
            <a:ext uri="{FF2B5EF4-FFF2-40B4-BE49-F238E27FC236}">
              <a16:creationId xmlns:a16="http://schemas.microsoft.com/office/drawing/2014/main" id="{345CCF24-57D7-46B9-B277-DE9C0E44CF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699" name="AutoShape 12" descr="Story">
          <a:hlinkClick xmlns:r="http://schemas.openxmlformats.org/officeDocument/2006/relationships" r:id="rId12"/>
          <a:extLst>
            <a:ext uri="{FF2B5EF4-FFF2-40B4-BE49-F238E27FC236}">
              <a16:creationId xmlns:a16="http://schemas.microsoft.com/office/drawing/2014/main" id="{BE2519DF-E982-4F61-BF89-DCF889613B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0" name="AutoShape 1" descr="Story">
          <a:hlinkClick xmlns:r="http://schemas.openxmlformats.org/officeDocument/2006/relationships" r:id="rId13"/>
          <a:extLst>
            <a:ext uri="{FF2B5EF4-FFF2-40B4-BE49-F238E27FC236}">
              <a16:creationId xmlns:a16="http://schemas.microsoft.com/office/drawing/2014/main" id="{1C2A826D-67F0-4E9E-BB71-A59626A401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1" name="AutoShape 1" descr="Story">
          <a:hlinkClick xmlns:r="http://schemas.openxmlformats.org/officeDocument/2006/relationships" r:id="rId13"/>
          <a:extLst>
            <a:ext uri="{FF2B5EF4-FFF2-40B4-BE49-F238E27FC236}">
              <a16:creationId xmlns:a16="http://schemas.microsoft.com/office/drawing/2014/main" id="{D4614623-2D87-40B3-9B0C-B824A76D49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2" name="AutoShape 3" descr="Story">
          <a:hlinkClick xmlns:r="http://schemas.openxmlformats.org/officeDocument/2006/relationships" r:id="rId4"/>
          <a:extLst>
            <a:ext uri="{FF2B5EF4-FFF2-40B4-BE49-F238E27FC236}">
              <a16:creationId xmlns:a16="http://schemas.microsoft.com/office/drawing/2014/main" id="{301A2AAA-3E22-45D4-B094-2EA6DF5BAA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3" name="AutoShape 4" descr="Story">
          <a:hlinkClick xmlns:r="http://schemas.openxmlformats.org/officeDocument/2006/relationships" r:id="rId5"/>
          <a:extLst>
            <a:ext uri="{FF2B5EF4-FFF2-40B4-BE49-F238E27FC236}">
              <a16:creationId xmlns:a16="http://schemas.microsoft.com/office/drawing/2014/main" id="{5351A245-C48F-4EC0-8AF5-44F484547D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4" name="AutoShape 3" descr="Story">
          <a:hlinkClick xmlns:r="http://schemas.openxmlformats.org/officeDocument/2006/relationships" r:id="rId4"/>
          <a:extLst>
            <a:ext uri="{FF2B5EF4-FFF2-40B4-BE49-F238E27FC236}">
              <a16:creationId xmlns:a16="http://schemas.microsoft.com/office/drawing/2014/main" id="{A0064913-6A46-4219-8385-43821C4614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5" name="AutoShape 4" descr="Story">
          <a:hlinkClick xmlns:r="http://schemas.openxmlformats.org/officeDocument/2006/relationships" r:id="rId5"/>
          <a:extLst>
            <a:ext uri="{FF2B5EF4-FFF2-40B4-BE49-F238E27FC236}">
              <a16:creationId xmlns:a16="http://schemas.microsoft.com/office/drawing/2014/main" id="{73FD6A7D-A692-4454-B6F4-671E7F5D35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6" name="AutoShape 7" descr="Story">
          <a:hlinkClick xmlns:r="http://schemas.openxmlformats.org/officeDocument/2006/relationships" r:id="rId3"/>
          <a:extLst>
            <a:ext uri="{FF2B5EF4-FFF2-40B4-BE49-F238E27FC236}">
              <a16:creationId xmlns:a16="http://schemas.microsoft.com/office/drawing/2014/main" id="{1C739ABF-E35A-40C6-8CBB-81F2BD50B1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7" name="AutoShape 8" descr="Story">
          <a:hlinkClick xmlns:r="http://schemas.openxmlformats.org/officeDocument/2006/relationships" r:id="rId4"/>
          <a:extLst>
            <a:ext uri="{FF2B5EF4-FFF2-40B4-BE49-F238E27FC236}">
              <a16:creationId xmlns:a16="http://schemas.microsoft.com/office/drawing/2014/main" id="{163458EB-9ACC-4A62-A5E3-CD91367C5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08" name="AutoShape 8" descr="Story">
          <a:hlinkClick xmlns:r="http://schemas.openxmlformats.org/officeDocument/2006/relationships" r:id="rId4"/>
          <a:extLst>
            <a:ext uri="{FF2B5EF4-FFF2-40B4-BE49-F238E27FC236}">
              <a16:creationId xmlns:a16="http://schemas.microsoft.com/office/drawing/2014/main" id="{2BBCDF11-46D8-42AB-9357-32EF617C27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709" name="AutoShape 4" descr="Bug">
          <a:hlinkClick xmlns:r="http://schemas.openxmlformats.org/officeDocument/2006/relationships" r:id="rId1"/>
          <a:extLst>
            <a:ext uri="{FF2B5EF4-FFF2-40B4-BE49-F238E27FC236}">
              <a16:creationId xmlns:a16="http://schemas.microsoft.com/office/drawing/2014/main" id="{304A0AC6-FB67-45A1-A94B-AB4BE0BEC7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10" name="AutoShape 6" descr="Bug">
          <a:hlinkClick xmlns:r="http://schemas.openxmlformats.org/officeDocument/2006/relationships" r:id="rId2"/>
          <a:extLst>
            <a:ext uri="{FF2B5EF4-FFF2-40B4-BE49-F238E27FC236}">
              <a16:creationId xmlns:a16="http://schemas.microsoft.com/office/drawing/2014/main" id="{78624A25-4B5B-42B4-A8F1-0D4F61311E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11" name="AutoShape 7" descr="Story">
          <a:hlinkClick xmlns:r="http://schemas.openxmlformats.org/officeDocument/2006/relationships" r:id="rId3"/>
          <a:extLst>
            <a:ext uri="{FF2B5EF4-FFF2-40B4-BE49-F238E27FC236}">
              <a16:creationId xmlns:a16="http://schemas.microsoft.com/office/drawing/2014/main" id="{64E63CB2-D013-46ED-BA05-F5DE268A90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12" name="AutoShape 8" descr="Story">
          <a:hlinkClick xmlns:r="http://schemas.openxmlformats.org/officeDocument/2006/relationships" r:id="rId4"/>
          <a:extLst>
            <a:ext uri="{FF2B5EF4-FFF2-40B4-BE49-F238E27FC236}">
              <a16:creationId xmlns:a16="http://schemas.microsoft.com/office/drawing/2014/main" id="{40263570-6838-4C72-844F-7B6C568C46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13" name="AutoShape 9" descr="Story">
          <a:hlinkClick xmlns:r="http://schemas.openxmlformats.org/officeDocument/2006/relationships" r:id="rId5"/>
          <a:extLst>
            <a:ext uri="{FF2B5EF4-FFF2-40B4-BE49-F238E27FC236}">
              <a16:creationId xmlns:a16="http://schemas.microsoft.com/office/drawing/2014/main" id="{EFD305DF-DD94-4389-BAE9-FAE6566EA6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14" name="AutoShape 13" descr="Story">
          <a:hlinkClick xmlns:r="http://schemas.openxmlformats.org/officeDocument/2006/relationships" r:id="rId4"/>
          <a:extLst>
            <a:ext uri="{FF2B5EF4-FFF2-40B4-BE49-F238E27FC236}">
              <a16:creationId xmlns:a16="http://schemas.microsoft.com/office/drawing/2014/main" id="{06D882F4-5517-421B-AA62-9F368E5E06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715" name="AutoShape 1" descr="Story">
          <a:hlinkClick xmlns:r="http://schemas.openxmlformats.org/officeDocument/2006/relationships" r:id="rId7"/>
          <a:extLst>
            <a:ext uri="{FF2B5EF4-FFF2-40B4-BE49-F238E27FC236}">
              <a16:creationId xmlns:a16="http://schemas.microsoft.com/office/drawing/2014/main" id="{93E509C8-A9F4-40BD-80DC-BF933E0652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16" name="AutoShape 2" descr="Story">
          <a:hlinkClick xmlns:r="http://schemas.openxmlformats.org/officeDocument/2006/relationships" r:id="rId8"/>
          <a:extLst>
            <a:ext uri="{FF2B5EF4-FFF2-40B4-BE49-F238E27FC236}">
              <a16:creationId xmlns:a16="http://schemas.microsoft.com/office/drawing/2014/main" id="{610837AD-F98F-4634-8CD3-5D7FB5FCC4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17" name="AutoShape 5" descr="Story">
          <a:hlinkClick xmlns:r="http://schemas.openxmlformats.org/officeDocument/2006/relationships" r:id="rId6"/>
          <a:extLst>
            <a:ext uri="{FF2B5EF4-FFF2-40B4-BE49-F238E27FC236}">
              <a16:creationId xmlns:a16="http://schemas.microsoft.com/office/drawing/2014/main" id="{825A907C-613C-4757-9586-4A933D5C70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18" name="AutoShape 1" descr="Sub-task">
          <a:hlinkClick xmlns:r="http://schemas.openxmlformats.org/officeDocument/2006/relationships" r:id="rId9"/>
          <a:extLst>
            <a:ext uri="{FF2B5EF4-FFF2-40B4-BE49-F238E27FC236}">
              <a16:creationId xmlns:a16="http://schemas.microsoft.com/office/drawing/2014/main" id="{24D6C770-2F5A-4DA0-A656-25D320722E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19" name="AutoShape 2" descr="Sub-task">
          <a:hlinkClick xmlns:r="http://schemas.openxmlformats.org/officeDocument/2006/relationships" r:id="rId10"/>
          <a:extLst>
            <a:ext uri="{FF2B5EF4-FFF2-40B4-BE49-F238E27FC236}">
              <a16:creationId xmlns:a16="http://schemas.microsoft.com/office/drawing/2014/main" id="{74F2BCC6-6363-48ED-BB7F-B790DEA6B5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0" name="AutoShape 3" descr="Story">
          <a:hlinkClick xmlns:r="http://schemas.openxmlformats.org/officeDocument/2006/relationships" r:id="rId11"/>
          <a:extLst>
            <a:ext uri="{FF2B5EF4-FFF2-40B4-BE49-F238E27FC236}">
              <a16:creationId xmlns:a16="http://schemas.microsoft.com/office/drawing/2014/main" id="{FD160B1F-B2D1-4C6F-BBA7-332B62B6ED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1" name="AutoShape 12" descr="Story">
          <a:hlinkClick xmlns:r="http://schemas.openxmlformats.org/officeDocument/2006/relationships" r:id="rId12"/>
          <a:extLst>
            <a:ext uri="{FF2B5EF4-FFF2-40B4-BE49-F238E27FC236}">
              <a16:creationId xmlns:a16="http://schemas.microsoft.com/office/drawing/2014/main" id="{BA5F39B7-1150-4DB9-AA1C-4400E8BE32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2" name="AutoShape 1" descr="Story">
          <a:hlinkClick xmlns:r="http://schemas.openxmlformats.org/officeDocument/2006/relationships" r:id="rId13"/>
          <a:extLst>
            <a:ext uri="{FF2B5EF4-FFF2-40B4-BE49-F238E27FC236}">
              <a16:creationId xmlns:a16="http://schemas.microsoft.com/office/drawing/2014/main" id="{3B84BC5B-D24D-435B-A5A8-0BAEAAFE57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3" name="AutoShape 1" descr="Story">
          <a:hlinkClick xmlns:r="http://schemas.openxmlformats.org/officeDocument/2006/relationships" r:id="rId13"/>
          <a:extLst>
            <a:ext uri="{FF2B5EF4-FFF2-40B4-BE49-F238E27FC236}">
              <a16:creationId xmlns:a16="http://schemas.microsoft.com/office/drawing/2014/main" id="{5D1EF263-2596-4A4F-AB96-9E40FCBD4A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4" name="AutoShape 3" descr="Story">
          <a:hlinkClick xmlns:r="http://schemas.openxmlformats.org/officeDocument/2006/relationships" r:id="rId4"/>
          <a:extLst>
            <a:ext uri="{FF2B5EF4-FFF2-40B4-BE49-F238E27FC236}">
              <a16:creationId xmlns:a16="http://schemas.microsoft.com/office/drawing/2014/main" id="{60D58B79-6AC6-476B-B1CD-0EE0AC0355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5" name="AutoShape 4" descr="Story">
          <a:hlinkClick xmlns:r="http://schemas.openxmlformats.org/officeDocument/2006/relationships" r:id="rId5"/>
          <a:extLst>
            <a:ext uri="{FF2B5EF4-FFF2-40B4-BE49-F238E27FC236}">
              <a16:creationId xmlns:a16="http://schemas.microsoft.com/office/drawing/2014/main" id="{0D2622EA-0328-40B9-991A-800D262020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6" name="AutoShape 3" descr="Story">
          <a:hlinkClick xmlns:r="http://schemas.openxmlformats.org/officeDocument/2006/relationships" r:id="rId4"/>
          <a:extLst>
            <a:ext uri="{FF2B5EF4-FFF2-40B4-BE49-F238E27FC236}">
              <a16:creationId xmlns:a16="http://schemas.microsoft.com/office/drawing/2014/main" id="{E92BDA3C-06A2-4BC3-84AB-24F2041EC3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7" name="AutoShape 4" descr="Story">
          <a:hlinkClick xmlns:r="http://schemas.openxmlformats.org/officeDocument/2006/relationships" r:id="rId5"/>
          <a:extLst>
            <a:ext uri="{FF2B5EF4-FFF2-40B4-BE49-F238E27FC236}">
              <a16:creationId xmlns:a16="http://schemas.microsoft.com/office/drawing/2014/main" id="{52A05A7E-55DB-439D-BDD0-C0073BD869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8" name="AutoShape 7" descr="Story">
          <a:hlinkClick xmlns:r="http://schemas.openxmlformats.org/officeDocument/2006/relationships" r:id="rId3"/>
          <a:extLst>
            <a:ext uri="{FF2B5EF4-FFF2-40B4-BE49-F238E27FC236}">
              <a16:creationId xmlns:a16="http://schemas.microsoft.com/office/drawing/2014/main" id="{1AD9334A-D517-4E77-8785-CB47E64D39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29" name="AutoShape 8" descr="Story">
          <a:hlinkClick xmlns:r="http://schemas.openxmlformats.org/officeDocument/2006/relationships" r:id="rId4"/>
          <a:extLst>
            <a:ext uri="{FF2B5EF4-FFF2-40B4-BE49-F238E27FC236}">
              <a16:creationId xmlns:a16="http://schemas.microsoft.com/office/drawing/2014/main" id="{F36C4D55-9F47-4287-B9B3-B8678ED127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30" name="AutoShape 8" descr="Story">
          <a:hlinkClick xmlns:r="http://schemas.openxmlformats.org/officeDocument/2006/relationships" r:id="rId4"/>
          <a:extLst>
            <a:ext uri="{FF2B5EF4-FFF2-40B4-BE49-F238E27FC236}">
              <a16:creationId xmlns:a16="http://schemas.microsoft.com/office/drawing/2014/main" id="{90E4B386-B242-4581-BB22-AFA92F4464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1301</xdr:row>
      <xdr:rowOff>0</xdr:rowOff>
    </xdr:from>
    <xdr:to>
      <xdr:col>0</xdr:col>
      <xdr:colOff>152400</xdr:colOff>
      <xdr:row>1301</xdr:row>
      <xdr:rowOff>152400</xdr:rowOff>
    </xdr:to>
    <xdr:sp macro="" textlink="">
      <xdr:nvSpPr>
        <xdr:cNvPr id="2731" name="AutoShape 4" descr="Bug">
          <a:hlinkClick xmlns:r="http://schemas.openxmlformats.org/officeDocument/2006/relationships" r:id="rId1"/>
          <a:extLst>
            <a:ext uri="{FF2B5EF4-FFF2-40B4-BE49-F238E27FC236}">
              <a16:creationId xmlns:a16="http://schemas.microsoft.com/office/drawing/2014/main" id="{D18047EB-EAB0-4C60-9067-E7F5217F09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32" name="AutoShape 6" descr="Bug">
          <a:hlinkClick xmlns:r="http://schemas.openxmlformats.org/officeDocument/2006/relationships" r:id="rId2"/>
          <a:extLst>
            <a:ext uri="{FF2B5EF4-FFF2-40B4-BE49-F238E27FC236}">
              <a16:creationId xmlns:a16="http://schemas.microsoft.com/office/drawing/2014/main" id="{37F3196F-3E8B-4668-A4E8-768462071C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33" name="AutoShape 7" descr="Story">
          <a:hlinkClick xmlns:r="http://schemas.openxmlformats.org/officeDocument/2006/relationships" r:id="rId3"/>
          <a:extLst>
            <a:ext uri="{FF2B5EF4-FFF2-40B4-BE49-F238E27FC236}">
              <a16:creationId xmlns:a16="http://schemas.microsoft.com/office/drawing/2014/main" id="{CFCB0946-4044-4D76-883A-A2C1F869F0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34" name="AutoShape 8" descr="Story">
          <a:hlinkClick xmlns:r="http://schemas.openxmlformats.org/officeDocument/2006/relationships" r:id="rId4"/>
          <a:extLst>
            <a:ext uri="{FF2B5EF4-FFF2-40B4-BE49-F238E27FC236}">
              <a16:creationId xmlns:a16="http://schemas.microsoft.com/office/drawing/2014/main" id="{8B95FDBC-6913-4281-9B4B-68ADA936A4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35" name="AutoShape 9" descr="Story">
          <a:hlinkClick xmlns:r="http://schemas.openxmlformats.org/officeDocument/2006/relationships" r:id="rId5"/>
          <a:extLst>
            <a:ext uri="{FF2B5EF4-FFF2-40B4-BE49-F238E27FC236}">
              <a16:creationId xmlns:a16="http://schemas.microsoft.com/office/drawing/2014/main" id="{34AD4224-B373-4E8C-9C45-0A3E33B2EA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2736" name="AutoShape 13" descr="Story">
          <a:hlinkClick xmlns:r="http://schemas.openxmlformats.org/officeDocument/2006/relationships" r:id="rId4"/>
          <a:extLst>
            <a:ext uri="{FF2B5EF4-FFF2-40B4-BE49-F238E27FC236}">
              <a16:creationId xmlns:a16="http://schemas.microsoft.com/office/drawing/2014/main" id="{F796B754-2C76-441C-88B2-C894467DB2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1301</xdr:row>
      <xdr:rowOff>0</xdr:rowOff>
    </xdr:from>
    <xdr:ext cx="152400" cy="152400"/>
    <xdr:sp macro="" textlink="">
      <xdr:nvSpPr>
        <xdr:cNvPr id="2737" name="AutoShape 1" descr="Story">
          <a:hlinkClick xmlns:r="http://schemas.openxmlformats.org/officeDocument/2006/relationships" r:id="rId7"/>
          <a:extLst>
            <a:ext uri="{FF2B5EF4-FFF2-40B4-BE49-F238E27FC236}">
              <a16:creationId xmlns:a16="http://schemas.microsoft.com/office/drawing/2014/main" id="{261B45EF-64AD-44F0-AF29-F38BCA60F7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38" name="AutoShape 2" descr="Story">
          <a:hlinkClick xmlns:r="http://schemas.openxmlformats.org/officeDocument/2006/relationships" r:id="rId8"/>
          <a:extLst>
            <a:ext uri="{FF2B5EF4-FFF2-40B4-BE49-F238E27FC236}">
              <a16:creationId xmlns:a16="http://schemas.microsoft.com/office/drawing/2014/main" id="{816F0E00-DE88-41AC-8E8A-4BD88A00FF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39" name="AutoShape 5" descr="Story">
          <a:hlinkClick xmlns:r="http://schemas.openxmlformats.org/officeDocument/2006/relationships" r:id="rId6"/>
          <a:extLst>
            <a:ext uri="{FF2B5EF4-FFF2-40B4-BE49-F238E27FC236}">
              <a16:creationId xmlns:a16="http://schemas.microsoft.com/office/drawing/2014/main" id="{5CC829C1-28BE-41DB-B1D3-A5F86C728B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0" name="AutoShape 1" descr="Sub-task">
          <a:hlinkClick xmlns:r="http://schemas.openxmlformats.org/officeDocument/2006/relationships" r:id="rId9"/>
          <a:extLst>
            <a:ext uri="{FF2B5EF4-FFF2-40B4-BE49-F238E27FC236}">
              <a16:creationId xmlns:a16="http://schemas.microsoft.com/office/drawing/2014/main" id="{94288BEF-2555-4655-BECC-81A3BE7C38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1" name="AutoShape 2" descr="Sub-task">
          <a:hlinkClick xmlns:r="http://schemas.openxmlformats.org/officeDocument/2006/relationships" r:id="rId10"/>
          <a:extLst>
            <a:ext uri="{FF2B5EF4-FFF2-40B4-BE49-F238E27FC236}">
              <a16:creationId xmlns:a16="http://schemas.microsoft.com/office/drawing/2014/main" id="{1A06B2EA-3F91-403E-A9D1-81BE8DEB6F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2" name="AutoShape 3" descr="Story">
          <a:hlinkClick xmlns:r="http://schemas.openxmlformats.org/officeDocument/2006/relationships" r:id="rId11"/>
          <a:extLst>
            <a:ext uri="{FF2B5EF4-FFF2-40B4-BE49-F238E27FC236}">
              <a16:creationId xmlns:a16="http://schemas.microsoft.com/office/drawing/2014/main" id="{0060CDBC-5478-4375-BBCF-059EF3ED4D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3" name="AutoShape 12" descr="Story">
          <a:hlinkClick xmlns:r="http://schemas.openxmlformats.org/officeDocument/2006/relationships" r:id="rId12"/>
          <a:extLst>
            <a:ext uri="{FF2B5EF4-FFF2-40B4-BE49-F238E27FC236}">
              <a16:creationId xmlns:a16="http://schemas.microsoft.com/office/drawing/2014/main" id="{F3EC9E89-0114-4C04-9F9A-AD24539D96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4" name="AutoShape 1" descr="Story">
          <a:hlinkClick xmlns:r="http://schemas.openxmlformats.org/officeDocument/2006/relationships" r:id="rId13"/>
          <a:extLst>
            <a:ext uri="{FF2B5EF4-FFF2-40B4-BE49-F238E27FC236}">
              <a16:creationId xmlns:a16="http://schemas.microsoft.com/office/drawing/2014/main" id="{B728AF4B-8357-45BD-8E47-535278C50F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5" name="AutoShape 1" descr="Story">
          <a:hlinkClick xmlns:r="http://schemas.openxmlformats.org/officeDocument/2006/relationships" r:id="rId13"/>
          <a:extLst>
            <a:ext uri="{FF2B5EF4-FFF2-40B4-BE49-F238E27FC236}">
              <a16:creationId xmlns:a16="http://schemas.microsoft.com/office/drawing/2014/main" id="{1B2544CF-E7DD-452D-AABE-310961DE90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6" name="AutoShape 3" descr="Story">
          <a:hlinkClick xmlns:r="http://schemas.openxmlformats.org/officeDocument/2006/relationships" r:id="rId4"/>
          <a:extLst>
            <a:ext uri="{FF2B5EF4-FFF2-40B4-BE49-F238E27FC236}">
              <a16:creationId xmlns:a16="http://schemas.microsoft.com/office/drawing/2014/main" id="{20A5A358-0264-418B-822B-06E57FC6A1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7" name="AutoShape 4" descr="Story">
          <a:hlinkClick xmlns:r="http://schemas.openxmlformats.org/officeDocument/2006/relationships" r:id="rId5"/>
          <a:extLst>
            <a:ext uri="{FF2B5EF4-FFF2-40B4-BE49-F238E27FC236}">
              <a16:creationId xmlns:a16="http://schemas.microsoft.com/office/drawing/2014/main" id="{C24BCD37-3D7A-4B27-931D-846DCBA403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8" name="AutoShape 3" descr="Story">
          <a:hlinkClick xmlns:r="http://schemas.openxmlformats.org/officeDocument/2006/relationships" r:id="rId4"/>
          <a:extLst>
            <a:ext uri="{FF2B5EF4-FFF2-40B4-BE49-F238E27FC236}">
              <a16:creationId xmlns:a16="http://schemas.microsoft.com/office/drawing/2014/main" id="{66753C14-3FC7-4689-9F9F-0BF20D9754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49" name="AutoShape 4" descr="Story">
          <a:hlinkClick xmlns:r="http://schemas.openxmlformats.org/officeDocument/2006/relationships" r:id="rId5"/>
          <a:extLst>
            <a:ext uri="{FF2B5EF4-FFF2-40B4-BE49-F238E27FC236}">
              <a16:creationId xmlns:a16="http://schemas.microsoft.com/office/drawing/2014/main" id="{26B898A7-C76C-46E2-843A-36C3D47557E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50" name="AutoShape 7" descr="Story">
          <a:hlinkClick xmlns:r="http://schemas.openxmlformats.org/officeDocument/2006/relationships" r:id="rId3"/>
          <a:extLst>
            <a:ext uri="{FF2B5EF4-FFF2-40B4-BE49-F238E27FC236}">
              <a16:creationId xmlns:a16="http://schemas.microsoft.com/office/drawing/2014/main" id="{B643345C-AD35-4317-AEEB-3A007FF820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51" name="AutoShape 8" descr="Story">
          <a:hlinkClick xmlns:r="http://schemas.openxmlformats.org/officeDocument/2006/relationships" r:id="rId4"/>
          <a:extLst>
            <a:ext uri="{FF2B5EF4-FFF2-40B4-BE49-F238E27FC236}">
              <a16:creationId xmlns:a16="http://schemas.microsoft.com/office/drawing/2014/main" id="{C8F59700-7205-42FC-AAA4-DB9B875DA6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2752" name="AutoShape 8" descr="Story">
          <a:hlinkClick xmlns:r="http://schemas.openxmlformats.org/officeDocument/2006/relationships" r:id="rId4"/>
          <a:extLst>
            <a:ext uri="{FF2B5EF4-FFF2-40B4-BE49-F238E27FC236}">
              <a16:creationId xmlns:a16="http://schemas.microsoft.com/office/drawing/2014/main" id="{5D7ABD39-652F-4EE5-9FD1-DF5DD4D9B1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2753" name="AutoShape 1" descr="Story">
          <a:hlinkClick xmlns:r="http://schemas.openxmlformats.org/officeDocument/2006/relationships" r:id="rId13"/>
          <a:extLst>
            <a:ext uri="{FF2B5EF4-FFF2-40B4-BE49-F238E27FC236}">
              <a16:creationId xmlns:a16="http://schemas.microsoft.com/office/drawing/2014/main" id="{34565DE1-59CC-46C2-A6B5-6C878620ED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4" name="AutoShape 2" descr="Story">
          <a:hlinkClick xmlns:r="http://schemas.openxmlformats.org/officeDocument/2006/relationships" r:id="rId12"/>
          <a:extLst>
            <a:ext uri="{FF2B5EF4-FFF2-40B4-BE49-F238E27FC236}">
              <a16:creationId xmlns:a16="http://schemas.microsoft.com/office/drawing/2014/main" id="{D9E557E9-1A2A-41AE-AA12-17AF6E65D0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5" name="AutoShape 3" descr="Story">
          <a:hlinkClick xmlns:r="http://schemas.openxmlformats.org/officeDocument/2006/relationships" r:id="rId11"/>
          <a:extLst>
            <a:ext uri="{FF2B5EF4-FFF2-40B4-BE49-F238E27FC236}">
              <a16:creationId xmlns:a16="http://schemas.microsoft.com/office/drawing/2014/main" id="{8FB86225-8E0C-494E-88F6-D36AFD1CF6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6" name="AutoShape 4" descr="Bug">
          <a:hlinkClick xmlns:r="http://schemas.openxmlformats.org/officeDocument/2006/relationships" r:id="rId1"/>
          <a:extLst>
            <a:ext uri="{FF2B5EF4-FFF2-40B4-BE49-F238E27FC236}">
              <a16:creationId xmlns:a16="http://schemas.microsoft.com/office/drawing/2014/main" id="{50D63FA9-C5F7-464A-BFDC-0341DFDAB7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7" name="AutoShape 5" descr="Story">
          <a:hlinkClick xmlns:r="http://schemas.openxmlformats.org/officeDocument/2006/relationships" r:id="rId14"/>
          <a:extLst>
            <a:ext uri="{FF2B5EF4-FFF2-40B4-BE49-F238E27FC236}">
              <a16:creationId xmlns:a16="http://schemas.microsoft.com/office/drawing/2014/main" id="{7AB546F8-CE01-4D08-A8DD-1C3D5FDA8E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8" name="AutoShape 6" descr="Bug">
          <a:hlinkClick xmlns:r="http://schemas.openxmlformats.org/officeDocument/2006/relationships" r:id="rId2"/>
          <a:extLst>
            <a:ext uri="{FF2B5EF4-FFF2-40B4-BE49-F238E27FC236}">
              <a16:creationId xmlns:a16="http://schemas.microsoft.com/office/drawing/2014/main" id="{48B48EE5-57A7-49DD-82B1-DF0C582992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59" name="AutoShape 7" descr="Story">
          <a:hlinkClick xmlns:r="http://schemas.openxmlformats.org/officeDocument/2006/relationships" r:id="rId3"/>
          <a:extLst>
            <a:ext uri="{FF2B5EF4-FFF2-40B4-BE49-F238E27FC236}">
              <a16:creationId xmlns:a16="http://schemas.microsoft.com/office/drawing/2014/main" id="{212820AF-9414-41D8-A7BB-79098983FA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0" name="AutoShape 8" descr="Story">
          <a:hlinkClick xmlns:r="http://schemas.openxmlformats.org/officeDocument/2006/relationships" r:id="rId4"/>
          <a:extLst>
            <a:ext uri="{FF2B5EF4-FFF2-40B4-BE49-F238E27FC236}">
              <a16:creationId xmlns:a16="http://schemas.microsoft.com/office/drawing/2014/main" id="{3D2E7F06-D50D-492F-B79A-6E1F2829306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1" name="AutoShape 9" descr="Story">
          <a:hlinkClick xmlns:r="http://schemas.openxmlformats.org/officeDocument/2006/relationships" r:id="rId5"/>
          <a:extLst>
            <a:ext uri="{FF2B5EF4-FFF2-40B4-BE49-F238E27FC236}">
              <a16:creationId xmlns:a16="http://schemas.microsoft.com/office/drawing/2014/main" id="{1B970900-119A-4A5D-A26C-C88EE6A77C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2" name="AutoShape 10" descr="Story">
          <a:hlinkClick xmlns:r="http://schemas.openxmlformats.org/officeDocument/2006/relationships" r:id="rId6"/>
          <a:extLst>
            <a:ext uri="{FF2B5EF4-FFF2-40B4-BE49-F238E27FC236}">
              <a16:creationId xmlns:a16="http://schemas.microsoft.com/office/drawing/2014/main" id="{05B428B0-9664-4626-ABA2-BD39E8D711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3" name="AutoShape 11" descr="Story">
          <a:hlinkClick xmlns:r="http://schemas.openxmlformats.org/officeDocument/2006/relationships" r:id="rId15"/>
          <a:extLst>
            <a:ext uri="{FF2B5EF4-FFF2-40B4-BE49-F238E27FC236}">
              <a16:creationId xmlns:a16="http://schemas.microsoft.com/office/drawing/2014/main" id="{7C689ADB-334D-4077-8BBE-6FA80C0B49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4" name="AutoShape 12" descr="Story">
          <a:hlinkClick xmlns:r="http://schemas.openxmlformats.org/officeDocument/2006/relationships" r:id="rId12"/>
          <a:extLst>
            <a:ext uri="{FF2B5EF4-FFF2-40B4-BE49-F238E27FC236}">
              <a16:creationId xmlns:a16="http://schemas.microsoft.com/office/drawing/2014/main" id="{08326F7A-E81F-49E0-9279-0983D8D6DE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5" name="AutoShape 13" descr="Story">
          <a:hlinkClick xmlns:r="http://schemas.openxmlformats.org/officeDocument/2006/relationships" r:id="rId4"/>
          <a:extLst>
            <a:ext uri="{FF2B5EF4-FFF2-40B4-BE49-F238E27FC236}">
              <a16:creationId xmlns:a16="http://schemas.microsoft.com/office/drawing/2014/main" id="{815B8C5A-5DF6-450D-AD46-E067B805B0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6" name="AutoShape 14" descr="Story">
          <a:hlinkClick xmlns:r="http://schemas.openxmlformats.org/officeDocument/2006/relationships" r:id="rId4"/>
          <a:extLst>
            <a:ext uri="{FF2B5EF4-FFF2-40B4-BE49-F238E27FC236}">
              <a16:creationId xmlns:a16="http://schemas.microsoft.com/office/drawing/2014/main" id="{EB4CFC36-A26F-4A6E-8147-045F207836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67" name="AutoShape 15" descr="Story">
          <a:hlinkClick xmlns:r="http://schemas.openxmlformats.org/officeDocument/2006/relationships" r:id="rId4"/>
          <a:extLst>
            <a:ext uri="{FF2B5EF4-FFF2-40B4-BE49-F238E27FC236}">
              <a16:creationId xmlns:a16="http://schemas.microsoft.com/office/drawing/2014/main" id="{A4E92C4E-25CB-491D-B8C8-1695E6E1D6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768" name="AutoShape 1" descr="Story">
          <a:hlinkClick xmlns:r="http://schemas.openxmlformats.org/officeDocument/2006/relationships" r:id="rId7"/>
          <a:extLst>
            <a:ext uri="{FF2B5EF4-FFF2-40B4-BE49-F238E27FC236}">
              <a16:creationId xmlns:a16="http://schemas.microsoft.com/office/drawing/2014/main" id="{5B554BAD-E430-45C3-BC82-FCA0C28238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69" name="AutoShape 2" descr="Story">
          <a:hlinkClick xmlns:r="http://schemas.openxmlformats.org/officeDocument/2006/relationships" r:id="rId8"/>
          <a:extLst>
            <a:ext uri="{FF2B5EF4-FFF2-40B4-BE49-F238E27FC236}">
              <a16:creationId xmlns:a16="http://schemas.microsoft.com/office/drawing/2014/main" id="{11864EEE-F2C6-47E5-B5FE-435260141D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0" name="AutoShape 5" descr="Story">
          <a:hlinkClick xmlns:r="http://schemas.openxmlformats.org/officeDocument/2006/relationships" r:id="rId6"/>
          <a:extLst>
            <a:ext uri="{FF2B5EF4-FFF2-40B4-BE49-F238E27FC236}">
              <a16:creationId xmlns:a16="http://schemas.microsoft.com/office/drawing/2014/main" id="{B3AC565A-1630-4D58-A905-B8CFC9C7EE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1" name="AutoShape 1" descr="Sub-task">
          <a:hlinkClick xmlns:r="http://schemas.openxmlformats.org/officeDocument/2006/relationships" r:id="rId9"/>
          <a:extLst>
            <a:ext uri="{FF2B5EF4-FFF2-40B4-BE49-F238E27FC236}">
              <a16:creationId xmlns:a16="http://schemas.microsoft.com/office/drawing/2014/main" id="{CD9FA2F1-3CC8-4606-A017-72B77A8097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2" name="AutoShape 2" descr="Sub-task">
          <a:hlinkClick xmlns:r="http://schemas.openxmlformats.org/officeDocument/2006/relationships" r:id="rId10"/>
          <a:extLst>
            <a:ext uri="{FF2B5EF4-FFF2-40B4-BE49-F238E27FC236}">
              <a16:creationId xmlns:a16="http://schemas.microsoft.com/office/drawing/2014/main" id="{56B270AD-51C4-44C6-A89D-6EBFAB240B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3" name="AutoShape 3" descr="Story">
          <a:hlinkClick xmlns:r="http://schemas.openxmlformats.org/officeDocument/2006/relationships" r:id="rId11"/>
          <a:extLst>
            <a:ext uri="{FF2B5EF4-FFF2-40B4-BE49-F238E27FC236}">
              <a16:creationId xmlns:a16="http://schemas.microsoft.com/office/drawing/2014/main" id="{01988EBF-2C5C-4573-A405-842F5DF04D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4" name="AutoShape 12" descr="Story">
          <a:hlinkClick xmlns:r="http://schemas.openxmlformats.org/officeDocument/2006/relationships" r:id="rId12"/>
          <a:extLst>
            <a:ext uri="{FF2B5EF4-FFF2-40B4-BE49-F238E27FC236}">
              <a16:creationId xmlns:a16="http://schemas.microsoft.com/office/drawing/2014/main" id="{2AF9750D-148D-44B1-9752-5CA9E11E88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5" name="AutoShape 1" descr="Story">
          <a:hlinkClick xmlns:r="http://schemas.openxmlformats.org/officeDocument/2006/relationships" r:id="rId13"/>
          <a:extLst>
            <a:ext uri="{FF2B5EF4-FFF2-40B4-BE49-F238E27FC236}">
              <a16:creationId xmlns:a16="http://schemas.microsoft.com/office/drawing/2014/main" id="{B3FD4B99-7A53-4E32-87CE-F54FB12D9C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6" name="AutoShape 1" descr="Story">
          <a:hlinkClick xmlns:r="http://schemas.openxmlformats.org/officeDocument/2006/relationships" r:id="rId13"/>
          <a:extLst>
            <a:ext uri="{FF2B5EF4-FFF2-40B4-BE49-F238E27FC236}">
              <a16:creationId xmlns:a16="http://schemas.microsoft.com/office/drawing/2014/main" id="{6CED6052-526A-4D2D-AFE5-07AF5C6A72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7" name="AutoShape 3" descr="Story">
          <a:hlinkClick xmlns:r="http://schemas.openxmlformats.org/officeDocument/2006/relationships" r:id="rId4"/>
          <a:extLst>
            <a:ext uri="{FF2B5EF4-FFF2-40B4-BE49-F238E27FC236}">
              <a16:creationId xmlns:a16="http://schemas.microsoft.com/office/drawing/2014/main" id="{FA926882-FD07-4D1D-9A34-AB2DACC03E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8" name="AutoShape 4" descr="Story">
          <a:hlinkClick xmlns:r="http://schemas.openxmlformats.org/officeDocument/2006/relationships" r:id="rId5"/>
          <a:extLst>
            <a:ext uri="{FF2B5EF4-FFF2-40B4-BE49-F238E27FC236}">
              <a16:creationId xmlns:a16="http://schemas.microsoft.com/office/drawing/2014/main" id="{2B504B26-24BA-4A0C-9ECE-DCC8A2A49E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79" name="AutoShape 1" descr="Story">
          <a:hlinkClick xmlns:r="http://schemas.openxmlformats.org/officeDocument/2006/relationships" r:id="rId7"/>
          <a:extLst>
            <a:ext uri="{FF2B5EF4-FFF2-40B4-BE49-F238E27FC236}">
              <a16:creationId xmlns:a16="http://schemas.microsoft.com/office/drawing/2014/main" id="{F957654C-CA24-4C4A-9B18-DB3DAACB9C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0" name="AutoShape 2" descr="Story">
          <a:hlinkClick xmlns:r="http://schemas.openxmlformats.org/officeDocument/2006/relationships" r:id="rId8"/>
          <a:extLst>
            <a:ext uri="{FF2B5EF4-FFF2-40B4-BE49-F238E27FC236}">
              <a16:creationId xmlns:a16="http://schemas.microsoft.com/office/drawing/2014/main" id="{E963A1CB-B9A5-471D-9837-AC1434F95A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1" name="AutoShape 3" descr="Story">
          <a:hlinkClick xmlns:r="http://schemas.openxmlformats.org/officeDocument/2006/relationships" r:id="rId4"/>
          <a:extLst>
            <a:ext uri="{FF2B5EF4-FFF2-40B4-BE49-F238E27FC236}">
              <a16:creationId xmlns:a16="http://schemas.microsoft.com/office/drawing/2014/main" id="{47175015-41D0-4ABE-B7D4-2EF4B8898A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2" name="AutoShape 4" descr="Story">
          <a:hlinkClick xmlns:r="http://schemas.openxmlformats.org/officeDocument/2006/relationships" r:id="rId5"/>
          <a:extLst>
            <a:ext uri="{FF2B5EF4-FFF2-40B4-BE49-F238E27FC236}">
              <a16:creationId xmlns:a16="http://schemas.microsoft.com/office/drawing/2014/main" id="{F4DEF3C1-0D19-42D8-8B6D-2E728E2B36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3" name="AutoShape 5" descr="Story">
          <a:hlinkClick xmlns:r="http://schemas.openxmlformats.org/officeDocument/2006/relationships" r:id="rId6"/>
          <a:extLst>
            <a:ext uri="{FF2B5EF4-FFF2-40B4-BE49-F238E27FC236}">
              <a16:creationId xmlns:a16="http://schemas.microsoft.com/office/drawing/2014/main" id="{5E9699ED-462E-4630-AA23-344356163D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4" name="AutoShape 1" descr="Sub-task">
          <a:hlinkClick xmlns:r="http://schemas.openxmlformats.org/officeDocument/2006/relationships" r:id="rId9"/>
          <a:extLst>
            <a:ext uri="{FF2B5EF4-FFF2-40B4-BE49-F238E27FC236}">
              <a16:creationId xmlns:a16="http://schemas.microsoft.com/office/drawing/2014/main" id="{7A4E5EC2-BE2A-42A7-A1F5-7274238CAF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5" name="AutoShape 2" descr="Sub-task">
          <a:hlinkClick xmlns:r="http://schemas.openxmlformats.org/officeDocument/2006/relationships" r:id="rId10"/>
          <a:extLst>
            <a:ext uri="{FF2B5EF4-FFF2-40B4-BE49-F238E27FC236}">
              <a16:creationId xmlns:a16="http://schemas.microsoft.com/office/drawing/2014/main" id="{F76C47BB-2532-4C14-B54F-D6710E6412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6" name="AutoShape 7" descr="Story">
          <a:hlinkClick xmlns:r="http://schemas.openxmlformats.org/officeDocument/2006/relationships" r:id="rId3"/>
          <a:extLst>
            <a:ext uri="{FF2B5EF4-FFF2-40B4-BE49-F238E27FC236}">
              <a16:creationId xmlns:a16="http://schemas.microsoft.com/office/drawing/2014/main" id="{82A34982-0D6D-411E-B439-33D7C809AB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7" name="AutoShape 3" descr="Story">
          <a:hlinkClick xmlns:r="http://schemas.openxmlformats.org/officeDocument/2006/relationships" r:id="rId11"/>
          <a:extLst>
            <a:ext uri="{FF2B5EF4-FFF2-40B4-BE49-F238E27FC236}">
              <a16:creationId xmlns:a16="http://schemas.microsoft.com/office/drawing/2014/main" id="{B1AB373A-045E-4E7B-84EE-82D264DBD9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8" name="AutoShape 12" descr="Story">
          <a:hlinkClick xmlns:r="http://schemas.openxmlformats.org/officeDocument/2006/relationships" r:id="rId12"/>
          <a:extLst>
            <a:ext uri="{FF2B5EF4-FFF2-40B4-BE49-F238E27FC236}">
              <a16:creationId xmlns:a16="http://schemas.microsoft.com/office/drawing/2014/main" id="{FF4405C1-331E-4D81-BA09-DEB03E3FED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89" name="AutoShape 1" descr="Story">
          <a:hlinkClick xmlns:r="http://schemas.openxmlformats.org/officeDocument/2006/relationships" r:id="rId13"/>
          <a:extLst>
            <a:ext uri="{FF2B5EF4-FFF2-40B4-BE49-F238E27FC236}">
              <a16:creationId xmlns:a16="http://schemas.microsoft.com/office/drawing/2014/main" id="{A388DB09-4AE4-47F7-B750-FCAD68D27C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0" name="AutoShape 1" descr="Story">
          <a:hlinkClick xmlns:r="http://schemas.openxmlformats.org/officeDocument/2006/relationships" r:id="rId13"/>
          <a:extLst>
            <a:ext uri="{FF2B5EF4-FFF2-40B4-BE49-F238E27FC236}">
              <a16:creationId xmlns:a16="http://schemas.microsoft.com/office/drawing/2014/main" id="{362B55C7-85C1-4FFD-A23D-F1E11250C4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1" name="AutoShape 3" descr="Story">
          <a:hlinkClick xmlns:r="http://schemas.openxmlformats.org/officeDocument/2006/relationships" r:id="rId4"/>
          <a:extLst>
            <a:ext uri="{FF2B5EF4-FFF2-40B4-BE49-F238E27FC236}">
              <a16:creationId xmlns:a16="http://schemas.microsoft.com/office/drawing/2014/main" id="{8ED3847A-7A9A-489C-A9D6-B8CBD7BB0D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2" name="AutoShape 4" descr="Story">
          <a:hlinkClick xmlns:r="http://schemas.openxmlformats.org/officeDocument/2006/relationships" r:id="rId5"/>
          <a:extLst>
            <a:ext uri="{FF2B5EF4-FFF2-40B4-BE49-F238E27FC236}">
              <a16:creationId xmlns:a16="http://schemas.microsoft.com/office/drawing/2014/main" id="{E20E0FF9-80F2-4F09-82C6-7DDB3FFFA8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3" name="AutoShape 7" descr="Story">
          <a:hlinkClick xmlns:r="http://schemas.openxmlformats.org/officeDocument/2006/relationships" r:id="rId3"/>
          <a:extLst>
            <a:ext uri="{FF2B5EF4-FFF2-40B4-BE49-F238E27FC236}">
              <a16:creationId xmlns:a16="http://schemas.microsoft.com/office/drawing/2014/main" id="{F1FF2D52-B301-48CA-AF8D-57081BBE84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4" name="AutoShape 8" descr="Story">
          <a:hlinkClick xmlns:r="http://schemas.openxmlformats.org/officeDocument/2006/relationships" r:id="rId4"/>
          <a:extLst>
            <a:ext uri="{FF2B5EF4-FFF2-40B4-BE49-F238E27FC236}">
              <a16:creationId xmlns:a16="http://schemas.microsoft.com/office/drawing/2014/main" id="{64AAA000-8CB2-4E31-A7B6-DE286787BF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795" name="AutoShape 8" descr="Story">
          <a:hlinkClick xmlns:r="http://schemas.openxmlformats.org/officeDocument/2006/relationships" r:id="rId4"/>
          <a:extLst>
            <a:ext uri="{FF2B5EF4-FFF2-40B4-BE49-F238E27FC236}">
              <a16:creationId xmlns:a16="http://schemas.microsoft.com/office/drawing/2014/main" id="{3F18689B-F4CB-4654-80CB-C188EA2734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2796" name="AutoShape 10" descr="Story">
          <a:hlinkClick xmlns:r="http://schemas.openxmlformats.org/officeDocument/2006/relationships" r:id="rId6"/>
          <a:extLst>
            <a:ext uri="{FF2B5EF4-FFF2-40B4-BE49-F238E27FC236}">
              <a16:creationId xmlns:a16="http://schemas.microsoft.com/office/drawing/2014/main" id="{04EECEA4-96A5-4CEE-BFE5-803B5E7D58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97" name="AutoShape 14" descr="Story">
          <a:hlinkClick xmlns:r="http://schemas.openxmlformats.org/officeDocument/2006/relationships" r:id="rId4"/>
          <a:extLst>
            <a:ext uri="{FF2B5EF4-FFF2-40B4-BE49-F238E27FC236}">
              <a16:creationId xmlns:a16="http://schemas.microsoft.com/office/drawing/2014/main" id="{FB8DF8D7-8CAC-4D3C-9A81-640660DD6A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98" name="AutoShape 10" descr="Story">
          <a:hlinkClick xmlns:r="http://schemas.openxmlformats.org/officeDocument/2006/relationships" r:id="rId6"/>
          <a:extLst>
            <a:ext uri="{FF2B5EF4-FFF2-40B4-BE49-F238E27FC236}">
              <a16:creationId xmlns:a16="http://schemas.microsoft.com/office/drawing/2014/main" id="{22D4C2A9-AA2B-4124-890D-F17CD4F190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799" name="AutoShape 14" descr="Story">
          <a:hlinkClick xmlns:r="http://schemas.openxmlformats.org/officeDocument/2006/relationships" r:id="rId4"/>
          <a:extLst>
            <a:ext uri="{FF2B5EF4-FFF2-40B4-BE49-F238E27FC236}">
              <a16:creationId xmlns:a16="http://schemas.microsoft.com/office/drawing/2014/main" id="{1F41A24A-335D-42BD-9484-476A1476E9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0" name="AutoShape 4" descr="Bug">
          <a:hlinkClick xmlns:r="http://schemas.openxmlformats.org/officeDocument/2006/relationships" r:id="rId1"/>
          <a:extLst>
            <a:ext uri="{FF2B5EF4-FFF2-40B4-BE49-F238E27FC236}">
              <a16:creationId xmlns:a16="http://schemas.microsoft.com/office/drawing/2014/main" id="{87BC9103-F07A-49A0-A838-40C00C8FA5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1" name="AutoShape 6" descr="Bug">
          <a:hlinkClick xmlns:r="http://schemas.openxmlformats.org/officeDocument/2006/relationships" r:id="rId2"/>
          <a:extLst>
            <a:ext uri="{FF2B5EF4-FFF2-40B4-BE49-F238E27FC236}">
              <a16:creationId xmlns:a16="http://schemas.microsoft.com/office/drawing/2014/main" id="{58672D67-5DD7-4948-BBEF-63C5D49320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2" name="AutoShape 7" descr="Story">
          <a:hlinkClick xmlns:r="http://schemas.openxmlformats.org/officeDocument/2006/relationships" r:id="rId3"/>
          <a:extLst>
            <a:ext uri="{FF2B5EF4-FFF2-40B4-BE49-F238E27FC236}">
              <a16:creationId xmlns:a16="http://schemas.microsoft.com/office/drawing/2014/main" id="{5EF85728-3BB9-4989-B628-42F2719F36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3" name="AutoShape 8" descr="Story">
          <a:hlinkClick xmlns:r="http://schemas.openxmlformats.org/officeDocument/2006/relationships" r:id="rId4"/>
          <a:extLst>
            <a:ext uri="{FF2B5EF4-FFF2-40B4-BE49-F238E27FC236}">
              <a16:creationId xmlns:a16="http://schemas.microsoft.com/office/drawing/2014/main" id="{61D6D13C-534F-40C5-92ED-086819C889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4" name="AutoShape 9" descr="Story">
          <a:hlinkClick xmlns:r="http://schemas.openxmlformats.org/officeDocument/2006/relationships" r:id="rId5"/>
          <a:extLst>
            <a:ext uri="{FF2B5EF4-FFF2-40B4-BE49-F238E27FC236}">
              <a16:creationId xmlns:a16="http://schemas.microsoft.com/office/drawing/2014/main" id="{7AA32421-C3AF-450A-A388-839F107739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05" name="AutoShape 13" descr="Story">
          <a:hlinkClick xmlns:r="http://schemas.openxmlformats.org/officeDocument/2006/relationships" r:id="rId4"/>
          <a:extLst>
            <a:ext uri="{FF2B5EF4-FFF2-40B4-BE49-F238E27FC236}">
              <a16:creationId xmlns:a16="http://schemas.microsoft.com/office/drawing/2014/main" id="{A33A3957-BB71-471A-8FDA-183AC7C149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806" name="AutoShape 1" descr="Story">
          <a:hlinkClick xmlns:r="http://schemas.openxmlformats.org/officeDocument/2006/relationships" r:id="rId7"/>
          <a:extLst>
            <a:ext uri="{FF2B5EF4-FFF2-40B4-BE49-F238E27FC236}">
              <a16:creationId xmlns:a16="http://schemas.microsoft.com/office/drawing/2014/main" id="{3BFCB0A0-9553-42B2-813A-94BCB80F1A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07" name="AutoShape 2" descr="Story">
          <a:hlinkClick xmlns:r="http://schemas.openxmlformats.org/officeDocument/2006/relationships" r:id="rId8"/>
          <a:extLst>
            <a:ext uri="{FF2B5EF4-FFF2-40B4-BE49-F238E27FC236}">
              <a16:creationId xmlns:a16="http://schemas.microsoft.com/office/drawing/2014/main" id="{07CC3653-D02D-4A5D-8E71-0923F2A170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08" name="AutoShape 5" descr="Story">
          <a:hlinkClick xmlns:r="http://schemas.openxmlformats.org/officeDocument/2006/relationships" r:id="rId6"/>
          <a:extLst>
            <a:ext uri="{FF2B5EF4-FFF2-40B4-BE49-F238E27FC236}">
              <a16:creationId xmlns:a16="http://schemas.microsoft.com/office/drawing/2014/main" id="{2A01C4F5-E042-4799-BC06-02803C8D83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09" name="AutoShape 1" descr="Sub-task">
          <a:hlinkClick xmlns:r="http://schemas.openxmlformats.org/officeDocument/2006/relationships" r:id="rId9"/>
          <a:extLst>
            <a:ext uri="{FF2B5EF4-FFF2-40B4-BE49-F238E27FC236}">
              <a16:creationId xmlns:a16="http://schemas.microsoft.com/office/drawing/2014/main" id="{24019A68-85B3-4DCF-855F-48A6E06C39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0" name="AutoShape 2" descr="Sub-task">
          <a:hlinkClick xmlns:r="http://schemas.openxmlformats.org/officeDocument/2006/relationships" r:id="rId10"/>
          <a:extLst>
            <a:ext uri="{FF2B5EF4-FFF2-40B4-BE49-F238E27FC236}">
              <a16:creationId xmlns:a16="http://schemas.microsoft.com/office/drawing/2014/main" id="{847D5A71-5B7A-4DEC-ABDA-06BC930C43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1" name="AutoShape 3" descr="Story">
          <a:hlinkClick xmlns:r="http://schemas.openxmlformats.org/officeDocument/2006/relationships" r:id="rId11"/>
          <a:extLst>
            <a:ext uri="{FF2B5EF4-FFF2-40B4-BE49-F238E27FC236}">
              <a16:creationId xmlns:a16="http://schemas.microsoft.com/office/drawing/2014/main" id="{BE53185E-C023-4FB3-8DE1-E3F28CCBE5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2" name="AutoShape 12" descr="Story">
          <a:hlinkClick xmlns:r="http://schemas.openxmlformats.org/officeDocument/2006/relationships" r:id="rId12"/>
          <a:extLst>
            <a:ext uri="{FF2B5EF4-FFF2-40B4-BE49-F238E27FC236}">
              <a16:creationId xmlns:a16="http://schemas.microsoft.com/office/drawing/2014/main" id="{93D530FF-050A-4216-A307-149D70F8DC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3" name="AutoShape 1" descr="Story">
          <a:hlinkClick xmlns:r="http://schemas.openxmlformats.org/officeDocument/2006/relationships" r:id="rId13"/>
          <a:extLst>
            <a:ext uri="{FF2B5EF4-FFF2-40B4-BE49-F238E27FC236}">
              <a16:creationId xmlns:a16="http://schemas.microsoft.com/office/drawing/2014/main" id="{25A6625F-1338-49AE-9670-35F1638CBB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4" name="AutoShape 1" descr="Story">
          <a:hlinkClick xmlns:r="http://schemas.openxmlformats.org/officeDocument/2006/relationships" r:id="rId13"/>
          <a:extLst>
            <a:ext uri="{FF2B5EF4-FFF2-40B4-BE49-F238E27FC236}">
              <a16:creationId xmlns:a16="http://schemas.microsoft.com/office/drawing/2014/main" id="{B1D972AD-63CD-4B91-8442-17979706BB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5" name="AutoShape 3" descr="Story">
          <a:hlinkClick xmlns:r="http://schemas.openxmlformats.org/officeDocument/2006/relationships" r:id="rId4"/>
          <a:extLst>
            <a:ext uri="{FF2B5EF4-FFF2-40B4-BE49-F238E27FC236}">
              <a16:creationId xmlns:a16="http://schemas.microsoft.com/office/drawing/2014/main" id="{488C7540-EE72-47E2-8F14-9E68075A9B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6" name="AutoShape 4" descr="Story">
          <a:hlinkClick xmlns:r="http://schemas.openxmlformats.org/officeDocument/2006/relationships" r:id="rId5"/>
          <a:extLst>
            <a:ext uri="{FF2B5EF4-FFF2-40B4-BE49-F238E27FC236}">
              <a16:creationId xmlns:a16="http://schemas.microsoft.com/office/drawing/2014/main" id="{0FFA9803-DD61-45D6-A352-5F7B954F07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7" name="AutoShape 3" descr="Story">
          <a:hlinkClick xmlns:r="http://schemas.openxmlformats.org/officeDocument/2006/relationships" r:id="rId4"/>
          <a:extLst>
            <a:ext uri="{FF2B5EF4-FFF2-40B4-BE49-F238E27FC236}">
              <a16:creationId xmlns:a16="http://schemas.microsoft.com/office/drawing/2014/main" id="{D8E5141F-68F8-4AA9-B427-B99545053F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8" name="AutoShape 4" descr="Story">
          <a:hlinkClick xmlns:r="http://schemas.openxmlformats.org/officeDocument/2006/relationships" r:id="rId5"/>
          <a:extLst>
            <a:ext uri="{FF2B5EF4-FFF2-40B4-BE49-F238E27FC236}">
              <a16:creationId xmlns:a16="http://schemas.microsoft.com/office/drawing/2014/main" id="{831E453C-96F9-4A1B-A140-A7240F780F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19" name="AutoShape 7" descr="Story">
          <a:hlinkClick xmlns:r="http://schemas.openxmlformats.org/officeDocument/2006/relationships" r:id="rId3"/>
          <a:extLst>
            <a:ext uri="{FF2B5EF4-FFF2-40B4-BE49-F238E27FC236}">
              <a16:creationId xmlns:a16="http://schemas.microsoft.com/office/drawing/2014/main" id="{B50DCD47-D2C3-46BE-93F5-DA5DD1C597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20" name="AutoShape 8" descr="Story">
          <a:hlinkClick xmlns:r="http://schemas.openxmlformats.org/officeDocument/2006/relationships" r:id="rId4"/>
          <a:extLst>
            <a:ext uri="{FF2B5EF4-FFF2-40B4-BE49-F238E27FC236}">
              <a16:creationId xmlns:a16="http://schemas.microsoft.com/office/drawing/2014/main" id="{76016C56-831E-46F3-9D81-F0C5774A73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21" name="AutoShape 8" descr="Story">
          <a:hlinkClick xmlns:r="http://schemas.openxmlformats.org/officeDocument/2006/relationships" r:id="rId4"/>
          <a:extLst>
            <a:ext uri="{FF2B5EF4-FFF2-40B4-BE49-F238E27FC236}">
              <a16:creationId xmlns:a16="http://schemas.microsoft.com/office/drawing/2014/main" id="{176A1EDC-6440-455D-BD49-DF366717A8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2822" name="AutoShape 4" descr="Bug">
          <a:hlinkClick xmlns:r="http://schemas.openxmlformats.org/officeDocument/2006/relationships" r:id="rId1"/>
          <a:extLst>
            <a:ext uri="{FF2B5EF4-FFF2-40B4-BE49-F238E27FC236}">
              <a16:creationId xmlns:a16="http://schemas.microsoft.com/office/drawing/2014/main" id="{850B52C1-912A-43F0-BFAD-99D4576235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23" name="AutoShape 6" descr="Bug">
          <a:hlinkClick xmlns:r="http://schemas.openxmlformats.org/officeDocument/2006/relationships" r:id="rId2"/>
          <a:extLst>
            <a:ext uri="{FF2B5EF4-FFF2-40B4-BE49-F238E27FC236}">
              <a16:creationId xmlns:a16="http://schemas.microsoft.com/office/drawing/2014/main" id="{AFA135A7-A630-4141-B553-9871624901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24" name="AutoShape 7" descr="Story">
          <a:hlinkClick xmlns:r="http://schemas.openxmlformats.org/officeDocument/2006/relationships" r:id="rId3"/>
          <a:extLst>
            <a:ext uri="{FF2B5EF4-FFF2-40B4-BE49-F238E27FC236}">
              <a16:creationId xmlns:a16="http://schemas.microsoft.com/office/drawing/2014/main" id="{C75728E1-0B12-43D3-9AD8-72363DA75C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25" name="AutoShape 8" descr="Story">
          <a:hlinkClick xmlns:r="http://schemas.openxmlformats.org/officeDocument/2006/relationships" r:id="rId4"/>
          <a:extLst>
            <a:ext uri="{FF2B5EF4-FFF2-40B4-BE49-F238E27FC236}">
              <a16:creationId xmlns:a16="http://schemas.microsoft.com/office/drawing/2014/main" id="{17708DB4-5C16-4DA8-B650-BEB4A0B038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26" name="AutoShape 9" descr="Story">
          <a:hlinkClick xmlns:r="http://schemas.openxmlformats.org/officeDocument/2006/relationships" r:id="rId5"/>
          <a:extLst>
            <a:ext uri="{FF2B5EF4-FFF2-40B4-BE49-F238E27FC236}">
              <a16:creationId xmlns:a16="http://schemas.microsoft.com/office/drawing/2014/main" id="{F43E9A43-8091-439F-839C-74A4FC2F0C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27" name="AutoShape 13" descr="Story">
          <a:hlinkClick xmlns:r="http://schemas.openxmlformats.org/officeDocument/2006/relationships" r:id="rId4"/>
          <a:extLst>
            <a:ext uri="{FF2B5EF4-FFF2-40B4-BE49-F238E27FC236}">
              <a16:creationId xmlns:a16="http://schemas.microsoft.com/office/drawing/2014/main" id="{5EE43BA2-BEE4-41DD-8002-E562A7696D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828" name="AutoShape 1" descr="Story">
          <a:hlinkClick xmlns:r="http://schemas.openxmlformats.org/officeDocument/2006/relationships" r:id="rId7"/>
          <a:extLst>
            <a:ext uri="{FF2B5EF4-FFF2-40B4-BE49-F238E27FC236}">
              <a16:creationId xmlns:a16="http://schemas.microsoft.com/office/drawing/2014/main" id="{C6694206-4902-46EE-A1A1-845057B12D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29" name="AutoShape 2" descr="Story">
          <a:hlinkClick xmlns:r="http://schemas.openxmlformats.org/officeDocument/2006/relationships" r:id="rId8"/>
          <a:extLst>
            <a:ext uri="{FF2B5EF4-FFF2-40B4-BE49-F238E27FC236}">
              <a16:creationId xmlns:a16="http://schemas.microsoft.com/office/drawing/2014/main" id="{BFE91FA4-731E-439D-B178-5375CD58DD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0" name="AutoShape 5" descr="Story">
          <a:hlinkClick xmlns:r="http://schemas.openxmlformats.org/officeDocument/2006/relationships" r:id="rId6"/>
          <a:extLst>
            <a:ext uri="{FF2B5EF4-FFF2-40B4-BE49-F238E27FC236}">
              <a16:creationId xmlns:a16="http://schemas.microsoft.com/office/drawing/2014/main" id="{7CA7B095-D09B-4335-A83C-857EF55CAD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1" name="AutoShape 1" descr="Sub-task">
          <a:hlinkClick xmlns:r="http://schemas.openxmlformats.org/officeDocument/2006/relationships" r:id="rId9"/>
          <a:extLst>
            <a:ext uri="{FF2B5EF4-FFF2-40B4-BE49-F238E27FC236}">
              <a16:creationId xmlns:a16="http://schemas.microsoft.com/office/drawing/2014/main" id="{B4CF4FE5-EC3E-4234-9C6B-E879507CC6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2" name="AutoShape 2" descr="Sub-task">
          <a:hlinkClick xmlns:r="http://schemas.openxmlformats.org/officeDocument/2006/relationships" r:id="rId10"/>
          <a:extLst>
            <a:ext uri="{FF2B5EF4-FFF2-40B4-BE49-F238E27FC236}">
              <a16:creationId xmlns:a16="http://schemas.microsoft.com/office/drawing/2014/main" id="{1EE6784C-B187-4E17-A257-A913FD71E9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3" name="AutoShape 3" descr="Story">
          <a:hlinkClick xmlns:r="http://schemas.openxmlformats.org/officeDocument/2006/relationships" r:id="rId11"/>
          <a:extLst>
            <a:ext uri="{FF2B5EF4-FFF2-40B4-BE49-F238E27FC236}">
              <a16:creationId xmlns:a16="http://schemas.microsoft.com/office/drawing/2014/main" id="{2FB925E8-679E-419A-BF81-E7F78B0FAA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4" name="AutoShape 12" descr="Story">
          <a:hlinkClick xmlns:r="http://schemas.openxmlformats.org/officeDocument/2006/relationships" r:id="rId12"/>
          <a:extLst>
            <a:ext uri="{FF2B5EF4-FFF2-40B4-BE49-F238E27FC236}">
              <a16:creationId xmlns:a16="http://schemas.microsoft.com/office/drawing/2014/main" id="{C3FD7F2F-66BF-4899-97A4-01B427E2DE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5" name="AutoShape 1" descr="Story">
          <a:hlinkClick xmlns:r="http://schemas.openxmlformats.org/officeDocument/2006/relationships" r:id="rId13"/>
          <a:extLst>
            <a:ext uri="{FF2B5EF4-FFF2-40B4-BE49-F238E27FC236}">
              <a16:creationId xmlns:a16="http://schemas.microsoft.com/office/drawing/2014/main" id="{E2F7CE37-9850-4A7E-8373-6FE67497B6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6" name="AutoShape 1" descr="Story">
          <a:hlinkClick xmlns:r="http://schemas.openxmlformats.org/officeDocument/2006/relationships" r:id="rId13"/>
          <a:extLst>
            <a:ext uri="{FF2B5EF4-FFF2-40B4-BE49-F238E27FC236}">
              <a16:creationId xmlns:a16="http://schemas.microsoft.com/office/drawing/2014/main" id="{A92CD632-E0C0-4949-B62F-71685924FB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7" name="AutoShape 3" descr="Story">
          <a:hlinkClick xmlns:r="http://schemas.openxmlformats.org/officeDocument/2006/relationships" r:id="rId4"/>
          <a:extLst>
            <a:ext uri="{FF2B5EF4-FFF2-40B4-BE49-F238E27FC236}">
              <a16:creationId xmlns:a16="http://schemas.microsoft.com/office/drawing/2014/main" id="{D6F1BFFC-9631-4BA7-9D63-0B6682B6E0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8" name="AutoShape 4" descr="Story">
          <a:hlinkClick xmlns:r="http://schemas.openxmlformats.org/officeDocument/2006/relationships" r:id="rId5"/>
          <a:extLst>
            <a:ext uri="{FF2B5EF4-FFF2-40B4-BE49-F238E27FC236}">
              <a16:creationId xmlns:a16="http://schemas.microsoft.com/office/drawing/2014/main" id="{5D012652-AC04-4975-9770-C5F53BE386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39" name="AutoShape 3" descr="Story">
          <a:hlinkClick xmlns:r="http://schemas.openxmlformats.org/officeDocument/2006/relationships" r:id="rId4"/>
          <a:extLst>
            <a:ext uri="{FF2B5EF4-FFF2-40B4-BE49-F238E27FC236}">
              <a16:creationId xmlns:a16="http://schemas.microsoft.com/office/drawing/2014/main" id="{28361234-CE62-4BD6-AA91-A65DA76B26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40" name="AutoShape 4" descr="Story">
          <a:hlinkClick xmlns:r="http://schemas.openxmlformats.org/officeDocument/2006/relationships" r:id="rId5"/>
          <a:extLst>
            <a:ext uri="{FF2B5EF4-FFF2-40B4-BE49-F238E27FC236}">
              <a16:creationId xmlns:a16="http://schemas.microsoft.com/office/drawing/2014/main" id="{38EB6A84-614C-4EE0-9902-A1873A007C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41" name="AutoShape 7" descr="Story">
          <a:hlinkClick xmlns:r="http://schemas.openxmlformats.org/officeDocument/2006/relationships" r:id="rId3"/>
          <a:extLst>
            <a:ext uri="{FF2B5EF4-FFF2-40B4-BE49-F238E27FC236}">
              <a16:creationId xmlns:a16="http://schemas.microsoft.com/office/drawing/2014/main" id="{44ABC849-8AEC-441D-AD86-3C9C610CE2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42" name="AutoShape 8" descr="Story">
          <a:hlinkClick xmlns:r="http://schemas.openxmlformats.org/officeDocument/2006/relationships" r:id="rId4"/>
          <a:extLst>
            <a:ext uri="{FF2B5EF4-FFF2-40B4-BE49-F238E27FC236}">
              <a16:creationId xmlns:a16="http://schemas.microsoft.com/office/drawing/2014/main" id="{CED92EE6-0D79-4F6A-AEE6-3D0DEA777E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43" name="AutoShape 8" descr="Story">
          <a:hlinkClick xmlns:r="http://schemas.openxmlformats.org/officeDocument/2006/relationships" r:id="rId4"/>
          <a:extLst>
            <a:ext uri="{FF2B5EF4-FFF2-40B4-BE49-F238E27FC236}">
              <a16:creationId xmlns:a16="http://schemas.microsoft.com/office/drawing/2014/main" id="{7C4EE4DC-1359-477B-9E32-690B5905DA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2844" name="AutoShape 4" descr="Bug">
          <a:hlinkClick xmlns:r="http://schemas.openxmlformats.org/officeDocument/2006/relationships" r:id="rId1"/>
          <a:extLst>
            <a:ext uri="{FF2B5EF4-FFF2-40B4-BE49-F238E27FC236}">
              <a16:creationId xmlns:a16="http://schemas.microsoft.com/office/drawing/2014/main" id="{F14F8766-8014-4929-BB12-3B53C64A5D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45" name="AutoShape 6" descr="Bug">
          <a:hlinkClick xmlns:r="http://schemas.openxmlformats.org/officeDocument/2006/relationships" r:id="rId2"/>
          <a:extLst>
            <a:ext uri="{FF2B5EF4-FFF2-40B4-BE49-F238E27FC236}">
              <a16:creationId xmlns:a16="http://schemas.microsoft.com/office/drawing/2014/main" id="{1E80ADE2-7789-4FCB-A6B0-7F04F515E1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46" name="AutoShape 7" descr="Story">
          <a:hlinkClick xmlns:r="http://schemas.openxmlformats.org/officeDocument/2006/relationships" r:id="rId3"/>
          <a:extLst>
            <a:ext uri="{FF2B5EF4-FFF2-40B4-BE49-F238E27FC236}">
              <a16:creationId xmlns:a16="http://schemas.microsoft.com/office/drawing/2014/main" id="{2B045A1A-6946-4628-9858-0B9D0D31B0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47" name="AutoShape 8" descr="Story">
          <a:hlinkClick xmlns:r="http://schemas.openxmlformats.org/officeDocument/2006/relationships" r:id="rId4"/>
          <a:extLst>
            <a:ext uri="{FF2B5EF4-FFF2-40B4-BE49-F238E27FC236}">
              <a16:creationId xmlns:a16="http://schemas.microsoft.com/office/drawing/2014/main" id="{1495F706-64C7-4469-AC56-CD125FE0DA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48" name="AutoShape 9" descr="Story">
          <a:hlinkClick xmlns:r="http://schemas.openxmlformats.org/officeDocument/2006/relationships" r:id="rId5"/>
          <a:extLst>
            <a:ext uri="{FF2B5EF4-FFF2-40B4-BE49-F238E27FC236}">
              <a16:creationId xmlns:a16="http://schemas.microsoft.com/office/drawing/2014/main" id="{854CBCCB-4108-4C88-8345-1FEC6A2715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49" name="AutoShape 13" descr="Story">
          <a:hlinkClick xmlns:r="http://schemas.openxmlformats.org/officeDocument/2006/relationships" r:id="rId4"/>
          <a:extLst>
            <a:ext uri="{FF2B5EF4-FFF2-40B4-BE49-F238E27FC236}">
              <a16:creationId xmlns:a16="http://schemas.microsoft.com/office/drawing/2014/main" id="{9BE643F4-753D-450E-ADE2-FF11364CF4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850" name="AutoShape 1" descr="Story">
          <a:hlinkClick xmlns:r="http://schemas.openxmlformats.org/officeDocument/2006/relationships" r:id="rId7"/>
          <a:extLst>
            <a:ext uri="{FF2B5EF4-FFF2-40B4-BE49-F238E27FC236}">
              <a16:creationId xmlns:a16="http://schemas.microsoft.com/office/drawing/2014/main" id="{2225633D-E807-4978-A140-DC7237454E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1" name="AutoShape 2" descr="Story">
          <a:hlinkClick xmlns:r="http://schemas.openxmlformats.org/officeDocument/2006/relationships" r:id="rId8"/>
          <a:extLst>
            <a:ext uri="{FF2B5EF4-FFF2-40B4-BE49-F238E27FC236}">
              <a16:creationId xmlns:a16="http://schemas.microsoft.com/office/drawing/2014/main" id="{A72947CF-699B-453E-A414-3FCC3A657A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2" name="AutoShape 5" descr="Story">
          <a:hlinkClick xmlns:r="http://schemas.openxmlformats.org/officeDocument/2006/relationships" r:id="rId6"/>
          <a:extLst>
            <a:ext uri="{FF2B5EF4-FFF2-40B4-BE49-F238E27FC236}">
              <a16:creationId xmlns:a16="http://schemas.microsoft.com/office/drawing/2014/main" id="{D548C5D4-DE53-43DF-8FCB-DBF20FE236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3" name="AutoShape 1" descr="Sub-task">
          <a:hlinkClick xmlns:r="http://schemas.openxmlformats.org/officeDocument/2006/relationships" r:id="rId9"/>
          <a:extLst>
            <a:ext uri="{FF2B5EF4-FFF2-40B4-BE49-F238E27FC236}">
              <a16:creationId xmlns:a16="http://schemas.microsoft.com/office/drawing/2014/main" id="{D139229C-0C6F-4255-9CD1-F9855650CC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4" name="AutoShape 2" descr="Sub-task">
          <a:hlinkClick xmlns:r="http://schemas.openxmlformats.org/officeDocument/2006/relationships" r:id="rId10"/>
          <a:extLst>
            <a:ext uri="{FF2B5EF4-FFF2-40B4-BE49-F238E27FC236}">
              <a16:creationId xmlns:a16="http://schemas.microsoft.com/office/drawing/2014/main" id="{41B1B756-5D60-478D-BF64-300CB68ED7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5" name="AutoShape 3" descr="Story">
          <a:hlinkClick xmlns:r="http://schemas.openxmlformats.org/officeDocument/2006/relationships" r:id="rId11"/>
          <a:extLst>
            <a:ext uri="{FF2B5EF4-FFF2-40B4-BE49-F238E27FC236}">
              <a16:creationId xmlns:a16="http://schemas.microsoft.com/office/drawing/2014/main" id="{D32475C3-88E9-4103-A62A-A2BCDEB058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6" name="AutoShape 12" descr="Story">
          <a:hlinkClick xmlns:r="http://schemas.openxmlformats.org/officeDocument/2006/relationships" r:id="rId12"/>
          <a:extLst>
            <a:ext uri="{FF2B5EF4-FFF2-40B4-BE49-F238E27FC236}">
              <a16:creationId xmlns:a16="http://schemas.microsoft.com/office/drawing/2014/main" id="{1027E363-664F-4E09-8220-221C947F13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7" name="AutoShape 1" descr="Story">
          <a:hlinkClick xmlns:r="http://schemas.openxmlformats.org/officeDocument/2006/relationships" r:id="rId13"/>
          <a:extLst>
            <a:ext uri="{FF2B5EF4-FFF2-40B4-BE49-F238E27FC236}">
              <a16:creationId xmlns:a16="http://schemas.microsoft.com/office/drawing/2014/main" id="{2546A96F-E9BB-4691-B19B-690D737E04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8" name="AutoShape 1" descr="Story">
          <a:hlinkClick xmlns:r="http://schemas.openxmlformats.org/officeDocument/2006/relationships" r:id="rId13"/>
          <a:extLst>
            <a:ext uri="{FF2B5EF4-FFF2-40B4-BE49-F238E27FC236}">
              <a16:creationId xmlns:a16="http://schemas.microsoft.com/office/drawing/2014/main" id="{9E8F81B3-433A-4513-88A7-A84AA4BE5D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59" name="AutoShape 3" descr="Story">
          <a:hlinkClick xmlns:r="http://schemas.openxmlformats.org/officeDocument/2006/relationships" r:id="rId4"/>
          <a:extLst>
            <a:ext uri="{FF2B5EF4-FFF2-40B4-BE49-F238E27FC236}">
              <a16:creationId xmlns:a16="http://schemas.microsoft.com/office/drawing/2014/main" id="{A4BF2B57-BCB7-4369-9035-0FE9DFE82E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0" name="AutoShape 4" descr="Story">
          <a:hlinkClick xmlns:r="http://schemas.openxmlformats.org/officeDocument/2006/relationships" r:id="rId5"/>
          <a:extLst>
            <a:ext uri="{FF2B5EF4-FFF2-40B4-BE49-F238E27FC236}">
              <a16:creationId xmlns:a16="http://schemas.microsoft.com/office/drawing/2014/main" id="{E6F468A8-6671-48D0-B7DD-184528B09B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1" name="AutoShape 3" descr="Story">
          <a:hlinkClick xmlns:r="http://schemas.openxmlformats.org/officeDocument/2006/relationships" r:id="rId4"/>
          <a:extLst>
            <a:ext uri="{FF2B5EF4-FFF2-40B4-BE49-F238E27FC236}">
              <a16:creationId xmlns:a16="http://schemas.microsoft.com/office/drawing/2014/main" id="{1961E79F-8EFC-4437-9316-2D5D1AB262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2" name="AutoShape 4" descr="Story">
          <a:hlinkClick xmlns:r="http://schemas.openxmlformats.org/officeDocument/2006/relationships" r:id="rId5"/>
          <a:extLst>
            <a:ext uri="{FF2B5EF4-FFF2-40B4-BE49-F238E27FC236}">
              <a16:creationId xmlns:a16="http://schemas.microsoft.com/office/drawing/2014/main" id="{9EB6323B-2E4E-45DA-AA9F-9E6337E9E9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3" name="AutoShape 7" descr="Story">
          <a:hlinkClick xmlns:r="http://schemas.openxmlformats.org/officeDocument/2006/relationships" r:id="rId3"/>
          <a:extLst>
            <a:ext uri="{FF2B5EF4-FFF2-40B4-BE49-F238E27FC236}">
              <a16:creationId xmlns:a16="http://schemas.microsoft.com/office/drawing/2014/main" id="{687AC84E-1155-4191-9FC0-2EF8893E85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4" name="AutoShape 8" descr="Story">
          <a:hlinkClick xmlns:r="http://schemas.openxmlformats.org/officeDocument/2006/relationships" r:id="rId4"/>
          <a:extLst>
            <a:ext uri="{FF2B5EF4-FFF2-40B4-BE49-F238E27FC236}">
              <a16:creationId xmlns:a16="http://schemas.microsoft.com/office/drawing/2014/main" id="{37D36C78-D3A9-470B-A5FD-FE6C68453F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65" name="AutoShape 8" descr="Story">
          <a:hlinkClick xmlns:r="http://schemas.openxmlformats.org/officeDocument/2006/relationships" r:id="rId4"/>
          <a:extLst>
            <a:ext uri="{FF2B5EF4-FFF2-40B4-BE49-F238E27FC236}">
              <a16:creationId xmlns:a16="http://schemas.microsoft.com/office/drawing/2014/main" id="{511FD257-AEA6-42B3-ADD1-6D8444D3CD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2866" name="AutoShape 4" descr="Bug">
          <a:hlinkClick xmlns:r="http://schemas.openxmlformats.org/officeDocument/2006/relationships" r:id="rId1"/>
          <a:extLst>
            <a:ext uri="{FF2B5EF4-FFF2-40B4-BE49-F238E27FC236}">
              <a16:creationId xmlns:a16="http://schemas.microsoft.com/office/drawing/2014/main" id="{5E95184C-8C69-4BE6-8B75-AAF7066606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67" name="AutoShape 6" descr="Bug">
          <a:hlinkClick xmlns:r="http://schemas.openxmlformats.org/officeDocument/2006/relationships" r:id="rId2"/>
          <a:extLst>
            <a:ext uri="{FF2B5EF4-FFF2-40B4-BE49-F238E27FC236}">
              <a16:creationId xmlns:a16="http://schemas.microsoft.com/office/drawing/2014/main" id="{90F82714-B42D-450B-82FE-8A59C14E70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68" name="AutoShape 7" descr="Story">
          <a:hlinkClick xmlns:r="http://schemas.openxmlformats.org/officeDocument/2006/relationships" r:id="rId3"/>
          <a:extLst>
            <a:ext uri="{FF2B5EF4-FFF2-40B4-BE49-F238E27FC236}">
              <a16:creationId xmlns:a16="http://schemas.microsoft.com/office/drawing/2014/main" id="{06521A13-AC63-4790-94A0-8EB52A6812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69" name="AutoShape 8" descr="Story">
          <a:hlinkClick xmlns:r="http://schemas.openxmlformats.org/officeDocument/2006/relationships" r:id="rId4"/>
          <a:extLst>
            <a:ext uri="{FF2B5EF4-FFF2-40B4-BE49-F238E27FC236}">
              <a16:creationId xmlns:a16="http://schemas.microsoft.com/office/drawing/2014/main" id="{C894AB38-6C46-41FA-92A2-F11B942966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70" name="AutoShape 9" descr="Story">
          <a:hlinkClick xmlns:r="http://schemas.openxmlformats.org/officeDocument/2006/relationships" r:id="rId5"/>
          <a:extLst>
            <a:ext uri="{FF2B5EF4-FFF2-40B4-BE49-F238E27FC236}">
              <a16:creationId xmlns:a16="http://schemas.microsoft.com/office/drawing/2014/main" id="{75266ABA-EFA4-4575-99D1-A9C345579C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71" name="AutoShape 13" descr="Story">
          <a:hlinkClick xmlns:r="http://schemas.openxmlformats.org/officeDocument/2006/relationships" r:id="rId4"/>
          <a:extLst>
            <a:ext uri="{FF2B5EF4-FFF2-40B4-BE49-F238E27FC236}">
              <a16:creationId xmlns:a16="http://schemas.microsoft.com/office/drawing/2014/main" id="{8BF9CC0A-C193-466F-9197-B925A57898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872" name="AutoShape 1" descr="Story">
          <a:hlinkClick xmlns:r="http://schemas.openxmlformats.org/officeDocument/2006/relationships" r:id="rId7"/>
          <a:extLst>
            <a:ext uri="{FF2B5EF4-FFF2-40B4-BE49-F238E27FC236}">
              <a16:creationId xmlns:a16="http://schemas.microsoft.com/office/drawing/2014/main" id="{5EECCBA8-B33B-4BBB-A71F-044A619A84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3" name="AutoShape 2" descr="Story">
          <a:hlinkClick xmlns:r="http://schemas.openxmlformats.org/officeDocument/2006/relationships" r:id="rId8"/>
          <a:extLst>
            <a:ext uri="{FF2B5EF4-FFF2-40B4-BE49-F238E27FC236}">
              <a16:creationId xmlns:a16="http://schemas.microsoft.com/office/drawing/2014/main" id="{B02CEB6A-61C4-447C-86CD-5B78B9D1E3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4" name="AutoShape 5" descr="Story">
          <a:hlinkClick xmlns:r="http://schemas.openxmlformats.org/officeDocument/2006/relationships" r:id="rId6"/>
          <a:extLst>
            <a:ext uri="{FF2B5EF4-FFF2-40B4-BE49-F238E27FC236}">
              <a16:creationId xmlns:a16="http://schemas.microsoft.com/office/drawing/2014/main" id="{61298562-15D0-4220-BD49-E9B7A8437C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5" name="AutoShape 1" descr="Sub-task">
          <a:hlinkClick xmlns:r="http://schemas.openxmlformats.org/officeDocument/2006/relationships" r:id="rId9"/>
          <a:extLst>
            <a:ext uri="{FF2B5EF4-FFF2-40B4-BE49-F238E27FC236}">
              <a16:creationId xmlns:a16="http://schemas.microsoft.com/office/drawing/2014/main" id="{82855620-45F5-404F-A633-B0FBF8CBA6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6" name="AutoShape 2" descr="Sub-task">
          <a:hlinkClick xmlns:r="http://schemas.openxmlformats.org/officeDocument/2006/relationships" r:id="rId10"/>
          <a:extLst>
            <a:ext uri="{FF2B5EF4-FFF2-40B4-BE49-F238E27FC236}">
              <a16:creationId xmlns:a16="http://schemas.microsoft.com/office/drawing/2014/main" id="{37EE3CA8-CA90-446B-A353-3356C43A90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7" name="AutoShape 3" descr="Story">
          <a:hlinkClick xmlns:r="http://schemas.openxmlformats.org/officeDocument/2006/relationships" r:id="rId11"/>
          <a:extLst>
            <a:ext uri="{FF2B5EF4-FFF2-40B4-BE49-F238E27FC236}">
              <a16:creationId xmlns:a16="http://schemas.microsoft.com/office/drawing/2014/main" id="{1A5E11EF-6029-4CE6-8995-BF304A7C52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8" name="AutoShape 12" descr="Story">
          <a:hlinkClick xmlns:r="http://schemas.openxmlformats.org/officeDocument/2006/relationships" r:id="rId12"/>
          <a:extLst>
            <a:ext uri="{FF2B5EF4-FFF2-40B4-BE49-F238E27FC236}">
              <a16:creationId xmlns:a16="http://schemas.microsoft.com/office/drawing/2014/main" id="{6D2A2890-1139-4F21-A2AC-F8270E9631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79" name="AutoShape 1" descr="Story">
          <a:hlinkClick xmlns:r="http://schemas.openxmlformats.org/officeDocument/2006/relationships" r:id="rId13"/>
          <a:extLst>
            <a:ext uri="{FF2B5EF4-FFF2-40B4-BE49-F238E27FC236}">
              <a16:creationId xmlns:a16="http://schemas.microsoft.com/office/drawing/2014/main" id="{0AE40CE9-F35D-4D83-B13C-95C55DD36A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0" name="AutoShape 1" descr="Story">
          <a:hlinkClick xmlns:r="http://schemas.openxmlformats.org/officeDocument/2006/relationships" r:id="rId13"/>
          <a:extLst>
            <a:ext uri="{FF2B5EF4-FFF2-40B4-BE49-F238E27FC236}">
              <a16:creationId xmlns:a16="http://schemas.microsoft.com/office/drawing/2014/main" id="{FE0E75A3-8BFF-4754-AF54-9DEDCB4FA2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1" name="AutoShape 3" descr="Story">
          <a:hlinkClick xmlns:r="http://schemas.openxmlformats.org/officeDocument/2006/relationships" r:id="rId4"/>
          <a:extLst>
            <a:ext uri="{FF2B5EF4-FFF2-40B4-BE49-F238E27FC236}">
              <a16:creationId xmlns:a16="http://schemas.microsoft.com/office/drawing/2014/main" id="{53815CC3-C17E-4775-BCFC-A8AA4B40A2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2" name="AutoShape 4" descr="Story">
          <a:hlinkClick xmlns:r="http://schemas.openxmlformats.org/officeDocument/2006/relationships" r:id="rId5"/>
          <a:extLst>
            <a:ext uri="{FF2B5EF4-FFF2-40B4-BE49-F238E27FC236}">
              <a16:creationId xmlns:a16="http://schemas.microsoft.com/office/drawing/2014/main" id="{58AB1EEA-26A6-411A-8D36-E32C38350F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3" name="AutoShape 3" descr="Story">
          <a:hlinkClick xmlns:r="http://schemas.openxmlformats.org/officeDocument/2006/relationships" r:id="rId4"/>
          <a:extLst>
            <a:ext uri="{FF2B5EF4-FFF2-40B4-BE49-F238E27FC236}">
              <a16:creationId xmlns:a16="http://schemas.microsoft.com/office/drawing/2014/main" id="{2AB2F184-7E5D-4C4B-A904-7D08A88C5B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4" name="AutoShape 4" descr="Story">
          <a:hlinkClick xmlns:r="http://schemas.openxmlformats.org/officeDocument/2006/relationships" r:id="rId5"/>
          <a:extLst>
            <a:ext uri="{FF2B5EF4-FFF2-40B4-BE49-F238E27FC236}">
              <a16:creationId xmlns:a16="http://schemas.microsoft.com/office/drawing/2014/main" id="{A304656F-D7A9-426B-8A36-95E64494D3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5" name="AutoShape 7" descr="Story">
          <a:hlinkClick xmlns:r="http://schemas.openxmlformats.org/officeDocument/2006/relationships" r:id="rId3"/>
          <a:extLst>
            <a:ext uri="{FF2B5EF4-FFF2-40B4-BE49-F238E27FC236}">
              <a16:creationId xmlns:a16="http://schemas.microsoft.com/office/drawing/2014/main" id="{3B1C8A04-5852-4F7C-9F00-82D29A6686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6" name="AutoShape 8" descr="Story">
          <a:hlinkClick xmlns:r="http://schemas.openxmlformats.org/officeDocument/2006/relationships" r:id="rId4"/>
          <a:extLst>
            <a:ext uri="{FF2B5EF4-FFF2-40B4-BE49-F238E27FC236}">
              <a16:creationId xmlns:a16="http://schemas.microsoft.com/office/drawing/2014/main" id="{4B3F4C53-FF5E-4596-B94F-136400FBDC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887" name="AutoShape 8" descr="Story">
          <a:hlinkClick xmlns:r="http://schemas.openxmlformats.org/officeDocument/2006/relationships" r:id="rId4"/>
          <a:extLst>
            <a:ext uri="{FF2B5EF4-FFF2-40B4-BE49-F238E27FC236}">
              <a16:creationId xmlns:a16="http://schemas.microsoft.com/office/drawing/2014/main" id="{F32564D3-727B-4C9D-8552-9954D812B3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1278</xdr:row>
      <xdr:rowOff>0</xdr:rowOff>
    </xdr:from>
    <xdr:to>
      <xdr:col>0</xdr:col>
      <xdr:colOff>152400</xdr:colOff>
      <xdr:row>1278</xdr:row>
      <xdr:rowOff>152400</xdr:rowOff>
    </xdr:to>
    <xdr:sp macro="" textlink="">
      <xdr:nvSpPr>
        <xdr:cNvPr id="2888" name="AutoShape 1" descr="Story">
          <a:hlinkClick xmlns:r="http://schemas.openxmlformats.org/officeDocument/2006/relationships" r:id="rId13"/>
          <a:extLst>
            <a:ext uri="{FF2B5EF4-FFF2-40B4-BE49-F238E27FC236}">
              <a16:creationId xmlns:a16="http://schemas.microsoft.com/office/drawing/2014/main" id="{BACF1478-0A99-47A9-A954-0DB21695B4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2889" name="AutoShape 2" descr="Story">
          <a:hlinkClick xmlns:r="http://schemas.openxmlformats.org/officeDocument/2006/relationships" r:id="rId12"/>
          <a:extLst>
            <a:ext uri="{FF2B5EF4-FFF2-40B4-BE49-F238E27FC236}">
              <a16:creationId xmlns:a16="http://schemas.microsoft.com/office/drawing/2014/main" id="{FBFFA37C-CF53-41BC-A539-67357B1D91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2890" name="AutoShape 3" descr="Story">
          <a:hlinkClick xmlns:r="http://schemas.openxmlformats.org/officeDocument/2006/relationships" r:id="rId11"/>
          <a:extLst>
            <a:ext uri="{FF2B5EF4-FFF2-40B4-BE49-F238E27FC236}">
              <a16:creationId xmlns:a16="http://schemas.microsoft.com/office/drawing/2014/main" id="{94586C49-3E00-4508-96C1-AFCBF6608C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91" name="AutoShape 4" descr="Bug">
          <a:hlinkClick xmlns:r="http://schemas.openxmlformats.org/officeDocument/2006/relationships" r:id="rId1"/>
          <a:extLst>
            <a:ext uri="{FF2B5EF4-FFF2-40B4-BE49-F238E27FC236}">
              <a16:creationId xmlns:a16="http://schemas.microsoft.com/office/drawing/2014/main" id="{1DC2E537-A458-43C1-ACAB-4B60F494D6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2892" name="AutoShape 5" descr="Story">
          <a:hlinkClick xmlns:r="http://schemas.openxmlformats.org/officeDocument/2006/relationships" r:id="rId14"/>
          <a:extLst>
            <a:ext uri="{FF2B5EF4-FFF2-40B4-BE49-F238E27FC236}">
              <a16:creationId xmlns:a16="http://schemas.microsoft.com/office/drawing/2014/main" id="{478FBCEA-5333-4E5A-AB44-156B71F84E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93" name="AutoShape 6" descr="Bug">
          <a:hlinkClick xmlns:r="http://schemas.openxmlformats.org/officeDocument/2006/relationships" r:id="rId2"/>
          <a:extLst>
            <a:ext uri="{FF2B5EF4-FFF2-40B4-BE49-F238E27FC236}">
              <a16:creationId xmlns:a16="http://schemas.microsoft.com/office/drawing/2014/main" id="{710916D0-8CBA-4524-8C95-0795FC4798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94" name="AutoShape 7" descr="Story">
          <a:hlinkClick xmlns:r="http://schemas.openxmlformats.org/officeDocument/2006/relationships" r:id="rId3"/>
          <a:extLst>
            <a:ext uri="{FF2B5EF4-FFF2-40B4-BE49-F238E27FC236}">
              <a16:creationId xmlns:a16="http://schemas.microsoft.com/office/drawing/2014/main" id="{7EE8EDE0-69E8-404A-A014-4DD1253C54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95" name="AutoShape 8" descr="Story">
          <a:hlinkClick xmlns:r="http://schemas.openxmlformats.org/officeDocument/2006/relationships" r:id="rId4"/>
          <a:extLst>
            <a:ext uri="{FF2B5EF4-FFF2-40B4-BE49-F238E27FC236}">
              <a16:creationId xmlns:a16="http://schemas.microsoft.com/office/drawing/2014/main" id="{226DB21F-EEC7-4D94-A2F7-DD236CB8A0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896" name="AutoShape 9" descr="Story">
          <a:hlinkClick xmlns:r="http://schemas.openxmlformats.org/officeDocument/2006/relationships" r:id="rId5"/>
          <a:extLst>
            <a:ext uri="{FF2B5EF4-FFF2-40B4-BE49-F238E27FC236}">
              <a16:creationId xmlns:a16="http://schemas.microsoft.com/office/drawing/2014/main" id="{D84C0015-32E9-4827-A7F9-D8476D85B0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2897" name="AutoShape 10" descr="Story">
          <a:hlinkClick xmlns:r="http://schemas.openxmlformats.org/officeDocument/2006/relationships" r:id="rId6"/>
          <a:extLst>
            <a:ext uri="{FF2B5EF4-FFF2-40B4-BE49-F238E27FC236}">
              <a16:creationId xmlns:a16="http://schemas.microsoft.com/office/drawing/2014/main" id="{DEA8EA17-29AA-4B04-B02F-6E64FB8331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2898" name="AutoShape 11" descr="Story">
          <a:hlinkClick xmlns:r="http://schemas.openxmlformats.org/officeDocument/2006/relationships" r:id="rId15"/>
          <a:extLst>
            <a:ext uri="{FF2B5EF4-FFF2-40B4-BE49-F238E27FC236}">
              <a16:creationId xmlns:a16="http://schemas.microsoft.com/office/drawing/2014/main" id="{4BEB0706-418F-4189-8E70-B65B713DA1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2899" name="AutoShape 12" descr="Story">
          <a:hlinkClick xmlns:r="http://schemas.openxmlformats.org/officeDocument/2006/relationships" r:id="rId12"/>
          <a:extLst>
            <a:ext uri="{FF2B5EF4-FFF2-40B4-BE49-F238E27FC236}">
              <a16:creationId xmlns:a16="http://schemas.microsoft.com/office/drawing/2014/main" id="{3068D6BF-6382-43A6-85DD-394EDA30CF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1273</xdr:row>
      <xdr:rowOff>0</xdr:rowOff>
    </xdr:from>
    <xdr:to>
      <xdr:col>0</xdr:col>
      <xdr:colOff>152400</xdr:colOff>
      <xdr:row>1273</xdr:row>
      <xdr:rowOff>152400</xdr:rowOff>
    </xdr:to>
    <xdr:sp macro="" textlink="">
      <xdr:nvSpPr>
        <xdr:cNvPr id="2900" name="AutoShape 13" descr="Story">
          <a:hlinkClick xmlns:r="http://schemas.openxmlformats.org/officeDocument/2006/relationships" r:id="rId4"/>
          <a:extLst>
            <a:ext uri="{FF2B5EF4-FFF2-40B4-BE49-F238E27FC236}">
              <a16:creationId xmlns:a16="http://schemas.microsoft.com/office/drawing/2014/main" id="{E0C69E50-2BDB-4376-9AF8-830D8826E3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2901" name="AutoShape 14" descr="Story">
          <a:hlinkClick xmlns:r="http://schemas.openxmlformats.org/officeDocument/2006/relationships" r:id="rId4"/>
          <a:extLst>
            <a:ext uri="{FF2B5EF4-FFF2-40B4-BE49-F238E27FC236}">
              <a16:creationId xmlns:a16="http://schemas.microsoft.com/office/drawing/2014/main" id="{376B3400-6C24-435C-BD61-489AC8C3D7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2902" name="AutoShape 15" descr="Story">
          <a:hlinkClick xmlns:r="http://schemas.openxmlformats.org/officeDocument/2006/relationships" r:id="rId4"/>
          <a:extLst>
            <a:ext uri="{FF2B5EF4-FFF2-40B4-BE49-F238E27FC236}">
              <a16:creationId xmlns:a16="http://schemas.microsoft.com/office/drawing/2014/main" id="{1FC77C61-12DE-41AB-85E0-D17F61DCA7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1273</xdr:row>
      <xdr:rowOff>0</xdr:rowOff>
    </xdr:from>
    <xdr:ext cx="152400" cy="152400"/>
    <xdr:sp macro="" textlink="">
      <xdr:nvSpPr>
        <xdr:cNvPr id="2903" name="AutoShape 1" descr="Story">
          <a:hlinkClick xmlns:r="http://schemas.openxmlformats.org/officeDocument/2006/relationships" r:id="rId7"/>
          <a:extLst>
            <a:ext uri="{FF2B5EF4-FFF2-40B4-BE49-F238E27FC236}">
              <a16:creationId xmlns:a16="http://schemas.microsoft.com/office/drawing/2014/main" id="{75191304-AC00-4831-823E-A0FA160D88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4" name="AutoShape 2" descr="Story">
          <a:hlinkClick xmlns:r="http://schemas.openxmlformats.org/officeDocument/2006/relationships" r:id="rId8"/>
          <a:extLst>
            <a:ext uri="{FF2B5EF4-FFF2-40B4-BE49-F238E27FC236}">
              <a16:creationId xmlns:a16="http://schemas.microsoft.com/office/drawing/2014/main" id="{8D6B2A2F-D8F7-4559-A968-242EF48E5E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5" name="AutoShape 5" descr="Story">
          <a:hlinkClick xmlns:r="http://schemas.openxmlformats.org/officeDocument/2006/relationships" r:id="rId6"/>
          <a:extLst>
            <a:ext uri="{FF2B5EF4-FFF2-40B4-BE49-F238E27FC236}">
              <a16:creationId xmlns:a16="http://schemas.microsoft.com/office/drawing/2014/main" id="{DE160CD3-07C3-4D2F-90D0-1E406167E3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6" name="AutoShape 1" descr="Sub-task">
          <a:hlinkClick xmlns:r="http://schemas.openxmlformats.org/officeDocument/2006/relationships" r:id="rId9"/>
          <a:extLst>
            <a:ext uri="{FF2B5EF4-FFF2-40B4-BE49-F238E27FC236}">
              <a16:creationId xmlns:a16="http://schemas.microsoft.com/office/drawing/2014/main" id="{06801B5A-D569-4D95-80A3-E45C9E095F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7" name="AutoShape 2" descr="Sub-task">
          <a:hlinkClick xmlns:r="http://schemas.openxmlformats.org/officeDocument/2006/relationships" r:id="rId10"/>
          <a:extLst>
            <a:ext uri="{FF2B5EF4-FFF2-40B4-BE49-F238E27FC236}">
              <a16:creationId xmlns:a16="http://schemas.microsoft.com/office/drawing/2014/main" id="{3024FE5D-DDB5-441B-8DA4-051AAA7D32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8" name="AutoShape 3" descr="Story">
          <a:hlinkClick xmlns:r="http://schemas.openxmlformats.org/officeDocument/2006/relationships" r:id="rId11"/>
          <a:extLst>
            <a:ext uri="{FF2B5EF4-FFF2-40B4-BE49-F238E27FC236}">
              <a16:creationId xmlns:a16="http://schemas.microsoft.com/office/drawing/2014/main" id="{DC34F22C-6DD8-48A2-A0CB-49142B224C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09" name="AutoShape 12" descr="Story">
          <a:hlinkClick xmlns:r="http://schemas.openxmlformats.org/officeDocument/2006/relationships" r:id="rId12"/>
          <a:extLst>
            <a:ext uri="{FF2B5EF4-FFF2-40B4-BE49-F238E27FC236}">
              <a16:creationId xmlns:a16="http://schemas.microsoft.com/office/drawing/2014/main" id="{EAB2ACD0-2E0E-41C9-83B9-6EA75E9FF5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0" name="AutoShape 1" descr="Story">
          <a:hlinkClick xmlns:r="http://schemas.openxmlformats.org/officeDocument/2006/relationships" r:id="rId13"/>
          <a:extLst>
            <a:ext uri="{FF2B5EF4-FFF2-40B4-BE49-F238E27FC236}">
              <a16:creationId xmlns:a16="http://schemas.microsoft.com/office/drawing/2014/main" id="{58222BE0-D1BA-44EC-9CC8-5F9C991015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1" name="AutoShape 1" descr="Story">
          <a:hlinkClick xmlns:r="http://schemas.openxmlformats.org/officeDocument/2006/relationships" r:id="rId13"/>
          <a:extLst>
            <a:ext uri="{FF2B5EF4-FFF2-40B4-BE49-F238E27FC236}">
              <a16:creationId xmlns:a16="http://schemas.microsoft.com/office/drawing/2014/main" id="{51F2DB09-6ECF-4731-8162-7E2B01E5D0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2" name="AutoShape 3" descr="Story">
          <a:hlinkClick xmlns:r="http://schemas.openxmlformats.org/officeDocument/2006/relationships" r:id="rId4"/>
          <a:extLst>
            <a:ext uri="{FF2B5EF4-FFF2-40B4-BE49-F238E27FC236}">
              <a16:creationId xmlns:a16="http://schemas.microsoft.com/office/drawing/2014/main" id="{AE72CC40-8E8A-45F6-AE3C-FC65B34F9E3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3" name="AutoShape 4" descr="Story">
          <a:hlinkClick xmlns:r="http://schemas.openxmlformats.org/officeDocument/2006/relationships" r:id="rId5"/>
          <a:extLst>
            <a:ext uri="{FF2B5EF4-FFF2-40B4-BE49-F238E27FC236}">
              <a16:creationId xmlns:a16="http://schemas.microsoft.com/office/drawing/2014/main" id="{6BE67802-2BD0-4F77-9BDD-E9D9AFDA0E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14" name="AutoShape 1" descr="Story">
          <a:hlinkClick xmlns:r="http://schemas.openxmlformats.org/officeDocument/2006/relationships" r:id="rId7"/>
          <a:extLst>
            <a:ext uri="{FF2B5EF4-FFF2-40B4-BE49-F238E27FC236}">
              <a16:creationId xmlns:a16="http://schemas.microsoft.com/office/drawing/2014/main" id="{2D4910C2-5DB7-4144-B150-A375115AC3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15" name="AutoShape 2" descr="Story">
          <a:hlinkClick xmlns:r="http://schemas.openxmlformats.org/officeDocument/2006/relationships" r:id="rId8"/>
          <a:extLst>
            <a:ext uri="{FF2B5EF4-FFF2-40B4-BE49-F238E27FC236}">
              <a16:creationId xmlns:a16="http://schemas.microsoft.com/office/drawing/2014/main" id="{E0C26861-8E02-4EBB-ABEB-346DAA5EA2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6" name="AutoShape 3" descr="Story">
          <a:hlinkClick xmlns:r="http://schemas.openxmlformats.org/officeDocument/2006/relationships" r:id="rId4"/>
          <a:extLst>
            <a:ext uri="{FF2B5EF4-FFF2-40B4-BE49-F238E27FC236}">
              <a16:creationId xmlns:a16="http://schemas.microsoft.com/office/drawing/2014/main" id="{4875E9DE-9232-41C0-ABB9-094EEB4E33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17" name="AutoShape 4" descr="Story">
          <a:hlinkClick xmlns:r="http://schemas.openxmlformats.org/officeDocument/2006/relationships" r:id="rId5"/>
          <a:extLst>
            <a:ext uri="{FF2B5EF4-FFF2-40B4-BE49-F238E27FC236}">
              <a16:creationId xmlns:a16="http://schemas.microsoft.com/office/drawing/2014/main" id="{D921BF1D-C35B-491E-9236-DC02868EB7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18" name="AutoShape 5" descr="Story">
          <a:hlinkClick xmlns:r="http://schemas.openxmlformats.org/officeDocument/2006/relationships" r:id="rId6"/>
          <a:extLst>
            <a:ext uri="{FF2B5EF4-FFF2-40B4-BE49-F238E27FC236}">
              <a16:creationId xmlns:a16="http://schemas.microsoft.com/office/drawing/2014/main" id="{3464564B-153C-4F3E-B36C-8615042087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19" name="AutoShape 1" descr="Sub-task">
          <a:hlinkClick xmlns:r="http://schemas.openxmlformats.org/officeDocument/2006/relationships" r:id="rId9"/>
          <a:extLst>
            <a:ext uri="{FF2B5EF4-FFF2-40B4-BE49-F238E27FC236}">
              <a16:creationId xmlns:a16="http://schemas.microsoft.com/office/drawing/2014/main" id="{05BD1728-B3A6-4109-88C9-E24D25E2CB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0" name="AutoShape 2" descr="Sub-task">
          <a:hlinkClick xmlns:r="http://schemas.openxmlformats.org/officeDocument/2006/relationships" r:id="rId10"/>
          <a:extLst>
            <a:ext uri="{FF2B5EF4-FFF2-40B4-BE49-F238E27FC236}">
              <a16:creationId xmlns:a16="http://schemas.microsoft.com/office/drawing/2014/main" id="{6E4966BF-7D78-46DD-9D17-C01E4D57A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21" name="AutoShape 7" descr="Story">
          <a:hlinkClick xmlns:r="http://schemas.openxmlformats.org/officeDocument/2006/relationships" r:id="rId3"/>
          <a:extLst>
            <a:ext uri="{FF2B5EF4-FFF2-40B4-BE49-F238E27FC236}">
              <a16:creationId xmlns:a16="http://schemas.microsoft.com/office/drawing/2014/main" id="{21549C0A-85AC-4FC6-9AED-A548B21B99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2" name="AutoShape 3" descr="Story">
          <a:hlinkClick xmlns:r="http://schemas.openxmlformats.org/officeDocument/2006/relationships" r:id="rId11"/>
          <a:extLst>
            <a:ext uri="{FF2B5EF4-FFF2-40B4-BE49-F238E27FC236}">
              <a16:creationId xmlns:a16="http://schemas.microsoft.com/office/drawing/2014/main" id="{1D18C508-BE83-45F9-BF01-C82FA6A8BB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3" name="AutoShape 12" descr="Story">
          <a:hlinkClick xmlns:r="http://schemas.openxmlformats.org/officeDocument/2006/relationships" r:id="rId12"/>
          <a:extLst>
            <a:ext uri="{FF2B5EF4-FFF2-40B4-BE49-F238E27FC236}">
              <a16:creationId xmlns:a16="http://schemas.microsoft.com/office/drawing/2014/main" id="{C3AFEF57-8193-4B97-94C8-98F9AD5DD3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4" name="AutoShape 1" descr="Story">
          <a:hlinkClick xmlns:r="http://schemas.openxmlformats.org/officeDocument/2006/relationships" r:id="rId13"/>
          <a:extLst>
            <a:ext uri="{FF2B5EF4-FFF2-40B4-BE49-F238E27FC236}">
              <a16:creationId xmlns:a16="http://schemas.microsoft.com/office/drawing/2014/main" id="{95DDC61E-1A79-4782-A4B9-F4EDAEFA33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5" name="AutoShape 1" descr="Story">
          <a:hlinkClick xmlns:r="http://schemas.openxmlformats.org/officeDocument/2006/relationships" r:id="rId13"/>
          <a:extLst>
            <a:ext uri="{FF2B5EF4-FFF2-40B4-BE49-F238E27FC236}">
              <a16:creationId xmlns:a16="http://schemas.microsoft.com/office/drawing/2014/main" id="{AA2977C7-7651-414A-844B-5D9ACE67E8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6" name="AutoShape 3" descr="Story">
          <a:hlinkClick xmlns:r="http://schemas.openxmlformats.org/officeDocument/2006/relationships" r:id="rId4"/>
          <a:extLst>
            <a:ext uri="{FF2B5EF4-FFF2-40B4-BE49-F238E27FC236}">
              <a16:creationId xmlns:a16="http://schemas.microsoft.com/office/drawing/2014/main" id="{45DCBDB9-F556-4D10-9844-4110A3BACB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7" name="AutoShape 4" descr="Story">
          <a:hlinkClick xmlns:r="http://schemas.openxmlformats.org/officeDocument/2006/relationships" r:id="rId5"/>
          <a:extLst>
            <a:ext uri="{FF2B5EF4-FFF2-40B4-BE49-F238E27FC236}">
              <a16:creationId xmlns:a16="http://schemas.microsoft.com/office/drawing/2014/main" id="{AA68AA17-0DA3-4852-8743-0DD1E5B5B5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2928" name="AutoShape 7" descr="Story">
          <a:hlinkClick xmlns:r="http://schemas.openxmlformats.org/officeDocument/2006/relationships" r:id="rId3"/>
          <a:extLst>
            <a:ext uri="{FF2B5EF4-FFF2-40B4-BE49-F238E27FC236}">
              <a16:creationId xmlns:a16="http://schemas.microsoft.com/office/drawing/2014/main" id="{3CA911D6-3215-45B0-A71A-844D248710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29" name="AutoShape 8" descr="Story">
          <a:hlinkClick xmlns:r="http://schemas.openxmlformats.org/officeDocument/2006/relationships" r:id="rId4"/>
          <a:extLst>
            <a:ext uri="{FF2B5EF4-FFF2-40B4-BE49-F238E27FC236}">
              <a16:creationId xmlns:a16="http://schemas.microsoft.com/office/drawing/2014/main" id="{77514C37-E0FF-4994-87D2-A7343C5D47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1273</xdr:row>
      <xdr:rowOff>0</xdr:rowOff>
    </xdr:from>
    <xdr:ext cx="152400" cy="152400"/>
    <xdr:sp macro="" textlink="">
      <xdr:nvSpPr>
        <xdr:cNvPr id="2930" name="AutoShape 8" descr="Story">
          <a:hlinkClick xmlns:r="http://schemas.openxmlformats.org/officeDocument/2006/relationships" r:id="rId4"/>
          <a:extLst>
            <a:ext uri="{FF2B5EF4-FFF2-40B4-BE49-F238E27FC236}">
              <a16:creationId xmlns:a16="http://schemas.microsoft.com/office/drawing/2014/main" id="{A0DA01CF-62BC-4ED1-B97A-3C142131B07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2931" name="AutoShape 10" descr="Story">
          <a:hlinkClick xmlns:r="http://schemas.openxmlformats.org/officeDocument/2006/relationships" r:id="rId6"/>
          <a:extLst>
            <a:ext uri="{FF2B5EF4-FFF2-40B4-BE49-F238E27FC236}">
              <a16:creationId xmlns:a16="http://schemas.microsoft.com/office/drawing/2014/main" id="{617D5ABF-6C8D-468C-B36C-932A0B1E9E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2932" name="AutoShape 14" descr="Story">
          <a:hlinkClick xmlns:r="http://schemas.openxmlformats.org/officeDocument/2006/relationships" r:id="rId4"/>
          <a:extLst>
            <a:ext uri="{FF2B5EF4-FFF2-40B4-BE49-F238E27FC236}">
              <a16:creationId xmlns:a16="http://schemas.microsoft.com/office/drawing/2014/main" id="{4A0FCD2C-8CCE-42E1-A722-BCCCB67056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2933" name="AutoShape 10" descr="Story">
          <a:hlinkClick xmlns:r="http://schemas.openxmlformats.org/officeDocument/2006/relationships" r:id="rId6"/>
          <a:extLst>
            <a:ext uri="{FF2B5EF4-FFF2-40B4-BE49-F238E27FC236}">
              <a16:creationId xmlns:a16="http://schemas.microsoft.com/office/drawing/2014/main" id="{DA0038CD-9543-4DDB-8497-81270EDE6D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2934" name="AutoShape 14" descr="Story">
          <a:hlinkClick xmlns:r="http://schemas.openxmlformats.org/officeDocument/2006/relationships" r:id="rId4"/>
          <a:extLst>
            <a:ext uri="{FF2B5EF4-FFF2-40B4-BE49-F238E27FC236}">
              <a16:creationId xmlns:a16="http://schemas.microsoft.com/office/drawing/2014/main" id="{BA35AECD-9A3D-49C5-A4DA-3176AD5CB4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35" name="AutoShape 4" descr="Bug">
          <a:hlinkClick xmlns:r="http://schemas.openxmlformats.org/officeDocument/2006/relationships" r:id="rId1"/>
          <a:extLst>
            <a:ext uri="{FF2B5EF4-FFF2-40B4-BE49-F238E27FC236}">
              <a16:creationId xmlns:a16="http://schemas.microsoft.com/office/drawing/2014/main" id="{E7DD8452-96D6-4851-BF52-077B825C4E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36" name="AutoShape 6" descr="Bug">
          <a:hlinkClick xmlns:r="http://schemas.openxmlformats.org/officeDocument/2006/relationships" r:id="rId2"/>
          <a:extLst>
            <a:ext uri="{FF2B5EF4-FFF2-40B4-BE49-F238E27FC236}">
              <a16:creationId xmlns:a16="http://schemas.microsoft.com/office/drawing/2014/main" id="{E5E787C0-9FA3-422B-8BCB-633E56B4F0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37" name="AutoShape 7" descr="Story">
          <a:hlinkClick xmlns:r="http://schemas.openxmlformats.org/officeDocument/2006/relationships" r:id="rId3"/>
          <a:extLst>
            <a:ext uri="{FF2B5EF4-FFF2-40B4-BE49-F238E27FC236}">
              <a16:creationId xmlns:a16="http://schemas.microsoft.com/office/drawing/2014/main" id="{35975AF0-22DB-438F-8F19-CCB785D824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38" name="AutoShape 8" descr="Story">
          <a:hlinkClick xmlns:r="http://schemas.openxmlformats.org/officeDocument/2006/relationships" r:id="rId4"/>
          <a:extLst>
            <a:ext uri="{FF2B5EF4-FFF2-40B4-BE49-F238E27FC236}">
              <a16:creationId xmlns:a16="http://schemas.microsoft.com/office/drawing/2014/main" id="{F588CACD-4297-4630-B37B-5DDE03A00A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39" name="AutoShape 9" descr="Story">
          <a:hlinkClick xmlns:r="http://schemas.openxmlformats.org/officeDocument/2006/relationships" r:id="rId5"/>
          <a:extLst>
            <a:ext uri="{FF2B5EF4-FFF2-40B4-BE49-F238E27FC236}">
              <a16:creationId xmlns:a16="http://schemas.microsoft.com/office/drawing/2014/main" id="{FFC11CD9-AF12-4E01-8044-DD758E6CA9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40" name="AutoShape 13" descr="Story">
          <a:hlinkClick xmlns:r="http://schemas.openxmlformats.org/officeDocument/2006/relationships" r:id="rId4"/>
          <a:extLst>
            <a:ext uri="{FF2B5EF4-FFF2-40B4-BE49-F238E27FC236}">
              <a16:creationId xmlns:a16="http://schemas.microsoft.com/office/drawing/2014/main" id="{BDEA68BA-46D7-447C-B58A-3955893A5C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1279</xdr:row>
      <xdr:rowOff>0</xdr:rowOff>
    </xdr:from>
    <xdr:ext cx="152400" cy="152400"/>
    <xdr:sp macro="" textlink="">
      <xdr:nvSpPr>
        <xdr:cNvPr id="2941" name="AutoShape 1" descr="Story">
          <a:hlinkClick xmlns:r="http://schemas.openxmlformats.org/officeDocument/2006/relationships" r:id="rId7"/>
          <a:extLst>
            <a:ext uri="{FF2B5EF4-FFF2-40B4-BE49-F238E27FC236}">
              <a16:creationId xmlns:a16="http://schemas.microsoft.com/office/drawing/2014/main" id="{629CEEAB-CF7D-4D30-A062-5F0699A020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2" name="AutoShape 2" descr="Story">
          <a:hlinkClick xmlns:r="http://schemas.openxmlformats.org/officeDocument/2006/relationships" r:id="rId8"/>
          <a:extLst>
            <a:ext uri="{FF2B5EF4-FFF2-40B4-BE49-F238E27FC236}">
              <a16:creationId xmlns:a16="http://schemas.microsoft.com/office/drawing/2014/main" id="{9381A45D-2181-4725-AFC1-FD74E63B5A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3" name="AutoShape 5" descr="Story">
          <a:hlinkClick xmlns:r="http://schemas.openxmlformats.org/officeDocument/2006/relationships" r:id="rId6"/>
          <a:extLst>
            <a:ext uri="{FF2B5EF4-FFF2-40B4-BE49-F238E27FC236}">
              <a16:creationId xmlns:a16="http://schemas.microsoft.com/office/drawing/2014/main" id="{24E47A74-3CCF-4FB2-9992-7A174A4EBC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4" name="AutoShape 1" descr="Sub-task">
          <a:hlinkClick xmlns:r="http://schemas.openxmlformats.org/officeDocument/2006/relationships" r:id="rId9"/>
          <a:extLst>
            <a:ext uri="{FF2B5EF4-FFF2-40B4-BE49-F238E27FC236}">
              <a16:creationId xmlns:a16="http://schemas.microsoft.com/office/drawing/2014/main" id="{77B182D0-5B17-42DC-83E9-87874DD019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5" name="AutoShape 2" descr="Sub-task">
          <a:hlinkClick xmlns:r="http://schemas.openxmlformats.org/officeDocument/2006/relationships" r:id="rId10"/>
          <a:extLst>
            <a:ext uri="{FF2B5EF4-FFF2-40B4-BE49-F238E27FC236}">
              <a16:creationId xmlns:a16="http://schemas.microsoft.com/office/drawing/2014/main" id="{BC8B0DD5-42E3-46DC-A0D8-5277279250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6" name="AutoShape 3" descr="Story">
          <a:hlinkClick xmlns:r="http://schemas.openxmlformats.org/officeDocument/2006/relationships" r:id="rId11"/>
          <a:extLst>
            <a:ext uri="{FF2B5EF4-FFF2-40B4-BE49-F238E27FC236}">
              <a16:creationId xmlns:a16="http://schemas.microsoft.com/office/drawing/2014/main" id="{AC3406C0-1651-41A0-97E1-8B45DA1D25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7" name="AutoShape 12" descr="Story">
          <a:hlinkClick xmlns:r="http://schemas.openxmlformats.org/officeDocument/2006/relationships" r:id="rId12"/>
          <a:extLst>
            <a:ext uri="{FF2B5EF4-FFF2-40B4-BE49-F238E27FC236}">
              <a16:creationId xmlns:a16="http://schemas.microsoft.com/office/drawing/2014/main" id="{3A2795A3-A3FB-4E6F-BA60-7F3709724B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8" name="AutoShape 1" descr="Story">
          <a:hlinkClick xmlns:r="http://schemas.openxmlformats.org/officeDocument/2006/relationships" r:id="rId13"/>
          <a:extLst>
            <a:ext uri="{FF2B5EF4-FFF2-40B4-BE49-F238E27FC236}">
              <a16:creationId xmlns:a16="http://schemas.microsoft.com/office/drawing/2014/main" id="{CF2E69CA-D971-4F19-8C1C-44AA048243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49" name="AutoShape 1" descr="Story">
          <a:hlinkClick xmlns:r="http://schemas.openxmlformats.org/officeDocument/2006/relationships" r:id="rId13"/>
          <a:extLst>
            <a:ext uri="{FF2B5EF4-FFF2-40B4-BE49-F238E27FC236}">
              <a16:creationId xmlns:a16="http://schemas.microsoft.com/office/drawing/2014/main" id="{F028F899-A86E-4329-AE6D-94E1184303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0" name="AutoShape 3" descr="Story">
          <a:hlinkClick xmlns:r="http://schemas.openxmlformats.org/officeDocument/2006/relationships" r:id="rId4"/>
          <a:extLst>
            <a:ext uri="{FF2B5EF4-FFF2-40B4-BE49-F238E27FC236}">
              <a16:creationId xmlns:a16="http://schemas.microsoft.com/office/drawing/2014/main" id="{CE65CF41-EA93-4B8A-8937-6E08F640F4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1" name="AutoShape 4" descr="Story">
          <a:hlinkClick xmlns:r="http://schemas.openxmlformats.org/officeDocument/2006/relationships" r:id="rId5"/>
          <a:extLst>
            <a:ext uri="{FF2B5EF4-FFF2-40B4-BE49-F238E27FC236}">
              <a16:creationId xmlns:a16="http://schemas.microsoft.com/office/drawing/2014/main" id="{346258C3-16C8-49EA-ABA6-0551B56889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2" name="AutoShape 3" descr="Story">
          <a:hlinkClick xmlns:r="http://schemas.openxmlformats.org/officeDocument/2006/relationships" r:id="rId4"/>
          <a:extLst>
            <a:ext uri="{FF2B5EF4-FFF2-40B4-BE49-F238E27FC236}">
              <a16:creationId xmlns:a16="http://schemas.microsoft.com/office/drawing/2014/main" id="{D16D7BBE-E9B7-410F-B32B-A6B5D627EA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3" name="AutoShape 4" descr="Story">
          <a:hlinkClick xmlns:r="http://schemas.openxmlformats.org/officeDocument/2006/relationships" r:id="rId5"/>
          <a:extLst>
            <a:ext uri="{FF2B5EF4-FFF2-40B4-BE49-F238E27FC236}">
              <a16:creationId xmlns:a16="http://schemas.microsoft.com/office/drawing/2014/main" id="{58FB5106-8E24-4CB1-85FA-F0C97E96EA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4" name="AutoShape 7" descr="Story">
          <a:hlinkClick xmlns:r="http://schemas.openxmlformats.org/officeDocument/2006/relationships" r:id="rId3"/>
          <a:extLst>
            <a:ext uri="{FF2B5EF4-FFF2-40B4-BE49-F238E27FC236}">
              <a16:creationId xmlns:a16="http://schemas.microsoft.com/office/drawing/2014/main" id="{F06776C3-A137-4092-AED1-3029E53DD4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5" name="AutoShape 8" descr="Story">
          <a:hlinkClick xmlns:r="http://schemas.openxmlformats.org/officeDocument/2006/relationships" r:id="rId4"/>
          <a:extLst>
            <a:ext uri="{FF2B5EF4-FFF2-40B4-BE49-F238E27FC236}">
              <a16:creationId xmlns:a16="http://schemas.microsoft.com/office/drawing/2014/main" id="{67548C7F-D058-4883-B169-4CF97BC01F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56" name="AutoShape 8" descr="Story">
          <a:hlinkClick xmlns:r="http://schemas.openxmlformats.org/officeDocument/2006/relationships" r:id="rId4"/>
          <a:extLst>
            <a:ext uri="{FF2B5EF4-FFF2-40B4-BE49-F238E27FC236}">
              <a16:creationId xmlns:a16="http://schemas.microsoft.com/office/drawing/2014/main" id="{3AD350D6-854B-44E3-A849-0B3B31E179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1279</xdr:row>
      <xdr:rowOff>0</xdr:rowOff>
    </xdr:from>
    <xdr:to>
      <xdr:col>0</xdr:col>
      <xdr:colOff>152400</xdr:colOff>
      <xdr:row>1279</xdr:row>
      <xdr:rowOff>152400</xdr:rowOff>
    </xdr:to>
    <xdr:sp macro="" textlink="">
      <xdr:nvSpPr>
        <xdr:cNvPr id="2957" name="AutoShape 4" descr="Bug">
          <a:hlinkClick xmlns:r="http://schemas.openxmlformats.org/officeDocument/2006/relationships" r:id="rId1"/>
          <a:extLst>
            <a:ext uri="{FF2B5EF4-FFF2-40B4-BE49-F238E27FC236}">
              <a16:creationId xmlns:a16="http://schemas.microsoft.com/office/drawing/2014/main" id="{BCBB51B1-2964-4B5E-A5DA-A4FE17127A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58" name="AutoShape 6" descr="Bug">
          <a:hlinkClick xmlns:r="http://schemas.openxmlformats.org/officeDocument/2006/relationships" r:id="rId2"/>
          <a:extLst>
            <a:ext uri="{FF2B5EF4-FFF2-40B4-BE49-F238E27FC236}">
              <a16:creationId xmlns:a16="http://schemas.microsoft.com/office/drawing/2014/main" id="{3CE1243A-2F06-4F1D-8CE3-1AA2135A9A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59" name="AutoShape 7" descr="Story">
          <a:hlinkClick xmlns:r="http://schemas.openxmlformats.org/officeDocument/2006/relationships" r:id="rId3"/>
          <a:extLst>
            <a:ext uri="{FF2B5EF4-FFF2-40B4-BE49-F238E27FC236}">
              <a16:creationId xmlns:a16="http://schemas.microsoft.com/office/drawing/2014/main" id="{B8AA94DD-DA3C-4DE9-BE92-86C7529D9F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60" name="AutoShape 8" descr="Story">
          <a:hlinkClick xmlns:r="http://schemas.openxmlformats.org/officeDocument/2006/relationships" r:id="rId4"/>
          <a:extLst>
            <a:ext uri="{FF2B5EF4-FFF2-40B4-BE49-F238E27FC236}">
              <a16:creationId xmlns:a16="http://schemas.microsoft.com/office/drawing/2014/main" id="{BAB84818-5FC7-476B-8423-0904BFC5D1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61" name="AutoShape 9" descr="Story">
          <a:hlinkClick xmlns:r="http://schemas.openxmlformats.org/officeDocument/2006/relationships" r:id="rId5"/>
          <a:extLst>
            <a:ext uri="{FF2B5EF4-FFF2-40B4-BE49-F238E27FC236}">
              <a16:creationId xmlns:a16="http://schemas.microsoft.com/office/drawing/2014/main" id="{673EE01C-BC95-44B6-9D54-817099748E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62" name="AutoShape 13" descr="Story">
          <a:hlinkClick xmlns:r="http://schemas.openxmlformats.org/officeDocument/2006/relationships" r:id="rId4"/>
          <a:extLst>
            <a:ext uri="{FF2B5EF4-FFF2-40B4-BE49-F238E27FC236}">
              <a16:creationId xmlns:a16="http://schemas.microsoft.com/office/drawing/2014/main" id="{C903AA19-3297-4241-9AEA-8280065586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1279</xdr:row>
      <xdr:rowOff>0</xdr:rowOff>
    </xdr:from>
    <xdr:ext cx="152400" cy="152400"/>
    <xdr:sp macro="" textlink="">
      <xdr:nvSpPr>
        <xdr:cNvPr id="2963" name="AutoShape 1" descr="Story">
          <a:hlinkClick xmlns:r="http://schemas.openxmlformats.org/officeDocument/2006/relationships" r:id="rId7"/>
          <a:extLst>
            <a:ext uri="{FF2B5EF4-FFF2-40B4-BE49-F238E27FC236}">
              <a16:creationId xmlns:a16="http://schemas.microsoft.com/office/drawing/2014/main" id="{50926E1A-2F4B-4C16-AB7B-59B60F78DD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4" name="AutoShape 2" descr="Story">
          <a:hlinkClick xmlns:r="http://schemas.openxmlformats.org/officeDocument/2006/relationships" r:id="rId8"/>
          <a:extLst>
            <a:ext uri="{FF2B5EF4-FFF2-40B4-BE49-F238E27FC236}">
              <a16:creationId xmlns:a16="http://schemas.microsoft.com/office/drawing/2014/main" id="{DCF99201-EFF9-46A8-B1CA-69549D79B4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5" name="AutoShape 5" descr="Story">
          <a:hlinkClick xmlns:r="http://schemas.openxmlformats.org/officeDocument/2006/relationships" r:id="rId6"/>
          <a:extLst>
            <a:ext uri="{FF2B5EF4-FFF2-40B4-BE49-F238E27FC236}">
              <a16:creationId xmlns:a16="http://schemas.microsoft.com/office/drawing/2014/main" id="{6BBB4A85-6ECE-4157-9B3F-7E9C10CAF3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6" name="AutoShape 1" descr="Sub-task">
          <a:hlinkClick xmlns:r="http://schemas.openxmlformats.org/officeDocument/2006/relationships" r:id="rId9"/>
          <a:extLst>
            <a:ext uri="{FF2B5EF4-FFF2-40B4-BE49-F238E27FC236}">
              <a16:creationId xmlns:a16="http://schemas.microsoft.com/office/drawing/2014/main" id="{8BB5875B-C3F6-4DD8-B776-5D88B42CD5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7" name="AutoShape 2" descr="Sub-task">
          <a:hlinkClick xmlns:r="http://schemas.openxmlformats.org/officeDocument/2006/relationships" r:id="rId10"/>
          <a:extLst>
            <a:ext uri="{FF2B5EF4-FFF2-40B4-BE49-F238E27FC236}">
              <a16:creationId xmlns:a16="http://schemas.microsoft.com/office/drawing/2014/main" id="{3276BC1F-76D0-4ABA-B94B-D49EB9D914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8" name="AutoShape 3" descr="Story">
          <a:hlinkClick xmlns:r="http://schemas.openxmlformats.org/officeDocument/2006/relationships" r:id="rId11"/>
          <a:extLst>
            <a:ext uri="{FF2B5EF4-FFF2-40B4-BE49-F238E27FC236}">
              <a16:creationId xmlns:a16="http://schemas.microsoft.com/office/drawing/2014/main" id="{D138C397-FDA0-4A20-B7BD-89289C0E28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69" name="AutoShape 12" descr="Story">
          <a:hlinkClick xmlns:r="http://schemas.openxmlformats.org/officeDocument/2006/relationships" r:id="rId12"/>
          <a:extLst>
            <a:ext uri="{FF2B5EF4-FFF2-40B4-BE49-F238E27FC236}">
              <a16:creationId xmlns:a16="http://schemas.microsoft.com/office/drawing/2014/main" id="{A9F3CA10-2C65-4BD9-A2E8-6A386AD7CD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0" name="AutoShape 1" descr="Story">
          <a:hlinkClick xmlns:r="http://schemas.openxmlformats.org/officeDocument/2006/relationships" r:id="rId13"/>
          <a:extLst>
            <a:ext uri="{FF2B5EF4-FFF2-40B4-BE49-F238E27FC236}">
              <a16:creationId xmlns:a16="http://schemas.microsoft.com/office/drawing/2014/main" id="{8C34DBF1-6221-4F8B-A654-C77C6010D9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1" name="AutoShape 1" descr="Story">
          <a:hlinkClick xmlns:r="http://schemas.openxmlformats.org/officeDocument/2006/relationships" r:id="rId13"/>
          <a:extLst>
            <a:ext uri="{FF2B5EF4-FFF2-40B4-BE49-F238E27FC236}">
              <a16:creationId xmlns:a16="http://schemas.microsoft.com/office/drawing/2014/main" id="{5ECC5754-FCD1-4123-8ED6-DD7D5B87B4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2" name="AutoShape 3" descr="Story">
          <a:hlinkClick xmlns:r="http://schemas.openxmlformats.org/officeDocument/2006/relationships" r:id="rId4"/>
          <a:extLst>
            <a:ext uri="{FF2B5EF4-FFF2-40B4-BE49-F238E27FC236}">
              <a16:creationId xmlns:a16="http://schemas.microsoft.com/office/drawing/2014/main" id="{64D504B2-926E-40BF-9C60-F27D974DDE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3" name="AutoShape 4" descr="Story">
          <a:hlinkClick xmlns:r="http://schemas.openxmlformats.org/officeDocument/2006/relationships" r:id="rId5"/>
          <a:extLst>
            <a:ext uri="{FF2B5EF4-FFF2-40B4-BE49-F238E27FC236}">
              <a16:creationId xmlns:a16="http://schemas.microsoft.com/office/drawing/2014/main" id="{903F1FB7-9BCE-4402-93E7-83089370E7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4" name="AutoShape 3" descr="Story">
          <a:hlinkClick xmlns:r="http://schemas.openxmlformats.org/officeDocument/2006/relationships" r:id="rId4"/>
          <a:extLst>
            <a:ext uri="{FF2B5EF4-FFF2-40B4-BE49-F238E27FC236}">
              <a16:creationId xmlns:a16="http://schemas.microsoft.com/office/drawing/2014/main" id="{F45C407D-2BA3-4C48-BE98-F3C09FF45E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5" name="AutoShape 4" descr="Story">
          <a:hlinkClick xmlns:r="http://schemas.openxmlformats.org/officeDocument/2006/relationships" r:id="rId5"/>
          <a:extLst>
            <a:ext uri="{FF2B5EF4-FFF2-40B4-BE49-F238E27FC236}">
              <a16:creationId xmlns:a16="http://schemas.microsoft.com/office/drawing/2014/main" id="{C52BB302-8DA5-421B-AF12-9D85E49BA3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6" name="AutoShape 7" descr="Story">
          <a:hlinkClick xmlns:r="http://schemas.openxmlformats.org/officeDocument/2006/relationships" r:id="rId3"/>
          <a:extLst>
            <a:ext uri="{FF2B5EF4-FFF2-40B4-BE49-F238E27FC236}">
              <a16:creationId xmlns:a16="http://schemas.microsoft.com/office/drawing/2014/main" id="{9D7D7EB4-9F3B-4749-8555-8A6936EA68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7" name="AutoShape 8" descr="Story">
          <a:hlinkClick xmlns:r="http://schemas.openxmlformats.org/officeDocument/2006/relationships" r:id="rId4"/>
          <a:extLst>
            <a:ext uri="{FF2B5EF4-FFF2-40B4-BE49-F238E27FC236}">
              <a16:creationId xmlns:a16="http://schemas.microsoft.com/office/drawing/2014/main" id="{E06E145D-426F-431F-8962-3D3C5E3F9E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78" name="AutoShape 8" descr="Story">
          <a:hlinkClick xmlns:r="http://schemas.openxmlformats.org/officeDocument/2006/relationships" r:id="rId4"/>
          <a:extLst>
            <a:ext uri="{FF2B5EF4-FFF2-40B4-BE49-F238E27FC236}">
              <a16:creationId xmlns:a16="http://schemas.microsoft.com/office/drawing/2014/main" id="{ADDDCC6A-38DD-4EC2-ACB4-82AD60E3C8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1279</xdr:row>
      <xdr:rowOff>0</xdr:rowOff>
    </xdr:from>
    <xdr:to>
      <xdr:col>0</xdr:col>
      <xdr:colOff>152400</xdr:colOff>
      <xdr:row>1279</xdr:row>
      <xdr:rowOff>152400</xdr:rowOff>
    </xdr:to>
    <xdr:sp macro="" textlink="">
      <xdr:nvSpPr>
        <xdr:cNvPr id="2979" name="AutoShape 4" descr="Bug">
          <a:hlinkClick xmlns:r="http://schemas.openxmlformats.org/officeDocument/2006/relationships" r:id="rId1"/>
          <a:extLst>
            <a:ext uri="{FF2B5EF4-FFF2-40B4-BE49-F238E27FC236}">
              <a16:creationId xmlns:a16="http://schemas.microsoft.com/office/drawing/2014/main" id="{F5877EEE-DDB4-4D55-987B-2C12104AFE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80" name="AutoShape 6" descr="Bug">
          <a:hlinkClick xmlns:r="http://schemas.openxmlformats.org/officeDocument/2006/relationships" r:id="rId2"/>
          <a:extLst>
            <a:ext uri="{FF2B5EF4-FFF2-40B4-BE49-F238E27FC236}">
              <a16:creationId xmlns:a16="http://schemas.microsoft.com/office/drawing/2014/main" id="{C9EE3E9A-4741-4561-9829-E7B486C2DC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81" name="AutoShape 7" descr="Story">
          <a:hlinkClick xmlns:r="http://schemas.openxmlformats.org/officeDocument/2006/relationships" r:id="rId3"/>
          <a:extLst>
            <a:ext uri="{FF2B5EF4-FFF2-40B4-BE49-F238E27FC236}">
              <a16:creationId xmlns:a16="http://schemas.microsoft.com/office/drawing/2014/main" id="{F221B9CC-6ACF-4250-8D69-DB58762F9C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82" name="AutoShape 8" descr="Story">
          <a:hlinkClick xmlns:r="http://schemas.openxmlformats.org/officeDocument/2006/relationships" r:id="rId4"/>
          <a:extLst>
            <a:ext uri="{FF2B5EF4-FFF2-40B4-BE49-F238E27FC236}">
              <a16:creationId xmlns:a16="http://schemas.microsoft.com/office/drawing/2014/main" id="{8A15FC44-78CF-4ED0-A9C5-845AFD7FEE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83" name="AutoShape 9" descr="Story">
          <a:hlinkClick xmlns:r="http://schemas.openxmlformats.org/officeDocument/2006/relationships" r:id="rId5"/>
          <a:extLst>
            <a:ext uri="{FF2B5EF4-FFF2-40B4-BE49-F238E27FC236}">
              <a16:creationId xmlns:a16="http://schemas.microsoft.com/office/drawing/2014/main" id="{6A45C6A0-8EA8-4F1A-80F2-13B37C6889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2984" name="AutoShape 13" descr="Story">
          <a:hlinkClick xmlns:r="http://schemas.openxmlformats.org/officeDocument/2006/relationships" r:id="rId4"/>
          <a:extLst>
            <a:ext uri="{FF2B5EF4-FFF2-40B4-BE49-F238E27FC236}">
              <a16:creationId xmlns:a16="http://schemas.microsoft.com/office/drawing/2014/main" id="{3B49050D-FC19-4448-8403-0353F0BE73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1279</xdr:row>
      <xdr:rowOff>0</xdr:rowOff>
    </xdr:from>
    <xdr:ext cx="152400" cy="152400"/>
    <xdr:sp macro="" textlink="">
      <xdr:nvSpPr>
        <xdr:cNvPr id="2985" name="AutoShape 1" descr="Story">
          <a:hlinkClick xmlns:r="http://schemas.openxmlformats.org/officeDocument/2006/relationships" r:id="rId7"/>
          <a:extLst>
            <a:ext uri="{FF2B5EF4-FFF2-40B4-BE49-F238E27FC236}">
              <a16:creationId xmlns:a16="http://schemas.microsoft.com/office/drawing/2014/main" id="{29E2C7E9-E715-46A2-ADE4-717AC625EE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86" name="AutoShape 2" descr="Story">
          <a:hlinkClick xmlns:r="http://schemas.openxmlformats.org/officeDocument/2006/relationships" r:id="rId8"/>
          <a:extLst>
            <a:ext uri="{FF2B5EF4-FFF2-40B4-BE49-F238E27FC236}">
              <a16:creationId xmlns:a16="http://schemas.microsoft.com/office/drawing/2014/main" id="{97A44E25-B208-4D4B-BBE0-6DB8065CDF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87" name="AutoShape 5" descr="Story">
          <a:hlinkClick xmlns:r="http://schemas.openxmlformats.org/officeDocument/2006/relationships" r:id="rId6"/>
          <a:extLst>
            <a:ext uri="{FF2B5EF4-FFF2-40B4-BE49-F238E27FC236}">
              <a16:creationId xmlns:a16="http://schemas.microsoft.com/office/drawing/2014/main" id="{6844999C-A446-435E-A796-D5EE9EBD27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88" name="AutoShape 1" descr="Sub-task">
          <a:hlinkClick xmlns:r="http://schemas.openxmlformats.org/officeDocument/2006/relationships" r:id="rId9"/>
          <a:extLst>
            <a:ext uri="{FF2B5EF4-FFF2-40B4-BE49-F238E27FC236}">
              <a16:creationId xmlns:a16="http://schemas.microsoft.com/office/drawing/2014/main" id="{D19C874E-26D3-4EAE-AD59-958508A32C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89" name="AutoShape 2" descr="Sub-task">
          <a:hlinkClick xmlns:r="http://schemas.openxmlformats.org/officeDocument/2006/relationships" r:id="rId10"/>
          <a:extLst>
            <a:ext uri="{FF2B5EF4-FFF2-40B4-BE49-F238E27FC236}">
              <a16:creationId xmlns:a16="http://schemas.microsoft.com/office/drawing/2014/main" id="{AAA1302B-D61C-4738-A499-B68E8AD926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0" name="AutoShape 3" descr="Story">
          <a:hlinkClick xmlns:r="http://schemas.openxmlformats.org/officeDocument/2006/relationships" r:id="rId11"/>
          <a:extLst>
            <a:ext uri="{FF2B5EF4-FFF2-40B4-BE49-F238E27FC236}">
              <a16:creationId xmlns:a16="http://schemas.microsoft.com/office/drawing/2014/main" id="{9C856B54-19FF-4F28-B1C6-486E39DCC1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1" name="AutoShape 12" descr="Story">
          <a:hlinkClick xmlns:r="http://schemas.openxmlformats.org/officeDocument/2006/relationships" r:id="rId12"/>
          <a:extLst>
            <a:ext uri="{FF2B5EF4-FFF2-40B4-BE49-F238E27FC236}">
              <a16:creationId xmlns:a16="http://schemas.microsoft.com/office/drawing/2014/main" id="{C88A292E-785C-4421-A741-5AD4C7CDCF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2" name="AutoShape 1" descr="Story">
          <a:hlinkClick xmlns:r="http://schemas.openxmlformats.org/officeDocument/2006/relationships" r:id="rId13"/>
          <a:extLst>
            <a:ext uri="{FF2B5EF4-FFF2-40B4-BE49-F238E27FC236}">
              <a16:creationId xmlns:a16="http://schemas.microsoft.com/office/drawing/2014/main" id="{6E7D2096-9187-4129-8FFB-739C4BC2AC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3" name="AutoShape 1" descr="Story">
          <a:hlinkClick xmlns:r="http://schemas.openxmlformats.org/officeDocument/2006/relationships" r:id="rId13"/>
          <a:extLst>
            <a:ext uri="{FF2B5EF4-FFF2-40B4-BE49-F238E27FC236}">
              <a16:creationId xmlns:a16="http://schemas.microsoft.com/office/drawing/2014/main" id="{A659CBF0-7981-4193-81B3-1F0D5A2411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4" name="AutoShape 3" descr="Story">
          <a:hlinkClick xmlns:r="http://schemas.openxmlformats.org/officeDocument/2006/relationships" r:id="rId4"/>
          <a:extLst>
            <a:ext uri="{FF2B5EF4-FFF2-40B4-BE49-F238E27FC236}">
              <a16:creationId xmlns:a16="http://schemas.microsoft.com/office/drawing/2014/main" id="{A1514BC8-9D81-4F8A-BA96-30DBF56664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5" name="AutoShape 4" descr="Story">
          <a:hlinkClick xmlns:r="http://schemas.openxmlformats.org/officeDocument/2006/relationships" r:id="rId5"/>
          <a:extLst>
            <a:ext uri="{FF2B5EF4-FFF2-40B4-BE49-F238E27FC236}">
              <a16:creationId xmlns:a16="http://schemas.microsoft.com/office/drawing/2014/main" id="{53A60504-85A9-4F73-960E-F9D311A393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6" name="AutoShape 3" descr="Story">
          <a:hlinkClick xmlns:r="http://schemas.openxmlformats.org/officeDocument/2006/relationships" r:id="rId4"/>
          <a:extLst>
            <a:ext uri="{FF2B5EF4-FFF2-40B4-BE49-F238E27FC236}">
              <a16:creationId xmlns:a16="http://schemas.microsoft.com/office/drawing/2014/main" id="{7AB6A837-109F-4212-8F46-E9ABD8221D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7" name="AutoShape 4" descr="Story">
          <a:hlinkClick xmlns:r="http://schemas.openxmlformats.org/officeDocument/2006/relationships" r:id="rId5"/>
          <a:extLst>
            <a:ext uri="{FF2B5EF4-FFF2-40B4-BE49-F238E27FC236}">
              <a16:creationId xmlns:a16="http://schemas.microsoft.com/office/drawing/2014/main" id="{D5ACC191-2165-4319-91BE-B7EF7B799E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8" name="AutoShape 7" descr="Story">
          <a:hlinkClick xmlns:r="http://schemas.openxmlformats.org/officeDocument/2006/relationships" r:id="rId3"/>
          <a:extLst>
            <a:ext uri="{FF2B5EF4-FFF2-40B4-BE49-F238E27FC236}">
              <a16:creationId xmlns:a16="http://schemas.microsoft.com/office/drawing/2014/main" id="{C7A76027-85D1-4C1A-B75F-E39A9304BA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2999" name="AutoShape 8" descr="Story">
          <a:hlinkClick xmlns:r="http://schemas.openxmlformats.org/officeDocument/2006/relationships" r:id="rId4"/>
          <a:extLst>
            <a:ext uri="{FF2B5EF4-FFF2-40B4-BE49-F238E27FC236}">
              <a16:creationId xmlns:a16="http://schemas.microsoft.com/office/drawing/2014/main" id="{71E0EDEE-7A04-4934-B90C-386B7EF991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00" name="AutoShape 8" descr="Story">
          <a:hlinkClick xmlns:r="http://schemas.openxmlformats.org/officeDocument/2006/relationships" r:id="rId4"/>
          <a:extLst>
            <a:ext uri="{FF2B5EF4-FFF2-40B4-BE49-F238E27FC236}">
              <a16:creationId xmlns:a16="http://schemas.microsoft.com/office/drawing/2014/main" id="{F454B3A5-ACDF-47DA-A3B6-D96A694F1A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1279</xdr:row>
      <xdr:rowOff>0</xdr:rowOff>
    </xdr:from>
    <xdr:to>
      <xdr:col>0</xdr:col>
      <xdr:colOff>152400</xdr:colOff>
      <xdr:row>1279</xdr:row>
      <xdr:rowOff>152400</xdr:rowOff>
    </xdr:to>
    <xdr:sp macro="" textlink="">
      <xdr:nvSpPr>
        <xdr:cNvPr id="3001" name="AutoShape 4" descr="Bug">
          <a:hlinkClick xmlns:r="http://schemas.openxmlformats.org/officeDocument/2006/relationships" r:id="rId1"/>
          <a:extLst>
            <a:ext uri="{FF2B5EF4-FFF2-40B4-BE49-F238E27FC236}">
              <a16:creationId xmlns:a16="http://schemas.microsoft.com/office/drawing/2014/main" id="{AA319168-212F-4366-8280-7BA274FC48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002" name="AutoShape 6" descr="Bug">
          <a:hlinkClick xmlns:r="http://schemas.openxmlformats.org/officeDocument/2006/relationships" r:id="rId2"/>
          <a:extLst>
            <a:ext uri="{FF2B5EF4-FFF2-40B4-BE49-F238E27FC236}">
              <a16:creationId xmlns:a16="http://schemas.microsoft.com/office/drawing/2014/main" id="{83755689-8064-4D25-BD32-45D0D9FD0C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003" name="AutoShape 7" descr="Story">
          <a:hlinkClick xmlns:r="http://schemas.openxmlformats.org/officeDocument/2006/relationships" r:id="rId3"/>
          <a:extLst>
            <a:ext uri="{FF2B5EF4-FFF2-40B4-BE49-F238E27FC236}">
              <a16:creationId xmlns:a16="http://schemas.microsoft.com/office/drawing/2014/main" id="{9943EDC4-BD8E-4A0C-893A-E14965D62C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004" name="AutoShape 8" descr="Story">
          <a:hlinkClick xmlns:r="http://schemas.openxmlformats.org/officeDocument/2006/relationships" r:id="rId4"/>
          <a:extLst>
            <a:ext uri="{FF2B5EF4-FFF2-40B4-BE49-F238E27FC236}">
              <a16:creationId xmlns:a16="http://schemas.microsoft.com/office/drawing/2014/main" id="{EF0D1615-91A5-4E30-9BAF-5687A187F6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005" name="AutoShape 9" descr="Story">
          <a:hlinkClick xmlns:r="http://schemas.openxmlformats.org/officeDocument/2006/relationships" r:id="rId5"/>
          <a:extLst>
            <a:ext uri="{FF2B5EF4-FFF2-40B4-BE49-F238E27FC236}">
              <a16:creationId xmlns:a16="http://schemas.microsoft.com/office/drawing/2014/main" id="{CDB2CBAC-9A16-4AB3-8467-E5C2B0E904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006" name="AutoShape 13" descr="Story">
          <a:hlinkClick xmlns:r="http://schemas.openxmlformats.org/officeDocument/2006/relationships" r:id="rId4"/>
          <a:extLst>
            <a:ext uri="{FF2B5EF4-FFF2-40B4-BE49-F238E27FC236}">
              <a16:creationId xmlns:a16="http://schemas.microsoft.com/office/drawing/2014/main" id="{57438F0F-1431-4919-ADCD-8C23B0263C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1279</xdr:row>
      <xdr:rowOff>0</xdr:rowOff>
    </xdr:from>
    <xdr:ext cx="152400" cy="152400"/>
    <xdr:sp macro="" textlink="">
      <xdr:nvSpPr>
        <xdr:cNvPr id="3007" name="AutoShape 1" descr="Story">
          <a:hlinkClick xmlns:r="http://schemas.openxmlformats.org/officeDocument/2006/relationships" r:id="rId7"/>
          <a:extLst>
            <a:ext uri="{FF2B5EF4-FFF2-40B4-BE49-F238E27FC236}">
              <a16:creationId xmlns:a16="http://schemas.microsoft.com/office/drawing/2014/main" id="{89E2C1D2-29AD-4676-9870-C6FB19A816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08" name="AutoShape 2" descr="Story">
          <a:hlinkClick xmlns:r="http://schemas.openxmlformats.org/officeDocument/2006/relationships" r:id="rId8"/>
          <a:extLst>
            <a:ext uri="{FF2B5EF4-FFF2-40B4-BE49-F238E27FC236}">
              <a16:creationId xmlns:a16="http://schemas.microsoft.com/office/drawing/2014/main" id="{42BB6B62-AD93-4635-ACEE-C8564F58AD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09" name="AutoShape 5" descr="Story">
          <a:hlinkClick xmlns:r="http://schemas.openxmlformats.org/officeDocument/2006/relationships" r:id="rId6"/>
          <a:extLst>
            <a:ext uri="{FF2B5EF4-FFF2-40B4-BE49-F238E27FC236}">
              <a16:creationId xmlns:a16="http://schemas.microsoft.com/office/drawing/2014/main" id="{3E54E673-FDB7-4965-9EC9-B820DC08CC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0" name="AutoShape 1" descr="Sub-task">
          <a:hlinkClick xmlns:r="http://schemas.openxmlformats.org/officeDocument/2006/relationships" r:id="rId9"/>
          <a:extLst>
            <a:ext uri="{FF2B5EF4-FFF2-40B4-BE49-F238E27FC236}">
              <a16:creationId xmlns:a16="http://schemas.microsoft.com/office/drawing/2014/main" id="{2B5184F3-CB5E-41F0-9075-A264ACFD66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1" name="AutoShape 2" descr="Sub-task">
          <a:hlinkClick xmlns:r="http://schemas.openxmlformats.org/officeDocument/2006/relationships" r:id="rId10"/>
          <a:extLst>
            <a:ext uri="{FF2B5EF4-FFF2-40B4-BE49-F238E27FC236}">
              <a16:creationId xmlns:a16="http://schemas.microsoft.com/office/drawing/2014/main" id="{C2B74F96-2256-411F-8B03-F7C9B6804A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2" name="AutoShape 3" descr="Story">
          <a:hlinkClick xmlns:r="http://schemas.openxmlformats.org/officeDocument/2006/relationships" r:id="rId11"/>
          <a:extLst>
            <a:ext uri="{FF2B5EF4-FFF2-40B4-BE49-F238E27FC236}">
              <a16:creationId xmlns:a16="http://schemas.microsoft.com/office/drawing/2014/main" id="{A0EFBAD7-765C-4989-AFCE-64E90F4875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3" name="AutoShape 12" descr="Story">
          <a:hlinkClick xmlns:r="http://schemas.openxmlformats.org/officeDocument/2006/relationships" r:id="rId12"/>
          <a:extLst>
            <a:ext uri="{FF2B5EF4-FFF2-40B4-BE49-F238E27FC236}">
              <a16:creationId xmlns:a16="http://schemas.microsoft.com/office/drawing/2014/main" id="{AC44AF1E-9E70-4727-B0CF-62159B111C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4" name="AutoShape 1" descr="Story">
          <a:hlinkClick xmlns:r="http://schemas.openxmlformats.org/officeDocument/2006/relationships" r:id="rId13"/>
          <a:extLst>
            <a:ext uri="{FF2B5EF4-FFF2-40B4-BE49-F238E27FC236}">
              <a16:creationId xmlns:a16="http://schemas.microsoft.com/office/drawing/2014/main" id="{FF2ABBD9-6DB0-4FA1-A41C-A048E5EE2F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5" name="AutoShape 1" descr="Story">
          <a:hlinkClick xmlns:r="http://schemas.openxmlformats.org/officeDocument/2006/relationships" r:id="rId13"/>
          <a:extLst>
            <a:ext uri="{FF2B5EF4-FFF2-40B4-BE49-F238E27FC236}">
              <a16:creationId xmlns:a16="http://schemas.microsoft.com/office/drawing/2014/main" id="{066701B6-7457-461A-9E32-9D4911291B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6" name="AutoShape 3" descr="Story">
          <a:hlinkClick xmlns:r="http://schemas.openxmlformats.org/officeDocument/2006/relationships" r:id="rId4"/>
          <a:extLst>
            <a:ext uri="{FF2B5EF4-FFF2-40B4-BE49-F238E27FC236}">
              <a16:creationId xmlns:a16="http://schemas.microsoft.com/office/drawing/2014/main" id="{63F12B6B-5552-4003-B5E2-07528CBED7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7" name="AutoShape 4" descr="Story">
          <a:hlinkClick xmlns:r="http://schemas.openxmlformats.org/officeDocument/2006/relationships" r:id="rId5"/>
          <a:extLst>
            <a:ext uri="{FF2B5EF4-FFF2-40B4-BE49-F238E27FC236}">
              <a16:creationId xmlns:a16="http://schemas.microsoft.com/office/drawing/2014/main" id="{F1F502FF-3738-427F-9E60-5A4D8523A4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8" name="AutoShape 3" descr="Story">
          <a:hlinkClick xmlns:r="http://schemas.openxmlformats.org/officeDocument/2006/relationships" r:id="rId4"/>
          <a:extLst>
            <a:ext uri="{FF2B5EF4-FFF2-40B4-BE49-F238E27FC236}">
              <a16:creationId xmlns:a16="http://schemas.microsoft.com/office/drawing/2014/main" id="{43F95CC6-B30E-4730-BE4C-2753EAB837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19" name="AutoShape 4" descr="Story">
          <a:hlinkClick xmlns:r="http://schemas.openxmlformats.org/officeDocument/2006/relationships" r:id="rId5"/>
          <a:extLst>
            <a:ext uri="{FF2B5EF4-FFF2-40B4-BE49-F238E27FC236}">
              <a16:creationId xmlns:a16="http://schemas.microsoft.com/office/drawing/2014/main" id="{EDC1C15E-8D75-4206-8B89-9A0310FB97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20" name="AutoShape 7" descr="Story">
          <a:hlinkClick xmlns:r="http://schemas.openxmlformats.org/officeDocument/2006/relationships" r:id="rId3"/>
          <a:extLst>
            <a:ext uri="{FF2B5EF4-FFF2-40B4-BE49-F238E27FC236}">
              <a16:creationId xmlns:a16="http://schemas.microsoft.com/office/drawing/2014/main" id="{5FCBC0ED-F19A-43A8-9B96-C6A4E7A7E4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21" name="AutoShape 8" descr="Story">
          <a:hlinkClick xmlns:r="http://schemas.openxmlformats.org/officeDocument/2006/relationships" r:id="rId4"/>
          <a:extLst>
            <a:ext uri="{FF2B5EF4-FFF2-40B4-BE49-F238E27FC236}">
              <a16:creationId xmlns:a16="http://schemas.microsoft.com/office/drawing/2014/main" id="{AED2D4AF-E809-4DA2-99A9-61882A86D8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022" name="AutoShape 8" descr="Story">
          <a:hlinkClick xmlns:r="http://schemas.openxmlformats.org/officeDocument/2006/relationships" r:id="rId4"/>
          <a:extLst>
            <a:ext uri="{FF2B5EF4-FFF2-40B4-BE49-F238E27FC236}">
              <a16:creationId xmlns:a16="http://schemas.microsoft.com/office/drawing/2014/main" id="{5461365D-0824-4FA1-BC81-A1CBCDC4EF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023" name="AutoShape 1" descr="Story">
          <a:hlinkClick xmlns:r="http://schemas.openxmlformats.org/officeDocument/2006/relationships" r:id="rId13"/>
          <a:extLst>
            <a:ext uri="{FF2B5EF4-FFF2-40B4-BE49-F238E27FC236}">
              <a16:creationId xmlns:a16="http://schemas.microsoft.com/office/drawing/2014/main" id="{D71F6BEC-E254-4C3F-B7D3-8294D82B44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4" name="AutoShape 2" descr="Story">
          <a:hlinkClick xmlns:r="http://schemas.openxmlformats.org/officeDocument/2006/relationships" r:id="rId12"/>
          <a:extLst>
            <a:ext uri="{FF2B5EF4-FFF2-40B4-BE49-F238E27FC236}">
              <a16:creationId xmlns:a16="http://schemas.microsoft.com/office/drawing/2014/main" id="{55F04FAA-750D-4A66-8669-78A37E7DD3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5" name="AutoShape 3" descr="Story">
          <a:hlinkClick xmlns:r="http://schemas.openxmlformats.org/officeDocument/2006/relationships" r:id="rId11"/>
          <a:extLst>
            <a:ext uri="{FF2B5EF4-FFF2-40B4-BE49-F238E27FC236}">
              <a16:creationId xmlns:a16="http://schemas.microsoft.com/office/drawing/2014/main" id="{015DED5B-A9F6-4FD0-B3C4-9974569121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6" name="AutoShape 4" descr="Bug">
          <a:hlinkClick xmlns:r="http://schemas.openxmlformats.org/officeDocument/2006/relationships" r:id="rId1"/>
          <a:extLst>
            <a:ext uri="{FF2B5EF4-FFF2-40B4-BE49-F238E27FC236}">
              <a16:creationId xmlns:a16="http://schemas.microsoft.com/office/drawing/2014/main" id="{A0F1DB54-41F8-4B50-A1BE-D927C04630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7" name="AutoShape 5" descr="Story">
          <a:hlinkClick xmlns:r="http://schemas.openxmlformats.org/officeDocument/2006/relationships" r:id="rId14"/>
          <a:extLst>
            <a:ext uri="{FF2B5EF4-FFF2-40B4-BE49-F238E27FC236}">
              <a16:creationId xmlns:a16="http://schemas.microsoft.com/office/drawing/2014/main" id="{EA4ABE68-9AAC-432F-9E82-CD20724DFE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8" name="AutoShape 6" descr="Bug">
          <a:hlinkClick xmlns:r="http://schemas.openxmlformats.org/officeDocument/2006/relationships" r:id="rId2"/>
          <a:extLst>
            <a:ext uri="{FF2B5EF4-FFF2-40B4-BE49-F238E27FC236}">
              <a16:creationId xmlns:a16="http://schemas.microsoft.com/office/drawing/2014/main" id="{0E816DC5-13EC-4519-A326-B91CF03ACC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29" name="AutoShape 7" descr="Story">
          <a:hlinkClick xmlns:r="http://schemas.openxmlformats.org/officeDocument/2006/relationships" r:id="rId3"/>
          <a:extLst>
            <a:ext uri="{FF2B5EF4-FFF2-40B4-BE49-F238E27FC236}">
              <a16:creationId xmlns:a16="http://schemas.microsoft.com/office/drawing/2014/main" id="{D5C3B4F5-62B6-4B4F-B1C3-117A0563C1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0" name="AutoShape 8" descr="Story">
          <a:hlinkClick xmlns:r="http://schemas.openxmlformats.org/officeDocument/2006/relationships" r:id="rId4"/>
          <a:extLst>
            <a:ext uri="{FF2B5EF4-FFF2-40B4-BE49-F238E27FC236}">
              <a16:creationId xmlns:a16="http://schemas.microsoft.com/office/drawing/2014/main" id="{470418DF-1A9B-49DC-9987-B7606C4626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1" name="AutoShape 9" descr="Story">
          <a:hlinkClick xmlns:r="http://schemas.openxmlformats.org/officeDocument/2006/relationships" r:id="rId5"/>
          <a:extLst>
            <a:ext uri="{FF2B5EF4-FFF2-40B4-BE49-F238E27FC236}">
              <a16:creationId xmlns:a16="http://schemas.microsoft.com/office/drawing/2014/main" id="{CE492B79-C5B8-46AA-B29A-2A8160AF4E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2" name="AutoShape 10" descr="Story">
          <a:hlinkClick xmlns:r="http://schemas.openxmlformats.org/officeDocument/2006/relationships" r:id="rId6"/>
          <a:extLst>
            <a:ext uri="{FF2B5EF4-FFF2-40B4-BE49-F238E27FC236}">
              <a16:creationId xmlns:a16="http://schemas.microsoft.com/office/drawing/2014/main" id="{3CA2B665-C372-4C9F-962D-949A6AF00B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3" name="AutoShape 11" descr="Story">
          <a:hlinkClick xmlns:r="http://schemas.openxmlformats.org/officeDocument/2006/relationships" r:id="rId15"/>
          <a:extLst>
            <a:ext uri="{FF2B5EF4-FFF2-40B4-BE49-F238E27FC236}">
              <a16:creationId xmlns:a16="http://schemas.microsoft.com/office/drawing/2014/main" id="{474A5E1E-0416-4396-AFDD-76FD7AA76A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4" name="AutoShape 12" descr="Story">
          <a:hlinkClick xmlns:r="http://schemas.openxmlformats.org/officeDocument/2006/relationships" r:id="rId12"/>
          <a:extLst>
            <a:ext uri="{FF2B5EF4-FFF2-40B4-BE49-F238E27FC236}">
              <a16:creationId xmlns:a16="http://schemas.microsoft.com/office/drawing/2014/main" id="{8E36E448-47A1-43C4-A84A-DB7C1745F9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5" name="AutoShape 13" descr="Story">
          <a:hlinkClick xmlns:r="http://schemas.openxmlformats.org/officeDocument/2006/relationships" r:id="rId4"/>
          <a:extLst>
            <a:ext uri="{FF2B5EF4-FFF2-40B4-BE49-F238E27FC236}">
              <a16:creationId xmlns:a16="http://schemas.microsoft.com/office/drawing/2014/main" id="{3B016DE7-F053-49F9-9C7F-7B1C82F94B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6" name="AutoShape 14" descr="Story">
          <a:hlinkClick xmlns:r="http://schemas.openxmlformats.org/officeDocument/2006/relationships" r:id="rId4"/>
          <a:extLst>
            <a:ext uri="{FF2B5EF4-FFF2-40B4-BE49-F238E27FC236}">
              <a16:creationId xmlns:a16="http://schemas.microsoft.com/office/drawing/2014/main" id="{E065016C-68C8-4916-B2A0-5C6D5E110C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37" name="AutoShape 15" descr="Story">
          <a:hlinkClick xmlns:r="http://schemas.openxmlformats.org/officeDocument/2006/relationships" r:id="rId4"/>
          <a:extLst>
            <a:ext uri="{FF2B5EF4-FFF2-40B4-BE49-F238E27FC236}">
              <a16:creationId xmlns:a16="http://schemas.microsoft.com/office/drawing/2014/main" id="{E149C901-7104-4950-83FC-3813D87933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038" name="AutoShape 1" descr="Story">
          <a:hlinkClick xmlns:r="http://schemas.openxmlformats.org/officeDocument/2006/relationships" r:id="rId7"/>
          <a:extLst>
            <a:ext uri="{FF2B5EF4-FFF2-40B4-BE49-F238E27FC236}">
              <a16:creationId xmlns:a16="http://schemas.microsoft.com/office/drawing/2014/main" id="{0DF9C6DD-0090-48F1-BF91-B0A98B4E55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39" name="AutoShape 2" descr="Story">
          <a:hlinkClick xmlns:r="http://schemas.openxmlformats.org/officeDocument/2006/relationships" r:id="rId8"/>
          <a:extLst>
            <a:ext uri="{FF2B5EF4-FFF2-40B4-BE49-F238E27FC236}">
              <a16:creationId xmlns:a16="http://schemas.microsoft.com/office/drawing/2014/main" id="{6762DBCA-5E9C-45DE-AE6B-C2010A48BA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0" name="AutoShape 5" descr="Story">
          <a:hlinkClick xmlns:r="http://schemas.openxmlformats.org/officeDocument/2006/relationships" r:id="rId6"/>
          <a:extLst>
            <a:ext uri="{FF2B5EF4-FFF2-40B4-BE49-F238E27FC236}">
              <a16:creationId xmlns:a16="http://schemas.microsoft.com/office/drawing/2014/main" id="{9883C764-B92A-4372-B096-09DABC02FA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1" name="AutoShape 1" descr="Sub-task">
          <a:hlinkClick xmlns:r="http://schemas.openxmlformats.org/officeDocument/2006/relationships" r:id="rId9"/>
          <a:extLst>
            <a:ext uri="{FF2B5EF4-FFF2-40B4-BE49-F238E27FC236}">
              <a16:creationId xmlns:a16="http://schemas.microsoft.com/office/drawing/2014/main" id="{EF63A90B-84C3-4DAF-984D-18D9B31FD9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2" name="AutoShape 2" descr="Sub-task">
          <a:hlinkClick xmlns:r="http://schemas.openxmlformats.org/officeDocument/2006/relationships" r:id="rId10"/>
          <a:extLst>
            <a:ext uri="{FF2B5EF4-FFF2-40B4-BE49-F238E27FC236}">
              <a16:creationId xmlns:a16="http://schemas.microsoft.com/office/drawing/2014/main" id="{758DE72C-6EFC-4C47-AD5C-FB455FC71F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3" name="AutoShape 3" descr="Story">
          <a:hlinkClick xmlns:r="http://schemas.openxmlformats.org/officeDocument/2006/relationships" r:id="rId11"/>
          <a:extLst>
            <a:ext uri="{FF2B5EF4-FFF2-40B4-BE49-F238E27FC236}">
              <a16:creationId xmlns:a16="http://schemas.microsoft.com/office/drawing/2014/main" id="{659A3ED6-ACF6-48B0-98D0-555A2103C8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4" name="AutoShape 12" descr="Story">
          <a:hlinkClick xmlns:r="http://schemas.openxmlformats.org/officeDocument/2006/relationships" r:id="rId12"/>
          <a:extLst>
            <a:ext uri="{FF2B5EF4-FFF2-40B4-BE49-F238E27FC236}">
              <a16:creationId xmlns:a16="http://schemas.microsoft.com/office/drawing/2014/main" id="{C5895F96-FD56-4D52-8D8C-C063B9A78A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5" name="AutoShape 1" descr="Story">
          <a:hlinkClick xmlns:r="http://schemas.openxmlformats.org/officeDocument/2006/relationships" r:id="rId13"/>
          <a:extLst>
            <a:ext uri="{FF2B5EF4-FFF2-40B4-BE49-F238E27FC236}">
              <a16:creationId xmlns:a16="http://schemas.microsoft.com/office/drawing/2014/main" id="{1AB36CBA-2BAC-446F-9821-3970333FC1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6" name="AutoShape 1" descr="Story">
          <a:hlinkClick xmlns:r="http://schemas.openxmlformats.org/officeDocument/2006/relationships" r:id="rId13"/>
          <a:extLst>
            <a:ext uri="{FF2B5EF4-FFF2-40B4-BE49-F238E27FC236}">
              <a16:creationId xmlns:a16="http://schemas.microsoft.com/office/drawing/2014/main" id="{53F72194-C50E-4BDB-B375-47CD739EBF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7" name="AutoShape 3" descr="Story">
          <a:hlinkClick xmlns:r="http://schemas.openxmlformats.org/officeDocument/2006/relationships" r:id="rId4"/>
          <a:extLst>
            <a:ext uri="{FF2B5EF4-FFF2-40B4-BE49-F238E27FC236}">
              <a16:creationId xmlns:a16="http://schemas.microsoft.com/office/drawing/2014/main" id="{8B9876D2-1C6C-4693-9B4E-668B5FE182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8" name="AutoShape 4" descr="Story">
          <a:hlinkClick xmlns:r="http://schemas.openxmlformats.org/officeDocument/2006/relationships" r:id="rId5"/>
          <a:extLst>
            <a:ext uri="{FF2B5EF4-FFF2-40B4-BE49-F238E27FC236}">
              <a16:creationId xmlns:a16="http://schemas.microsoft.com/office/drawing/2014/main" id="{EF4B9EC6-2D32-4C45-B8FE-FDE92032D5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49" name="AutoShape 1" descr="Story">
          <a:hlinkClick xmlns:r="http://schemas.openxmlformats.org/officeDocument/2006/relationships" r:id="rId7"/>
          <a:extLst>
            <a:ext uri="{FF2B5EF4-FFF2-40B4-BE49-F238E27FC236}">
              <a16:creationId xmlns:a16="http://schemas.microsoft.com/office/drawing/2014/main" id="{1691EA28-246E-4BEE-BB86-C883A0BB83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0" name="AutoShape 2" descr="Story">
          <a:hlinkClick xmlns:r="http://schemas.openxmlformats.org/officeDocument/2006/relationships" r:id="rId8"/>
          <a:extLst>
            <a:ext uri="{FF2B5EF4-FFF2-40B4-BE49-F238E27FC236}">
              <a16:creationId xmlns:a16="http://schemas.microsoft.com/office/drawing/2014/main" id="{F4782808-0620-4F39-8D67-A03618611C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1" name="AutoShape 3" descr="Story">
          <a:hlinkClick xmlns:r="http://schemas.openxmlformats.org/officeDocument/2006/relationships" r:id="rId4"/>
          <a:extLst>
            <a:ext uri="{FF2B5EF4-FFF2-40B4-BE49-F238E27FC236}">
              <a16:creationId xmlns:a16="http://schemas.microsoft.com/office/drawing/2014/main" id="{12D57104-7D79-4E52-95C3-56A05473F5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2" name="AutoShape 4" descr="Story">
          <a:hlinkClick xmlns:r="http://schemas.openxmlformats.org/officeDocument/2006/relationships" r:id="rId5"/>
          <a:extLst>
            <a:ext uri="{FF2B5EF4-FFF2-40B4-BE49-F238E27FC236}">
              <a16:creationId xmlns:a16="http://schemas.microsoft.com/office/drawing/2014/main" id="{F44CBB4C-9634-4B37-8E29-6A734122D3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3" name="AutoShape 5" descr="Story">
          <a:hlinkClick xmlns:r="http://schemas.openxmlformats.org/officeDocument/2006/relationships" r:id="rId6"/>
          <a:extLst>
            <a:ext uri="{FF2B5EF4-FFF2-40B4-BE49-F238E27FC236}">
              <a16:creationId xmlns:a16="http://schemas.microsoft.com/office/drawing/2014/main" id="{228C35C7-48F6-4A17-8FBD-45EF393216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4" name="AutoShape 1" descr="Sub-task">
          <a:hlinkClick xmlns:r="http://schemas.openxmlformats.org/officeDocument/2006/relationships" r:id="rId9"/>
          <a:extLst>
            <a:ext uri="{FF2B5EF4-FFF2-40B4-BE49-F238E27FC236}">
              <a16:creationId xmlns:a16="http://schemas.microsoft.com/office/drawing/2014/main" id="{E198BC33-DF54-4922-B349-09AC9E8422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5" name="AutoShape 2" descr="Sub-task">
          <a:hlinkClick xmlns:r="http://schemas.openxmlformats.org/officeDocument/2006/relationships" r:id="rId10"/>
          <a:extLst>
            <a:ext uri="{FF2B5EF4-FFF2-40B4-BE49-F238E27FC236}">
              <a16:creationId xmlns:a16="http://schemas.microsoft.com/office/drawing/2014/main" id="{FECC4AE3-DA3C-42C0-B447-5EE7360727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6" name="AutoShape 7" descr="Story">
          <a:hlinkClick xmlns:r="http://schemas.openxmlformats.org/officeDocument/2006/relationships" r:id="rId3"/>
          <a:extLst>
            <a:ext uri="{FF2B5EF4-FFF2-40B4-BE49-F238E27FC236}">
              <a16:creationId xmlns:a16="http://schemas.microsoft.com/office/drawing/2014/main" id="{932C7143-2567-4636-8225-B7BBA9F908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7" name="AutoShape 3" descr="Story">
          <a:hlinkClick xmlns:r="http://schemas.openxmlformats.org/officeDocument/2006/relationships" r:id="rId11"/>
          <a:extLst>
            <a:ext uri="{FF2B5EF4-FFF2-40B4-BE49-F238E27FC236}">
              <a16:creationId xmlns:a16="http://schemas.microsoft.com/office/drawing/2014/main" id="{57578561-6790-4ADA-84EC-EBC61264E5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8" name="AutoShape 12" descr="Story">
          <a:hlinkClick xmlns:r="http://schemas.openxmlformats.org/officeDocument/2006/relationships" r:id="rId12"/>
          <a:extLst>
            <a:ext uri="{FF2B5EF4-FFF2-40B4-BE49-F238E27FC236}">
              <a16:creationId xmlns:a16="http://schemas.microsoft.com/office/drawing/2014/main" id="{162C874A-765F-4AFD-BA49-D659276AF4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59" name="AutoShape 1" descr="Story">
          <a:hlinkClick xmlns:r="http://schemas.openxmlformats.org/officeDocument/2006/relationships" r:id="rId13"/>
          <a:extLst>
            <a:ext uri="{FF2B5EF4-FFF2-40B4-BE49-F238E27FC236}">
              <a16:creationId xmlns:a16="http://schemas.microsoft.com/office/drawing/2014/main" id="{C3116BC4-AA24-4A07-B7C4-27FB4D39B0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0" name="AutoShape 1" descr="Story">
          <a:hlinkClick xmlns:r="http://schemas.openxmlformats.org/officeDocument/2006/relationships" r:id="rId13"/>
          <a:extLst>
            <a:ext uri="{FF2B5EF4-FFF2-40B4-BE49-F238E27FC236}">
              <a16:creationId xmlns:a16="http://schemas.microsoft.com/office/drawing/2014/main" id="{E4665C66-A4B8-4D74-AC47-F16E3E6CC1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1" name="AutoShape 3" descr="Story">
          <a:hlinkClick xmlns:r="http://schemas.openxmlformats.org/officeDocument/2006/relationships" r:id="rId4"/>
          <a:extLst>
            <a:ext uri="{FF2B5EF4-FFF2-40B4-BE49-F238E27FC236}">
              <a16:creationId xmlns:a16="http://schemas.microsoft.com/office/drawing/2014/main" id="{EFEA6837-1846-494E-99C4-7A08756347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2" name="AutoShape 4" descr="Story">
          <a:hlinkClick xmlns:r="http://schemas.openxmlformats.org/officeDocument/2006/relationships" r:id="rId5"/>
          <a:extLst>
            <a:ext uri="{FF2B5EF4-FFF2-40B4-BE49-F238E27FC236}">
              <a16:creationId xmlns:a16="http://schemas.microsoft.com/office/drawing/2014/main" id="{C08259B7-4C2F-46A6-9D19-E48BB5419B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3" name="AutoShape 7" descr="Story">
          <a:hlinkClick xmlns:r="http://schemas.openxmlformats.org/officeDocument/2006/relationships" r:id="rId3"/>
          <a:extLst>
            <a:ext uri="{FF2B5EF4-FFF2-40B4-BE49-F238E27FC236}">
              <a16:creationId xmlns:a16="http://schemas.microsoft.com/office/drawing/2014/main" id="{21DA0366-07B2-4F62-ADFF-95676726AC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4" name="AutoShape 8" descr="Story">
          <a:hlinkClick xmlns:r="http://schemas.openxmlformats.org/officeDocument/2006/relationships" r:id="rId4"/>
          <a:extLst>
            <a:ext uri="{FF2B5EF4-FFF2-40B4-BE49-F238E27FC236}">
              <a16:creationId xmlns:a16="http://schemas.microsoft.com/office/drawing/2014/main" id="{4A2D4839-FE5C-42F2-B727-0B160CFA99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65" name="AutoShape 8" descr="Story">
          <a:hlinkClick xmlns:r="http://schemas.openxmlformats.org/officeDocument/2006/relationships" r:id="rId4"/>
          <a:extLst>
            <a:ext uri="{FF2B5EF4-FFF2-40B4-BE49-F238E27FC236}">
              <a16:creationId xmlns:a16="http://schemas.microsoft.com/office/drawing/2014/main" id="{5003C26C-7703-43D4-99F8-C80057F804A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066" name="AutoShape 1" descr="Story">
          <a:hlinkClick xmlns:r="http://schemas.openxmlformats.org/officeDocument/2006/relationships" r:id="rId13"/>
          <a:extLst>
            <a:ext uri="{FF2B5EF4-FFF2-40B4-BE49-F238E27FC236}">
              <a16:creationId xmlns:a16="http://schemas.microsoft.com/office/drawing/2014/main" id="{E750F4C8-D7BC-4466-9815-F657C30990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67" name="AutoShape 2" descr="Story">
          <a:hlinkClick xmlns:r="http://schemas.openxmlformats.org/officeDocument/2006/relationships" r:id="rId12"/>
          <a:extLst>
            <a:ext uri="{FF2B5EF4-FFF2-40B4-BE49-F238E27FC236}">
              <a16:creationId xmlns:a16="http://schemas.microsoft.com/office/drawing/2014/main" id="{084EB278-6349-4ECB-947D-B977E34E4E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68" name="AutoShape 3" descr="Story">
          <a:hlinkClick xmlns:r="http://schemas.openxmlformats.org/officeDocument/2006/relationships" r:id="rId11"/>
          <a:extLst>
            <a:ext uri="{FF2B5EF4-FFF2-40B4-BE49-F238E27FC236}">
              <a16:creationId xmlns:a16="http://schemas.microsoft.com/office/drawing/2014/main" id="{0C9AED33-EA95-431F-80A2-C2C6A2E799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69" name="AutoShape 4" descr="Bug">
          <a:hlinkClick xmlns:r="http://schemas.openxmlformats.org/officeDocument/2006/relationships" r:id="rId1"/>
          <a:extLst>
            <a:ext uri="{FF2B5EF4-FFF2-40B4-BE49-F238E27FC236}">
              <a16:creationId xmlns:a16="http://schemas.microsoft.com/office/drawing/2014/main" id="{39B1B3F8-8424-44BC-97A8-EB17C2E201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0" name="AutoShape 5" descr="Story">
          <a:hlinkClick xmlns:r="http://schemas.openxmlformats.org/officeDocument/2006/relationships" r:id="rId14"/>
          <a:extLst>
            <a:ext uri="{FF2B5EF4-FFF2-40B4-BE49-F238E27FC236}">
              <a16:creationId xmlns:a16="http://schemas.microsoft.com/office/drawing/2014/main" id="{05D1D8A4-265D-4681-A0A2-C4E78D98F2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1" name="AutoShape 6" descr="Bug">
          <a:hlinkClick xmlns:r="http://schemas.openxmlformats.org/officeDocument/2006/relationships" r:id="rId2"/>
          <a:extLst>
            <a:ext uri="{FF2B5EF4-FFF2-40B4-BE49-F238E27FC236}">
              <a16:creationId xmlns:a16="http://schemas.microsoft.com/office/drawing/2014/main" id="{46156248-2FC1-4C96-A832-D71EB4866F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2" name="AutoShape 7" descr="Story">
          <a:hlinkClick xmlns:r="http://schemas.openxmlformats.org/officeDocument/2006/relationships" r:id="rId3"/>
          <a:extLst>
            <a:ext uri="{FF2B5EF4-FFF2-40B4-BE49-F238E27FC236}">
              <a16:creationId xmlns:a16="http://schemas.microsoft.com/office/drawing/2014/main" id="{047BC834-BA47-4BCA-98C6-E433F786E0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3" name="AutoShape 8" descr="Story">
          <a:hlinkClick xmlns:r="http://schemas.openxmlformats.org/officeDocument/2006/relationships" r:id="rId4"/>
          <a:extLst>
            <a:ext uri="{FF2B5EF4-FFF2-40B4-BE49-F238E27FC236}">
              <a16:creationId xmlns:a16="http://schemas.microsoft.com/office/drawing/2014/main" id="{BAE3569E-C9BA-4917-B08F-14C162C1D8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4" name="AutoShape 9" descr="Story">
          <a:hlinkClick xmlns:r="http://schemas.openxmlformats.org/officeDocument/2006/relationships" r:id="rId5"/>
          <a:extLst>
            <a:ext uri="{FF2B5EF4-FFF2-40B4-BE49-F238E27FC236}">
              <a16:creationId xmlns:a16="http://schemas.microsoft.com/office/drawing/2014/main" id="{60973DB1-7652-49D8-B2C5-F3DB54FB01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5" name="AutoShape 10" descr="Story">
          <a:hlinkClick xmlns:r="http://schemas.openxmlformats.org/officeDocument/2006/relationships" r:id="rId6"/>
          <a:extLst>
            <a:ext uri="{FF2B5EF4-FFF2-40B4-BE49-F238E27FC236}">
              <a16:creationId xmlns:a16="http://schemas.microsoft.com/office/drawing/2014/main" id="{C7502737-9597-4330-8382-95FD017E44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6" name="AutoShape 11" descr="Story">
          <a:hlinkClick xmlns:r="http://schemas.openxmlformats.org/officeDocument/2006/relationships" r:id="rId15"/>
          <a:extLst>
            <a:ext uri="{FF2B5EF4-FFF2-40B4-BE49-F238E27FC236}">
              <a16:creationId xmlns:a16="http://schemas.microsoft.com/office/drawing/2014/main" id="{C6DC7C01-17FC-427F-9910-C7DF8EF097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7" name="AutoShape 12" descr="Story">
          <a:hlinkClick xmlns:r="http://schemas.openxmlformats.org/officeDocument/2006/relationships" r:id="rId12"/>
          <a:extLst>
            <a:ext uri="{FF2B5EF4-FFF2-40B4-BE49-F238E27FC236}">
              <a16:creationId xmlns:a16="http://schemas.microsoft.com/office/drawing/2014/main" id="{131C03DD-34AF-413F-9A95-4818B2F13B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8" name="AutoShape 13" descr="Story">
          <a:hlinkClick xmlns:r="http://schemas.openxmlformats.org/officeDocument/2006/relationships" r:id="rId4"/>
          <a:extLst>
            <a:ext uri="{FF2B5EF4-FFF2-40B4-BE49-F238E27FC236}">
              <a16:creationId xmlns:a16="http://schemas.microsoft.com/office/drawing/2014/main" id="{5E926BCF-5EC3-457F-958F-B50599C50E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79" name="AutoShape 14" descr="Story">
          <a:hlinkClick xmlns:r="http://schemas.openxmlformats.org/officeDocument/2006/relationships" r:id="rId4"/>
          <a:extLst>
            <a:ext uri="{FF2B5EF4-FFF2-40B4-BE49-F238E27FC236}">
              <a16:creationId xmlns:a16="http://schemas.microsoft.com/office/drawing/2014/main" id="{4845A1EF-878B-461B-AB75-A05B697BCD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080" name="AutoShape 15" descr="Story">
          <a:hlinkClick xmlns:r="http://schemas.openxmlformats.org/officeDocument/2006/relationships" r:id="rId4"/>
          <a:extLst>
            <a:ext uri="{FF2B5EF4-FFF2-40B4-BE49-F238E27FC236}">
              <a16:creationId xmlns:a16="http://schemas.microsoft.com/office/drawing/2014/main" id="{E81804B4-2FB7-451B-AB06-B41AA39618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081" name="AutoShape 1" descr="Story">
          <a:hlinkClick xmlns:r="http://schemas.openxmlformats.org/officeDocument/2006/relationships" r:id="rId7"/>
          <a:extLst>
            <a:ext uri="{FF2B5EF4-FFF2-40B4-BE49-F238E27FC236}">
              <a16:creationId xmlns:a16="http://schemas.microsoft.com/office/drawing/2014/main" id="{EC4863FE-BDF4-4966-9B72-78AF04CE60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2" name="AutoShape 2" descr="Story">
          <a:hlinkClick xmlns:r="http://schemas.openxmlformats.org/officeDocument/2006/relationships" r:id="rId8"/>
          <a:extLst>
            <a:ext uri="{FF2B5EF4-FFF2-40B4-BE49-F238E27FC236}">
              <a16:creationId xmlns:a16="http://schemas.microsoft.com/office/drawing/2014/main" id="{5C616DE5-2320-41D5-81B7-1471C64DCB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3" name="AutoShape 5" descr="Story">
          <a:hlinkClick xmlns:r="http://schemas.openxmlformats.org/officeDocument/2006/relationships" r:id="rId6"/>
          <a:extLst>
            <a:ext uri="{FF2B5EF4-FFF2-40B4-BE49-F238E27FC236}">
              <a16:creationId xmlns:a16="http://schemas.microsoft.com/office/drawing/2014/main" id="{98D13164-0315-4B6C-86C8-09145CA106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4" name="AutoShape 1" descr="Sub-task">
          <a:hlinkClick xmlns:r="http://schemas.openxmlformats.org/officeDocument/2006/relationships" r:id="rId9"/>
          <a:extLst>
            <a:ext uri="{FF2B5EF4-FFF2-40B4-BE49-F238E27FC236}">
              <a16:creationId xmlns:a16="http://schemas.microsoft.com/office/drawing/2014/main" id="{D3856881-ACF0-469C-AFB3-BE4A01105F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5" name="AutoShape 2" descr="Sub-task">
          <a:hlinkClick xmlns:r="http://schemas.openxmlformats.org/officeDocument/2006/relationships" r:id="rId10"/>
          <a:extLst>
            <a:ext uri="{FF2B5EF4-FFF2-40B4-BE49-F238E27FC236}">
              <a16:creationId xmlns:a16="http://schemas.microsoft.com/office/drawing/2014/main" id="{A72EA190-A68A-4051-8044-564E478B7D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6" name="AutoShape 3" descr="Story">
          <a:hlinkClick xmlns:r="http://schemas.openxmlformats.org/officeDocument/2006/relationships" r:id="rId11"/>
          <a:extLst>
            <a:ext uri="{FF2B5EF4-FFF2-40B4-BE49-F238E27FC236}">
              <a16:creationId xmlns:a16="http://schemas.microsoft.com/office/drawing/2014/main" id="{1B75B9D7-DF3F-4E1B-845F-23B0483A19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7" name="AutoShape 12" descr="Story">
          <a:hlinkClick xmlns:r="http://schemas.openxmlformats.org/officeDocument/2006/relationships" r:id="rId12"/>
          <a:extLst>
            <a:ext uri="{FF2B5EF4-FFF2-40B4-BE49-F238E27FC236}">
              <a16:creationId xmlns:a16="http://schemas.microsoft.com/office/drawing/2014/main" id="{1A322AF6-468E-4CD8-9BE8-31FB76B101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8" name="AutoShape 1" descr="Story">
          <a:hlinkClick xmlns:r="http://schemas.openxmlformats.org/officeDocument/2006/relationships" r:id="rId13"/>
          <a:extLst>
            <a:ext uri="{FF2B5EF4-FFF2-40B4-BE49-F238E27FC236}">
              <a16:creationId xmlns:a16="http://schemas.microsoft.com/office/drawing/2014/main" id="{78DF5DAC-8189-4504-A923-D4A0B8AB21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89" name="AutoShape 1" descr="Story">
          <a:hlinkClick xmlns:r="http://schemas.openxmlformats.org/officeDocument/2006/relationships" r:id="rId13"/>
          <a:extLst>
            <a:ext uri="{FF2B5EF4-FFF2-40B4-BE49-F238E27FC236}">
              <a16:creationId xmlns:a16="http://schemas.microsoft.com/office/drawing/2014/main" id="{5BF2AAF4-8BE9-426F-94FE-FBD80116C8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0" name="AutoShape 3" descr="Story">
          <a:hlinkClick xmlns:r="http://schemas.openxmlformats.org/officeDocument/2006/relationships" r:id="rId4"/>
          <a:extLst>
            <a:ext uri="{FF2B5EF4-FFF2-40B4-BE49-F238E27FC236}">
              <a16:creationId xmlns:a16="http://schemas.microsoft.com/office/drawing/2014/main" id="{FD255029-8BEE-406F-9833-6AB3977F90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1" name="AutoShape 4" descr="Story">
          <a:hlinkClick xmlns:r="http://schemas.openxmlformats.org/officeDocument/2006/relationships" r:id="rId5"/>
          <a:extLst>
            <a:ext uri="{FF2B5EF4-FFF2-40B4-BE49-F238E27FC236}">
              <a16:creationId xmlns:a16="http://schemas.microsoft.com/office/drawing/2014/main" id="{18E2B679-09FA-40FC-80F1-AF114764FD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2" name="AutoShape 1" descr="Story">
          <a:hlinkClick xmlns:r="http://schemas.openxmlformats.org/officeDocument/2006/relationships" r:id="rId7"/>
          <a:extLst>
            <a:ext uri="{FF2B5EF4-FFF2-40B4-BE49-F238E27FC236}">
              <a16:creationId xmlns:a16="http://schemas.microsoft.com/office/drawing/2014/main" id="{65E2FC24-4C38-4487-AD2E-857B90E96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3" name="AutoShape 2" descr="Story">
          <a:hlinkClick xmlns:r="http://schemas.openxmlformats.org/officeDocument/2006/relationships" r:id="rId8"/>
          <a:extLst>
            <a:ext uri="{FF2B5EF4-FFF2-40B4-BE49-F238E27FC236}">
              <a16:creationId xmlns:a16="http://schemas.microsoft.com/office/drawing/2014/main" id="{B0DAF666-C9E0-4302-92BA-6C14349038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4" name="AutoShape 3" descr="Story">
          <a:hlinkClick xmlns:r="http://schemas.openxmlformats.org/officeDocument/2006/relationships" r:id="rId4"/>
          <a:extLst>
            <a:ext uri="{FF2B5EF4-FFF2-40B4-BE49-F238E27FC236}">
              <a16:creationId xmlns:a16="http://schemas.microsoft.com/office/drawing/2014/main" id="{65C05C26-1AC1-48A9-A66A-9732BC0B21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5" name="AutoShape 4" descr="Story">
          <a:hlinkClick xmlns:r="http://schemas.openxmlformats.org/officeDocument/2006/relationships" r:id="rId5"/>
          <a:extLst>
            <a:ext uri="{FF2B5EF4-FFF2-40B4-BE49-F238E27FC236}">
              <a16:creationId xmlns:a16="http://schemas.microsoft.com/office/drawing/2014/main" id="{8A04EFC1-8BF1-4DDF-BF35-D5A80761127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6" name="AutoShape 5" descr="Story">
          <a:hlinkClick xmlns:r="http://schemas.openxmlformats.org/officeDocument/2006/relationships" r:id="rId6"/>
          <a:extLst>
            <a:ext uri="{FF2B5EF4-FFF2-40B4-BE49-F238E27FC236}">
              <a16:creationId xmlns:a16="http://schemas.microsoft.com/office/drawing/2014/main" id="{A1310808-602E-45A6-9225-E34F479287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7" name="AutoShape 1" descr="Sub-task">
          <a:hlinkClick xmlns:r="http://schemas.openxmlformats.org/officeDocument/2006/relationships" r:id="rId9"/>
          <a:extLst>
            <a:ext uri="{FF2B5EF4-FFF2-40B4-BE49-F238E27FC236}">
              <a16:creationId xmlns:a16="http://schemas.microsoft.com/office/drawing/2014/main" id="{9CFA7066-419E-4953-BED5-93F6CF81E8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8" name="AutoShape 2" descr="Sub-task">
          <a:hlinkClick xmlns:r="http://schemas.openxmlformats.org/officeDocument/2006/relationships" r:id="rId10"/>
          <a:extLst>
            <a:ext uri="{FF2B5EF4-FFF2-40B4-BE49-F238E27FC236}">
              <a16:creationId xmlns:a16="http://schemas.microsoft.com/office/drawing/2014/main" id="{0C4D6953-7A9D-45B8-9F7C-F6DB88170D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099" name="AutoShape 7" descr="Story">
          <a:hlinkClick xmlns:r="http://schemas.openxmlformats.org/officeDocument/2006/relationships" r:id="rId3"/>
          <a:extLst>
            <a:ext uri="{FF2B5EF4-FFF2-40B4-BE49-F238E27FC236}">
              <a16:creationId xmlns:a16="http://schemas.microsoft.com/office/drawing/2014/main" id="{959AADDF-B769-41B4-B089-0ABE301EF2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0" name="AutoShape 3" descr="Story">
          <a:hlinkClick xmlns:r="http://schemas.openxmlformats.org/officeDocument/2006/relationships" r:id="rId11"/>
          <a:extLst>
            <a:ext uri="{FF2B5EF4-FFF2-40B4-BE49-F238E27FC236}">
              <a16:creationId xmlns:a16="http://schemas.microsoft.com/office/drawing/2014/main" id="{484C30F0-BAE4-47E3-9B34-D62ED562C4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1" name="AutoShape 12" descr="Story">
          <a:hlinkClick xmlns:r="http://schemas.openxmlformats.org/officeDocument/2006/relationships" r:id="rId12"/>
          <a:extLst>
            <a:ext uri="{FF2B5EF4-FFF2-40B4-BE49-F238E27FC236}">
              <a16:creationId xmlns:a16="http://schemas.microsoft.com/office/drawing/2014/main" id="{AE4D8837-F9A2-4E4C-A181-ECF1E3229D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2" name="AutoShape 1" descr="Story">
          <a:hlinkClick xmlns:r="http://schemas.openxmlformats.org/officeDocument/2006/relationships" r:id="rId13"/>
          <a:extLst>
            <a:ext uri="{FF2B5EF4-FFF2-40B4-BE49-F238E27FC236}">
              <a16:creationId xmlns:a16="http://schemas.microsoft.com/office/drawing/2014/main" id="{0CB49B57-8E00-45E8-B84C-35E87670B8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3" name="AutoShape 1" descr="Story">
          <a:hlinkClick xmlns:r="http://schemas.openxmlformats.org/officeDocument/2006/relationships" r:id="rId13"/>
          <a:extLst>
            <a:ext uri="{FF2B5EF4-FFF2-40B4-BE49-F238E27FC236}">
              <a16:creationId xmlns:a16="http://schemas.microsoft.com/office/drawing/2014/main" id="{8ED7E709-085C-416F-9406-EB9671C18B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4" name="AutoShape 3" descr="Story">
          <a:hlinkClick xmlns:r="http://schemas.openxmlformats.org/officeDocument/2006/relationships" r:id="rId4"/>
          <a:extLst>
            <a:ext uri="{FF2B5EF4-FFF2-40B4-BE49-F238E27FC236}">
              <a16:creationId xmlns:a16="http://schemas.microsoft.com/office/drawing/2014/main" id="{950EB4C4-8E8D-4483-894B-340115AF1F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5" name="AutoShape 4" descr="Story">
          <a:hlinkClick xmlns:r="http://schemas.openxmlformats.org/officeDocument/2006/relationships" r:id="rId5"/>
          <a:extLst>
            <a:ext uri="{FF2B5EF4-FFF2-40B4-BE49-F238E27FC236}">
              <a16:creationId xmlns:a16="http://schemas.microsoft.com/office/drawing/2014/main" id="{037FC912-8554-4145-BD15-DA67BB495C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6" name="AutoShape 7" descr="Story">
          <a:hlinkClick xmlns:r="http://schemas.openxmlformats.org/officeDocument/2006/relationships" r:id="rId3"/>
          <a:extLst>
            <a:ext uri="{FF2B5EF4-FFF2-40B4-BE49-F238E27FC236}">
              <a16:creationId xmlns:a16="http://schemas.microsoft.com/office/drawing/2014/main" id="{25036250-9F7D-46E0-94B9-2A96D12435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7" name="AutoShape 8" descr="Story">
          <a:hlinkClick xmlns:r="http://schemas.openxmlformats.org/officeDocument/2006/relationships" r:id="rId4"/>
          <a:extLst>
            <a:ext uri="{FF2B5EF4-FFF2-40B4-BE49-F238E27FC236}">
              <a16:creationId xmlns:a16="http://schemas.microsoft.com/office/drawing/2014/main" id="{B38F7ADB-F037-4F1F-84DA-CEA36D7451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08" name="AutoShape 8" descr="Story">
          <a:hlinkClick xmlns:r="http://schemas.openxmlformats.org/officeDocument/2006/relationships" r:id="rId4"/>
          <a:extLst>
            <a:ext uri="{FF2B5EF4-FFF2-40B4-BE49-F238E27FC236}">
              <a16:creationId xmlns:a16="http://schemas.microsoft.com/office/drawing/2014/main" id="{EA5A943F-C92E-4045-A891-8EF788B181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109" name="AutoShape 1" descr="Story">
          <a:hlinkClick xmlns:r="http://schemas.openxmlformats.org/officeDocument/2006/relationships" r:id="rId13"/>
          <a:extLst>
            <a:ext uri="{FF2B5EF4-FFF2-40B4-BE49-F238E27FC236}">
              <a16:creationId xmlns:a16="http://schemas.microsoft.com/office/drawing/2014/main" id="{355B2BE8-D780-4854-B4D0-3F1EECAAFA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0" name="AutoShape 2" descr="Story">
          <a:hlinkClick xmlns:r="http://schemas.openxmlformats.org/officeDocument/2006/relationships" r:id="rId12"/>
          <a:extLst>
            <a:ext uri="{FF2B5EF4-FFF2-40B4-BE49-F238E27FC236}">
              <a16:creationId xmlns:a16="http://schemas.microsoft.com/office/drawing/2014/main" id="{B47829F6-C7F7-4944-9D7E-B8323E749B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1" name="AutoShape 3" descr="Story">
          <a:hlinkClick xmlns:r="http://schemas.openxmlformats.org/officeDocument/2006/relationships" r:id="rId11"/>
          <a:extLst>
            <a:ext uri="{FF2B5EF4-FFF2-40B4-BE49-F238E27FC236}">
              <a16:creationId xmlns:a16="http://schemas.microsoft.com/office/drawing/2014/main" id="{6CB67E8E-BD1B-40C4-9682-A6631BC0A3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2" name="AutoShape 4" descr="Bug">
          <a:hlinkClick xmlns:r="http://schemas.openxmlformats.org/officeDocument/2006/relationships" r:id="rId1"/>
          <a:extLst>
            <a:ext uri="{FF2B5EF4-FFF2-40B4-BE49-F238E27FC236}">
              <a16:creationId xmlns:a16="http://schemas.microsoft.com/office/drawing/2014/main" id="{8652888A-8F95-495A-82E5-FBE51C805D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3" name="AutoShape 5" descr="Story">
          <a:hlinkClick xmlns:r="http://schemas.openxmlformats.org/officeDocument/2006/relationships" r:id="rId14"/>
          <a:extLst>
            <a:ext uri="{FF2B5EF4-FFF2-40B4-BE49-F238E27FC236}">
              <a16:creationId xmlns:a16="http://schemas.microsoft.com/office/drawing/2014/main" id="{07132A46-B81F-4C42-9D2B-3CAE65F3B4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4" name="AutoShape 6" descr="Bug">
          <a:hlinkClick xmlns:r="http://schemas.openxmlformats.org/officeDocument/2006/relationships" r:id="rId2"/>
          <a:extLst>
            <a:ext uri="{FF2B5EF4-FFF2-40B4-BE49-F238E27FC236}">
              <a16:creationId xmlns:a16="http://schemas.microsoft.com/office/drawing/2014/main" id="{A4D45E45-987C-4069-B32E-715D6D6F8B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5" name="AutoShape 7" descr="Story">
          <a:hlinkClick xmlns:r="http://schemas.openxmlformats.org/officeDocument/2006/relationships" r:id="rId3"/>
          <a:extLst>
            <a:ext uri="{FF2B5EF4-FFF2-40B4-BE49-F238E27FC236}">
              <a16:creationId xmlns:a16="http://schemas.microsoft.com/office/drawing/2014/main" id="{424F85B6-2FF9-4619-BB9A-BC10E3F1DE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6" name="AutoShape 8" descr="Story">
          <a:hlinkClick xmlns:r="http://schemas.openxmlformats.org/officeDocument/2006/relationships" r:id="rId4"/>
          <a:extLst>
            <a:ext uri="{FF2B5EF4-FFF2-40B4-BE49-F238E27FC236}">
              <a16:creationId xmlns:a16="http://schemas.microsoft.com/office/drawing/2014/main" id="{14CA33DC-020F-4F81-A21A-DA4EE3B027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7" name="AutoShape 9" descr="Story">
          <a:hlinkClick xmlns:r="http://schemas.openxmlformats.org/officeDocument/2006/relationships" r:id="rId5"/>
          <a:extLst>
            <a:ext uri="{FF2B5EF4-FFF2-40B4-BE49-F238E27FC236}">
              <a16:creationId xmlns:a16="http://schemas.microsoft.com/office/drawing/2014/main" id="{907BCD7E-5C71-43A8-BA24-B2981B7AEC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8" name="AutoShape 10" descr="Story">
          <a:hlinkClick xmlns:r="http://schemas.openxmlformats.org/officeDocument/2006/relationships" r:id="rId6"/>
          <a:extLst>
            <a:ext uri="{FF2B5EF4-FFF2-40B4-BE49-F238E27FC236}">
              <a16:creationId xmlns:a16="http://schemas.microsoft.com/office/drawing/2014/main" id="{CB0A7D43-56E1-4E7E-B60B-3D922B5A89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19" name="AutoShape 11" descr="Story">
          <a:hlinkClick xmlns:r="http://schemas.openxmlformats.org/officeDocument/2006/relationships" r:id="rId15"/>
          <a:extLst>
            <a:ext uri="{FF2B5EF4-FFF2-40B4-BE49-F238E27FC236}">
              <a16:creationId xmlns:a16="http://schemas.microsoft.com/office/drawing/2014/main" id="{10527A2B-D5AC-4A26-BC75-8743DE67FF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20" name="AutoShape 12" descr="Story">
          <a:hlinkClick xmlns:r="http://schemas.openxmlformats.org/officeDocument/2006/relationships" r:id="rId12"/>
          <a:extLst>
            <a:ext uri="{FF2B5EF4-FFF2-40B4-BE49-F238E27FC236}">
              <a16:creationId xmlns:a16="http://schemas.microsoft.com/office/drawing/2014/main" id="{B8967AE6-4D5F-4756-9382-F923E7FF0D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21" name="AutoShape 13" descr="Story">
          <a:hlinkClick xmlns:r="http://schemas.openxmlformats.org/officeDocument/2006/relationships" r:id="rId4"/>
          <a:extLst>
            <a:ext uri="{FF2B5EF4-FFF2-40B4-BE49-F238E27FC236}">
              <a16:creationId xmlns:a16="http://schemas.microsoft.com/office/drawing/2014/main" id="{0BC141AF-BA37-4890-80B7-B485CD73ED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22" name="AutoShape 14" descr="Story">
          <a:hlinkClick xmlns:r="http://schemas.openxmlformats.org/officeDocument/2006/relationships" r:id="rId4"/>
          <a:extLst>
            <a:ext uri="{FF2B5EF4-FFF2-40B4-BE49-F238E27FC236}">
              <a16:creationId xmlns:a16="http://schemas.microsoft.com/office/drawing/2014/main" id="{329BA152-8127-461C-89EC-5F5063140F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23" name="AutoShape 15" descr="Story">
          <a:hlinkClick xmlns:r="http://schemas.openxmlformats.org/officeDocument/2006/relationships" r:id="rId4"/>
          <a:extLst>
            <a:ext uri="{FF2B5EF4-FFF2-40B4-BE49-F238E27FC236}">
              <a16:creationId xmlns:a16="http://schemas.microsoft.com/office/drawing/2014/main" id="{C3E5F5FD-E0FA-42F8-9B8E-1D62F51B98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124" name="AutoShape 1" descr="Story">
          <a:hlinkClick xmlns:r="http://schemas.openxmlformats.org/officeDocument/2006/relationships" r:id="rId7"/>
          <a:extLst>
            <a:ext uri="{FF2B5EF4-FFF2-40B4-BE49-F238E27FC236}">
              <a16:creationId xmlns:a16="http://schemas.microsoft.com/office/drawing/2014/main" id="{95FDC70C-57C6-4A3A-99FC-E910BA843C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25" name="AutoShape 2" descr="Story">
          <a:hlinkClick xmlns:r="http://schemas.openxmlformats.org/officeDocument/2006/relationships" r:id="rId8"/>
          <a:extLst>
            <a:ext uri="{FF2B5EF4-FFF2-40B4-BE49-F238E27FC236}">
              <a16:creationId xmlns:a16="http://schemas.microsoft.com/office/drawing/2014/main" id="{8C31C575-BBB9-4DA6-A328-90C355DD22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26" name="AutoShape 5" descr="Story">
          <a:hlinkClick xmlns:r="http://schemas.openxmlformats.org/officeDocument/2006/relationships" r:id="rId6"/>
          <a:extLst>
            <a:ext uri="{FF2B5EF4-FFF2-40B4-BE49-F238E27FC236}">
              <a16:creationId xmlns:a16="http://schemas.microsoft.com/office/drawing/2014/main" id="{7EC24322-D09F-466A-B002-543C399216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27" name="AutoShape 1" descr="Sub-task">
          <a:hlinkClick xmlns:r="http://schemas.openxmlformats.org/officeDocument/2006/relationships" r:id="rId9"/>
          <a:extLst>
            <a:ext uri="{FF2B5EF4-FFF2-40B4-BE49-F238E27FC236}">
              <a16:creationId xmlns:a16="http://schemas.microsoft.com/office/drawing/2014/main" id="{FB705E4C-40FA-4C7C-9A8E-790DAA4CED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28" name="AutoShape 2" descr="Sub-task">
          <a:hlinkClick xmlns:r="http://schemas.openxmlformats.org/officeDocument/2006/relationships" r:id="rId10"/>
          <a:extLst>
            <a:ext uri="{FF2B5EF4-FFF2-40B4-BE49-F238E27FC236}">
              <a16:creationId xmlns:a16="http://schemas.microsoft.com/office/drawing/2014/main" id="{7DD92A59-E292-4B98-B216-9E6EE68129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29" name="AutoShape 3" descr="Story">
          <a:hlinkClick xmlns:r="http://schemas.openxmlformats.org/officeDocument/2006/relationships" r:id="rId11"/>
          <a:extLst>
            <a:ext uri="{FF2B5EF4-FFF2-40B4-BE49-F238E27FC236}">
              <a16:creationId xmlns:a16="http://schemas.microsoft.com/office/drawing/2014/main" id="{95D2E39C-84E4-4F3D-B9DE-5DC3D453F2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0" name="AutoShape 12" descr="Story">
          <a:hlinkClick xmlns:r="http://schemas.openxmlformats.org/officeDocument/2006/relationships" r:id="rId12"/>
          <a:extLst>
            <a:ext uri="{FF2B5EF4-FFF2-40B4-BE49-F238E27FC236}">
              <a16:creationId xmlns:a16="http://schemas.microsoft.com/office/drawing/2014/main" id="{0496939A-BD14-47AD-8E03-2EF9C43808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1" name="AutoShape 1" descr="Story">
          <a:hlinkClick xmlns:r="http://schemas.openxmlformats.org/officeDocument/2006/relationships" r:id="rId13"/>
          <a:extLst>
            <a:ext uri="{FF2B5EF4-FFF2-40B4-BE49-F238E27FC236}">
              <a16:creationId xmlns:a16="http://schemas.microsoft.com/office/drawing/2014/main" id="{D91B7E4B-0ECB-45B4-8A67-EEFBCA7FB3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2" name="AutoShape 1" descr="Story">
          <a:hlinkClick xmlns:r="http://schemas.openxmlformats.org/officeDocument/2006/relationships" r:id="rId13"/>
          <a:extLst>
            <a:ext uri="{FF2B5EF4-FFF2-40B4-BE49-F238E27FC236}">
              <a16:creationId xmlns:a16="http://schemas.microsoft.com/office/drawing/2014/main" id="{B26F6AFD-E212-4063-9A2F-A8A1FC9C32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3" name="AutoShape 3" descr="Story">
          <a:hlinkClick xmlns:r="http://schemas.openxmlformats.org/officeDocument/2006/relationships" r:id="rId4"/>
          <a:extLst>
            <a:ext uri="{FF2B5EF4-FFF2-40B4-BE49-F238E27FC236}">
              <a16:creationId xmlns:a16="http://schemas.microsoft.com/office/drawing/2014/main" id="{24B85B34-647F-4E2E-9301-3F501A14D0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4" name="AutoShape 4" descr="Story">
          <a:hlinkClick xmlns:r="http://schemas.openxmlformats.org/officeDocument/2006/relationships" r:id="rId5"/>
          <a:extLst>
            <a:ext uri="{FF2B5EF4-FFF2-40B4-BE49-F238E27FC236}">
              <a16:creationId xmlns:a16="http://schemas.microsoft.com/office/drawing/2014/main" id="{B5DCBE05-050C-40BD-A934-26F34C27A7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5" name="AutoShape 1" descr="Story">
          <a:hlinkClick xmlns:r="http://schemas.openxmlformats.org/officeDocument/2006/relationships" r:id="rId7"/>
          <a:extLst>
            <a:ext uri="{FF2B5EF4-FFF2-40B4-BE49-F238E27FC236}">
              <a16:creationId xmlns:a16="http://schemas.microsoft.com/office/drawing/2014/main" id="{29612EC3-50FA-4D45-BBA9-7253FAD99E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6" name="AutoShape 2" descr="Story">
          <a:hlinkClick xmlns:r="http://schemas.openxmlformats.org/officeDocument/2006/relationships" r:id="rId8"/>
          <a:extLst>
            <a:ext uri="{FF2B5EF4-FFF2-40B4-BE49-F238E27FC236}">
              <a16:creationId xmlns:a16="http://schemas.microsoft.com/office/drawing/2014/main" id="{A3BAAE54-CAE1-4F2F-9E68-105109CA1E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7" name="AutoShape 3" descr="Story">
          <a:hlinkClick xmlns:r="http://schemas.openxmlformats.org/officeDocument/2006/relationships" r:id="rId4"/>
          <a:extLst>
            <a:ext uri="{FF2B5EF4-FFF2-40B4-BE49-F238E27FC236}">
              <a16:creationId xmlns:a16="http://schemas.microsoft.com/office/drawing/2014/main" id="{4B29875C-61BF-40A2-B631-2847115DAF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8" name="AutoShape 4" descr="Story">
          <a:hlinkClick xmlns:r="http://schemas.openxmlformats.org/officeDocument/2006/relationships" r:id="rId5"/>
          <a:extLst>
            <a:ext uri="{FF2B5EF4-FFF2-40B4-BE49-F238E27FC236}">
              <a16:creationId xmlns:a16="http://schemas.microsoft.com/office/drawing/2014/main" id="{A61CED7B-FDD3-4268-950B-1CF94BD78E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39" name="AutoShape 5" descr="Story">
          <a:hlinkClick xmlns:r="http://schemas.openxmlformats.org/officeDocument/2006/relationships" r:id="rId6"/>
          <a:extLst>
            <a:ext uri="{FF2B5EF4-FFF2-40B4-BE49-F238E27FC236}">
              <a16:creationId xmlns:a16="http://schemas.microsoft.com/office/drawing/2014/main" id="{C24685D6-2375-4118-9538-D4673EB2B21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0" name="AutoShape 1" descr="Sub-task">
          <a:hlinkClick xmlns:r="http://schemas.openxmlformats.org/officeDocument/2006/relationships" r:id="rId9"/>
          <a:extLst>
            <a:ext uri="{FF2B5EF4-FFF2-40B4-BE49-F238E27FC236}">
              <a16:creationId xmlns:a16="http://schemas.microsoft.com/office/drawing/2014/main" id="{2C32473B-B7DD-4F1D-AF78-6C36BDF3D1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1" name="AutoShape 2" descr="Sub-task">
          <a:hlinkClick xmlns:r="http://schemas.openxmlformats.org/officeDocument/2006/relationships" r:id="rId10"/>
          <a:extLst>
            <a:ext uri="{FF2B5EF4-FFF2-40B4-BE49-F238E27FC236}">
              <a16:creationId xmlns:a16="http://schemas.microsoft.com/office/drawing/2014/main" id="{39FE086A-A28B-42B2-ADDF-81E94F866D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2" name="AutoShape 7" descr="Story">
          <a:hlinkClick xmlns:r="http://schemas.openxmlformats.org/officeDocument/2006/relationships" r:id="rId3"/>
          <a:extLst>
            <a:ext uri="{FF2B5EF4-FFF2-40B4-BE49-F238E27FC236}">
              <a16:creationId xmlns:a16="http://schemas.microsoft.com/office/drawing/2014/main" id="{C092DCB1-8376-4B99-9069-7EA14EEDC41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3" name="AutoShape 3" descr="Story">
          <a:hlinkClick xmlns:r="http://schemas.openxmlformats.org/officeDocument/2006/relationships" r:id="rId11"/>
          <a:extLst>
            <a:ext uri="{FF2B5EF4-FFF2-40B4-BE49-F238E27FC236}">
              <a16:creationId xmlns:a16="http://schemas.microsoft.com/office/drawing/2014/main" id="{A99EF143-6874-427F-8793-52F87D439B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4" name="AutoShape 12" descr="Story">
          <a:hlinkClick xmlns:r="http://schemas.openxmlformats.org/officeDocument/2006/relationships" r:id="rId12"/>
          <a:extLst>
            <a:ext uri="{FF2B5EF4-FFF2-40B4-BE49-F238E27FC236}">
              <a16:creationId xmlns:a16="http://schemas.microsoft.com/office/drawing/2014/main" id="{33B54F2F-4F6C-4185-8AFE-904B923467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5" name="AutoShape 1" descr="Story">
          <a:hlinkClick xmlns:r="http://schemas.openxmlformats.org/officeDocument/2006/relationships" r:id="rId13"/>
          <a:extLst>
            <a:ext uri="{FF2B5EF4-FFF2-40B4-BE49-F238E27FC236}">
              <a16:creationId xmlns:a16="http://schemas.microsoft.com/office/drawing/2014/main" id="{A4780565-5662-4836-8C6F-419F286F3C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6" name="AutoShape 1" descr="Story">
          <a:hlinkClick xmlns:r="http://schemas.openxmlformats.org/officeDocument/2006/relationships" r:id="rId13"/>
          <a:extLst>
            <a:ext uri="{FF2B5EF4-FFF2-40B4-BE49-F238E27FC236}">
              <a16:creationId xmlns:a16="http://schemas.microsoft.com/office/drawing/2014/main" id="{5988D10F-EBC1-41BB-B7B6-4168470A6F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7" name="AutoShape 3" descr="Story">
          <a:hlinkClick xmlns:r="http://schemas.openxmlformats.org/officeDocument/2006/relationships" r:id="rId4"/>
          <a:extLst>
            <a:ext uri="{FF2B5EF4-FFF2-40B4-BE49-F238E27FC236}">
              <a16:creationId xmlns:a16="http://schemas.microsoft.com/office/drawing/2014/main" id="{59F82340-F49E-49F9-A5C1-BDEAD8D79F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8" name="AutoShape 4" descr="Story">
          <a:hlinkClick xmlns:r="http://schemas.openxmlformats.org/officeDocument/2006/relationships" r:id="rId5"/>
          <a:extLst>
            <a:ext uri="{FF2B5EF4-FFF2-40B4-BE49-F238E27FC236}">
              <a16:creationId xmlns:a16="http://schemas.microsoft.com/office/drawing/2014/main" id="{C33867A3-FECB-4408-86EF-FB885AEC83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49" name="AutoShape 7" descr="Story">
          <a:hlinkClick xmlns:r="http://schemas.openxmlformats.org/officeDocument/2006/relationships" r:id="rId3"/>
          <a:extLst>
            <a:ext uri="{FF2B5EF4-FFF2-40B4-BE49-F238E27FC236}">
              <a16:creationId xmlns:a16="http://schemas.microsoft.com/office/drawing/2014/main" id="{9BBEA086-C79B-4CF2-ABF9-7D8855251F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50" name="AutoShape 8" descr="Story">
          <a:hlinkClick xmlns:r="http://schemas.openxmlformats.org/officeDocument/2006/relationships" r:id="rId4"/>
          <a:extLst>
            <a:ext uri="{FF2B5EF4-FFF2-40B4-BE49-F238E27FC236}">
              <a16:creationId xmlns:a16="http://schemas.microsoft.com/office/drawing/2014/main" id="{1EA9EDFF-FECA-4857-B216-D7DB643F1D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51" name="AutoShape 8" descr="Story">
          <a:hlinkClick xmlns:r="http://schemas.openxmlformats.org/officeDocument/2006/relationships" r:id="rId4"/>
          <a:extLst>
            <a:ext uri="{FF2B5EF4-FFF2-40B4-BE49-F238E27FC236}">
              <a16:creationId xmlns:a16="http://schemas.microsoft.com/office/drawing/2014/main" id="{52BFE3CF-F90F-48C0-94E6-CA1F4435A9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152" name="AutoShape 1" descr="Story">
          <a:hlinkClick xmlns:r="http://schemas.openxmlformats.org/officeDocument/2006/relationships" r:id="rId13"/>
          <a:extLst>
            <a:ext uri="{FF2B5EF4-FFF2-40B4-BE49-F238E27FC236}">
              <a16:creationId xmlns:a16="http://schemas.microsoft.com/office/drawing/2014/main" id="{0E3F0204-F061-48E3-876A-807A63D0B0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3" name="AutoShape 2" descr="Story">
          <a:hlinkClick xmlns:r="http://schemas.openxmlformats.org/officeDocument/2006/relationships" r:id="rId12"/>
          <a:extLst>
            <a:ext uri="{FF2B5EF4-FFF2-40B4-BE49-F238E27FC236}">
              <a16:creationId xmlns:a16="http://schemas.microsoft.com/office/drawing/2014/main" id="{A093BC86-8702-4BF0-9AEF-9F3E2CC275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4" name="AutoShape 3" descr="Story">
          <a:hlinkClick xmlns:r="http://schemas.openxmlformats.org/officeDocument/2006/relationships" r:id="rId11"/>
          <a:extLst>
            <a:ext uri="{FF2B5EF4-FFF2-40B4-BE49-F238E27FC236}">
              <a16:creationId xmlns:a16="http://schemas.microsoft.com/office/drawing/2014/main" id="{E2835C62-8E98-45E6-802F-313BD0DD32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5" name="AutoShape 4" descr="Bug">
          <a:hlinkClick xmlns:r="http://schemas.openxmlformats.org/officeDocument/2006/relationships" r:id="rId1"/>
          <a:extLst>
            <a:ext uri="{FF2B5EF4-FFF2-40B4-BE49-F238E27FC236}">
              <a16:creationId xmlns:a16="http://schemas.microsoft.com/office/drawing/2014/main" id="{3B7F4CAE-D6B7-4524-B600-FCA45B104A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6" name="AutoShape 5" descr="Story">
          <a:hlinkClick xmlns:r="http://schemas.openxmlformats.org/officeDocument/2006/relationships" r:id="rId14"/>
          <a:extLst>
            <a:ext uri="{FF2B5EF4-FFF2-40B4-BE49-F238E27FC236}">
              <a16:creationId xmlns:a16="http://schemas.microsoft.com/office/drawing/2014/main" id="{6444E404-1C9D-44ED-B993-B354B39F52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7" name="AutoShape 6" descr="Bug">
          <a:hlinkClick xmlns:r="http://schemas.openxmlformats.org/officeDocument/2006/relationships" r:id="rId2"/>
          <a:extLst>
            <a:ext uri="{FF2B5EF4-FFF2-40B4-BE49-F238E27FC236}">
              <a16:creationId xmlns:a16="http://schemas.microsoft.com/office/drawing/2014/main" id="{081F5CEA-F2B8-40F0-B0F3-B4647DC4EA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8" name="AutoShape 7" descr="Story">
          <a:hlinkClick xmlns:r="http://schemas.openxmlformats.org/officeDocument/2006/relationships" r:id="rId3"/>
          <a:extLst>
            <a:ext uri="{FF2B5EF4-FFF2-40B4-BE49-F238E27FC236}">
              <a16:creationId xmlns:a16="http://schemas.microsoft.com/office/drawing/2014/main" id="{4283408E-A552-4925-A10B-94BA4A759B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59" name="AutoShape 8" descr="Story">
          <a:hlinkClick xmlns:r="http://schemas.openxmlformats.org/officeDocument/2006/relationships" r:id="rId4"/>
          <a:extLst>
            <a:ext uri="{FF2B5EF4-FFF2-40B4-BE49-F238E27FC236}">
              <a16:creationId xmlns:a16="http://schemas.microsoft.com/office/drawing/2014/main" id="{4D39B725-F2E2-4C4F-BEC7-F1BC1E1178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0" name="AutoShape 9" descr="Story">
          <a:hlinkClick xmlns:r="http://schemas.openxmlformats.org/officeDocument/2006/relationships" r:id="rId5"/>
          <a:extLst>
            <a:ext uri="{FF2B5EF4-FFF2-40B4-BE49-F238E27FC236}">
              <a16:creationId xmlns:a16="http://schemas.microsoft.com/office/drawing/2014/main" id="{90DD2A86-2828-4F69-B40A-3F2713A836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1" name="AutoShape 10" descr="Story">
          <a:hlinkClick xmlns:r="http://schemas.openxmlformats.org/officeDocument/2006/relationships" r:id="rId6"/>
          <a:extLst>
            <a:ext uri="{FF2B5EF4-FFF2-40B4-BE49-F238E27FC236}">
              <a16:creationId xmlns:a16="http://schemas.microsoft.com/office/drawing/2014/main" id="{F721F433-A9B3-4DBD-B0C2-0F3F554EBF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2" name="AutoShape 11" descr="Story">
          <a:hlinkClick xmlns:r="http://schemas.openxmlformats.org/officeDocument/2006/relationships" r:id="rId15"/>
          <a:extLst>
            <a:ext uri="{FF2B5EF4-FFF2-40B4-BE49-F238E27FC236}">
              <a16:creationId xmlns:a16="http://schemas.microsoft.com/office/drawing/2014/main" id="{00D29193-0D2E-495F-96C3-DF795E86E1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3" name="AutoShape 12" descr="Story">
          <a:hlinkClick xmlns:r="http://schemas.openxmlformats.org/officeDocument/2006/relationships" r:id="rId12"/>
          <a:extLst>
            <a:ext uri="{FF2B5EF4-FFF2-40B4-BE49-F238E27FC236}">
              <a16:creationId xmlns:a16="http://schemas.microsoft.com/office/drawing/2014/main" id="{BD04FCA9-EE26-4A1E-A691-504E8C892C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4" name="AutoShape 13" descr="Story">
          <a:hlinkClick xmlns:r="http://schemas.openxmlformats.org/officeDocument/2006/relationships" r:id="rId4"/>
          <a:extLst>
            <a:ext uri="{FF2B5EF4-FFF2-40B4-BE49-F238E27FC236}">
              <a16:creationId xmlns:a16="http://schemas.microsoft.com/office/drawing/2014/main" id="{0B219798-63D5-4668-B812-01174ED249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5" name="AutoShape 14" descr="Story">
          <a:hlinkClick xmlns:r="http://schemas.openxmlformats.org/officeDocument/2006/relationships" r:id="rId4"/>
          <a:extLst>
            <a:ext uri="{FF2B5EF4-FFF2-40B4-BE49-F238E27FC236}">
              <a16:creationId xmlns:a16="http://schemas.microsoft.com/office/drawing/2014/main" id="{2B5C55A4-741F-4158-9F12-35EFC06FB0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66" name="AutoShape 15" descr="Story">
          <a:hlinkClick xmlns:r="http://schemas.openxmlformats.org/officeDocument/2006/relationships" r:id="rId4"/>
          <a:extLst>
            <a:ext uri="{FF2B5EF4-FFF2-40B4-BE49-F238E27FC236}">
              <a16:creationId xmlns:a16="http://schemas.microsoft.com/office/drawing/2014/main" id="{B4376643-F969-4938-9614-0E4DA3ECE8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167" name="AutoShape 1" descr="Story">
          <a:hlinkClick xmlns:r="http://schemas.openxmlformats.org/officeDocument/2006/relationships" r:id="rId7"/>
          <a:extLst>
            <a:ext uri="{FF2B5EF4-FFF2-40B4-BE49-F238E27FC236}">
              <a16:creationId xmlns:a16="http://schemas.microsoft.com/office/drawing/2014/main" id="{334A68FA-0692-4A8D-8DFB-2AAEE80CC3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68" name="AutoShape 2" descr="Story">
          <a:hlinkClick xmlns:r="http://schemas.openxmlformats.org/officeDocument/2006/relationships" r:id="rId8"/>
          <a:extLst>
            <a:ext uri="{FF2B5EF4-FFF2-40B4-BE49-F238E27FC236}">
              <a16:creationId xmlns:a16="http://schemas.microsoft.com/office/drawing/2014/main" id="{A916C5C4-F58E-4B06-A448-068C74D90C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69" name="AutoShape 5" descr="Story">
          <a:hlinkClick xmlns:r="http://schemas.openxmlformats.org/officeDocument/2006/relationships" r:id="rId6"/>
          <a:extLst>
            <a:ext uri="{FF2B5EF4-FFF2-40B4-BE49-F238E27FC236}">
              <a16:creationId xmlns:a16="http://schemas.microsoft.com/office/drawing/2014/main" id="{16FCA0B4-C49E-49F2-A691-3B3825D8F5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0" name="AutoShape 1" descr="Sub-task">
          <a:hlinkClick xmlns:r="http://schemas.openxmlformats.org/officeDocument/2006/relationships" r:id="rId9"/>
          <a:extLst>
            <a:ext uri="{FF2B5EF4-FFF2-40B4-BE49-F238E27FC236}">
              <a16:creationId xmlns:a16="http://schemas.microsoft.com/office/drawing/2014/main" id="{252D6932-4EB5-4864-9FA2-E06AEB7A73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1" name="AutoShape 2" descr="Sub-task">
          <a:hlinkClick xmlns:r="http://schemas.openxmlformats.org/officeDocument/2006/relationships" r:id="rId10"/>
          <a:extLst>
            <a:ext uri="{FF2B5EF4-FFF2-40B4-BE49-F238E27FC236}">
              <a16:creationId xmlns:a16="http://schemas.microsoft.com/office/drawing/2014/main" id="{6F73A7DF-3F8E-4D53-824A-C4955933BE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2" name="AutoShape 3" descr="Story">
          <a:hlinkClick xmlns:r="http://schemas.openxmlformats.org/officeDocument/2006/relationships" r:id="rId11"/>
          <a:extLst>
            <a:ext uri="{FF2B5EF4-FFF2-40B4-BE49-F238E27FC236}">
              <a16:creationId xmlns:a16="http://schemas.microsoft.com/office/drawing/2014/main" id="{8064E409-4C5B-40D2-B152-B079730CEA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3" name="AutoShape 12" descr="Story">
          <a:hlinkClick xmlns:r="http://schemas.openxmlformats.org/officeDocument/2006/relationships" r:id="rId12"/>
          <a:extLst>
            <a:ext uri="{FF2B5EF4-FFF2-40B4-BE49-F238E27FC236}">
              <a16:creationId xmlns:a16="http://schemas.microsoft.com/office/drawing/2014/main" id="{8B473F7F-86E1-4EDC-9BDC-6A76033191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4" name="AutoShape 1" descr="Story">
          <a:hlinkClick xmlns:r="http://schemas.openxmlformats.org/officeDocument/2006/relationships" r:id="rId13"/>
          <a:extLst>
            <a:ext uri="{FF2B5EF4-FFF2-40B4-BE49-F238E27FC236}">
              <a16:creationId xmlns:a16="http://schemas.microsoft.com/office/drawing/2014/main" id="{0D30756E-BAD4-465B-BBB8-6A65A2488B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5" name="AutoShape 1" descr="Story">
          <a:hlinkClick xmlns:r="http://schemas.openxmlformats.org/officeDocument/2006/relationships" r:id="rId13"/>
          <a:extLst>
            <a:ext uri="{FF2B5EF4-FFF2-40B4-BE49-F238E27FC236}">
              <a16:creationId xmlns:a16="http://schemas.microsoft.com/office/drawing/2014/main" id="{DA0B1BAF-68D2-4E03-80D4-3FFB3B6554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6" name="AutoShape 3" descr="Story">
          <a:hlinkClick xmlns:r="http://schemas.openxmlformats.org/officeDocument/2006/relationships" r:id="rId4"/>
          <a:extLst>
            <a:ext uri="{FF2B5EF4-FFF2-40B4-BE49-F238E27FC236}">
              <a16:creationId xmlns:a16="http://schemas.microsoft.com/office/drawing/2014/main" id="{8FF14A88-4D2D-4939-8E8A-A6951FBFB3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7" name="AutoShape 4" descr="Story">
          <a:hlinkClick xmlns:r="http://schemas.openxmlformats.org/officeDocument/2006/relationships" r:id="rId5"/>
          <a:extLst>
            <a:ext uri="{FF2B5EF4-FFF2-40B4-BE49-F238E27FC236}">
              <a16:creationId xmlns:a16="http://schemas.microsoft.com/office/drawing/2014/main" id="{70D4DE34-408F-49B1-883F-21C444217E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8" name="AutoShape 1" descr="Story">
          <a:hlinkClick xmlns:r="http://schemas.openxmlformats.org/officeDocument/2006/relationships" r:id="rId7"/>
          <a:extLst>
            <a:ext uri="{FF2B5EF4-FFF2-40B4-BE49-F238E27FC236}">
              <a16:creationId xmlns:a16="http://schemas.microsoft.com/office/drawing/2014/main" id="{844B038F-EDB9-4AEB-ACDE-C1F6317C19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79" name="AutoShape 2" descr="Story">
          <a:hlinkClick xmlns:r="http://schemas.openxmlformats.org/officeDocument/2006/relationships" r:id="rId8"/>
          <a:extLst>
            <a:ext uri="{FF2B5EF4-FFF2-40B4-BE49-F238E27FC236}">
              <a16:creationId xmlns:a16="http://schemas.microsoft.com/office/drawing/2014/main" id="{0F0F87FB-D761-4EDC-B178-AD1EEC9069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0" name="AutoShape 3" descr="Story">
          <a:hlinkClick xmlns:r="http://schemas.openxmlformats.org/officeDocument/2006/relationships" r:id="rId4"/>
          <a:extLst>
            <a:ext uri="{FF2B5EF4-FFF2-40B4-BE49-F238E27FC236}">
              <a16:creationId xmlns:a16="http://schemas.microsoft.com/office/drawing/2014/main" id="{B0ABE589-2A75-463C-9839-A7670CDDDD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1" name="AutoShape 4" descr="Story">
          <a:hlinkClick xmlns:r="http://schemas.openxmlformats.org/officeDocument/2006/relationships" r:id="rId5"/>
          <a:extLst>
            <a:ext uri="{FF2B5EF4-FFF2-40B4-BE49-F238E27FC236}">
              <a16:creationId xmlns:a16="http://schemas.microsoft.com/office/drawing/2014/main" id="{742C3902-5060-417F-A62C-5A3F69FD48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2" name="AutoShape 5" descr="Story">
          <a:hlinkClick xmlns:r="http://schemas.openxmlformats.org/officeDocument/2006/relationships" r:id="rId6"/>
          <a:extLst>
            <a:ext uri="{FF2B5EF4-FFF2-40B4-BE49-F238E27FC236}">
              <a16:creationId xmlns:a16="http://schemas.microsoft.com/office/drawing/2014/main" id="{3A6339B2-C054-4E67-9706-7C8157D234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3" name="AutoShape 1" descr="Sub-task">
          <a:hlinkClick xmlns:r="http://schemas.openxmlformats.org/officeDocument/2006/relationships" r:id="rId9"/>
          <a:extLst>
            <a:ext uri="{FF2B5EF4-FFF2-40B4-BE49-F238E27FC236}">
              <a16:creationId xmlns:a16="http://schemas.microsoft.com/office/drawing/2014/main" id="{3901C20C-876B-48BC-9435-4EC0A2363A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4" name="AutoShape 2" descr="Sub-task">
          <a:hlinkClick xmlns:r="http://schemas.openxmlformats.org/officeDocument/2006/relationships" r:id="rId10"/>
          <a:extLst>
            <a:ext uri="{FF2B5EF4-FFF2-40B4-BE49-F238E27FC236}">
              <a16:creationId xmlns:a16="http://schemas.microsoft.com/office/drawing/2014/main" id="{35A7425B-6CDE-4F85-8EB7-6B7AD613EC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5" name="AutoShape 7" descr="Story">
          <a:hlinkClick xmlns:r="http://schemas.openxmlformats.org/officeDocument/2006/relationships" r:id="rId3"/>
          <a:extLst>
            <a:ext uri="{FF2B5EF4-FFF2-40B4-BE49-F238E27FC236}">
              <a16:creationId xmlns:a16="http://schemas.microsoft.com/office/drawing/2014/main" id="{E9A3329A-E2BF-4072-B033-FB602C4100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6" name="AutoShape 3" descr="Story">
          <a:hlinkClick xmlns:r="http://schemas.openxmlformats.org/officeDocument/2006/relationships" r:id="rId11"/>
          <a:extLst>
            <a:ext uri="{FF2B5EF4-FFF2-40B4-BE49-F238E27FC236}">
              <a16:creationId xmlns:a16="http://schemas.microsoft.com/office/drawing/2014/main" id="{291B8394-3602-4116-A39D-3DD7DC8B2F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7" name="AutoShape 12" descr="Story">
          <a:hlinkClick xmlns:r="http://schemas.openxmlformats.org/officeDocument/2006/relationships" r:id="rId12"/>
          <a:extLst>
            <a:ext uri="{FF2B5EF4-FFF2-40B4-BE49-F238E27FC236}">
              <a16:creationId xmlns:a16="http://schemas.microsoft.com/office/drawing/2014/main" id="{3A0A41E6-03F4-4D9E-8D6C-A4C0B3AAD8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8" name="AutoShape 1" descr="Story">
          <a:hlinkClick xmlns:r="http://schemas.openxmlformats.org/officeDocument/2006/relationships" r:id="rId13"/>
          <a:extLst>
            <a:ext uri="{FF2B5EF4-FFF2-40B4-BE49-F238E27FC236}">
              <a16:creationId xmlns:a16="http://schemas.microsoft.com/office/drawing/2014/main" id="{F418E7E2-798B-43C6-B0C5-8343FCAA5F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89" name="AutoShape 1" descr="Story">
          <a:hlinkClick xmlns:r="http://schemas.openxmlformats.org/officeDocument/2006/relationships" r:id="rId13"/>
          <a:extLst>
            <a:ext uri="{FF2B5EF4-FFF2-40B4-BE49-F238E27FC236}">
              <a16:creationId xmlns:a16="http://schemas.microsoft.com/office/drawing/2014/main" id="{7AF53B58-2106-487C-9DE7-E12E71F77C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90" name="AutoShape 3" descr="Story">
          <a:hlinkClick xmlns:r="http://schemas.openxmlformats.org/officeDocument/2006/relationships" r:id="rId4"/>
          <a:extLst>
            <a:ext uri="{FF2B5EF4-FFF2-40B4-BE49-F238E27FC236}">
              <a16:creationId xmlns:a16="http://schemas.microsoft.com/office/drawing/2014/main" id="{D77A3CEE-8289-4EEC-919E-4E75B9554C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91" name="AutoShape 4" descr="Story">
          <a:hlinkClick xmlns:r="http://schemas.openxmlformats.org/officeDocument/2006/relationships" r:id="rId5"/>
          <a:extLst>
            <a:ext uri="{FF2B5EF4-FFF2-40B4-BE49-F238E27FC236}">
              <a16:creationId xmlns:a16="http://schemas.microsoft.com/office/drawing/2014/main" id="{5C0A326F-94DA-42BC-8D7C-F532975DF1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92" name="AutoShape 7" descr="Story">
          <a:hlinkClick xmlns:r="http://schemas.openxmlformats.org/officeDocument/2006/relationships" r:id="rId3"/>
          <a:extLst>
            <a:ext uri="{FF2B5EF4-FFF2-40B4-BE49-F238E27FC236}">
              <a16:creationId xmlns:a16="http://schemas.microsoft.com/office/drawing/2014/main" id="{476BD611-6DEA-47EF-A5C6-489E52FBC2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93" name="AutoShape 8" descr="Story">
          <a:hlinkClick xmlns:r="http://schemas.openxmlformats.org/officeDocument/2006/relationships" r:id="rId4"/>
          <a:extLst>
            <a:ext uri="{FF2B5EF4-FFF2-40B4-BE49-F238E27FC236}">
              <a16:creationId xmlns:a16="http://schemas.microsoft.com/office/drawing/2014/main" id="{B1A2EFC9-0040-4D13-A348-8859457F5E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194" name="AutoShape 8" descr="Story">
          <a:hlinkClick xmlns:r="http://schemas.openxmlformats.org/officeDocument/2006/relationships" r:id="rId4"/>
          <a:extLst>
            <a:ext uri="{FF2B5EF4-FFF2-40B4-BE49-F238E27FC236}">
              <a16:creationId xmlns:a16="http://schemas.microsoft.com/office/drawing/2014/main" id="{4C5B3603-2672-4F6E-85CF-660824C50A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195" name="AutoShape 1" descr="Story">
          <a:hlinkClick xmlns:r="http://schemas.openxmlformats.org/officeDocument/2006/relationships" r:id="rId13"/>
          <a:extLst>
            <a:ext uri="{FF2B5EF4-FFF2-40B4-BE49-F238E27FC236}">
              <a16:creationId xmlns:a16="http://schemas.microsoft.com/office/drawing/2014/main" id="{C46009CC-42CD-4CF8-83FD-D14A29705F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96" name="AutoShape 2" descr="Story">
          <a:hlinkClick xmlns:r="http://schemas.openxmlformats.org/officeDocument/2006/relationships" r:id="rId12"/>
          <a:extLst>
            <a:ext uri="{FF2B5EF4-FFF2-40B4-BE49-F238E27FC236}">
              <a16:creationId xmlns:a16="http://schemas.microsoft.com/office/drawing/2014/main" id="{A3EBA145-503C-4DAF-8A98-8037739DCA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97" name="AutoShape 3" descr="Story">
          <a:hlinkClick xmlns:r="http://schemas.openxmlformats.org/officeDocument/2006/relationships" r:id="rId11"/>
          <a:extLst>
            <a:ext uri="{FF2B5EF4-FFF2-40B4-BE49-F238E27FC236}">
              <a16:creationId xmlns:a16="http://schemas.microsoft.com/office/drawing/2014/main" id="{8B077323-E257-4A4B-98D4-7E49BE117E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98" name="AutoShape 4" descr="Bug">
          <a:hlinkClick xmlns:r="http://schemas.openxmlformats.org/officeDocument/2006/relationships" r:id="rId1"/>
          <a:extLst>
            <a:ext uri="{FF2B5EF4-FFF2-40B4-BE49-F238E27FC236}">
              <a16:creationId xmlns:a16="http://schemas.microsoft.com/office/drawing/2014/main" id="{7ABF3405-ACD6-4EFD-AC61-498D433D88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199" name="AutoShape 5" descr="Story">
          <a:hlinkClick xmlns:r="http://schemas.openxmlformats.org/officeDocument/2006/relationships" r:id="rId14"/>
          <a:extLst>
            <a:ext uri="{FF2B5EF4-FFF2-40B4-BE49-F238E27FC236}">
              <a16:creationId xmlns:a16="http://schemas.microsoft.com/office/drawing/2014/main" id="{1B83FDB2-BB6D-4256-ABCA-81016910D4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0" name="AutoShape 6" descr="Bug">
          <a:hlinkClick xmlns:r="http://schemas.openxmlformats.org/officeDocument/2006/relationships" r:id="rId2"/>
          <a:extLst>
            <a:ext uri="{FF2B5EF4-FFF2-40B4-BE49-F238E27FC236}">
              <a16:creationId xmlns:a16="http://schemas.microsoft.com/office/drawing/2014/main" id="{0272C4D7-56DD-41DC-A5BE-B909F39605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1" name="AutoShape 7" descr="Story">
          <a:hlinkClick xmlns:r="http://schemas.openxmlformats.org/officeDocument/2006/relationships" r:id="rId3"/>
          <a:extLst>
            <a:ext uri="{FF2B5EF4-FFF2-40B4-BE49-F238E27FC236}">
              <a16:creationId xmlns:a16="http://schemas.microsoft.com/office/drawing/2014/main" id="{FB1B95F2-B6DF-413D-A268-6D51219061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2" name="AutoShape 8" descr="Story">
          <a:hlinkClick xmlns:r="http://schemas.openxmlformats.org/officeDocument/2006/relationships" r:id="rId4"/>
          <a:extLst>
            <a:ext uri="{FF2B5EF4-FFF2-40B4-BE49-F238E27FC236}">
              <a16:creationId xmlns:a16="http://schemas.microsoft.com/office/drawing/2014/main" id="{EB78EBA5-DD40-41FE-A5CD-FD1C5C0933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3" name="AutoShape 9" descr="Story">
          <a:hlinkClick xmlns:r="http://schemas.openxmlformats.org/officeDocument/2006/relationships" r:id="rId5"/>
          <a:extLst>
            <a:ext uri="{FF2B5EF4-FFF2-40B4-BE49-F238E27FC236}">
              <a16:creationId xmlns:a16="http://schemas.microsoft.com/office/drawing/2014/main" id="{577ADBF7-DA09-47B8-A1AC-A5F3ABBD5D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4" name="AutoShape 10" descr="Story">
          <a:hlinkClick xmlns:r="http://schemas.openxmlformats.org/officeDocument/2006/relationships" r:id="rId6"/>
          <a:extLst>
            <a:ext uri="{FF2B5EF4-FFF2-40B4-BE49-F238E27FC236}">
              <a16:creationId xmlns:a16="http://schemas.microsoft.com/office/drawing/2014/main" id="{77F7D3A1-14DD-4907-8BAD-B0BAB51004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5" name="AutoShape 11" descr="Story">
          <a:hlinkClick xmlns:r="http://schemas.openxmlformats.org/officeDocument/2006/relationships" r:id="rId15"/>
          <a:extLst>
            <a:ext uri="{FF2B5EF4-FFF2-40B4-BE49-F238E27FC236}">
              <a16:creationId xmlns:a16="http://schemas.microsoft.com/office/drawing/2014/main" id="{08A61313-14A9-48A4-BE8A-EA79C52F5F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6" name="AutoShape 12" descr="Story">
          <a:hlinkClick xmlns:r="http://schemas.openxmlformats.org/officeDocument/2006/relationships" r:id="rId12"/>
          <a:extLst>
            <a:ext uri="{FF2B5EF4-FFF2-40B4-BE49-F238E27FC236}">
              <a16:creationId xmlns:a16="http://schemas.microsoft.com/office/drawing/2014/main" id="{6CC70334-382E-4A8D-981A-B606BAED8B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7" name="AutoShape 13" descr="Story">
          <a:hlinkClick xmlns:r="http://schemas.openxmlformats.org/officeDocument/2006/relationships" r:id="rId4"/>
          <a:extLst>
            <a:ext uri="{FF2B5EF4-FFF2-40B4-BE49-F238E27FC236}">
              <a16:creationId xmlns:a16="http://schemas.microsoft.com/office/drawing/2014/main" id="{6E9CD35C-E2B9-47AD-8F57-4990F6D8F9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8" name="AutoShape 14" descr="Story">
          <a:hlinkClick xmlns:r="http://schemas.openxmlformats.org/officeDocument/2006/relationships" r:id="rId4"/>
          <a:extLst>
            <a:ext uri="{FF2B5EF4-FFF2-40B4-BE49-F238E27FC236}">
              <a16:creationId xmlns:a16="http://schemas.microsoft.com/office/drawing/2014/main" id="{F7BA6692-4027-4F49-899E-F6FD7E90B0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09" name="AutoShape 15" descr="Story">
          <a:hlinkClick xmlns:r="http://schemas.openxmlformats.org/officeDocument/2006/relationships" r:id="rId4"/>
          <a:extLst>
            <a:ext uri="{FF2B5EF4-FFF2-40B4-BE49-F238E27FC236}">
              <a16:creationId xmlns:a16="http://schemas.microsoft.com/office/drawing/2014/main" id="{7E38F360-E00D-42EA-BD47-0A639F3509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210" name="AutoShape 1" descr="Story">
          <a:hlinkClick xmlns:r="http://schemas.openxmlformats.org/officeDocument/2006/relationships" r:id="rId7"/>
          <a:extLst>
            <a:ext uri="{FF2B5EF4-FFF2-40B4-BE49-F238E27FC236}">
              <a16:creationId xmlns:a16="http://schemas.microsoft.com/office/drawing/2014/main" id="{A2C5E145-07F9-419A-BFB4-22E6FC053E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1" name="AutoShape 2" descr="Story">
          <a:hlinkClick xmlns:r="http://schemas.openxmlformats.org/officeDocument/2006/relationships" r:id="rId8"/>
          <a:extLst>
            <a:ext uri="{FF2B5EF4-FFF2-40B4-BE49-F238E27FC236}">
              <a16:creationId xmlns:a16="http://schemas.microsoft.com/office/drawing/2014/main" id="{BADFCA85-6022-4410-8B3C-338999BA47A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2" name="AutoShape 5" descr="Story">
          <a:hlinkClick xmlns:r="http://schemas.openxmlformats.org/officeDocument/2006/relationships" r:id="rId6"/>
          <a:extLst>
            <a:ext uri="{FF2B5EF4-FFF2-40B4-BE49-F238E27FC236}">
              <a16:creationId xmlns:a16="http://schemas.microsoft.com/office/drawing/2014/main" id="{DD7FF4AC-6ABC-4D08-B233-8E70F613F79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3" name="AutoShape 1" descr="Sub-task">
          <a:hlinkClick xmlns:r="http://schemas.openxmlformats.org/officeDocument/2006/relationships" r:id="rId9"/>
          <a:extLst>
            <a:ext uri="{FF2B5EF4-FFF2-40B4-BE49-F238E27FC236}">
              <a16:creationId xmlns:a16="http://schemas.microsoft.com/office/drawing/2014/main" id="{5FC8A269-2E89-4580-A6F2-E7DEF1D64A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4" name="AutoShape 2" descr="Sub-task">
          <a:hlinkClick xmlns:r="http://schemas.openxmlformats.org/officeDocument/2006/relationships" r:id="rId10"/>
          <a:extLst>
            <a:ext uri="{FF2B5EF4-FFF2-40B4-BE49-F238E27FC236}">
              <a16:creationId xmlns:a16="http://schemas.microsoft.com/office/drawing/2014/main" id="{9D7D56D5-4D1E-4C6C-A171-83331F6943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5" name="AutoShape 3" descr="Story">
          <a:hlinkClick xmlns:r="http://schemas.openxmlformats.org/officeDocument/2006/relationships" r:id="rId11"/>
          <a:extLst>
            <a:ext uri="{FF2B5EF4-FFF2-40B4-BE49-F238E27FC236}">
              <a16:creationId xmlns:a16="http://schemas.microsoft.com/office/drawing/2014/main" id="{91B32F88-0C4D-4C4F-B208-ACA0A38871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6" name="AutoShape 12" descr="Story">
          <a:hlinkClick xmlns:r="http://schemas.openxmlformats.org/officeDocument/2006/relationships" r:id="rId12"/>
          <a:extLst>
            <a:ext uri="{FF2B5EF4-FFF2-40B4-BE49-F238E27FC236}">
              <a16:creationId xmlns:a16="http://schemas.microsoft.com/office/drawing/2014/main" id="{3B58D2CA-7237-4FD9-807D-D1E003DD94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7" name="AutoShape 1" descr="Story">
          <a:hlinkClick xmlns:r="http://schemas.openxmlformats.org/officeDocument/2006/relationships" r:id="rId13"/>
          <a:extLst>
            <a:ext uri="{FF2B5EF4-FFF2-40B4-BE49-F238E27FC236}">
              <a16:creationId xmlns:a16="http://schemas.microsoft.com/office/drawing/2014/main" id="{0A5E0BD5-A570-427F-AFEB-01A503E132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8" name="AutoShape 1" descr="Story">
          <a:hlinkClick xmlns:r="http://schemas.openxmlformats.org/officeDocument/2006/relationships" r:id="rId13"/>
          <a:extLst>
            <a:ext uri="{FF2B5EF4-FFF2-40B4-BE49-F238E27FC236}">
              <a16:creationId xmlns:a16="http://schemas.microsoft.com/office/drawing/2014/main" id="{62AC438C-6BA6-4EE0-A005-DC52121004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19" name="AutoShape 3" descr="Story">
          <a:hlinkClick xmlns:r="http://schemas.openxmlformats.org/officeDocument/2006/relationships" r:id="rId4"/>
          <a:extLst>
            <a:ext uri="{FF2B5EF4-FFF2-40B4-BE49-F238E27FC236}">
              <a16:creationId xmlns:a16="http://schemas.microsoft.com/office/drawing/2014/main" id="{5EA9FB6C-DA5B-46FB-8B2D-65DBEB5138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0" name="AutoShape 4" descr="Story">
          <a:hlinkClick xmlns:r="http://schemas.openxmlformats.org/officeDocument/2006/relationships" r:id="rId5"/>
          <a:extLst>
            <a:ext uri="{FF2B5EF4-FFF2-40B4-BE49-F238E27FC236}">
              <a16:creationId xmlns:a16="http://schemas.microsoft.com/office/drawing/2014/main" id="{1C011CFF-1363-4A94-AE85-13B40DB8E0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1" name="AutoShape 1" descr="Story">
          <a:hlinkClick xmlns:r="http://schemas.openxmlformats.org/officeDocument/2006/relationships" r:id="rId7"/>
          <a:extLst>
            <a:ext uri="{FF2B5EF4-FFF2-40B4-BE49-F238E27FC236}">
              <a16:creationId xmlns:a16="http://schemas.microsoft.com/office/drawing/2014/main" id="{9A7E3B45-C890-4E6E-8DD8-6834CFEC6D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2" name="AutoShape 2" descr="Story">
          <a:hlinkClick xmlns:r="http://schemas.openxmlformats.org/officeDocument/2006/relationships" r:id="rId8"/>
          <a:extLst>
            <a:ext uri="{FF2B5EF4-FFF2-40B4-BE49-F238E27FC236}">
              <a16:creationId xmlns:a16="http://schemas.microsoft.com/office/drawing/2014/main" id="{B42EA71B-9978-4803-B8F4-2AF9BEF788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3" name="AutoShape 3" descr="Story">
          <a:hlinkClick xmlns:r="http://schemas.openxmlformats.org/officeDocument/2006/relationships" r:id="rId4"/>
          <a:extLst>
            <a:ext uri="{FF2B5EF4-FFF2-40B4-BE49-F238E27FC236}">
              <a16:creationId xmlns:a16="http://schemas.microsoft.com/office/drawing/2014/main" id="{9EE13CFF-6F24-4D5D-98D2-9EB52B417B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4" name="AutoShape 4" descr="Story">
          <a:hlinkClick xmlns:r="http://schemas.openxmlformats.org/officeDocument/2006/relationships" r:id="rId5"/>
          <a:extLst>
            <a:ext uri="{FF2B5EF4-FFF2-40B4-BE49-F238E27FC236}">
              <a16:creationId xmlns:a16="http://schemas.microsoft.com/office/drawing/2014/main" id="{F47137CC-5023-4D88-A6CF-987A648C18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5" name="AutoShape 5" descr="Story">
          <a:hlinkClick xmlns:r="http://schemas.openxmlformats.org/officeDocument/2006/relationships" r:id="rId6"/>
          <a:extLst>
            <a:ext uri="{FF2B5EF4-FFF2-40B4-BE49-F238E27FC236}">
              <a16:creationId xmlns:a16="http://schemas.microsoft.com/office/drawing/2014/main" id="{252F5477-5147-4748-8D71-CE2A2DB292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6" name="AutoShape 1" descr="Sub-task">
          <a:hlinkClick xmlns:r="http://schemas.openxmlformats.org/officeDocument/2006/relationships" r:id="rId9"/>
          <a:extLst>
            <a:ext uri="{FF2B5EF4-FFF2-40B4-BE49-F238E27FC236}">
              <a16:creationId xmlns:a16="http://schemas.microsoft.com/office/drawing/2014/main" id="{74CF2D0D-7A04-4FEF-890F-E0FF1DB53B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7" name="AutoShape 2" descr="Sub-task">
          <a:hlinkClick xmlns:r="http://schemas.openxmlformats.org/officeDocument/2006/relationships" r:id="rId10"/>
          <a:extLst>
            <a:ext uri="{FF2B5EF4-FFF2-40B4-BE49-F238E27FC236}">
              <a16:creationId xmlns:a16="http://schemas.microsoft.com/office/drawing/2014/main" id="{FD43D501-2EA6-414C-BBD9-2EC9FAB6AC1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8" name="AutoShape 7" descr="Story">
          <a:hlinkClick xmlns:r="http://schemas.openxmlformats.org/officeDocument/2006/relationships" r:id="rId3"/>
          <a:extLst>
            <a:ext uri="{FF2B5EF4-FFF2-40B4-BE49-F238E27FC236}">
              <a16:creationId xmlns:a16="http://schemas.microsoft.com/office/drawing/2014/main" id="{39FC7AB4-CF7F-400F-B2A6-3431BDD601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29" name="AutoShape 3" descr="Story">
          <a:hlinkClick xmlns:r="http://schemas.openxmlformats.org/officeDocument/2006/relationships" r:id="rId11"/>
          <a:extLst>
            <a:ext uri="{FF2B5EF4-FFF2-40B4-BE49-F238E27FC236}">
              <a16:creationId xmlns:a16="http://schemas.microsoft.com/office/drawing/2014/main" id="{93805589-A65E-4D52-B354-E1F90E1CAE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0" name="AutoShape 12" descr="Story">
          <a:hlinkClick xmlns:r="http://schemas.openxmlformats.org/officeDocument/2006/relationships" r:id="rId12"/>
          <a:extLst>
            <a:ext uri="{FF2B5EF4-FFF2-40B4-BE49-F238E27FC236}">
              <a16:creationId xmlns:a16="http://schemas.microsoft.com/office/drawing/2014/main" id="{9A0C71D7-6C11-4A0D-842E-D56BAC97ED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1" name="AutoShape 1" descr="Story">
          <a:hlinkClick xmlns:r="http://schemas.openxmlformats.org/officeDocument/2006/relationships" r:id="rId13"/>
          <a:extLst>
            <a:ext uri="{FF2B5EF4-FFF2-40B4-BE49-F238E27FC236}">
              <a16:creationId xmlns:a16="http://schemas.microsoft.com/office/drawing/2014/main" id="{A8EFB39D-94CC-4115-8889-67DA603C62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2" name="AutoShape 1" descr="Story">
          <a:hlinkClick xmlns:r="http://schemas.openxmlformats.org/officeDocument/2006/relationships" r:id="rId13"/>
          <a:extLst>
            <a:ext uri="{FF2B5EF4-FFF2-40B4-BE49-F238E27FC236}">
              <a16:creationId xmlns:a16="http://schemas.microsoft.com/office/drawing/2014/main" id="{08D8C915-D3EA-4475-A01C-E5BC4BF816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3" name="AutoShape 3" descr="Story">
          <a:hlinkClick xmlns:r="http://schemas.openxmlformats.org/officeDocument/2006/relationships" r:id="rId4"/>
          <a:extLst>
            <a:ext uri="{FF2B5EF4-FFF2-40B4-BE49-F238E27FC236}">
              <a16:creationId xmlns:a16="http://schemas.microsoft.com/office/drawing/2014/main" id="{A88E129E-C355-420C-89DE-DEA9CE4403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4" name="AutoShape 4" descr="Story">
          <a:hlinkClick xmlns:r="http://schemas.openxmlformats.org/officeDocument/2006/relationships" r:id="rId5"/>
          <a:extLst>
            <a:ext uri="{FF2B5EF4-FFF2-40B4-BE49-F238E27FC236}">
              <a16:creationId xmlns:a16="http://schemas.microsoft.com/office/drawing/2014/main" id="{83C36D52-551C-4686-817C-FBA584731A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5" name="AutoShape 7" descr="Story">
          <a:hlinkClick xmlns:r="http://schemas.openxmlformats.org/officeDocument/2006/relationships" r:id="rId3"/>
          <a:extLst>
            <a:ext uri="{FF2B5EF4-FFF2-40B4-BE49-F238E27FC236}">
              <a16:creationId xmlns:a16="http://schemas.microsoft.com/office/drawing/2014/main" id="{D2AE9F57-2931-4BFC-A001-08578CDF6B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6" name="AutoShape 8" descr="Story">
          <a:hlinkClick xmlns:r="http://schemas.openxmlformats.org/officeDocument/2006/relationships" r:id="rId4"/>
          <a:extLst>
            <a:ext uri="{FF2B5EF4-FFF2-40B4-BE49-F238E27FC236}">
              <a16:creationId xmlns:a16="http://schemas.microsoft.com/office/drawing/2014/main" id="{F9DE8E80-2F37-4FE7-BC82-DA89816955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37" name="AutoShape 8" descr="Story">
          <a:hlinkClick xmlns:r="http://schemas.openxmlformats.org/officeDocument/2006/relationships" r:id="rId4"/>
          <a:extLst>
            <a:ext uri="{FF2B5EF4-FFF2-40B4-BE49-F238E27FC236}">
              <a16:creationId xmlns:a16="http://schemas.microsoft.com/office/drawing/2014/main" id="{90B407EE-EF9E-44F3-A7F9-20F5545491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238" name="AutoShape 1" descr="Story">
          <a:hlinkClick xmlns:r="http://schemas.openxmlformats.org/officeDocument/2006/relationships" r:id="rId13"/>
          <a:extLst>
            <a:ext uri="{FF2B5EF4-FFF2-40B4-BE49-F238E27FC236}">
              <a16:creationId xmlns:a16="http://schemas.microsoft.com/office/drawing/2014/main" id="{D437345C-46EE-46ED-82D9-27D406CFBB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39" name="AutoShape 2" descr="Story">
          <a:hlinkClick xmlns:r="http://schemas.openxmlformats.org/officeDocument/2006/relationships" r:id="rId12"/>
          <a:extLst>
            <a:ext uri="{FF2B5EF4-FFF2-40B4-BE49-F238E27FC236}">
              <a16:creationId xmlns:a16="http://schemas.microsoft.com/office/drawing/2014/main" id="{48C7F448-A4E8-497D-A9E1-80C9A8CBC2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0" name="AutoShape 3" descr="Story">
          <a:hlinkClick xmlns:r="http://schemas.openxmlformats.org/officeDocument/2006/relationships" r:id="rId11"/>
          <a:extLst>
            <a:ext uri="{FF2B5EF4-FFF2-40B4-BE49-F238E27FC236}">
              <a16:creationId xmlns:a16="http://schemas.microsoft.com/office/drawing/2014/main" id="{B30DD1AF-061A-42FA-9B00-EEA32FFDEA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1" name="AutoShape 4" descr="Bug">
          <a:hlinkClick xmlns:r="http://schemas.openxmlformats.org/officeDocument/2006/relationships" r:id="rId1"/>
          <a:extLst>
            <a:ext uri="{FF2B5EF4-FFF2-40B4-BE49-F238E27FC236}">
              <a16:creationId xmlns:a16="http://schemas.microsoft.com/office/drawing/2014/main" id="{5EB30B49-2687-42D3-A3AC-81D8FD600E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2" name="AutoShape 5" descr="Story">
          <a:hlinkClick xmlns:r="http://schemas.openxmlformats.org/officeDocument/2006/relationships" r:id="rId14"/>
          <a:extLst>
            <a:ext uri="{FF2B5EF4-FFF2-40B4-BE49-F238E27FC236}">
              <a16:creationId xmlns:a16="http://schemas.microsoft.com/office/drawing/2014/main" id="{EEF823D5-8EB2-4078-ABC0-103FD4850A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3" name="AutoShape 6" descr="Bug">
          <a:hlinkClick xmlns:r="http://schemas.openxmlformats.org/officeDocument/2006/relationships" r:id="rId2"/>
          <a:extLst>
            <a:ext uri="{FF2B5EF4-FFF2-40B4-BE49-F238E27FC236}">
              <a16:creationId xmlns:a16="http://schemas.microsoft.com/office/drawing/2014/main" id="{DCA0B843-AA05-4A2F-8CFA-C84690C89F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4" name="AutoShape 7" descr="Story">
          <a:hlinkClick xmlns:r="http://schemas.openxmlformats.org/officeDocument/2006/relationships" r:id="rId3"/>
          <a:extLst>
            <a:ext uri="{FF2B5EF4-FFF2-40B4-BE49-F238E27FC236}">
              <a16:creationId xmlns:a16="http://schemas.microsoft.com/office/drawing/2014/main" id="{42B1F702-6D40-4B24-BB8E-6EC30BA65E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5" name="AutoShape 8" descr="Story">
          <a:hlinkClick xmlns:r="http://schemas.openxmlformats.org/officeDocument/2006/relationships" r:id="rId4"/>
          <a:extLst>
            <a:ext uri="{FF2B5EF4-FFF2-40B4-BE49-F238E27FC236}">
              <a16:creationId xmlns:a16="http://schemas.microsoft.com/office/drawing/2014/main" id="{B8C92FBA-7ADE-4E7E-A8D3-4CE24D108F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6" name="AutoShape 9" descr="Story">
          <a:hlinkClick xmlns:r="http://schemas.openxmlformats.org/officeDocument/2006/relationships" r:id="rId5"/>
          <a:extLst>
            <a:ext uri="{FF2B5EF4-FFF2-40B4-BE49-F238E27FC236}">
              <a16:creationId xmlns:a16="http://schemas.microsoft.com/office/drawing/2014/main" id="{FF8C4B62-F210-4D78-8FD0-7E121B19DE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7" name="AutoShape 10" descr="Story">
          <a:hlinkClick xmlns:r="http://schemas.openxmlformats.org/officeDocument/2006/relationships" r:id="rId6"/>
          <a:extLst>
            <a:ext uri="{FF2B5EF4-FFF2-40B4-BE49-F238E27FC236}">
              <a16:creationId xmlns:a16="http://schemas.microsoft.com/office/drawing/2014/main" id="{F0DB8369-BB2E-4396-9D84-0E045003E9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8" name="AutoShape 11" descr="Story">
          <a:hlinkClick xmlns:r="http://schemas.openxmlformats.org/officeDocument/2006/relationships" r:id="rId15"/>
          <a:extLst>
            <a:ext uri="{FF2B5EF4-FFF2-40B4-BE49-F238E27FC236}">
              <a16:creationId xmlns:a16="http://schemas.microsoft.com/office/drawing/2014/main" id="{2DB2BCB3-4AE0-49AC-931B-C8B36E7652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49" name="AutoShape 12" descr="Story">
          <a:hlinkClick xmlns:r="http://schemas.openxmlformats.org/officeDocument/2006/relationships" r:id="rId12"/>
          <a:extLst>
            <a:ext uri="{FF2B5EF4-FFF2-40B4-BE49-F238E27FC236}">
              <a16:creationId xmlns:a16="http://schemas.microsoft.com/office/drawing/2014/main" id="{EE5FFF66-84FE-4BEC-ABEB-1080DEF418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50" name="AutoShape 13" descr="Story">
          <a:hlinkClick xmlns:r="http://schemas.openxmlformats.org/officeDocument/2006/relationships" r:id="rId4"/>
          <a:extLst>
            <a:ext uri="{FF2B5EF4-FFF2-40B4-BE49-F238E27FC236}">
              <a16:creationId xmlns:a16="http://schemas.microsoft.com/office/drawing/2014/main" id="{277C8940-D748-47EE-A2F4-0682B2C268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51" name="AutoShape 14" descr="Story">
          <a:hlinkClick xmlns:r="http://schemas.openxmlformats.org/officeDocument/2006/relationships" r:id="rId4"/>
          <a:extLst>
            <a:ext uri="{FF2B5EF4-FFF2-40B4-BE49-F238E27FC236}">
              <a16:creationId xmlns:a16="http://schemas.microsoft.com/office/drawing/2014/main" id="{4B69E40C-45BF-44DF-AB16-FAA2C0C020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52" name="AutoShape 15" descr="Story">
          <a:hlinkClick xmlns:r="http://schemas.openxmlformats.org/officeDocument/2006/relationships" r:id="rId4"/>
          <a:extLst>
            <a:ext uri="{FF2B5EF4-FFF2-40B4-BE49-F238E27FC236}">
              <a16:creationId xmlns:a16="http://schemas.microsoft.com/office/drawing/2014/main" id="{EB343948-B39B-4BA3-AE0E-8587F3BB84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253" name="AutoShape 1" descr="Story">
          <a:hlinkClick xmlns:r="http://schemas.openxmlformats.org/officeDocument/2006/relationships" r:id="rId7"/>
          <a:extLst>
            <a:ext uri="{FF2B5EF4-FFF2-40B4-BE49-F238E27FC236}">
              <a16:creationId xmlns:a16="http://schemas.microsoft.com/office/drawing/2014/main" id="{FC4426C3-CA1B-405A-8876-D17B94ECEB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4" name="AutoShape 2" descr="Story">
          <a:hlinkClick xmlns:r="http://schemas.openxmlformats.org/officeDocument/2006/relationships" r:id="rId8"/>
          <a:extLst>
            <a:ext uri="{FF2B5EF4-FFF2-40B4-BE49-F238E27FC236}">
              <a16:creationId xmlns:a16="http://schemas.microsoft.com/office/drawing/2014/main" id="{DDD0AC5A-7599-44CF-BD21-A01F5CB0ED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5" name="AutoShape 5" descr="Story">
          <a:hlinkClick xmlns:r="http://schemas.openxmlformats.org/officeDocument/2006/relationships" r:id="rId6"/>
          <a:extLst>
            <a:ext uri="{FF2B5EF4-FFF2-40B4-BE49-F238E27FC236}">
              <a16:creationId xmlns:a16="http://schemas.microsoft.com/office/drawing/2014/main" id="{CCC5C632-C78C-4DD3-A16A-C0392B201B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6" name="AutoShape 1" descr="Sub-task">
          <a:hlinkClick xmlns:r="http://schemas.openxmlformats.org/officeDocument/2006/relationships" r:id="rId9"/>
          <a:extLst>
            <a:ext uri="{FF2B5EF4-FFF2-40B4-BE49-F238E27FC236}">
              <a16:creationId xmlns:a16="http://schemas.microsoft.com/office/drawing/2014/main" id="{A30E8171-2AAE-450B-B2E7-9AA9B60BB7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7" name="AutoShape 2" descr="Sub-task">
          <a:hlinkClick xmlns:r="http://schemas.openxmlformats.org/officeDocument/2006/relationships" r:id="rId10"/>
          <a:extLst>
            <a:ext uri="{FF2B5EF4-FFF2-40B4-BE49-F238E27FC236}">
              <a16:creationId xmlns:a16="http://schemas.microsoft.com/office/drawing/2014/main" id="{4293D0A8-EAED-4179-AD3B-4D2CEABB1D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8" name="AutoShape 3" descr="Story">
          <a:hlinkClick xmlns:r="http://schemas.openxmlformats.org/officeDocument/2006/relationships" r:id="rId11"/>
          <a:extLst>
            <a:ext uri="{FF2B5EF4-FFF2-40B4-BE49-F238E27FC236}">
              <a16:creationId xmlns:a16="http://schemas.microsoft.com/office/drawing/2014/main" id="{08C6751C-05BB-4477-A0CA-A0C73CFD43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59" name="AutoShape 12" descr="Story">
          <a:hlinkClick xmlns:r="http://schemas.openxmlformats.org/officeDocument/2006/relationships" r:id="rId12"/>
          <a:extLst>
            <a:ext uri="{FF2B5EF4-FFF2-40B4-BE49-F238E27FC236}">
              <a16:creationId xmlns:a16="http://schemas.microsoft.com/office/drawing/2014/main" id="{E819CEA8-968F-4F93-B5AB-F770E400F3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0" name="AutoShape 1" descr="Story">
          <a:hlinkClick xmlns:r="http://schemas.openxmlformats.org/officeDocument/2006/relationships" r:id="rId13"/>
          <a:extLst>
            <a:ext uri="{FF2B5EF4-FFF2-40B4-BE49-F238E27FC236}">
              <a16:creationId xmlns:a16="http://schemas.microsoft.com/office/drawing/2014/main" id="{5B667B70-34AC-4329-A51A-BB1BD68919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1" name="AutoShape 1" descr="Story">
          <a:hlinkClick xmlns:r="http://schemas.openxmlformats.org/officeDocument/2006/relationships" r:id="rId13"/>
          <a:extLst>
            <a:ext uri="{FF2B5EF4-FFF2-40B4-BE49-F238E27FC236}">
              <a16:creationId xmlns:a16="http://schemas.microsoft.com/office/drawing/2014/main" id="{8F31F4E2-6B60-4FEA-821B-16C0CA51AA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2" name="AutoShape 3" descr="Story">
          <a:hlinkClick xmlns:r="http://schemas.openxmlformats.org/officeDocument/2006/relationships" r:id="rId4"/>
          <a:extLst>
            <a:ext uri="{FF2B5EF4-FFF2-40B4-BE49-F238E27FC236}">
              <a16:creationId xmlns:a16="http://schemas.microsoft.com/office/drawing/2014/main" id="{C2917A51-1042-4678-842E-3863FA4ED2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3" name="AutoShape 4" descr="Story">
          <a:hlinkClick xmlns:r="http://schemas.openxmlformats.org/officeDocument/2006/relationships" r:id="rId5"/>
          <a:extLst>
            <a:ext uri="{FF2B5EF4-FFF2-40B4-BE49-F238E27FC236}">
              <a16:creationId xmlns:a16="http://schemas.microsoft.com/office/drawing/2014/main" id="{4A169F12-1600-4CE8-B74F-CA54BCC1FA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4" name="AutoShape 1" descr="Story">
          <a:hlinkClick xmlns:r="http://schemas.openxmlformats.org/officeDocument/2006/relationships" r:id="rId7"/>
          <a:extLst>
            <a:ext uri="{FF2B5EF4-FFF2-40B4-BE49-F238E27FC236}">
              <a16:creationId xmlns:a16="http://schemas.microsoft.com/office/drawing/2014/main" id="{1A3F871E-729F-4EA3-90B2-812E476397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5" name="AutoShape 2" descr="Story">
          <a:hlinkClick xmlns:r="http://schemas.openxmlformats.org/officeDocument/2006/relationships" r:id="rId8"/>
          <a:extLst>
            <a:ext uri="{FF2B5EF4-FFF2-40B4-BE49-F238E27FC236}">
              <a16:creationId xmlns:a16="http://schemas.microsoft.com/office/drawing/2014/main" id="{7DB356D9-9EBE-4485-B3AF-FAA4AF69BA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6" name="AutoShape 3" descr="Story">
          <a:hlinkClick xmlns:r="http://schemas.openxmlformats.org/officeDocument/2006/relationships" r:id="rId4"/>
          <a:extLst>
            <a:ext uri="{FF2B5EF4-FFF2-40B4-BE49-F238E27FC236}">
              <a16:creationId xmlns:a16="http://schemas.microsoft.com/office/drawing/2014/main" id="{FCECD5E8-E6B6-46E8-B390-564F978E1C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7" name="AutoShape 4" descr="Story">
          <a:hlinkClick xmlns:r="http://schemas.openxmlformats.org/officeDocument/2006/relationships" r:id="rId5"/>
          <a:extLst>
            <a:ext uri="{FF2B5EF4-FFF2-40B4-BE49-F238E27FC236}">
              <a16:creationId xmlns:a16="http://schemas.microsoft.com/office/drawing/2014/main" id="{D46397DF-8999-4DA6-82E7-F91E4CA404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8" name="AutoShape 5" descr="Story">
          <a:hlinkClick xmlns:r="http://schemas.openxmlformats.org/officeDocument/2006/relationships" r:id="rId6"/>
          <a:extLst>
            <a:ext uri="{FF2B5EF4-FFF2-40B4-BE49-F238E27FC236}">
              <a16:creationId xmlns:a16="http://schemas.microsoft.com/office/drawing/2014/main" id="{479A7BD8-3BC3-4C04-8E25-CE2DD2010C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69" name="AutoShape 1" descr="Sub-task">
          <a:hlinkClick xmlns:r="http://schemas.openxmlformats.org/officeDocument/2006/relationships" r:id="rId9"/>
          <a:extLst>
            <a:ext uri="{FF2B5EF4-FFF2-40B4-BE49-F238E27FC236}">
              <a16:creationId xmlns:a16="http://schemas.microsoft.com/office/drawing/2014/main" id="{1363D09B-4BD1-4940-B983-BDE59CDE85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0" name="AutoShape 2" descr="Sub-task">
          <a:hlinkClick xmlns:r="http://schemas.openxmlformats.org/officeDocument/2006/relationships" r:id="rId10"/>
          <a:extLst>
            <a:ext uri="{FF2B5EF4-FFF2-40B4-BE49-F238E27FC236}">
              <a16:creationId xmlns:a16="http://schemas.microsoft.com/office/drawing/2014/main" id="{9D752ACF-58AE-4F2F-8102-89AFAD15AC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1" name="AutoShape 7" descr="Story">
          <a:hlinkClick xmlns:r="http://schemas.openxmlformats.org/officeDocument/2006/relationships" r:id="rId3"/>
          <a:extLst>
            <a:ext uri="{FF2B5EF4-FFF2-40B4-BE49-F238E27FC236}">
              <a16:creationId xmlns:a16="http://schemas.microsoft.com/office/drawing/2014/main" id="{0DD9B430-3D4C-4D5F-965D-9774F119D5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2" name="AutoShape 3" descr="Story">
          <a:hlinkClick xmlns:r="http://schemas.openxmlformats.org/officeDocument/2006/relationships" r:id="rId11"/>
          <a:extLst>
            <a:ext uri="{FF2B5EF4-FFF2-40B4-BE49-F238E27FC236}">
              <a16:creationId xmlns:a16="http://schemas.microsoft.com/office/drawing/2014/main" id="{A2502C92-B377-4DC9-A9B1-DB32CA9FC6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3" name="AutoShape 12" descr="Story">
          <a:hlinkClick xmlns:r="http://schemas.openxmlformats.org/officeDocument/2006/relationships" r:id="rId12"/>
          <a:extLst>
            <a:ext uri="{FF2B5EF4-FFF2-40B4-BE49-F238E27FC236}">
              <a16:creationId xmlns:a16="http://schemas.microsoft.com/office/drawing/2014/main" id="{65101EEA-43E0-4824-802A-EDFA7447C2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4" name="AutoShape 1" descr="Story">
          <a:hlinkClick xmlns:r="http://schemas.openxmlformats.org/officeDocument/2006/relationships" r:id="rId13"/>
          <a:extLst>
            <a:ext uri="{FF2B5EF4-FFF2-40B4-BE49-F238E27FC236}">
              <a16:creationId xmlns:a16="http://schemas.microsoft.com/office/drawing/2014/main" id="{73BABC4F-666F-4C8E-A9EE-2BC2276B89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5" name="AutoShape 1" descr="Story">
          <a:hlinkClick xmlns:r="http://schemas.openxmlformats.org/officeDocument/2006/relationships" r:id="rId13"/>
          <a:extLst>
            <a:ext uri="{FF2B5EF4-FFF2-40B4-BE49-F238E27FC236}">
              <a16:creationId xmlns:a16="http://schemas.microsoft.com/office/drawing/2014/main" id="{C888BCF4-E252-47D2-9C25-5AAB4DE5CF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6" name="AutoShape 3" descr="Story">
          <a:hlinkClick xmlns:r="http://schemas.openxmlformats.org/officeDocument/2006/relationships" r:id="rId4"/>
          <a:extLst>
            <a:ext uri="{FF2B5EF4-FFF2-40B4-BE49-F238E27FC236}">
              <a16:creationId xmlns:a16="http://schemas.microsoft.com/office/drawing/2014/main" id="{34E80772-D811-4B62-AD5B-1A82E85B24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7" name="AutoShape 4" descr="Story">
          <a:hlinkClick xmlns:r="http://schemas.openxmlformats.org/officeDocument/2006/relationships" r:id="rId5"/>
          <a:extLst>
            <a:ext uri="{FF2B5EF4-FFF2-40B4-BE49-F238E27FC236}">
              <a16:creationId xmlns:a16="http://schemas.microsoft.com/office/drawing/2014/main" id="{A9E10770-E4FE-47C1-ACD3-33F6634FFE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8" name="AutoShape 7" descr="Story">
          <a:hlinkClick xmlns:r="http://schemas.openxmlformats.org/officeDocument/2006/relationships" r:id="rId3"/>
          <a:extLst>
            <a:ext uri="{FF2B5EF4-FFF2-40B4-BE49-F238E27FC236}">
              <a16:creationId xmlns:a16="http://schemas.microsoft.com/office/drawing/2014/main" id="{A09A2C55-50B9-491C-89C3-F2970807F0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79" name="AutoShape 8" descr="Story">
          <a:hlinkClick xmlns:r="http://schemas.openxmlformats.org/officeDocument/2006/relationships" r:id="rId4"/>
          <a:extLst>
            <a:ext uri="{FF2B5EF4-FFF2-40B4-BE49-F238E27FC236}">
              <a16:creationId xmlns:a16="http://schemas.microsoft.com/office/drawing/2014/main" id="{3AEC351B-5958-4703-B843-73A7594EF1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80" name="AutoShape 8" descr="Story">
          <a:hlinkClick xmlns:r="http://schemas.openxmlformats.org/officeDocument/2006/relationships" r:id="rId4"/>
          <a:extLst>
            <a:ext uri="{FF2B5EF4-FFF2-40B4-BE49-F238E27FC236}">
              <a16:creationId xmlns:a16="http://schemas.microsoft.com/office/drawing/2014/main" id="{9E528062-8228-44EE-9573-163D2C3FD8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281" name="AutoShape 1" descr="Story">
          <a:hlinkClick xmlns:r="http://schemas.openxmlformats.org/officeDocument/2006/relationships" r:id="rId13"/>
          <a:extLst>
            <a:ext uri="{FF2B5EF4-FFF2-40B4-BE49-F238E27FC236}">
              <a16:creationId xmlns:a16="http://schemas.microsoft.com/office/drawing/2014/main" id="{AAEA821F-2D8A-4246-A4E0-BB2F4F9C01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2" name="AutoShape 2" descr="Story">
          <a:hlinkClick xmlns:r="http://schemas.openxmlformats.org/officeDocument/2006/relationships" r:id="rId12"/>
          <a:extLst>
            <a:ext uri="{FF2B5EF4-FFF2-40B4-BE49-F238E27FC236}">
              <a16:creationId xmlns:a16="http://schemas.microsoft.com/office/drawing/2014/main" id="{162C4D1D-3C58-40B8-8A04-2DB233EC53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3" name="AutoShape 3" descr="Story">
          <a:hlinkClick xmlns:r="http://schemas.openxmlformats.org/officeDocument/2006/relationships" r:id="rId11"/>
          <a:extLst>
            <a:ext uri="{FF2B5EF4-FFF2-40B4-BE49-F238E27FC236}">
              <a16:creationId xmlns:a16="http://schemas.microsoft.com/office/drawing/2014/main" id="{BBC3F9EA-4001-4338-A218-6604A4C03E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4" name="AutoShape 4" descr="Bug">
          <a:hlinkClick xmlns:r="http://schemas.openxmlformats.org/officeDocument/2006/relationships" r:id="rId1"/>
          <a:extLst>
            <a:ext uri="{FF2B5EF4-FFF2-40B4-BE49-F238E27FC236}">
              <a16:creationId xmlns:a16="http://schemas.microsoft.com/office/drawing/2014/main" id="{625C838D-4F9A-489B-9EF4-3B807CF2F0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5" name="AutoShape 5" descr="Story">
          <a:hlinkClick xmlns:r="http://schemas.openxmlformats.org/officeDocument/2006/relationships" r:id="rId14"/>
          <a:extLst>
            <a:ext uri="{FF2B5EF4-FFF2-40B4-BE49-F238E27FC236}">
              <a16:creationId xmlns:a16="http://schemas.microsoft.com/office/drawing/2014/main" id="{0A3522A8-D336-4144-B7B9-DB4AC6A6F6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6" name="AutoShape 6" descr="Bug">
          <a:hlinkClick xmlns:r="http://schemas.openxmlformats.org/officeDocument/2006/relationships" r:id="rId2"/>
          <a:extLst>
            <a:ext uri="{FF2B5EF4-FFF2-40B4-BE49-F238E27FC236}">
              <a16:creationId xmlns:a16="http://schemas.microsoft.com/office/drawing/2014/main" id="{C61EB9A9-23C6-4768-AF7A-955E744140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7" name="AutoShape 7" descr="Story">
          <a:hlinkClick xmlns:r="http://schemas.openxmlformats.org/officeDocument/2006/relationships" r:id="rId3"/>
          <a:extLst>
            <a:ext uri="{FF2B5EF4-FFF2-40B4-BE49-F238E27FC236}">
              <a16:creationId xmlns:a16="http://schemas.microsoft.com/office/drawing/2014/main" id="{5CDE14F5-29E3-4249-A02B-B1C6623AE1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8" name="AutoShape 8" descr="Story">
          <a:hlinkClick xmlns:r="http://schemas.openxmlformats.org/officeDocument/2006/relationships" r:id="rId4"/>
          <a:extLst>
            <a:ext uri="{FF2B5EF4-FFF2-40B4-BE49-F238E27FC236}">
              <a16:creationId xmlns:a16="http://schemas.microsoft.com/office/drawing/2014/main" id="{006296F7-A170-4617-B5E7-478807C450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89" name="AutoShape 9" descr="Story">
          <a:hlinkClick xmlns:r="http://schemas.openxmlformats.org/officeDocument/2006/relationships" r:id="rId5"/>
          <a:extLst>
            <a:ext uri="{FF2B5EF4-FFF2-40B4-BE49-F238E27FC236}">
              <a16:creationId xmlns:a16="http://schemas.microsoft.com/office/drawing/2014/main" id="{0DF03374-E898-422E-8074-4E8A0E0CE4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0" name="AutoShape 10" descr="Story">
          <a:hlinkClick xmlns:r="http://schemas.openxmlformats.org/officeDocument/2006/relationships" r:id="rId6"/>
          <a:extLst>
            <a:ext uri="{FF2B5EF4-FFF2-40B4-BE49-F238E27FC236}">
              <a16:creationId xmlns:a16="http://schemas.microsoft.com/office/drawing/2014/main" id="{03043B97-F9A7-4715-90E8-86DEFAD5A5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1" name="AutoShape 11" descr="Story">
          <a:hlinkClick xmlns:r="http://schemas.openxmlformats.org/officeDocument/2006/relationships" r:id="rId15"/>
          <a:extLst>
            <a:ext uri="{FF2B5EF4-FFF2-40B4-BE49-F238E27FC236}">
              <a16:creationId xmlns:a16="http://schemas.microsoft.com/office/drawing/2014/main" id="{6CFFDFFB-5AC1-4025-96F1-FB2E836A2E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2" name="AutoShape 12" descr="Story">
          <a:hlinkClick xmlns:r="http://schemas.openxmlformats.org/officeDocument/2006/relationships" r:id="rId12"/>
          <a:extLst>
            <a:ext uri="{FF2B5EF4-FFF2-40B4-BE49-F238E27FC236}">
              <a16:creationId xmlns:a16="http://schemas.microsoft.com/office/drawing/2014/main" id="{B952A8DB-DF70-4F8C-B6C4-2922E275ED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3" name="AutoShape 13" descr="Story">
          <a:hlinkClick xmlns:r="http://schemas.openxmlformats.org/officeDocument/2006/relationships" r:id="rId4"/>
          <a:extLst>
            <a:ext uri="{FF2B5EF4-FFF2-40B4-BE49-F238E27FC236}">
              <a16:creationId xmlns:a16="http://schemas.microsoft.com/office/drawing/2014/main" id="{C1B23EA8-87D0-4C89-B136-061528EFE4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4" name="AutoShape 14" descr="Story">
          <a:hlinkClick xmlns:r="http://schemas.openxmlformats.org/officeDocument/2006/relationships" r:id="rId4"/>
          <a:extLst>
            <a:ext uri="{FF2B5EF4-FFF2-40B4-BE49-F238E27FC236}">
              <a16:creationId xmlns:a16="http://schemas.microsoft.com/office/drawing/2014/main" id="{08A21F8D-1FA1-43F0-91FC-62664BE359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295" name="AutoShape 15" descr="Story">
          <a:hlinkClick xmlns:r="http://schemas.openxmlformats.org/officeDocument/2006/relationships" r:id="rId4"/>
          <a:extLst>
            <a:ext uri="{FF2B5EF4-FFF2-40B4-BE49-F238E27FC236}">
              <a16:creationId xmlns:a16="http://schemas.microsoft.com/office/drawing/2014/main" id="{7546FF6C-D146-4C7D-BEE5-6F2E1D69EC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296" name="AutoShape 1" descr="Story">
          <a:hlinkClick xmlns:r="http://schemas.openxmlformats.org/officeDocument/2006/relationships" r:id="rId7"/>
          <a:extLst>
            <a:ext uri="{FF2B5EF4-FFF2-40B4-BE49-F238E27FC236}">
              <a16:creationId xmlns:a16="http://schemas.microsoft.com/office/drawing/2014/main" id="{DFBE9180-D9FB-43A6-9BC8-E6D7BEBC5A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97" name="AutoShape 2" descr="Story">
          <a:hlinkClick xmlns:r="http://schemas.openxmlformats.org/officeDocument/2006/relationships" r:id="rId8"/>
          <a:extLst>
            <a:ext uri="{FF2B5EF4-FFF2-40B4-BE49-F238E27FC236}">
              <a16:creationId xmlns:a16="http://schemas.microsoft.com/office/drawing/2014/main" id="{2B985942-9E6B-4B1D-8237-16244DDD6E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98" name="AutoShape 5" descr="Story">
          <a:hlinkClick xmlns:r="http://schemas.openxmlformats.org/officeDocument/2006/relationships" r:id="rId6"/>
          <a:extLst>
            <a:ext uri="{FF2B5EF4-FFF2-40B4-BE49-F238E27FC236}">
              <a16:creationId xmlns:a16="http://schemas.microsoft.com/office/drawing/2014/main" id="{C8CC8232-9A13-4942-B7C0-54B9D572FE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299" name="AutoShape 1" descr="Sub-task">
          <a:hlinkClick xmlns:r="http://schemas.openxmlformats.org/officeDocument/2006/relationships" r:id="rId9"/>
          <a:extLst>
            <a:ext uri="{FF2B5EF4-FFF2-40B4-BE49-F238E27FC236}">
              <a16:creationId xmlns:a16="http://schemas.microsoft.com/office/drawing/2014/main" id="{5E99EA29-0582-4D30-A3DA-6A212027E3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0" name="AutoShape 2" descr="Sub-task">
          <a:hlinkClick xmlns:r="http://schemas.openxmlformats.org/officeDocument/2006/relationships" r:id="rId10"/>
          <a:extLst>
            <a:ext uri="{FF2B5EF4-FFF2-40B4-BE49-F238E27FC236}">
              <a16:creationId xmlns:a16="http://schemas.microsoft.com/office/drawing/2014/main" id="{4F58D812-AF57-4B24-858E-D34A8BBF78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1" name="AutoShape 3" descr="Story">
          <a:hlinkClick xmlns:r="http://schemas.openxmlformats.org/officeDocument/2006/relationships" r:id="rId11"/>
          <a:extLst>
            <a:ext uri="{FF2B5EF4-FFF2-40B4-BE49-F238E27FC236}">
              <a16:creationId xmlns:a16="http://schemas.microsoft.com/office/drawing/2014/main" id="{4BEC882A-E833-4DAA-AE27-3C7EF50163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2" name="AutoShape 12" descr="Story">
          <a:hlinkClick xmlns:r="http://schemas.openxmlformats.org/officeDocument/2006/relationships" r:id="rId12"/>
          <a:extLst>
            <a:ext uri="{FF2B5EF4-FFF2-40B4-BE49-F238E27FC236}">
              <a16:creationId xmlns:a16="http://schemas.microsoft.com/office/drawing/2014/main" id="{9C43C367-3868-45B8-9A52-C2F2706389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3" name="AutoShape 1" descr="Story">
          <a:hlinkClick xmlns:r="http://schemas.openxmlformats.org/officeDocument/2006/relationships" r:id="rId13"/>
          <a:extLst>
            <a:ext uri="{FF2B5EF4-FFF2-40B4-BE49-F238E27FC236}">
              <a16:creationId xmlns:a16="http://schemas.microsoft.com/office/drawing/2014/main" id="{25BB9473-0596-4548-B87C-16E31062AA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4" name="AutoShape 1" descr="Story">
          <a:hlinkClick xmlns:r="http://schemas.openxmlformats.org/officeDocument/2006/relationships" r:id="rId13"/>
          <a:extLst>
            <a:ext uri="{FF2B5EF4-FFF2-40B4-BE49-F238E27FC236}">
              <a16:creationId xmlns:a16="http://schemas.microsoft.com/office/drawing/2014/main" id="{4AB30504-6D3E-467B-BB0C-C79753DC92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5" name="AutoShape 3" descr="Story">
          <a:hlinkClick xmlns:r="http://schemas.openxmlformats.org/officeDocument/2006/relationships" r:id="rId4"/>
          <a:extLst>
            <a:ext uri="{FF2B5EF4-FFF2-40B4-BE49-F238E27FC236}">
              <a16:creationId xmlns:a16="http://schemas.microsoft.com/office/drawing/2014/main" id="{B63D1942-9691-4BA7-A2BA-4717F918D5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6" name="AutoShape 4" descr="Story">
          <a:hlinkClick xmlns:r="http://schemas.openxmlformats.org/officeDocument/2006/relationships" r:id="rId5"/>
          <a:extLst>
            <a:ext uri="{FF2B5EF4-FFF2-40B4-BE49-F238E27FC236}">
              <a16:creationId xmlns:a16="http://schemas.microsoft.com/office/drawing/2014/main" id="{1DE488AB-A9D7-43EF-8C9D-28276A101E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7" name="AutoShape 1" descr="Story">
          <a:hlinkClick xmlns:r="http://schemas.openxmlformats.org/officeDocument/2006/relationships" r:id="rId7"/>
          <a:extLst>
            <a:ext uri="{FF2B5EF4-FFF2-40B4-BE49-F238E27FC236}">
              <a16:creationId xmlns:a16="http://schemas.microsoft.com/office/drawing/2014/main" id="{78E32CC0-0DD3-4D56-831F-71E4E1D60B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8" name="AutoShape 2" descr="Story">
          <a:hlinkClick xmlns:r="http://schemas.openxmlformats.org/officeDocument/2006/relationships" r:id="rId8"/>
          <a:extLst>
            <a:ext uri="{FF2B5EF4-FFF2-40B4-BE49-F238E27FC236}">
              <a16:creationId xmlns:a16="http://schemas.microsoft.com/office/drawing/2014/main" id="{81B9A500-B657-4705-A26F-60DA1BB310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09" name="AutoShape 3" descr="Story">
          <a:hlinkClick xmlns:r="http://schemas.openxmlformats.org/officeDocument/2006/relationships" r:id="rId4"/>
          <a:extLst>
            <a:ext uri="{FF2B5EF4-FFF2-40B4-BE49-F238E27FC236}">
              <a16:creationId xmlns:a16="http://schemas.microsoft.com/office/drawing/2014/main" id="{3D040236-5F68-46A5-9EEA-3F6D5723B1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0" name="AutoShape 4" descr="Story">
          <a:hlinkClick xmlns:r="http://schemas.openxmlformats.org/officeDocument/2006/relationships" r:id="rId5"/>
          <a:extLst>
            <a:ext uri="{FF2B5EF4-FFF2-40B4-BE49-F238E27FC236}">
              <a16:creationId xmlns:a16="http://schemas.microsoft.com/office/drawing/2014/main" id="{88A2688C-0AD3-44AB-8C15-390EB3F663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1" name="AutoShape 5" descr="Story">
          <a:hlinkClick xmlns:r="http://schemas.openxmlformats.org/officeDocument/2006/relationships" r:id="rId6"/>
          <a:extLst>
            <a:ext uri="{FF2B5EF4-FFF2-40B4-BE49-F238E27FC236}">
              <a16:creationId xmlns:a16="http://schemas.microsoft.com/office/drawing/2014/main" id="{BB9F0E4F-8C63-4CD3-88DC-0888A071D7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2" name="AutoShape 1" descr="Sub-task">
          <a:hlinkClick xmlns:r="http://schemas.openxmlformats.org/officeDocument/2006/relationships" r:id="rId9"/>
          <a:extLst>
            <a:ext uri="{FF2B5EF4-FFF2-40B4-BE49-F238E27FC236}">
              <a16:creationId xmlns:a16="http://schemas.microsoft.com/office/drawing/2014/main" id="{3BBEEA17-A38D-4C50-83F5-B251969848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3" name="AutoShape 2" descr="Sub-task">
          <a:hlinkClick xmlns:r="http://schemas.openxmlformats.org/officeDocument/2006/relationships" r:id="rId10"/>
          <a:extLst>
            <a:ext uri="{FF2B5EF4-FFF2-40B4-BE49-F238E27FC236}">
              <a16:creationId xmlns:a16="http://schemas.microsoft.com/office/drawing/2014/main" id="{1E7C669B-0A35-454F-8E57-7A262126A1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4" name="AutoShape 7" descr="Story">
          <a:hlinkClick xmlns:r="http://schemas.openxmlformats.org/officeDocument/2006/relationships" r:id="rId3"/>
          <a:extLst>
            <a:ext uri="{FF2B5EF4-FFF2-40B4-BE49-F238E27FC236}">
              <a16:creationId xmlns:a16="http://schemas.microsoft.com/office/drawing/2014/main" id="{ACC977E9-41A4-49E1-9486-63D2EE25A0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5" name="AutoShape 3" descr="Story">
          <a:hlinkClick xmlns:r="http://schemas.openxmlformats.org/officeDocument/2006/relationships" r:id="rId11"/>
          <a:extLst>
            <a:ext uri="{FF2B5EF4-FFF2-40B4-BE49-F238E27FC236}">
              <a16:creationId xmlns:a16="http://schemas.microsoft.com/office/drawing/2014/main" id="{554BE5F9-FD38-462E-A0D6-4A7EB64D97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6" name="AutoShape 12" descr="Story">
          <a:hlinkClick xmlns:r="http://schemas.openxmlformats.org/officeDocument/2006/relationships" r:id="rId12"/>
          <a:extLst>
            <a:ext uri="{FF2B5EF4-FFF2-40B4-BE49-F238E27FC236}">
              <a16:creationId xmlns:a16="http://schemas.microsoft.com/office/drawing/2014/main" id="{80365DF3-BF57-4606-91A8-828631D486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7" name="AutoShape 1" descr="Story">
          <a:hlinkClick xmlns:r="http://schemas.openxmlformats.org/officeDocument/2006/relationships" r:id="rId13"/>
          <a:extLst>
            <a:ext uri="{FF2B5EF4-FFF2-40B4-BE49-F238E27FC236}">
              <a16:creationId xmlns:a16="http://schemas.microsoft.com/office/drawing/2014/main" id="{ACC174F1-D8E5-4674-B3C1-60FD73671F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8" name="AutoShape 1" descr="Story">
          <a:hlinkClick xmlns:r="http://schemas.openxmlformats.org/officeDocument/2006/relationships" r:id="rId13"/>
          <a:extLst>
            <a:ext uri="{FF2B5EF4-FFF2-40B4-BE49-F238E27FC236}">
              <a16:creationId xmlns:a16="http://schemas.microsoft.com/office/drawing/2014/main" id="{3CE00EB8-90CD-4BF2-A733-A4F118C39E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19" name="AutoShape 3" descr="Story">
          <a:hlinkClick xmlns:r="http://schemas.openxmlformats.org/officeDocument/2006/relationships" r:id="rId4"/>
          <a:extLst>
            <a:ext uri="{FF2B5EF4-FFF2-40B4-BE49-F238E27FC236}">
              <a16:creationId xmlns:a16="http://schemas.microsoft.com/office/drawing/2014/main" id="{E4545F2B-3795-4F56-B4F5-F547409EDD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20" name="AutoShape 4" descr="Story">
          <a:hlinkClick xmlns:r="http://schemas.openxmlformats.org/officeDocument/2006/relationships" r:id="rId5"/>
          <a:extLst>
            <a:ext uri="{FF2B5EF4-FFF2-40B4-BE49-F238E27FC236}">
              <a16:creationId xmlns:a16="http://schemas.microsoft.com/office/drawing/2014/main" id="{D16BA821-27C6-42F2-870A-4B863BDACD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21" name="AutoShape 7" descr="Story">
          <a:hlinkClick xmlns:r="http://schemas.openxmlformats.org/officeDocument/2006/relationships" r:id="rId3"/>
          <a:extLst>
            <a:ext uri="{FF2B5EF4-FFF2-40B4-BE49-F238E27FC236}">
              <a16:creationId xmlns:a16="http://schemas.microsoft.com/office/drawing/2014/main" id="{152FC042-FBF8-4CCA-ACA9-F3AB04B2A5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22" name="AutoShape 8" descr="Story">
          <a:hlinkClick xmlns:r="http://schemas.openxmlformats.org/officeDocument/2006/relationships" r:id="rId4"/>
          <a:extLst>
            <a:ext uri="{FF2B5EF4-FFF2-40B4-BE49-F238E27FC236}">
              <a16:creationId xmlns:a16="http://schemas.microsoft.com/office/drawing/2014/main" id="{19F09DB6-8387-470E-818D-2318574E26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23" name="AutoShape 8" descr="Story">
          <a:hlinkClick xmlns:r="http://schemas.openxmlformats.org/officeDocument/2006/relationships" r:id="rId4"/>
          <a:extLst>
            <a:ext uri="{FF2B5EF4-FFF2-40B4-BE49-F238E27FC236}">
              <a16:creationId xmlns:a16="http://schemas.microsoft.com/office/drawing/2014/main" id="{8EC69545-8D65-47B7-9E14-7F06C8142D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324" name="AutoShape 10" descr="Story">
          <a:hlinkClick xmlns:r="http://schemas.openxmlformats.org/officeDocument/2006/relationships" r:id="rId6"/>
          <a:extLst>
            <a:ext uri="{FF2B5EF4-FFF2-40B4-BE49-F238E27FC236}">
              <a16:creationId xmlns:a16="http://schemas.microsoft.com/office/drawing/2014/main" id="{CD9ED458-30F8-45B2-99EC-BB5917D86C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25" name="AutoShape 14" descr="Story">
          <a:hlinkClick xmlns:r="http://schemas.openxmlformats.org/officeDocument/2006/relationships" r:id="rId4"/>
          <a:extLst>
            <a:ext uri="{FF2B5EF4-FFF2-40B4-BE49-F238E27FC236}">
              <a16:creationId xmlns:a16="http://schemas.microsoft.com/office/drawing/2014/main" id="{9B78579D-0571-4549-8E56-00F90C3B5F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26" name="AutoShape 10" descr="Story">
          <a:hlinkClick xmlns:r="http://schemas.openxmlformats.org/officeDocument/2006/relationships" r:id="rId6"/>
          <a:extLst>
            <a:ext uri="{FF2B5EF4-FFF2-40B4-BE49-F238E27FC236}">
              <a16:creationId xmlns:a16="http://schemas.microsoft.com/office/drawing/2014/main" id="{834489EB-9E39-4DA0-B867-E1303FF151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27" name="AutoShape 14" descr="Story">
          <a:hlinkClick xmlns:r="http://schemas.openxmlformats.org/officeDocument/2006/relationships" r:id="rId4"/>
          <a:extLst>
            <a:ext uri="{FF2B5EF4-FFF2-40B4-BE49-F238E27FC236}">
              <a16:creationId xmlns:a16="http://schemas.microsoft.com/office/drawing/2014/main" id="{F432D487-299C-49AE-B423-01A5E47392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28" name="AutoShape 1" descr="Story">
          <a:hlinkClick xmlns:r="http://schemas.openxmlformats.org/officeDocument/2006/relationships" r:id="rId13"/>
          <a:extLst>
            <a:ext uri="{FF2B5EF4-FFF2-40B4-BE49-F238E27FC236}">
              <a16:creationId xmlns:a16="http://schemas.microsoft.com/office/drawing/2014/main" id="{8B4891EA-9872-448D-A162-D177126AFE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29" name="AutoShape 2" descr="Story">
          <a:hlinkClick xmlns:r="http://schemas.openxmlformats.org/officeDocument/2006/relationships" r:id="rId12"/>
          <a:extLst>
            <a:ext uri="{FF2B5EF4-FFF2-40B4-BE49-F238E27FC236}">
              <a16:creationId xmlns:a16="http://schemas.microsoft.com/office/drawing/2014/main" id="{A401F4E3-3C81-426B-A6ED-0C3D105627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0" name="AutoShape 3" descr="Story">
          <a:hlinkClick xmlns:r="http://schemas.openxmlformats.org/officeDocument/2006/relationships" r:id="rId11"/>
          <a:extLst>
            <a:ext uri="{FF2B5EF4-FFF2-40B4-BE49-F238E27FC236}">
              <a16:creationId xmlns:a16="http://schemas.microsoft.com/office/drawing/2014/main" id="{EE96B93E-875C-4386-B27D-BBC5FD7718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1" name="AutoShape 4" descr="Bug">
          <a:hlinkClick xmlns:r="http://schemas.openxmlformats.org/officeDocument/2006/relationships" r:id="rId1"/>
          <a:extLst>
            <a:ext uri="{FF2B5EF4-FFF2-40B4-BE49-F238E27FC236}">
              <a16:creationId xmlns:a16="http://schemas.microsoft.com/office/drawing/2014/main" id="{CC0296F5-895D-4BF6-B7EA-A2E6075AEE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2" name="AutoShape 5" descr="Story">
          <a:hlinkClick xmlns:r="http://schemas.openxmlformats.org/officeDocument/2006/relationships" r:id="rId14"/>
          <a:extLst>
            <a:ext uri="{FF2B5EF4-FFF2-40B4-BE49-F238E27FC236}">
              <a16:creationId xmlns:a16="http://schemas.microsoft.com/office/drawing/2014/main" id="{70897646-A70B-47E1-94EC-824D8DEBE8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3" name="AutoShape 6" descr="Bug">
          <a:hlinkClick xmlns:r="http://schemas.openxmlformats.org/officeDocument/2006/relationships" r:id="rId2"/>
          <a:extLst>
            <a:ext uri="{FF2B5EF4-FFF2-40B4-BE49-F238E27FC236}">
              <a16:creationId xmlns:a16="http://schemas.microsoft.com/office/drawing/2014/main" id="{7A4B23FB-6250-47EC-825F-EA31CEC92F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4" name="AutoShape 7" descr="Story">
          <a:hlinkClick xmlns:r="http://schemas.openxmlformats.org/officeDocument/2006/relationships" r:id="rId3"/>
          <a:extLst>
            <a:ext uri="{FF2B5EF4-FFF2-40B4-BE49-F238E27FC236}">
              <a16:creationId xmlns:a16="http://schemas.microsoft.com/office/drawing/2014/main" id="{7913623A-EC19-45A1-AEE6-DEF7B1A763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5" name="AutoShape 8" descr="Story">
          <a:hlinkClick xmlns:r="http://schemas.openxmlformats.org/officeDocument/2006/relationships" r:id="rId4"/>
          <a:extLst>
            <a:ext uri="{FF2B5EF4-FFF2-40B4-BE49-F238E27FC236}">
              <a16:creationId xmlns:a16="http://schemas.microsoft.com/office/drawing/2014/main" id="{271F0554-A43C-4D3C-B53E-772D742972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6" name="AutoShape 9" descr="Story">
          <a:hlinkClick xmlns:r="http://schemas.openxmlformats.org/officeDocument/2006/relationships" r:id="rId5"/>
          <a:extLst>
            <a:ext uri="{FF2B5EF4-FFF2-40B4-BE49-F238E27FC236}">
              <a16:creationId xmlns:a16="http://schemas.microsoft.com/office/drawing/2014/main" id="{BF61ABE6-C1C0-4AEE-A1BF-5EDF8E12F4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7" name="AutoShape 10" descr="Story">
          <a:hlinkClick xmlns:r="http://schemas.openxmlformats.org/officeDocument/2006/relationships" r:id="rId6"/>
          <a:extLst>
            <a:ext uri="{FF2B5EF4-FFF2-40B4-BE49-F238E27FC236}">
              <a16:creationId xmlns:a16="http://schemas.microsoft.com/office/drawing/2014/main" id="{6C5D696E-CC84-424A-8EF6-4C75F1B8147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8" name="AutoShape 11" descr="Story">
          <a:hlinkClick xmlns:r="http://schemas.openxmlformats.org/officeDocument/2006/relationships" r:id="rId15"/>
          <a:extLst>
            <a:ext uri="{FF2B5EF4-FFF2-40B4-BE49-F238E27FC236}">
              <a16:creationId xmlns:a16="http://schemas.microsoft.com/office/drawing/2014/main" id="{35FDEAB1-FADD-46A2-B984-4265EED977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39" name="AutoShape 12" descr="Story">
          <a:hlinkClick xmlns:r="http://schemas.openxmlformats.org/officeDocument/2006/relationships" r:id="rId12"/>
          <a:extLst>
            <a:ext uri="{FF2B5EF4-FFF2-40B4-BE49-F238E27FC236}">
              <a16:creationId xmlns:a16="http://schemas.microsoft.com/office/drawing/2014/main" id="{8F01DB92-7E8A-4979-9945-627132A7C1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40" name="AutoShape 13" descr="Story">
          <a:hlinkClick xmlns:r="http://schemas.openxmlformats.org/officeDocument/2006/relationships" r:id="rId4"/>
          <a:extLst>
            <a:ext uri="{FF2B5EF4-FFF2-40B4-BE49-F238E27FC236}">
              <a16:creationId xmlns:a16="http://schemas.microsoft.com/office/drawing/2014/main" id="{5E8AFFDB-8782-4378-9B2F-FF2C87C6C0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41" name="AutoShape 14" descr="Story">
          <a:hlinkClick xmlns:r="http://schemas.openxmlformats.org/officeDocument/2006/relationships" r:id="rId4"/>
          <a:extLst>
            <a:ext uri="{FF2B5EF4-FFF2-40B4-BE49-F238E27FC236}">
              <a16:creationId xmlns:a16="http://schemas.microsoft.com/office/drawing/2014/main" id="{93125F57-392F-42EB-A6F7-74385BE6DF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42" name="AutoShape 15" descr="Story">
          <a:hlinkClick xmlns:r="http://schemas.openxmlformats.org/officeDocument/2006/relationships" r:id="rId4"/>
          <a:extLst>
            <a:ext uri="{FF2B5EF4-FFF2-40B4-BE49-F238E27FC236}">
              <a16:creationId xmlns:a16="http://schemas.microsoft.com/office/drawing/2014/main" id="{8F2AE197-9A31-4EDD-B092-76BCA6FD9C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343" name="AutoShape 1" descr="Story">
          <a:hlinkClick xmlns:r="http://schemas.openxmlformats.org/officeDocument/2006/relationships" r:id="rId7"/>
          <a:extLst>
            <a:ext uri="{FF2B5EF4-FFF2-40B4-BE49-F238E27FC236}">
              <a16:creationId xmlns:a16="http://schemas.microsoft.com/office/drawing/2014/main" id="{B27E3122-AE04-4E14-8B9B-66AAE44591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4" name="AutoShape 2" descr="Story">
          <a:hlinkClick xmlns:r="http://schemas.openxmlformats.org/officeDocument/2006/relationships" r:id="rId8"/>
          <a:extLst>
            <a:ext uri="{FF2B5EF4-FFF2-40B4-BE49-F238E27FC236}">
              <a16:creationId xmlns:a16="http://schemas.microsoft.com/office/drawing/2014/main" id="{297734FD-D329-4FEB-8AC3-BB112A8FAD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5" name="AutoShape 5" descr="Story">
          <a:hlinkClick xmlns:r="http://schemas.openxmlformats.org/officeDocument/2006/relationships" r:id="rId6"/>
          <a:extLst>
            <a:ext uri="{FF2B5EF4-FFF2-40B4-BE49-F238E27FC236}">
              <a16:creationId xmlns:a16="http://schemas.microsoft.com/office/drawing/2014/main" id="{5DF877B4-F0D4-4E22-B802-C299B18A40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6" name="AutoShape 1" descr="Sub-task">
          <a:hlinkClick xmlns:r="http://schemas.openxmlformats.org/officeDocument/2006/relationships" r:id="rId9"/>
          <a:extLst>
            <a:ext uri="{FF2B5EF4-FFF2-40B4-BE49-F238E27FC236}">
              <a16:creationId xmlns:a16="http://schemas.microsoft.com/office/drawing/2014/main" id="{13E3C075-4777-4F94-9316-4C6BD5ECB4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7" name="AutoShape 2" descr="Sub-task">
          <a:hlinkClick xmlns:r="http://schemas.openxmlformats.org/officeDocument/2006/relationships" r:id="rId10"/>
          <a:extLst>
            <a:ext uri="{FF2B5EF4-FFF2-40B4-BE49-F238E27FC236}">
              <a16:creationId xmlns:a16="http://schemas.microsoft.com/office/drawing/2014/main" id="{C0C90656-A0CA-4E3E-827E-36855DD23C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8" name="AutoShape 3" descr="Story">
          <a:hlinkClick xmlns:r="http://schemas.openxmlformats.org/officeDocument/2006/relationships" r:id="rId11"/>
          <a:extLst>
            <a:ext uri="{FF2B5EF4-FFF2-40B4-BE49-F238E27FC236}">
              <a16:creationId xmlns:a16="http://schemas.microsoft.com/office/drawing/2014/main" id="{F499B1F1-C815-4F94-875B-0C48FAB994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49" name="AutoShape 12" descr="Story">
          <a:hlinkClick xmlns:r="http://schemas.openxmlformats.org/officeDocument/2006/relationships" r:id="rId12"/>
          <a:extLst>
            <a:ext uri="{FF2B5EF4-FFF2-40B4-BE49-F238E27FC236}">
              <a16:creationId xmlns:a16="http://schemas.microsoft.com/office/drawing/2014/main" id="{0F502536-7138-4519-943C-158B63A795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0" name="AutoShape 1" descr="Story">
          <a:hlinkClick xmlns:r="http://schemas.openxmlformats.org/officeDocument/2006/relationships" r:id="rId13"/>
          <a:extLst>
            <a:ext uri="{FF2B5EF4-FFF2-40B4-BE49-F238E27FC236}">
              <a16:creationId xmlns:a16="http://schemas.microsoft.com/office/drawing/2014/main" id="{83CF4B79-C600-4A7C-9002-20EBE24013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1" name="AutoShape 1" descr="Story">
          <a:hlinkClick xmlns:r="http://schemas.openxmlformats.org/officeDocument/2006/relationships" r:id="rId13"/>
          <a:extLst>
            <a:ext uri="{FF2B5EF4-FFF2-40B4-BE49-F238E27FC236}">
              <a16:creationId xmlns:a16="http://schemas.microsoft.com/office/drawing/2014/main" id="{97A15B63-F6E5-4305-A9A0-1FF68BA419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2" name="AutoShape 3" descr="Story">
          <a:hlinkClick xmlns:r="http://schemas.openxmlformats.org/officeDocument/2006/relationships" r:id="rId4"/>
          <a:extLst>
            <a:ext uri="{FF2B5EF4-FFF2-40B4-BE49-F238E27FC236}">
              <a16:creationId xmlns:a16="http://schemas.microsoft.com/office/drawing/2014/main" id="{B9E98E7C-2591-4558-99C1-DA0312BF9B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3" name="AutoShape 4" descr="Story">
          <a:hlinkClick xmlns:r="http://schemas.openxmlformats.org/officeDocument/2006/relationships" r:id="rId5"/>
          <a:extLst>
            <a:ext uri="{FF2B5EF4-FFF2-40B4-BE49-F238E27FC236}">
              <a16:creationId xmlns:a16="http://schemas.microsoft.com/office/drawing/2014/main" id="{791E2DD4-A974-434C-8151-DC6CA7CFC1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4" name="AutoShape 1" descr="Story">
          <a:hlinkClick xmlns:r="http://schemas.openxmlformats.org/officeDocument/2006/relationships" r:id="rId7"/>
          <a:extLst>
            <a:ext uri="{FF2B5EF4-FFF2-40B4-BE49-F238E27FC236}">
              <a16:creationId xmlns:a16="http://schemas.microsoft.com/office/drawing/2014/main" id="{4B980E3C-3AA2-44C1-A991-7E8EDBF79E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5" name="AutoShape 2" descr="Story">
          <a:hlinkClick xmlns:r="http://schemas.openxmlformats.org/officeDocument/2006/relationships" r:id="rId8"/>
          <a:extLst>
            <a:ext uri="{FF2B5EF4-FFF2-40B4-BE49-F238E27FC236}">
              <a16:creationId xmlns:a16="http://schemas.microsoft.com/office/drawing/2014/main" id="{D56295CD-AC08-46BF-A40E-DB11C8A7EE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6" name="AutoShape 3" descr="Story">
          <a:hlinkClick xmlns:r="http://schemas.openxmlformats.org/officeDocument/2006/relationships" r:id="rId4"/>
          <a:extLst>
            <a:ext uri="{FF2B5EF4-FFF2-40B4-BE49-F238E27FC236}">
              <a16:creationId xmlns:a16="http://schemas.microsoft.com/office/drawing/2014/main" id="{6B178A17-504D-4988-AB6B-6BD805AD39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7" name="AutoShape 4" descr="Story">
          <a:hlinkClick xmlns:r="http://schemas.openxmlformats.org/officeDocument/2006/relationships" r:id="rId5"/>
          <a:extLst>
            <a:ext uri="{FF2B5EF4-FFF2-40B4-BE49-F238E27FC236}">
              <a16:creationId xmlns:a16="http://schemas.microsoft.com/office/drawing/2014/main" id="{C8D78F3A-EA8C-44CD-820E-95A99004FA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8" name="AutoShape 5" descr="Story">
          <a:hlinkClick xmlns:r="http://schemas.openxmlformats.org/officeDocument/2006/relationships" r:id="rId6"/>
          <a:extLst>
            <a:ext uri="{FF2B5EF4-FFF2-40B4-BE49-F238E27FC236}">
              <a16:creationId xmlns:a16="http://schemas.microsoft.com/office/drawing/2014/main" id="{F80138EF-029C-4736-AC1A-DAD3ED7A99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59" name="AutoShape 1" descr="Sub-task">
          <a:hlinkClick xmlns:r="http://schemas.openxmlformats.org/officeDocument/2006/relationships" r:id="rId9"/>
          <a:extLst>
            <a:ext uri="{FF2B5EF4-FFF2-40B4-BE49-F238E27FC236}">
              <a16:creationId xmlns:a16="http://schemas.microsoft.com/office/drawing/2014/main" id="{3A21CE13-7C01-40D4-BAF7-CF0A2B270D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0" name="AutoShape 2" descr="Sub-task">
          <a:hlinkClick xmlns:r="http://schemas.openxmlformats.org/officeDocument/2006/relationships" r:id="rId10"/>
          <a:extLst>
            <a:ext uri="{FF2B5EF4-FFF2-40B4-BE49-F238E27FC236}">
              <a16:creationId xmlns:a16="http://schemas.microsoft.com/office/drawing/2014/main" id="{DA3A637A-3142-4D6D-8902-FD41B7742E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1" name="AutoShape 7" descr="Story">
          <a:hlinkClick xmlns:r="http://schemas.openxmlformats.org/officeDocument/2006/relationships" r:id="rId3"/>
          <a:extLst>
            <a:ext uri="{FF2B5EF4-FFF2-40B4-BE49-F238E27FC236}">
              <a16:creationId xmlns:a16="http://schemas.microsoft.com/office/drawing/2014/main" id="{BE2E8C26-705B-47F7-A33E-D7BFDEC88C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2" name="AutoShape 3" descr="Story">
          <a:hlinkClick xmlns:r="http://schemas.openxmlformats.org/officeDocument/2006/relationships" r:id="rId11"/>
          <a:extLst>
            <a:ext uri="{FF2B5EF4-FFF2-40B4-BE49-F238E27FC236}">
              <a16:creationId xmlns:a16="http://schemas.microsoft.com/office/drawing/2014/main" id="{69EAE0C5-7022-4D57-8163-621526C7FB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3" name="AutoShape 12" descr="Story">
          <a:hlinkClick xmlns:r="http://schemas.openxmlformats.org/officeDocument/2006/relationships" r:id="rId12"/>
          <a:extLst>
            <a:ext uri="{FF2B5EF4-FFF2-40B4-BE49-F238E27FC236}">
              <a16:creationId xmlns:a16="http://schemas.microsoft.com/office/drawing/2014/main" id="{D2A92F6B-2AAB-4875-9715-E5DDDD067F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4" name="AutoShape 1" descr="Story">
          <a:hlinkClick xmlns:r="http://schemas.openxmlformats.org/officeDocument/2006/relationships" r:id="rId13"/>
          <a:extLst>
            <a:ext uri="{FF2B5EF4-FFF2-40B4-BE49-F238E27FC236}">
              <a16:creationId xmlns:a16="http://schemas.microsoft.com/office/drawing/2014/main" id="{AF9EA00D-8323-4808-9BF5-518AF8CB24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5" name="AutoShape 1" descr="Story">
          <a:hlinkClick xmlns:r="http://schemas.openxmlformats.org/officeDocument/2006/relationships" r:id="rId13"/>
          <a:extLst>
            <a:ext uri="{FF2B5EF4-FFF2-40B4-BE49-F238E27FC236}">
              <a16:creationId xmlns:a16="http://schemas.microsoft.com/office/drawing/2014/main" id="{71EF24F7-6D8B-4093-986E-6260EF1E8F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6" name="AutoShape 3" descr="Story">
          <a:hlinkClick xmlns:r="http://schemas.openxmlformats.org/officeDocument/2006/relationships" r:id="rId4"/>
          <a:extLst>
            <a:ext uri="{FF2B5EF4-FFF2-40B4-BE49-F238E27FC236}">
              <a16:creationId xmlns:a16="http://schemas.microsoft.com/office/drawing/2014/main" id="{744FA4DC-5DAC-4253-9E0E-D3A3A549AC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7" name="AutoShape 4" descr="Story">
          <a:hlinkClick xmlns:r="http://schemas.openxmlformats.org/officeDocument/2006/relationships" r:id="rId5"/>
          <a:extLst>
            <a:ext uri="{FF2B5EF4-FFF2-40B4-BE49-F238E27FC236}">
              <a16:creationId xmlns:a16="http://schemas.microsoft.com/office/drawing/2014/main" id="{1DF0E0A0-E3B0-4F0E-AAF8-58DD75292D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8" name="AutoShape 7" descr="Story">
          <a:hlinkClick xmlns:r="http://schemas.openxmlformats.org/officeDocument/2006/relationships" r:id="rId3"/>
          <a:extLst>
            <a:ext uri="{FF2B5EF4-FFF2-40B4-BE49-F238E27FC236}">
              <a16:creationId xmlns:a16="http://schemas.microsoft.com/office/drawing/2014/main" id="{1C252AB0-89C0-41E0-8542-7F3E3BF73E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69" name="AutoShape 8" descr="Story">
          <a:hlinkClick xmlns:r="http://schemas.openxmlformats.org/officeDocument/2006/relationships" r:id="rId4"/>
          <a:extLst>
            <a:ext uri="{FF2B5EF4-FFF2-40B4-BE49-F238E27FC236}">
              <a16:creationId xmlns:a16="http://schemas.microsoft.com/office/drawing/2014/main" id="{95994168-22F6-441A-A8B8-1DA5BDF45B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70" name="AutoShape 8" descr="Story">
          <a:hlinkClick xmlns:r="http://schemas.openxmlformats.org/officeDocument/2006/relationships" r:id="rId4"/>
          <a:extLst>
            <a:ext uri="{FF2B5EF4-FFF2-40B4-BE49-F238E27FC236}">
              <a16:creationId xmlns:a16="http://schemas.microsoft.com/office/drawing/2014/main" id="{4EAEDDD9-C0E1-4CDC-86CB-84327B6A74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1274</xdr:row>
      <xdr:rowOff>0</xdr:rowOff>
    </xdr:from>
    <xdr:to>
      <xdr:col>0</xdr:col>
      <xdr:colOff>152400</xdr:colOff>
      <xdr:row>1274</xdr:row>
      <xdr:rowOff>152400</xdr:rowOff>
    </xdr:to>
    <xdr:sp macro="" textlink="">
      <xdr:nvSpPr>
        <xdr:cNvPr id="3371" name="AutoShape 10" descr="Story">
          <a:hlinkClick xmlns:r="http://schemas.openxmlformats.org/officeDocument/2006/relationships" r:id="rId6"/>
          <a:extLst>
            <a:ext uri="{FF2B5EF4-FFF2-40B4-BE49-F238E27FC236}">
              <a16:creationId xmlns:a16="http://schemas.microsoft.com/office/drawing/2014/main" id="{C61B4648-0F91-433F-B6F3-CF1742E949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72" name="AutoShape 14" descr="Story">
          <a:hlinkClick xmlns:r="http://schemas.openxmlformats.org/officeDocument/2006/relationships" r:id="rId4"/>
          <a:extLst>
            <a:ext uri="{FF2B5EF4-FFF2-40B4-BE49-F238E27FC236}">
              <a16:creationId xmlns:a16="http://schemas.microsoft.com/office/drawing/2014/main" id="{F561E591-8743-47B7-B500-FD36B90F1F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73" name="AutoShape 10" descr="Story">
          <a:hlinkClick xmlns:r="http://schemas.openxmlformats.org/officeDocument/2006/relationships" r:id="rId6"/>
          <a:extLst>
            <a:ext uri="{FF2B5EF4-FFF2-40B4-BE49-F238E27FC236}">
              <a16:creationId xmlns:a16="http://schemas.microsoft.com/office/drawing/2014/main" id="{D402593F-DDEB-4A0E-B081-EB7E9928B5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74" name="AutoShape 14" descr="Story">
          <a:hlinkClick xmlns:r="http://schemas.openxmlformats.org/officeDocument/2006/relationships" r:id="rId4"/>
          <a:extLst>
            <a:ext uri="{FF2B5EF4-FFF2-40B4-BE49-F238E27FC236}">
              <a16:creationId xmlns:a16="http://schemas.microsoft.com/office/drawing/2014/main" id="{2E40FBEA-7727-43CD-AFFA-3FAA4DFD73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375" name="AutoShape 1" descr="Story">
          <a:hlinkClick xmlns:r="http://schemas.openxmlformats.org/officeDocument/2006/relationships" r:id="rId13"/>
          <a:extLst>
            <a:ext uri="{FF2B5EF4-FFF2-40B4-BE49-F238E27FC236}">
              <a16:creationId xmlns:a16="http://schemas.microsoft.com/office/drawing/2014/main" id="{53BF745F-1E7D-404C-A5A1-D722FBD8903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376" name="AutoShape 2" descr="Story">
          <a:hlinkClick xmlns:r="http://schemas.openxmlformats.org/officeDocument/2006/relationships" r:id="rId12"/>
          <a:extLst>
            <a:ext uri="{FF2B5EF4-FFF2-40B4-BE49-F238E27FC236}">
              <a16:creationId xmlns:a16="http://schemas.microsoft.com/office/drawing/2014/main" id="{DC2A7030-8C51-4E3F-8390-C97EBDFA72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377" name="AutoShape 3" descr="Story">
          <a:hlinkClick xmlns:r="http://schemas.openxmlformats.org/officeDocument/2006/relationships" r:id="rId11"/>
          <a:extLst>
            <a:ext uri="{FF2B5EF4-FFF2-40B4-BE49-F238E27FC236}">
              <a16:creationId xmlns:a16="http://schemas.microsoft.com/office/drawing/2014/main" id="{91108B33-D760-402C-9291-79AD8EC11E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78" name="AutoShape 4" descr="Bug">
          <a:hlinkClick xmlns:r="http://schemas.openxmlformats.org/officeDocument/2006/relationships" r:id="rId1"/>
          <a:extLst>
            <a:ext uri="{FF2B5EF4-FFF2-40B4-BE49-F238E27FC236}">
              <a16:creationId xmlns:a16="http://schemas.microsoft.com/office/drawing/2014/main" id="{0C86BCB0-2C9D-4E4B-9E95-A83192CC2B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379" name="AutoShape 5" descr="Story">
          <a:hlinkClick xmlns:r="http://schemas.openxmlformats.org/officeDocument/2006/relationships" r:id="rId14"/>
          <a:extLst>
            <a:ext uri="{FF2B5EF4-FFF2-40B4-BE49-F238E27FC236}">
              <a16:creationId xmlns:a16="http://schemas.microsoft.com/office/drawing/2014/main" id="{44AB41EE-8FF0-41B7-A01C-70693B1096F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80" name="AutoShape 6" descr="Bug">
          <a:hlinkClick xmlns:r="http://schemas.openxmlformats.org/officeDocument/2006/relationships" r:id="rId2"/>
          <a:extLst>
            <a:ext uri="{FF2B5EF4-FFF2-40B4-BE49-F238E27FC236}">
              <a16:creationId xmlns:a16="http://schemas.microsoft.com/office/drawing/2014/main" id="{E92BA997-B0E4-44D2-A394-B8A3800FE3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81" name="AutoShape 7" descr="Story">
          <a:hlinkClick xmlns:r="http://schemas.openxmlformats.org/officeDocument/2006/relationships" r:id="rId3"/>
          <a:extLst>
            <a:ext uri="{FF2B5EF4-FFF2-40B4-BE49-F238E27FC236}">
              <a16:creationId xmlns:a16="http://schemas.microsoft.com/office/drawing/2014/main" id="{95D843D7-F7E8-4CE3-942B-7DDD99B17E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82" name="AutoShape 8" descr="Story">
          <a:hlinkClick xmlns:r="http://schemas.openxmlformats.org/officeDocument/2006/relationships" r:id="rId4"/>
          <a:extLst>
            <a:ext uri="{FF2B5EF4-FFF2-40B4-BE49-F238E27FC236}">
              <a16:creationId xmlns:a16="http://schemas.microsoft.com/office/drawing/2014/main" id="{89CE9697-B1AB-4A47-A579-994F0A7AC5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83" name="AutoShape 9" descr="Story">
          <a:hlinkClick xmlns:r="http://schemas.openxmlformats.org/officeDocument/2006/relationships" r:id="rId5"/>
          <a:extLst>
            <a:ext uri="{FF2B5EF4-FFF2-40B4-BE49-F238E27FC236}">
              <a16:creationId xmlns:a16="http://schemas.microsoft.com/office/drawing/2014/main" id="{4338DE2C-F405-4AA7-B888-BDDE5474C5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384" name="AutoShape 10" descr="Story">
          <a:hlinkClick xmlns:r="http://schemas.openxmlformats.org/officeDocument/2006/relationships" r:id="rId6"/>
          <a:extLst>
            <a:ext uri="{FF2B5EF4-FFF2-40B4-BE49-F238E27FC236}">
              <a16:creationId xmlns:a16="http://schemas.microsoft.com/office/drawing/2014/main" id="{59CE3BCE-E179-4DCA-A08D-76A8F86184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385" name="AutoShape 11" descr="Story">
          <a:hlinkClick xmlns:r="http://schemas.openxmlformats.org/officeDocument/2006/relationships" r:id="rId15"/>
          <a:extLst>
            <a:ext uri="{FF2B5EF4-FFF2-40B4-BE49-F238E27FC236}">
              <a16:creationId xmlns:a16="http://schemas.microsoft.com/office/drawing/2014/main" id="{E16C6CAA-9C25-428F-A61A-C89B8A8FFC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386" name="AutoShape 12" descr="Story">
          <a:hlinkClick xmlns:r="http://schemas.openxmlformats.org/officeDocument/2006/relationships" r:id="rId12"/>
          <a:extLst>
            <a:ext uri="{FF2B5EF4-FFF2-40B4-BE49-F238E27FC236}">
              <a16:creationId xmlns:a16="http://schemas.microsoft.com/office/drawing/2014/main" id="{FE07DECA-2FF8-4EFB-8843-78B6ACB4E2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387" name="AutoShape 13" descr="Story">
          <a:hlinkClick xmlns:r="http://schemas.openxmlformats.org/officeDocument/2006/relationships" r:id="rId4"/>
          <a:extLst>
            <a:ext uri="{FF2B5EF4-FFF2-40B4-BE49-F238E27FC236}">
              <a16:creationId xmlns:a16="http://schemas.microsoft.com/office/drawing/2014/main" id="{EF00DF0E-1922-41DA-A983-343F923E94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388" name="AutoShape 14" descr="Story">
          <a:hlinkClick xmlns:r="http://schemas.openxmlformats.org/officeDocument/2006/relationships" r:id="rId4"/>
          <a:extLst>
            <a:ext uri="{FF2B5EF4-FFF2-40B4-BE49-F238E27FC236}">
              <a16:creationId xmlns:a16="http://schemas.microsoft.com/office/drawing/2014/main" id="{A273F7FF-F9BF-46A0-AE3C-297E4233CE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389" name="AutoShape 15" descr="Story">
          <a:hlinkClick xmlns:r="http://schemas.openxmlformats.org/officeDocument/2006/relationships" r:id="rId4"/>
          <a:extLst>
            <a:ext uri="{FF2B5EF4-FFF2-40B4-BE49-F238E27FC236}">
              <a16:creationId xmlns:a16="http://schemas.microsoft.com/office/drawing/2014/main" id="{AF38A98B-B489-42EC-845D-9D315F94CB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390" name="AutoShape 1" descr="Story">
          <a:hlinkClick xmlns:r="http://schemas.openxmlformats.org/officeDocument/2006/relationships" r:id="rId7"/>
          <a:extLst>
            <a:ext uri="{FF2B5EF4-FFF2-40B4-BE49-F238E27FC236}">
              <a16:creationId xmlns:a16="http://schemas.microsoft.com/office/drawing/2014/main" id="{3223131A-4C9A-4887-91FF-7BC7A21F59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1" name="AutoShape 2" descr="Story">
          <a:hlinkClick xmlns:r="http://schemas.openxmlformats.org/officeDocument/2006/relationships" r:id="rId8"/>
          <a:extLst>
            <a:ext uri="{FF2B5EF4-FFF2-40B4-BE49-F238E27FC236}">
              <a16:creationId xmlns:a16="http://schemas.microsoft.com/office/drawing/2014/main" id="{83B0BFCC-2618-4BD2-B1F1-3126AE6337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2" name="AutoShape 5" descr="Story">
          <a:hlinkClick xmlns:r="http://schemas.openxmlformats.org/officeDocument/2006/relationships" r:id="rId6"/>
          <a:extLst>
            <a:ext uri="{FF2B5EF4-FFF2-40B4-BE49-F238E27FC236}">
              <a16:creationId xmlns:a16="http://schemas.microsoft.com/office/drawing/2014/main" id="{0EC6658A-1705-4230-B654-4BD8CE544E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3" name="AutoShape 1" descr="Sub-task">
          <a:hlinkClick xmlns:r="http://schemas.openxmlformats.org/officeDocument/2006/relationships" r:id="rId9"/>
          <a:extLst>
            <a:ext uri="{FF2B5EF4-FFF2-40B4-BE49-F238E27FC236}">
              <a16:creationId xmlns:a16="http://schemas.microsoft.com/office/drawing/2014/main" id="{3005415D-7A67-4284-B59B-699435B5D7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4" name="AutoShape 2" descr="Sub-task">
          <a:hlinkClick xmlns:r="http://schemas.openxmlformats.org/officeDocument/2006/relationships" r:id="rId10"/>
          <a:extLst>
            <a:ext uri="{FF2B5EF4-FFF2-40B4-BE49-F238E27FC236}">
              <a16:creationId xmlns:a16="http://schemas.microsoft.com/office/drawing/2014/main" id="{D6EF8D7C-8098-418C-97DA-3876632A5E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5" name="AutoShape 3" descr="Story">
          <a:hlinkClick xmlns:r="http://schemas.openxmlformats.org/officeDocument/2006/relationships" r:id="rId11"/>
          <a:extLst>
            <a:ext uri="{FF2B5EF4-FFF2-40B4-BE49-F238E27FC236}">
              <a16:creationId xmlns:a16="http://schemas.microsoft.com/office/drawing/2014/main" id="{36C542A1-C7E4-4941-A1A4-E44A51DC26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6" name="AutoShape 12" descr="Story">
          <a:hlinkClick xmlns:r="http://schemas.openxmlformats.org/officeDocument/2006/relationships" r:id="rId12"/>
          <a:extLst>
            <a:ext uri="{FF2B5EF4-FFF2-40B4-BE49-F238E27FC236}">
              <a16:creationId xmlns:a16="http://schemas.microsoft.com/office/drawing/2014/main" id="{FE1B6C41-7EEE-46FA-8CEB-E5EAEE1A98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7" name="AutoShape 1" descr="Story">
          <a:hlinkClick xmlns:r="http://schemas.openxmlformats.org/officeDocument/2006/relationships" r:id="rId13"/>
          <a:extLst>
            <a:ext uri="{FF2B5EF4-FFF2-40B4-BE49-F238E27FC236}">
              <a16:creationId xmlns:a16="http://schemas.microsoft.com/office/drawing/2014/main" id="{218E0BD9-DA67-40A7-9E3D-EB9B03C220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8" name="AutoShape 1" descr="Story">
          <a:hlinkClick xmlns:r="http://schemas.openxmlformats.org/officeDocument/2006/relationships" r:id="rId13"/>
          <a:extLst>
            <a:ext uri="{FF2B5EF4-FFF2-40B4-BE49-F238E27FC236}">
              <a16:creationId xmlns:a16="http://schemas.microsoft.com/office/drawing/2014/main" id="{64984993-EE22-4561-B541-61D2FC59FB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399" name="AutoShape 3" descr="Story">
          <a:hlinkClick xmlns:r="http://schemas.openxmlformats.org/officeDocument/2006/relationships" r:id="rId4"/>
          <a:extLst>
            <a:ext uri="{FF2B5EF4-FFF2-40B4-BE49-F238E27FC236}">
              <a16:creationId xmlns:a16="http://schemas.microsoft.com/office/drawing/2014/main" id="{64C5298C-5A0F-4F12-9A27-A285CE8493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00" name="AutoShape 4" descr="Story">
          <a:hlinkClick xmlns:r="http://schemas.openxmlformats.org/officeDocument/2006/relationships" r:id="rId5"/>
          <a:extLst>
            <a:ext uri="{FF2B5EF4-FFF2-40B4-BE49-F238E27FC236}">
              <a16:creationId xmlns:a16="http://schemas.microsoft.com/office/drawing/2014/main" id="{DD86DDE9-2012-454F-B5BB-12FC4F0049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1" name="AutoShape 1" descr="Story">
          <a:hlinkClick xmlns:r="http://schemas.openxmlformats.org/officeDocument/2006/relationships" r:id="rId7"/>
          <a:extLst>
            <a:ext uri="{FF2B5EF4-FFF2-40B4-BE49-F238E27FC236}">
              <a16:creationId xmlns:a16="http://schemas.microsoft.com/office/drawing/2014/main" id="{E4B6667F-3680-479F-A4DC-E94DE17F71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2" name="AutoShape 2" descr="Story">
          <a:hlinkClick xmlns:r="http://schemas.openxmlformats.org/officeDocument/2006/relationships" r:id="rId8"/>
          <a:extLst>
            <a:ext uri="{FF2B5EF4-FFF2-40B4-BE49-F238E27FC236}">
              <a16:creationId xmlns:a16="http://schemas.microsoft.com/office/drawing/2014/main" id="{9555C615-4AD9-4E57-AA74-E47B8B4A98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03" name="AutoShape 3" descr="Story">
          <a:hlinkClick xmlns:r="http://schemas.openxmlformats.org/officeDocument/2006/relationships" r:id="rId4"/>
          <a:extLst>
            <a:ext uri="{FF2B5EF4-FFF2-40B4-BE49-F238E27FC236}">
              <a16:creationId xmlns:a16="http://schemas.microsoft.com/office/drawing/2014/main" id="{36E3B404-1459-4607-B17C-7814D88CF5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04" name="AutoShape 4" descr="Story">
          <a:hlinkClick xmlns:r="http://schemas.openxmlformats.org/officeDocument/2006/relationships" r:id="rId5"/>
          <a:extLst>
            <a:ext uri="{FF2B5EF4-FFF2-40B4-BE49-F238E27FC236}">
              <a16:creationId xmlns:a16="http://schemas.microsoft.com/office/drawing/2014/main" id="{090A91F3-B365-4D7D-8517-B4E0026750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5" name="AutoShape 5" descr="Story">
          <a:hlinkClick xmlns:r="http://schemas.openxmlformats.org/officeDocument/2006/relationships" r:id="rId6"/>
          <a:extLst>
            <a:ext uri="{FF2B5EF4-FFF2-40B4-BE49-F238E27FC236}">
              <a16:creationId xmlns:a16="http://schemas.microsoft.com/office/drawing/2014/main" id="{E4463C4B-410C-490F-BA41-FA52B4557A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6" name="AutoShape 1" descr="Sub-task">
          <a:hlinkClick xmlns:r="http://schemas.openxmlformats.org/officeDocument/2006/relationships" r:id="rId9"/>
          <a:extLst>
            <a:ext uri="{FF2B5EF4-FFF2-40B4-BE49-F238E27FC236}">
              <a16:creationId xmlns:a16="http://schemas.microsoft.com/office/drawing/2014/main" id="{B28D7096-9B1D-47CE-B0B5-74FE734115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7" name="AutoShape 2" descr="Sub-task">
          <a:hlinkClick xmlns:r="http://schemas.openxmlformats.org/officeDocument/2006/relationships" r:id="rId10"/>
          <a:extLst>
            <a:ext uri="{FF2B5EF4-FFF2-40B4-BE49-F238E27FC236}">
              <a16:creationId xmlns:a16="http://schemas.microsoft.com/office/drawing/2014/main" id="{221EFF24-2D48-406F-87AB-D7FA903EF1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08" name="AutoShape 7" descr="Story">
          <a:hlinkClick xmlns:r="http://schemas.openxmlformats.org/officeDocument/2006/relationships" r:id="rId3"/>
          <a:extLst>
            <a:ext uri="{FF2B5EF4-FFF2-40B4-BE49-F238E27FC236}">
              <a16:creationId xmlns:a16="http://schemas.microsoft.com/office/drawing/2014/main" id="{64D4B036-E5D1-43B5-9B2D-44D3A063E4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09" name="AutoShape 3" descr="Story">
          <a:hlinkClick xmlns:r="http://schemas.openxmlformats.org/officeDocument/2006/relationships" r:id="rId11"/>
          <a:extLst>
            <a:ext uri="{FF2B5EF4-FFF2-40B4-BE49-F238E27FC236}">
              <a16:creationId xmlns:a16="http://schemas.microsoft.com/office/drawing/2014/main" id="{ADBA731F-A718-4D69-A626-6E8426F4CC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0" name="AutoShape 12" descr="Story">
          <a:hlinkClick xmlns:r="http://schemas.openxmlformats.org/officeDocument/2006/relationships" r:id="rId12"/>
          <a:extLst>
            <a:ext uri="{FF2B5EF4-FFF2-40B4-BE49-F238E27FC236}">
              <a16:creationId xmlns:a16="http://schemas.microsoft.com/office/drawing/2014/main" id="{C52F0D94-C3AC-4E90-9107-76B517D6BA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1" name="AutoShape 1" descr="Story">
          <a:hlinkClick xmlns:r="http://schemas.openxmlformats.org/officeDocument/2006/relationships" r:id="rId13"/>
          <a:extLst>
            <a:ext uri="{FF2B5EF4-FFF2-40B4-BE49-F238E27FC236}">
              <a16:creationId xmlns:a16="http://schemas.microsoft.com/office/drawing/2014/main" id="{CC93577A-4D30-4A61-8C4C-12703FBDFC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2" name="AutoShape 1" descr="Story">
          <a:hlinkClick xmlns:r="http://schemas.openxmlformats.org/officeDocument/2006/relationships" r:id="rId13"/>
          <a:extLst>
            <a:ext uri="{FF2B5EF4-FFF2-40B4-BE49-F238E27FC236}">
              <a16:creationId xmlns:a16="http://schemas.microsoft.com/office/drawing/2014/main" id="{5EB9E9C9-738A-49F7-AE31-8F5EC74E489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3" name="AutoShape 3" descr="Story">
          <a:hlinkClick xmlns:r="http://schemas.openxmlformats.org/officeDocument/2006/relationships" r:id="rId4"/>
          <a:extLst>
            <a:ext uri="{FF2B5EF4-FFF2-40B4-BE49-F238E27FC236}">
              <a16:creationId xmlns:a16="http://schemas.microsoft.com/office/drawing/2014/main" id="{B3446EB5-20D0-49B9-9A11-0F337827D8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4" name="AutoShape 4" descr="Story">
          <a:hlinkClick xmlns:r="http://schemas.openxmlformats.org/officeDocument/2006/relationships" r:id="rId5"/>
          <a:extLst>
            <a:ext uri="{FF2B5EF4-FFF2-40B4-BE49-F238E27FC236}">
              <a16:creationId xmlns:a16="http://schemas.microsoft.com/office/drawing/2014/main" id="{7BF217DD-B795-40D8-AE34-C75D08BE57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15" name="AutoShape 7" descr="Story">
          <a:hlinkClick xmlns:r="http://schemas.openxmlformats.org/officeDocument/2006/relationships" r:id="rId3"/>
          <a:extLst>
            <a:ext uri="{FF2B5EF4-FFF2-40B4-BE49-F238E27FC236}">
              <a16:creationId xmlns:a16="http://schemas.microsoft.com/office/drawing/2014/main" id="{C9D7164D-01EA-4BC2-8593-082C6AA49A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16" name="AutoShape 8" descr="Story">
          <a:hlinkClick xmlns:r="http://schemas.openxmlformats.org/officeDocument/2006/relationships" r:id="rId4"/>
          <a:extLst>
            <a:ext uri="{FF2B5EF4-FFF2-40B4-BE49-F238E27FC236}">
              <a16:creationId xmlns:a16="http://schemas.microsoft.com/office/drawing/2014/main" id="{268D05B5-E9DE-4E81-809D-012632DD73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17" name="AutoShape 8" descr="Story">
          <a:hlinkClick xmlns:r="http://schemas.openxmlformats.org/officeDocument/2006/relationships" r:id="rId4"/>
          <a:extLst>
            <a:ext uri="{FF2B5EF4-FFF2-40B4-BE49-F238E27FC236}">
              <a16:creationId xmlns:a16="http://schemas.microsoft.com/office/drawing/2014/main" id="{8082ECDF-6A8C-4C72-84A8-FCDC3824E8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1279</xdr:row>
      <xdr:rowOff>0</xdr:rowOff>
    </xdr:from>
    <xdr:to>
      <xdr:col>0</xdr:col>
      <xdr:colOff>152400</xdr:colOff>
      <xdr:row>1279</xdr:row>
      <xdr:rowOff>152400</xdr:rowOff>
    </xdr:to>
    <xdr:sp macro="" textlink="">
      <xdr:nvSpPr>
        <xdr:cNvPr id="3418" name="AutoShape 1" descr="Story">
          <a:hlinkClick xmlns:r="http://schemas.openxmlformats.org/officeDocument/2006/relationships" r:id="rId13"/>
          <a:extLst>
            <a:ext uri="{FF2B5EF4-FFF2-40B4-BE49-F238E27FC236}">
              <a16:creationId xmlns:a16="http://schemas.microsoft.com/office/drawing/2014/main" id="{49D134C8-8450-4960-BD32-8BE870CECB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19" name="AutoShape 2" descr="Story">
          <a:hlinkClick xmlns:r="http://schemas.openxmlformats.org/officeDocument/2006/relationships" r:id="rId12"/>
          <a:extLst>
            <a:ext uri="{FF2B5EF4-FFF2-40B4-BE49-F238E27FC236}">
              <a16:creationId xmlns:a16="http://schemas.microsoft.com/office/drawing/2014/main" id="{4D5D60DF-A104-48D1-AE33-4A8927AFEE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420" name="AutoShape 3" descr="Story">
          <a:hlinkClick xmlns:r="http://schemas.openxmlformats.org/officeDocument/2006/relationships" r:id="rId11"/>
          <a:extLst>
            <a:ext uri="{FF2B5EF4-FFF2-40B4-BE49-F238E27FC236}">
              <a16:creationId xmlns:a16="http://schemas.microsoft.com/office/drawing/2014/main" id="{DDBA27CD-F313-4FDC-A9FF-0BA5C7B006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21" name="AutoShape 4" descr="Bug">
          <a:hlinkClick xmlns:r="http://schemas.openxmlformats.org/officeDocument/2006/relationships" r:id="rId1"/>
          <a:extLst>
            <a:ext uri="{FF2B5EF4-FFF2-40B4-BE49-F238E27FC236}">
              <a16:creationId xmlns:a16="http://schemas.microsoft.com/office/drawing/2014/main" id="{D66B37F7-8A94-4FC6-97F7-999DF83076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22" name="AutoShape 5" descr="Story">
          <a:hlinkClick xmlns:r="http://schemas.openxmlformats.org/officeDocument/2006/relationships" r:id="rId14"/>
          <a:extLst>
            <a:ext uri="{FF2B5EF4-FFF2-40B4-BE49-F238E27FC236}">
              <a16:creationId xmlns:a16="http://schemas.microsoft.com/office/drawing/2014/main" id="{382C2CE8-4510-4FC3-93B9-A8A35CF490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23" name="AutoShape 6" descr="Bug">
          <a:hlinkClick xmlns:r="http://schemas.openxmlformats.org/officeDocument/2006/relationships" r:id="rId2"/>
          <a:extLst>
            <a:ext uri="{FF2B5EF4-FFF2-40B4-BE49-F238E27FC236}">
              <a16:creationId xmlns:a16="http://schemas.microsoft.com/office/drawing/2014/main" id="{94F86A17-5A43-40B1-A196-758094FC6C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24" name="AutoShape 7" descr="Story">
          <a:hlinkClick xmlns:r="http://schemas.openxmlformats.org/officeDocument/2006/relationships" r:id="rId3"/>
          <a:extLst>
            <a:ext uri="{FF2B5EF4-FFF2-40B4-BE49-F238E27FC236}">
              <a16:creationId xmlns:a16="http://schemas.microsoft.com/office/drawing/2014/main" id="{F7B6D791-7121-49FA-8382-6479147C94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25" name="AutoShape 8" descr="Story">
          <a:hlinkClick xmlns:r="http://schemas.openxmlformats.org/officeDocument/2006/relationships" r:id="rId4"/>
          <a:extLst>
            <a:ext uri="{FF2B5EF4-FFF2-40B4-BE49-F238E27FC236}">
              <a16:creationId xmlns:a16="http://schemas.microsoft.com/office/drawing/2014/main" id="{E0F18337-9FF3-4F47-B911-D0D04719CD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26" name="AutoShape 9" descr="Story">
          <a:hlinkClick xmlns:r="http://schemas.openxmlformats.org/officeDocument/2006/relationships" r:id="rId5"/>
          <a:extLst>
            <a:ext uri="{FF2B5EF4-FFF2-40B4-BE49-F238E27FC236}">
              <a16:creationId xmlns:a16="http://schemas.microsoft.com/office/drawing/2014/main" id="{89B6637D-34C8-4799-B02E-E670C1C001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427" name="AutoShape 10" descr="Story">
          <a:hlinkClick xmlns:r="http://schemas.openxmlformats.org/officeDocument/2006/relationships" r:id="rId6"/>
          <a:extLst>
            <a:ext uri="{FF2B5EF4-FFF2-40B4-BE49-F238E27FC236}">
              <a16:creationId xmlns:a16="http://schemas.microsoft.com/office/drawing/2014/main" id="{55AE10DA-F371-4B13-829D-BB234387A3C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28" name="AutoShape 11" descr="Story">
          <a:hlinkClick xmlns:r="http://schemas.openxmlformats.org/officeDocument/2006/relationships" r:id="rId15"/>
          <a:extLst>
            <a:ext uri="{FF2B5EF4-FFF2-40B4-BE49-F238E27FC236}">
              <a16:creationId xmlns:a16="http://schemas.microsoft.com/office/drawing/2014/main" id="{4B80B0A5-FC13-4C59-9A35-D288CAB8B9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429" name="AutoShape 12" descr="Story">
          <a:hlinkClick xmlns:r="http://schemas.openxmlformats.org/officeDocument/2006/relationships" r:id="rId12"/>
          <a:extLst>
            <a:ext uri="{FF2B5EF4-FFF2-40B4-BE49-F238E27FC236}">
              <a16:creationId xmlns:a16="http://schemas.microsoft.com/office/drawing/2014/main" id="{0072AB65-241A-473A-B0A3-F2F791DD2A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30" name="AutoShape 13" descr="Story">
          <a:hlinkClick xmlns:r="http://schemas.openxmlformats.org/officeDocument/2006/relationships" r:id="rId4"/>
          <a:extLst>
            <a:ext uri="{FF2B5EF4-FFF2-40B4-BE49-F238E27FC236}">
              <a16:creationId xmlns:a16="http://schemas.microsoft.com/office/drawing/2014/main" id="{5A36EF44-EC12-42B7-9E2B-7E5E1386A6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431" name="AutoShape 14" descr="Story">
          <a:hlinkClick xmlns:r="http://schemas.openxmlformats.org/officeDocument/2006/relationships" r:id="rId4"/>
          <a:extLst>
            <a:ext uri="{FF2B5EF4-FFF2-40B4-BE49-F238E27FC236}">
              <a16:creationId xmlns:a16="http://schemas.microsoft.com/office/drawing/2014/main" id="{A1C46B3F-1DBD-49AA-BD27-81DEB6D3BB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32" name="AutoShape 15" descr="Story">
          <a:hlinkClick xmlns:r="http://schemas.openxmlformats.org/officeDocument/2006/relationships" r:id="rId4"/>
          <a:extLst>
            <a:ext uri="{FF2B5EF4-FFF2-40B4-BE49-F238E27FC236}">
              <a16:creationId xmlns:a16="http://schemas.microsoft.com/office/drawing/2014/main" id="{2E2A7669-F2AD-4455-A947-4AE2879F39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433" name="AutoShape 1" descr="Story">
          <a:hlinkClick xmlns:r="http://schemas.openxmlformats.org/officeDocument/2006/relationships" r:id="rId7"/>
          <a:extLst>
            <a:ext uri="{FF2B5EF4-FFF2-40B4-BE49-F238E27FC236}">
              <a16:creationId xmlns:a16="http://schemas.microsoft.com/office/drawing/2014/main" id="{A1081E4F-0566-46B9-AE6A-EA690E5B98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4" name="AutoShape 2" descr="Story">
          <a:hlinkClick xmlns:r="http://schemas.openxmlformats.org/officeDocument/2006/relationships" r:id="rId8"/>
          <a:extLst>
            <a:ext uri="{FF2B5EF4-FFF2-40B4-BE49-F238E27FC236}">
              <a16:creationId xmlns:a16="http://schemas.microsoft.com/office/drawing/2014/main" id="{20631362-1205-4CB9-B77E-7D6E64FB86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5" name="AutoShape 5" descr="Story">
          <a:hlinkClick xmlns:r="http://schemas.openxmlformats.org/officeDocument/2006/relationships" r:id="rId6"/>
          <a:extLst>
            <a:ext uri="{FF2B5EF4-FFF2-40B4-BE49-F238E27FC236}">
              <a16:creationId xmlns:a16="http://schemas.microsoft.com/office/drawing/2014/main" id="{76CC4D42-58DB-444C-A9F2-4AB49E2843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6" name="AutoShape 1" descr="Sub-task">
          <a:hlinkClick xmlns:r="http://schemas.openxmlformats.org/officeDocument/2006/relationships" r:id="rId9"/>
          <a:extLst>
            <a:ext uri="{FF2B5EF4-FFF2-40B4-BE49-F238E27FC236}">
              <a16:creationId xmlns:a16="http://schemas.microsoft.com/office/drawing/2014/main" id="{DAB32E7C-D811-4A86-9EF4-28605111A5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7" name="AutoShape 2" descr="Sub-task">
          <a:hlinkClick xmlns:r="http://schemas.openxmlformats.org/officeDocument/2006/relationships" r:id="rId10"/>
          <a:extLst>
            <a:ext uri="{FF2B5EF4-FFF2-40B4-BE49-F238E27FC236}">
              <a16:creationId xmlns:a16="http://schemas.microsoft.com/office/drawing/2014/main" id="{654E62F1-C17E-4FE8-9AD7-896BD43CB4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8" name="AutoShape 3" descr="Story">
          <a:hlinkClick xmlns:r="http://schemas.openxmlformats.org/officeDocument/2006/relationships" r:id="rId11"/>
          <a:extLst>
            <a:ext uri="{FF2B5EF4-FFF2-40B4-BE49-F238E27FC236}">
              <a16:creationId xmlns:a16="http://schemas.microsoft.com/office/drawing/2014/main" id="{91CDBEEC-67D1-4DF1-B5C8-A404EFBE03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39" name="AutoShape 12" descr="Story">
          <a:hlinkClick xmlns:r="http://schemas.openxmlformats.org/officeDocument/2006/relationships" r:id="rId12"/>
          <a:extLst>
            <a:ext uri="{FF2B5EF4-FFF2-40B4-BE49-F238E27FC236}">
              <a16:creationId xmlns:a16="http://schemas.microsoft.com/office/drawing/2014/main" id="{224A3832-2C4E-4E80-88BF-9584547301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0" name="AutoShape 1" descr="Story">
          <a:hlinkClick xmlns:r="http://schemas.openxmlformats.org/officeDocument/2006/relationships" r:id="rId13"/>
          <a:extLst>
            <a:ext uri="{FF2B5EF4-FFF2-40B4-BE49-F238E27FC236}">
              <a16:creationId xmlns:a16="http://schemas.microsoft.com/office/drawing/2014/main" id="{996F8B07-E341-4CB9-98CC-7E74745DF1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1" name="AutoShape 1" descr="Story">
          <a:hlinkClick xmlns:r="http://schemas.openxmlformats.org/officeDocument/2006/relationships" r:id="rId13"/>
          <a:extLst>
            <a:ext uri="{FF2B5EF4-FFF2-40B4-BE49-F238E27FC236}">
              <a16:creationId xmlns:a16="http://schemas.microsoft.com/office/drawing/2014/main" id="{2693D5FB-DD40-4D0F-BDFE-4FD844050C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2" name="AutoShape 3" descr="Story">
          <a:hlinkClick xmlns:r="http://schemas.openxmlformats.org/officeDocument/2006/relationships" r:id="rId4"/>
          <a:extLst>
            <a:ext uri="{FF2B5EF4-FFF2-40B4-BE49-F238E27FC236}">
              <a16:creationId xmlns:a16="http://schemas.microsoft.com/office/drawing/2014/main" id="{8F052461-153E-4998-9230-049B60DD2B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3" name="AutoShape 4" descr="Story">
          <a:hlinkClick xmlns:r="http://schemas.openxmlformats.org/officeDocument/2006/relationships" r:id="rId5"/>
          <a:extLst>
            <a:ext uri="{FF2B5EF4-FFF2-40B4-BE49-F238E27FC236}">
              <a16:creationId xmlns:a16="http://schemas.microsoft.com/office/drawing/2014/main" id="{EA23D08E-D102-45C3-9414-31B7B38857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44" name="AutoShape 1" descr="Story">
          <a:hlinkClick xmlns:r="http://schemas.openxmlformats.org/officeDocument/2006/relationships" r:id="rId7"/>
          <a:extLst>
            <a:ext uri="{FF2B5EF4-FFF2-40B4-BE49-F238E27FC236}">
              <a16:creationId xmlns:a16="http://schemas.microsoft.com/office/drawing/2014/main" id="{41C07843-341B-4788-ACB5-88BD2151E56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45" name="AutoShape 2" descr="Story">
          <a:hlinkClick xmlns:r="http://schemas.openxmlformats.org/officeDocument/2006/relationships" r:id="rId8"/>
          <a:extLst>
            <a:ext uri="{FF2B5EF4-FFF2-40B4-BE49-F238E27FC236}">
              <a16:creationId xmlns:a16="http://schemas.microsoft.com/office/drawing/2014/main" id="{E2DD3AB6-2217-40BC-8E78-2D5A0F1D5E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6" name="AutoShape 3" descr="Story">
          <a:hlinkClick xmlns:r="http://schemas.openxmlformats.org/officeDocument/2006/relationships" r:id="rId4"/>
          <a:extLst>
            <a:ext uri="{FF2B5EF4-FFF2-40B4-BE49-F238E27FC236}">
              <a16:creationId xmlns:a16="http://schemas.microsoft.com/office/drawing/2014/main" id="{9ECF3E5F-61CA-44F4-B7B9-D46007D201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47" name="AutoShape 4" descr="Story">
          <a:hlinkClick xmlns:r="http://schemas.openxmlformats.org/officeDocument/2006/relationships" r:id="rId5"/>
          <a:extLst>
            <a:ext uri="{FF2B5EF4-FFF2-40B4-BE49-F238E27FC236}">
              <a16:creationId xmlns:a16="http://schemas.microsoft.com/office/drawing/2014/main" id="{4EB94EEB-6259-4DE5-AC5D-F6FFC801B1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48" name="AutoShape 5" descr="Story">
          <a:hlinkClick xmlns:r="http://schemas.openxmlformats.org/officeDocument/2006/relationships" r:id="rId6"/>
          <a:extLst>
            <a:ext uri="{FF2B5EF4-FFF2-40B4-BE49-F238E27FC236}">
              <a16:creationId xmlns:a16="http://schemas.microsoft.com/office/drawing/2014/main" id="{F63C2617-387F-489C-BD41-2154BDA91F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49" name="AutoShape 1" descr="Sub-task">
          <a:hlinkClick xmlns:r="http://schemas.openxmlformats.org/officeDocument/2006/relationships" r:id="rId9"/>
          <a:extLst>
            <a:ext uri="{FF2B5EF4-FFF2-40B4-BE49-F238E27FC236}">
              <a16:creationId xmlns:a16="http://schemas.microsoft.com/office/drawing/2014/main" id="{0C9DEF6C-0685-4117-8FAA-219D2B98AC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0" name="AutoShape 2" descr="Sub-task">
          <a:hlinkClick xmlns:r="http://schemas.openxmlformats.org/officeDocument/2006/relationships" r:id="rId10"/>
          <a:extLst>
            <a:ext uri="{FF2B5EF4-FFF2-40B4-BE49-F238E27FC236}">
              <a16:creationId xmlns:a16="http://schemas.microsoft.com/office/drawing/2014/main" id="{095A809D-77DA-4BD7-A460-6A42FD58CF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51" name="AutoShape 7" descr="Story">
          <a:hlinkClick xmlns:r="http://schemas.openxmlformats.org/officeDocument/2006/relationships" r:id="rId3"/>
          <a:extLst>
            <a:ext uri="{FF2B5EF4-FFF2-40B4-BE49-F238E27FC236}">
              <a16:creationId xmlns:a16="http://schemas.microsoft.com/office/drawing/2014/main" id="{2E6785E8-5B38-4AF2-949F-697BAA0FBE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2" name="AutoShape 3" descr="Story">
          <a:hlinkClick xmlns:r="http://schemas.openxmlformats.org/officeDocument/2006/relationships" r:id="rId11"/>
          <a:extLst>
            <a:ext uri="{FF2B5EF4-FFF2-40B4-BE49-F238E27FC236}">
              <a16:creationId xmlns:a16="http://schemas.microsoft.com/office/drawing/2014/main" id="{FCFBAD1E-3DEB-4C12-8FC1-88EE6F0199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3" name="AutoShape 12" descr="Story">
          <a:hlinkClick xmlns:r="http://schemas.openxmlformats.org/officeDocument/2006/relationships" r:id="rId12"/>
          <a:extLst>
            <a:ext uri="{FF2B5EF4-FFF2-40B4-BE49-F238E27FC236}">
              <a16:creationId xmlns:a16="http://schemas.microsoft.com/office/drawing/2014/main" id="{D6E77421-6BA5-4D80-BFAA-21998B9501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4" name="AutoShape 1" descr="Story">
          <a:hlinkClick xmlns:r="http://schemas.openxmlformats.org/officeDocument/2006/relationships" r:id="rId13"/>
          <a:extLst>
            <a:ext uri="{FF2B5EF4-FFF2-40B4-BE49-F238E27FC236}">
              <a16:creationId xmlns:a16="http://schemas.microsoft.com/office/drawing/2014/main" id="{F4036C60-81E8-42BF-B240-5FB3B80508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5" name="AutoShape 1" descr="Story">
          <a:hlinkClick xmlns:r="http://schemas.openxmlformats.org/officeDocument/2006/relationships" r:id="rId13"/>
          <a:extLst>
            <a:ext uri="{FF2B5EF4-FFF2-40B4-BE49-F238E27FC236}">
              <a16:creationId xmlns:a16="http://schemas.microsoft.com/office/drawing/2014/main" id="{10FAD8E4-2B7A-4522-870C-3ECC15369C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6" name="AutoShape 3" descr="Story">
          <a:hlinkClick xmlns:r="http://schemas.openxmlformats.org/officeDocument/2006/relationships" r:id="rId4"/>
          <a:extLst>
            <a:ext uri="{FF2B5EF4-FFF2-40B4-BE49-F238E27FC236}">
              <a16:creationId xmlns:a16="http://schemas.microsoft.com/office/drawing/2014/main" id="{12794D21-E5DB-4D96-9926-8BD0EE0DD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7" name="AutoShape 4" descr="Story">
          <a:hlinkClick xmlns:r="http://schemas.openxmlformats.org/officeDocument/2006/relationships" r:id="rId5"/>
          <a:extLst>
            <a:ext uri="{FF2B5EF4-FFF2-40B4-BE49-F238E27FC236}">
              <a16:creationId xmlns:a16="http://schemas.microsoft.com/office/drawing/2014/main" id="{DB32CD5A-7844-42BD-94D7-6F8502F9221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58" name="AutoShape 7" descr="Story">
          <a:hlinkClick xmlns:r="http://schemas.openxmlformats.org/officeDocument/2006/relationships" r:id="rId3"/>
          <a:extLst>
            <a:ext uri="{FF2B5EF4-FFF2-40B4-BE49-F238E27FC236}">
              <a16:creationId xmlns:a16="http://schemas.microsoft.com/office/drawing/2014/main" id="{26768AD5-7350-4872-8A13-4D61D65D649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59" name="AutoShape 8" descr="Story">
          <a:hlinkClick xmlns:r="http://schemas.openxmlformats.org/officeDocument/2006/relationships" r:id="rId4"/>
          <a:extLst>
            <a:ext uri="{FF2B5EF4-FFF2-40B4-BE49-F238E27FC236}">
              <a16:creationId xmlns:a16="http://schemas.microsoft.com/office/drawing/2014/main" id="{BCA06B28-0E4B-404F-A1E1-7C5CA4F5AC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60" name="AutoShape 8" descr="Story">
          <a:hlinkClick xmlns:r="http://schemas.openxmlformats.org/officeDocument/2006/relationships" r:id="rId4"/>
          <a:extLst>
            <a:ext uri="{FF2B5EF4-FFF2-40B4-BE49-F238E27FC236}">
              <a16:creationId xmlns:a16="http://schemas.microsoft.com/office/drawing/2014/main" id="{4A60A1A7-71CD-4F7C-8AAF-045FFDFE12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1279</xdr:row>
      <xdr:rowOff>0</xdr:rowOff>
    </xdr:from>
    <xdr:to>
      <xdr:col>0</xdr:col>
      <xdr:colOff>152400</xdr:colOff>
      <xdr:row>1279</xdr:row>
      <xdr:rowOff>152400</xdr:rowOff>
    </xdr:to>
    <xdr:sp macro="" textlink="">
      <xdr:nvSpPr>
        <xdr:cNvPr id="3461" name="AutoShape 1" descr="Story">
          <a:hlinkClick xmlns:r="http://schemas.openxmlformats.org/officeDocument/2006/relationships" r:id="rId13"/>
          <a:extLst>
            <a:ext uri="{FF2B5EF4-FFF2-40B4-BE49-F238E27FC236}">
              <a16:creationId xmlns:a16="http://schemas.microsoft.com/office/drawing/2014/main" id="{096E553E-A79E-4ABC-8D54-5234E6FF9A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62" name="AutoShape 2" descr="Story">
          <a:hlinkClick xmlns:r="http://schemas.openxmlformats.org/officeDocument/2006/relationships" r:id="rId12"/>
          <a:extLst>
            <a:ext uri="{FF2B5EF4-FFF2-40B4-BE49-F238E27FC236}">
              <a16:creationId xmlns:a16="http://schemas.microsoft.com/office/drawing/2014/main" id="{EB860C0D-350C-4FA6-A3D1-2DBB8DB9D8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463" name="AutoShape 3" descr="Story">
          <a:hlinkClick xmlns:r="http://schemas.openxmlformats.org/officeDocument/2006/relationships" r:id="rId11"/>
          <a:extLst>
            <a:ext uri="{FF2B5EF4-FFF2-40B4-BE49-F238E27FC236}">
              <a16:creationId xmlns:a16="http://schemas.microsoft.com/office/drawing/2014/main" id="{8F493623-9E1B-4C2A-9E71-BBCB796070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64" name="AutoShape 4" descr="Bug">
          <a:hlinkClick xmlns:r="http://schemas.openxmlformats.org/officeDocument/2006/relationships" r:id="rId1"/>
          <a:extLst>
            <a:ext uri="{FF2B5EF4-FFF2-40B4-BE49-F238E27FC236}">
              <a16:creationId xmlns:a16="http://schemas.microsoft.com/office/drawing/2014/main" id="{ECE282C6-4F2F-473C-923C-F997F11470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65" name="AutoShape 5" descr="Story">
          <a:hlinkClick xmlns:r="http://schemas.openxmlformats.org/officeDocument/2006/relationships" r:id="rId14"/>
          <a:extLst>
            <a:ext uri="{FF2B5EF4-FFF2-40B4-BE49-F238E27FC236}">
              <a16:creationId xmlns:a16="http://schemas.microsoft.com/office/drawing/2014/main" id="{ED6824D3-6FEC-4EB3-96A6-BB1E428BD4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66" name="AutoShape 6" descr="Bug">
          <a:hlinkClick xmlns:r="http://schemas.openxmlformats.org/officeDocument/2006/relationships" r:id="rId2"/>
          <a:extLst>
            <a:ext uri="{FF2B5EF4-FFF2-40B4-BE49-F238E27FC236}">
              <a16:creationId xmlns:a16="http://schemas.microsoft.com/office/drawing/2014/main" id="{27E3F372-9403-474B-A6B2-76FDEFF844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67" name="AutoShape 7" descr="Story">
          <a:hlinkClick xmlns:r="http://schemas.openxmlformats.org/officeDocument/2006/relationships" r:id="rId3"/>
          <a:extLst>
            <a:ext uri="{FF2B5EF4-FFF2-40B4-BE49-F238E27FC236}">
              <a16:creationId xmlns:a16="http://schemas.microsoft.com/office/drawing/2014/main" id="{0FD414B1-2133-4119-8FCF-C930475ECB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68" name="AutoShape 8" descr="Story">
          <a:hlinkClick xmlns:r="http://schemas.openxmlformats.org/officeDocument/2006/relationships" r:id="rId4"/>
          <a:extLst>
            <a:ext uri="{FF2B5EF4-FFF2-40B4-BE49-F238E27FC236}">
              <a16:creationId xmlns:a16="http://schemas.microsoft.com/office/drawing/2014/main" id="{B7BF29A4-9BA5-427D-B656-0C38D686ED4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69" name="AutoShape 9" descr="Story">
          <a:hlinkClick xmlns:r="http://schemas.openxmlformats.org/officeDocument/2006/relationships" r:id="rId5"/>
          <a:extLst>
            <a:ext uri="{FF2B5EF4-FFF2-40B4-BE49-F238E27FC236}">
              <a16:creationId xmlns:a16="http://schemas.microsoft.com/office/drawing/2014/main" id="{6A01E7E3-344E-4D4E-8F7F-5DD267C712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470" name="AutoShape 10" descr="Story">
          <a:hlinkClick xmlns:r="http://schemas.openxmlformats.org/officeDocument/2006/relationships" r:id="rId6"/>
          <a:extLst>
            <a:ext uri="{FF2B5EF4-FFF2-40B4-BE49-F238E27FC236}">
              <a16:creationId xmlns:a16="http://schemas.microsoft.com/office/drawing/2014/main" id="{9508D3DE-7C39-4215-B3FA-6679DB245E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71" name="AutoShape 11" descr="Story">
          <a:hlinkClick xmlns:r="http://schemas.openxmlformats.org/officeDocument/2006/relationships" r:id="rId15"/>
          <a:extLst>
            <a:ext uri="{FF2B5EF4-FFF2-40B4-BE49-F238E27FC236}">
              <a16:creationId xmlns:a16="http://schemas.microsoft.com/office/drawing/2014/main" id="{1587AB40-BAA2-4D56-AB1E-F57871DC08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472" name="AutoShape 12" descr="Story">
          <a:hlinkClick xmlns:r="http://schemas.openxmlformats.org/officeDocument/2006/relationships" r:id="rId12"/>
          <a:extLst>
            <a:ext uri="{FF2B5EF4-FFF2-40B4-BE49-F238E27FC236}">
              <a16:creationId xmlns:a16="http://schemas.microsoft.com/office/drawing/2014/main" id="{65D1F034-EA2C-4398-A1B3-0180AC3D14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473" name="AutoShape 13" descr="Story">
          <a:hlinkClick xmlns:r="http://schemas.openxmlformats.org/officeDocument/2006/relationships" r:id="rId4"/>
          <a:extLst>
            <a:ext uri="{FF2B5EF4-FFF2-40B4-BE49-F238E27FC236}">
              <a16:creationId xmlns:a16="http://schemas.microsoft.com/office/drawing/2014/main" id="{6E30FB58-B35B-4433-9ED2-86942E055A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474" name="AutoShape 14" descr="Story">
          <a:hlinkClick xmlns:r="http://schemas.openxmlformats.org/officeDocument/2006/relationships" r:id="rId4"/>
          <a:extLst>
            <a:ext uri="{FF2B5EF4-FFF2-40B4-BE49-F238E27FC236}">
              <a16:creationId xmlns:a16="http://schemas.microsoft.com/office/drawing/2014/main" id="{DC452F47-1195-4ED0-9543-D0563E0E03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475" name="AutoShape 15" descr="Story">
          <a:hlinkClick xmlns:r="http://schemas.openxmlformats.org/officeDocument/2006/relationships" r:id="rId4"/>
          <a:extLst>
            <a:ext uri="{FF2B5EF4-FFF2-40B4-BE49-F238E27FC236}">
              <a16:creationId xmlns:a16="http://schemas.microsoft.com/office/drawing/2014/main" id="{C42D7A4C-9AD3-4967-9107-381D66C66C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476" name="AutoShape 1" descr="Story">
          <a:hlinkClick xmlns:r="http://schemas.openxmlformats.org/officeDocument/2006/relationships" r:id="rId7"/>
          <a:extLst>
            <a:ext uri="{FF2B5EF4-FFF2-40B4-BE49-F238E27FC236}">
              <a16:creationId xmlns:a16="http://schemas.microsoft.com/office/drawing/2014/main" id="{B4BB95F1-39D8-46A7-B425-214F666330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77" name="AutoShape 2" descr="Story">
          <a:hlinkClick xmlns:r="http://schemas.openxmlformats.org/officeDocument/2006/relationships" r:id="rId8"/>
          <a:extLst>
            <a:ext uri="{FF2B5EF4-FFF2-40B4-BE49-F238E27FC236}">
              <a16:creationId xmlns:a16="http://schemas.microsoft.com/office/drawing/2014/main" id="{E3862A10-F829-45A8-A1E9-F8DF50862A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78" name="AutoShape 5" descr="Story">
          <a:hlinkClick xmlns:r="http://schemas.openxmlformats.org/officeDocument/2006/relationships" r:id="rId6"/>
          <a:extLst>
            <a:ext uri="{FF2B5EF4-FFF2-40B4-BE49-F238E27FC236}">
              <a16:creationId xmlns:a16="http://schemas.microsoft.com/office/drawing/2014/main" id="{C3C768A0-B8FC-4F65-A3E7-7E919DB3B9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79" name="AutoShape 1" descr="Sub-task">
          <a:hlinkClick xmlns:r="http://schemas.openxmlformats.org/officeDocument/2006/relationships" r:id="rId9"/>
          <a:extLst>
            <a:ext uri="{FF2B5EF4-FFF2-40B4-BE49-F238E27FC236}">
              <a16:creationId xmlns:a16="http://schemas.microsoft.com/office/drawing/2014/main" id="{A90C0A18-C29F-44B7-B723-FC82CAB68F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0" name="AutoShape 2" descr="Sub-task">
          <a:hlinkClick xmlns:r="http://schemas.openxmlformats.org/officeDocument/2006/relationships" r:id="rId10"/>
          <a:extLst>
            <a:ext uri="{FF2B5EF4-FFF2-40B4-BE49-F238E27FC236}">
              <a16:creationId xmlns:a16="http://schemas.microsoft.com/office/drawing/2014/main" id="{5B0132C2-F8F1-4E38-8C47-0B73FE7800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1" name="AutoShape 3" descr="Story">
          <a:hlinkClick xmlns:r="http://schemas.openxmlformats.org/officeDocument/2006/relationships" r:id="rId11"/>
          <a:extLst>
            <a:ext uri="{FF2B5EF4-FFF2-40B4-BE49-F238E27FC236}">
              <a16:creationId xmlns:a16="http://schemas.microsoft.com/office/drawing/2014/main" id="{870C857F-7834-4211-BA59-C4A1032D36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2" name="AutoShape 12" descr="Story">
          <a:hlinkClick xmlns:r="http://schemas.openxmlformats.org/officeDocument/2006/relationships" r:id="rId12"/>
          <a:extLst>
            <a:ext uri="{FF2B5EF4-FFF2-40B4-BE49-F238E27FC236}">
              <a16:creationId xmlns:a16="http://schemas.microsoft.com/office/drawing/2014/main" id="{AD350B56-A3E5-473E-8705-7AA43717E8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3" name="AutoShape 1" descr="Story">
          <a:hlinkClick xmlns:r="http://schemas.openxmlformats.org/officeDocument/2006/relationships" r:id="rId13"/>
          <a:extLst>
            <a:ext uri="{FF2B5EF4-FFF2-40B4-BE49-F238E27FC236}">
              <a16:creationId xmlns:a16="http://schemas.microsoft.com/office/drawing/2014/main" id="{FE0E683B-32B7-4743-BE93-0264594DA3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4" name="AutoShape 1" descr="Story">
          <a:hlinkClick xmlns:r="http://schemas.openxmlformats.org/officeDocument/2006/relationships" r:id="rId13"/>
          <a:extLst>
            <a:ext uri="{FF2B5EF4-FFF2-40B4-BE49-F238E27FC236}">
              <a16:creationId xmlns:a16="http://schemas.microsoft.com/office/drawing/2014/main" id="{0BD5CF55-37A5-4A8C-8AB9-0F7980002E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5" name="AutoShape 3" descr="Story">
          <a:hlinkClick xmlns:r="http://schemas.openxmlformats.org/officeDocument/2006/relationships" r:id="rId4"/>
          <a:extLst>
            <a:ext uri="{FF2B5EF4-FFF2-40B4-BE49-F238E27FC236}">
              <a16:creationId xmlns:a16="http://schemas.microsoft.com/office/drawing/2014/main" id="{22DADA52-1E3E-46D5-B46E-DF461834F23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6" name="AutoShape 4" descr="Story">
          <a:hlinkClick xmlns:r="http://schemas.openxmlformats.org/officeDocument/2006/relationships" r:id="rId5"/>
          <a:extLst>
            <a:ext uri="{FF2B5EF4-FFF2-40B4-BE49-F238E27FC236}">
              <a16:creationId xmlns:a16="http://schemas.microsoft.com/office/drawing/2014/main" id="{881C2698-AD1A-4D0B-8263-A91B131F7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87" name="AutoShape 1" descr="Story">
          <a:hlinkClick xmlns:r="http://schemas.openxmlformats.org/officeDocument/2006/relationships" r:id="rId7"/>
          <a:extLst>
            <a:ext uri="{FF2B5EF4-FFF2-40B4-BE49-F238E27FC236}">
              <a16:creationId xmlns:a16="http://schemas.microsoft.com/office/drawing/2014/main" id="{8B91C55D-E548-4E75-9442-B7E78AB0C1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88" name="AutoShape 2" descr="Story">
          <a:hlinkClick xmlns:r="http://schemas.openxmlformats.org/officeDocument/2006/relationships" r:id="rId8"/>
          <a:extLst>
            <a:ext uri="{FF2B5EF4-FFF2-40B4-BE49-F238E27FC236}">
              <a16:creationId xmlns:a16="http://schemas.microsoft.com/office/drawing/2014/main" id="{5CEE8832-88A5-4B5D-B3C0-6FFB3C611B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89" name="AutoShape 3" descr="Story">
          <a:hlinkClick xmlns:r="http://schemas.openxmlformats.org/officeDocument/2006/relationships" r:id="rId4"/>
          <a:extLst>
            <a:ext uri="{FF2B5EF4-FFF2-40B4-BE49-F238E27FC236}">
              <a16:creationId xmlns:a16="http://schemas.microsoft.com/office/drawing/2014/main" id="{1C19E750-3FC2-4F3E-B5A1-421C178D42E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90" name="AutoShape 4" descr="Story">
          <a:hlinkClick xmlns:r="http://schemas.openxmlformats.org/officeDocument/2006/relationships" r:id="rId5"/>
          <a:extLst>
            <a:ext uri="{FF2B5EF4-FFF2-40B4-BE49-F238E27FC236}">
              <a16:creationId xmlns:a16="http://schemas.microsoft.com/office/drawing/2014/main" id="{FEF0C4FC-0EC1-4A3F-85A4-5BDFEAFB85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1" name="AutoShape 5" descr="Story">
          <a:hlinkClick xmlns:r="http://schemas.openxmlformats.org/officeDocument/2006/relationships" r:id="rId6"/>
          <a:extLst>
            <a:ext uri="{FF2B5EF4-FFF2-40B4-BE49-F238E27FC236}">
              <a16:creationId xmlns:a16="http://schemas.microsoft.com/office/drawing/2014/main" id="{61E422C9-712E-41CA-A711-3E21135DB1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2" name="AutoShape 1" descr="Sub-task">
          <a:hlinkClick xmlns:r="http://schemas.openxmlformats.org/officeDocument/2006/relationships" r:id="rId9"/>
          <a:extLst>
            <a:ext uri="{FF2B5EF4-FFF2-40B4-BE49-F238E27FC236}">
              <a16:creationId xmlns:a16="http://schemas.microsoft.com/office/drawing/2014/main" id="{4BC16063-91D2-4A7F-98B9-87A726C251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3" name="AutoShape 2" descr="Sub-task">
          <a:hlinkClick xmlns:r="http://schemas.openxmlformats.org/officeDocument/2006/relationships" r:id="rId10"/>
          <a:extLst>
            <a:ext uri="{FF2B5EF4-FFF2-40B4-BE49-F238E27FC236}">
              <a16:creationId xmlns:a16="http://schemas.microsoft.com/office/drawing/2014/main" id="{72DD3D84-EE7C-4F78-8B12-9FDFAED629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494" name="AutoShape 7" descr="Story">
          <a:hlinkClick xmlns:r="http://schemas.openxmlformats.org/officeDocument/2006/relationships" r:id="rId3"/>
          <a:extLst>
            <a:ext uri="{FF2B5EF4-FFF2-40B4-BE49-F238E27FC236}">
              <a16:creationId xmlns:a16="http://schemas.microsoft.com/office/drawing/2014/main" id="{63A46F22-75D6-4C3E-ADBD-8D1FB3653D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5" name="AutoShape 3" descr="Story">
          <a:hlinkClick xmlns:r="http://schemas.openxmlformats.org/officeDocument/2006/relationships" r:id="rId11"/>
          <a:extLst>
            <a:ext uri="{FF2B5EF4-FFF2-40B4-BE49-F238E27FC236}">
              <a16:creationId xmlns:a16="http://schemas.microsoft.com/office/drawing/2014/main" id="{24DD28A4-29F0-45E3-B53F-1E76774308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6" name="AutoShape 12" descr="Story">
          <a:hlinkClick xmlns:r="http://schemas.openxmlformats.org/officeDocument/2006/relationships" r:id="rId12"/>
          <a:extLst>
            <a:ext uri="{FF2B5EF4-FFF2-40B4-BE49-F238E27FC236}">
              <a16:creationId xmlns:a16="http://schemas.microsoft.com/office/drawing/2014/main" id="{D27E4B8A-71A4-4A5C-A9CC-D092DA5AE3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7" name="AutoShape 1" descr="Story">
          <a:hlinkClick xmlns:r="http://schemas.openxmlformats.org/officeDocument/2006/relationships" r:id="rId13"/>
          <a:extLst>
            <a:ext uri="{FF2B5EF4-FFF2-40B4-BE49-F238E27FC236}">
              <a16:creationId xmlns:a16="http://schemas.microsoft.com/office/drawing/2014/main" id="{AF9A4100-A8AC-4943-9724-2BA4ABA755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8" name="AutoShape 1" descr="Story">
          <a:hlinkClick xmlns:r="http://schemas.openxmlformats.org/officeDocument/2006/relationships" r:id="rId13"/>
          <a:extLst>
            <a:ext uri="{FF2B5EF4-FFF2-40B4-BE49-F238E27FC236}">
              <a16:creationId xmlns:a16="http://schemas.microsoft.com/office/drawing/2014/main" id="{ADE3D65E-E8C8-401D-9886-D670877B6E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499" name="AutoShape 3" descr="Story">
          <a:hlinkClick xmlns:r="http://schemas.openxmlformats.org/officeDocument/2006/relationships" r:id="rId4"/>
          <a:extLst>
            <a:ext uri="{FF2B5EF4-FFF2-40B4-BE49-F238E27FC236}">
              <a16:creationId xmlns:a16="http://schemas.microsoft.com/office/drawing/2014/main" id="{F861EA15-B6A2-43B4-8CBD-1D6049896D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00" name="AutoShape 4" descr="Story">
          <a:hlinkClick xmlns:r="http://schemas.openxmlformats.org/officeDocument/2006/relationships" r:id="rId5"/>
          <a:extLst>
            <a:ext uri="{FF2B5EF4-FFF2-40B4-BE49-F238E27FC236}">
              <a16:creationId xmlns:a16="http://schemas.microsoft.com/office/drawing/2014/main" id="{4620001A-43B1-436B-B532-32E013EF4E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01" name="AutoShape 7" descr="Story">
          <a:hlinkClick xmlns:r="http://schemas.openxmlformats.org/officeDocument/2006/relationships" r:id="rId3"/>
          <a:extLst>
            <a:ext uri="{FF2B5EF4-FFF2-40B4-BE49-F238E27FC236}">
              <a16:creationId xmlns:a16="http://schemas.microsoft.com/office/drawing/2014/main" id="{C335A068-984F-4113-9881-047010E086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02" name="AutoShape 8" descr="Story">
          <a:hlinkClick xmlns:r="http://schemas.openxmlformats.org/officeDocument/2006/relationships" r:id="rId4"/>
          <a:extLst>
            <a:ext uri="{FF2B5EF4-FFF2-40B4-BE49-F238E27FC236}">
              <a16:creationId xmlns:a16="http://schemas.microsoft.com/office/drawing/2014/main" id="{8A0E0DF6-B42E-4D07-B82D-75253AE40C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03" name="AutoShape 8" descr="Story">
          <a:hlinkClick xmlns:r="http://schemas.openxmlformats.org/officeDocument/2006/relationships" r:id="rId4"/>
          <a:extLst>
            <a:ext uri="{FF2B5EF4-FFF2-40B4-BE49-F238E27FC236}">
              <a16:creationId xmlns:a16="http://schemas.microsoft.com/office/drawing/2014/main" id="{0D282800-C90B-47E1-8B04-DD9E84D11F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1275</xdr:row>
      <xdr:rowOff>0</xdr:rowOff>
    </xdr:from>
    <xdr:to>
      <xdr:col>0</xdr:col>
      <xdr:colOff>152400</xdr:colOff>
      <xdr:row>1275</xdr:row>
      <xdr:rowOff>152400</xdr:rowOff>
    </xdr:to>
    <xdr:sp macro="" textlink="">
      <xdr:nvSpPr>
        <xdr:cNvPr id="3504" name="AutoShape 10" descr="Story">
          <a:hlinkClick xmlns:r="http://schemas.openxmlformats.org/officeDocument/2006/relationships" r:id="rId6"/>
          <a:extLst>
            <a:ext uri="{FF2B5EF4-FFF2-40B4-BE49-F238E27FC236}">
              <a16:creationId xmlns:a16="http://schemas.microsoft.com/office/drawing/2014/main" id="{0D3EC603-A1B4-47B5-8003-85C0AE8D1E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05" name="AutoShape 14" descr="Story">
          <a:hlinkClick xmlns:r="http://schemas.openxmlformats.org/officeDocument/2006/relationships" r:id="rId4"/>
          <a:extLst>
            <a:ext uri="{FF2B5EF4-FFF2-40B4-BE49-F238E27FC236}">
              <a16:creationId xmlns:a16="http://schemas.microsoft.com/office/drawing/2014/main" id="{67222579-A1BA-45F0-9B07-2C0A0408F0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06" name="AutoShape 10" descr="Story">
          <a:hlinkClick xmlns:r="http://schemas.openxmlformats.org/officeDocument/2006/relationships" r:id="rId6"/>
          <a:extLst>
            <a:ext uri="{FF2B5EF4-FFF2-40B4-BE49-F238E27FC236}">
              <a16:creationId xmlns:a16="http://schemas.microsoft.com/office/drawing/2014/main" id="{B85925AF-6F85-44B7-BB67-411C2CE02B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07" name="AutoShape 14" descr="Story">
          <a:hlinkClick xmlns:r="http://schemas.openxmlformats.org/officeDocument/2006/relationships" r:id="rId4"/>
          <a:extLst>
            <a:ext uri="{FF2B5EF4-FFF2-40B4-BE49-F238E27FC236}">
              <a16:creationId xmlns:a16="http://schemas.microsoft.com/office/drawing/2014/main" id="{4074105E-7BE9-4822-A825-778E0267FC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508" name="AutoShape 1" descr="Story">
          <a:hlinkClick xmlns:r="http://schemas.openxmlformats.org/officeDocument/2006/relationships" r:id="rId13"/>
          <a:extLst>
            <a:ext uri="{FF2B5EF4-FFF2-40B4-BE49-F238E27FC236}">
              <a16:creationId xmlns:a16="http://schemas.microsoft.com/office/drawing/2014/main" id="{6C2E11EB-A480-47A1-BC81-0A537C8E93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09" name="AutoShape 2" descr="Story">
          <a:hlinkClick xmlns:r="http://schemas.openxmlformats.org/officeDocument/2006/relationships" r:id="rId12"/>
          <a:extLst>
            <a:ext uri="{FF2B5EF4-FFF2-40B4-BE49-F238E27FC236}">
              <a16:creationId xmlns:a16="http://schemas.microsoft.com/office/drawing/2014/main" id="{5FC8D51A-EDC6-464D-8B4F-359E688FEC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510" name="AutoShape 3" descr="Story">
          <a:hlinkClick xmlns:r="http://schemas.openxmlformats.org/officeDocument/2006/relationships" r:id="rId11"/>
          <a:extLst>
            <a:ext uri="{FF2B5EF4-FFF2-40B4-BE49-F238E27FC236}">
              <a16:creationId xmlns:a16="http://schemas.microsoft.com/office/drawing/2014/main" id="{EDC58411-DF36-4009-B810-A4FAAD527F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11" name="AutoShape 4" descr="Bug">
          <a:hlinkClick xmlns:r="http://schemas.openxmlformats.org/officeDocument/2006/relationships" r:id="rId1"/>
          <a:extLst>
            <a:ext uri="{FF2B5EF4-FFF2-40B4-BE49-F238E27FC236}">
              <a16:creationId xmlns:a16="http://schemas.microsoft.com/office/drawing/2014/main" id="{57EF0D00-5E8B-41F7-AF16-FA98922F45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12" name="AutoShape 5" descr="Story">
          <a:hlinkClick xmlns:r="http://schemas.openxmlformats.org/officeDocument/2006/relationships" r:id="rId14"/>
          <a:extLst>
            <a:ext uri="{FF2B5EF4-FFF2-40B4-BE49-F238E27FC236}">
              <a16:creationId xmlns:a16="http://schemas.microsoft.com/office/drawing/2014/main" id="{2D7FCE2B-A6FD-42C8-89EF-5BE7D524B3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13" name="AutoShape 6" descr="Bug">
          <a:hlinkClick xmlns:r="http://schemas.openxmlformats.org/officeDocument/2006/relationships" r:id="rId2"/>
          <a:extLst>
            <a:ext uri="{FF2B5EF4-FFF2-40B4-BE49-F238E27FC236}">
              <a16:creationId xmlns:a16="http://schemas.microsoft.com/office/drawing/2014/main" id="{5A84C75A-BE2A-4695-ADF7-B9BAD985AE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14" name="AutoShape 7" descr="Story">
          <a:hlinkClick xmlns:r="http://schemas.openxmlformats.org/officeDocument/2006/relationships" r:id="rId3"/>
          <a:extLst>
            <a:ext uri="{FF2B5EF4-FFF2-40B4-BE49-F238E27FC236}">
              <a16:creationId xmlns:a16="http://schemas.microsoft.com/office/drawing/2014/main" id="{265D3AD8-E1D0-4D3F-AA7B-5B68240788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15" name="AutoShape 8" descr="Story">
          <a:hlinkClick xmlns:r="http://schemas.openxmlformats.org/officeDocument/2006/relationships" r:id="rId4"/>
          <a:extLst>
            <a:ext uri="{FF2B5EF4-FFF2-40B4-BE49-F238E27FC236}">
              <a16:creationId xmlns:a16="http://schemas.microsoft.com/office/drawing/2014/main" id="{DDF5DB3A-3B0F-45E8-B85F-BB2BAA0EC8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16" name="AutoShape 9" descr="Story">
          <a:hlinkClick xmlns:r="http://schemas.openxmlformats.org/officeDocument/2006/relationships" r:id="rId5"/>
          <a:extLst>
            <a:ext uri="{FF2B5EF4-FFF2-40B4-BE49-F238E27FC236}">
              <a16:creationId xmlns:a16="http://schemas.microsoft.com/office/drawing/2014/main" id="{94A76F5A-36DC-4E7E-B1EE-9A15B8C287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17" name="AutoShape 10" descr="Story">
          <a:hlinkClick xmlns:r="http://schemas.openxmlformats.org/officeDocument/2006/relationships" r:id="rId6"/>
          <a:extLst>
            <a:ext uri="{FF2B5EF4-FFF2-40B4-BE49-F238E27FC236}">
              <a16:creationId xmlns:a16="http://schemas.microsoft.com/office/drawing/2014/main" id="{A3E54B1E-8B36-4674-B740-EE6B460E83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18" name="AutoShape 11" descr="Story">
          <a:hlinkClick xmlns:r="http://schemas.openxmlformats.org/officeDocument/2006/relationships" r:id="rId15"/>
          <a:extLst>
            <a:ext uri="{FF2B5EF4-FFF2-40B4-BE49-F238E27FC236}">
              <a16:creationId xmlns:a16="http://schemas.microsoft.com/office/drawing/2014/main" id="{97C10E2C-F1E3-489E-8EBA-EDC55BC7E4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519" name="AutoShape 12" descr="Story">
          <a:hlinkClick xmlns:r="http://schemas.openxmlformats.org/officeDocument/2006/relationships" r:id="rId12"/>
          <a:extLst>
            <a:ext uri="{FF2B5EF4-FFF2-40B4-BE49-F238E27FC236}">
              <a16:creationId xmlns:a16="http://schemas.microsoft.com/office/drawing/2014/main" id="{986EDC2F-EFAD-4B26-89F4-5E37D3FF5F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20" name="AutoShape 13" descr="Story">
          <a:hlinkClick xmlns:r="http://schemas.openxmlformats.org/officeDocument/2006/relationships" r:id="rId4"/>
          <a:extLst>
            <a:ext uri="{FF2B5EF4-FFF2-40B4-BE49-F238E27FC236}">
              <a16:creationId xmlns:a16="http://schemas.microsoft.com/office/drawing/2014/main" id="{D4B44B6F-F33D-446A-8751-CFC3089317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21" name="AutoShape 14" descr="Story">
          <a:hlinkClick xmlns:r="http://schemas.openxmlformats.org/officeDocument/2006/relationships" r:id="rId4"/>
          <a:extLst>
            <a:ext uri="{FF2B5EF4-FFF2-40B4-BE49-F238E27FC236}">
              <a16:creationId xmlns:a16="http://schemas.microsoft.com/office/drawing/2014/main" id="{9FBF5EEA-927F-45FA-9B49-A7322B1E5D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22" name="AutoShape 15" descr="Story">
          <a:hlinkClick xmlns:r="http://schemas.openxmlformats.org/officeDocument/2006/relationships" r:id="rId4"/>
          <a:extLst>
            <a:ext uri="{FF2B5EF4-FFF2-40B4-BE49-F238E27FC236}">
              <a16:creationId xmlns:a16="http://schemas.microsoft.com/office/drawing/2014/main" id="{C1B8E056-E0ED-4100-AA1B-A6E0D7CA77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523" name="AutoShape 1" descr="Story">
          <a:hlinkClick xmlns:r="http://schemas.openxmlformats.org/officeDocument/2006/relationships" r:id="rId7"/>
          <a:extLst>
            <a:ext uri="{FF2B5EF4-FFF2-40B4-BE49-F238E27FC236}">
              <a16:creationId xmlns:a16="http://schemas.microsoft.com/office/drawing/2014/main" id="{04F9313D-DD8A-4F18-9705-5F7407090C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4" name="AutoShape 2" descr="Story">
          <a:hlinkClick xmlns:r="http://schemas.openxmlformats.org/officeDocument/2006/relationships" r:id="rId8"/>
          <a:extLst>
            <a:ext uri="{FF2B5EF4-FFF2-40B4-BE49-F238E27FC236}">
              <a16:creationId xmlns:a16="http://schemas.microsoft.com/office/drawing/2014/main" id="{6060A782-846E-4E24-91CD-FFAEA7E7D1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5" name="AutoShape 5" descr="Story">
          <a:hlinkClick xmlns:r="http://schemas.openxmlformats.org/officeDocument/2006/relationships" r:id="rId6"/>
          <a:extLst>
            <a:ext uri="{FF2B5EF4-FFF2-40B4-BE49-F238E27FC236}">
              <a16:creationId xmlns:a16="http://schemas.microsoft.com/office/drawing/2014/main" id="{B025A7C8-398E-462B-B9B4-DACAD258475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6" name="AutoShape 1" descr="Sub-task">
          <a:hlinkClick xmlns:r="http://schemas.openxmlformats.org/officeDocument/2006/relationships" r:id="rId9"/>
          <a:extLst>
            <a:ext uri="{FF2B5EF4-FFF2-40B4-BE49-F238E27FC236}">
              <a16:creationId xmlns:a16="http://schemas.microsoft.com/office/drawing/2014/main" id="{D874E2EB-CEBA-4011-8577-7D686208BF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7" name="AutoShape 2" descr="Sub-task">
          <a:hlinkClick xmlns:r="http://schemas.openxmlformats.org/officeDocument/2006/relationships" r:id="rId10"/>
          <a:extLst>
            <a:ext uri="{FF2B5EF4-FFF2-40B4-BE49-F238E27FC236}">
              <a16:creationId xmlns:a16="http://schemas.microsoft.com/office/drawing/2014/main" id="{864963F9-9685-4A99-8550-326159EA78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8" name="AutoShape 3" descr="Story">
          <a:hlinkClick xmlns:r="http://schemas.openxmlformats.org/officeDocument/2006/relationships" r:id="rId11"/>
          <a:extLst>
            <a:ext uri="{FF2B5EF4-FFF2-40B4-BE49-F238E27FC236}">
              <a16:creationId xmlns:a16="http://schemas.microsoft.com/office/drawing/2014/main" id="{C3779301-DBFC-48D7-899D-5CD29ACD5A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29" name="AutoShape 12" descr="Story">
          <a:hlinkClick xmlns:r="http://schemas.openxmlformats.org/officeDocument/2006/relationships" r:id="rId12"/>
          <a:extLst>
            <a:ext uri="{FF2B5EF4-FFF2-40B4-BE49-F238E27FC236}">
              <a16:creationId xmlns:a16="http://schemas.microsoft.com/office/drawing/2014/main" id="{98F23DD1-2195-4A3A-B3D8-37CEF6CD0A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0" name="AutoShape 1" descr="Story">
          <a:hlinkClick xmlns:r="http://schemas.openxmlformats.org/officeDocument/2006/relationships" r:id="rId13"/>
          <a:extLst>
            <a:ext uri="{FF2B5EF4-FFF2-40B4-BE49-F238E27FC236}">
              <a16:creationId xmlns:a16="http://schemas.microsoft.com/office/drawing/2014/main" id="{1FFB7244-D462-4DB9-96AF-D2E0D48FDD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1" name="AutoShape 1" descr="Story">
          <a:hlinkClick xmlns:r="http://schemas.openxmlformats.org/officeDocument/2006/relationships" r:id="rId13"/>
          <a:extLst>
            <a:ext uri="{FF2B5EF4-FFF2-40B4-BE49-F238E27FC236}">
              <a16:creationId xmlns:a16="http://schemas.microsoft.com/office/drawing/2014/main" id="{3FAF4361-4D47-4A32-9052-A276424479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2" name="AutoShape 3" descr="Story">
          <a:hlinkClick xmlns:r="http://schemas.openxmlformats.org/officeDocument/2006/relationships" r:id="rId4"/>
          <a:extLst>
            <a:ext uri="{FF2B5EF4-FFF2-40B4-BE49-F238E27FC236}">
              <a16:creationId xmlns:a16="http://schemas.microsoft.com/office/drawing/2014/main" id="{06A76006-AE32-4AFF-8311-0203518FA9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3" name="AutoShape 4" descr="Story">
          <a:hlinkClick xmlns:r="http://schemas.openxmlformats.org/officeDocument/2006/relationships" r:id="rId5"/>
          <a:extLst>
            <a:ext uri="{FF2B5EF4-FFF2-40B4-BE49-F238E27FC236}">
              <a16:creationId xmlns:a16="http://schemas.microsoft.com/office/drawing/2014/main" id="{27B85B6E-9B38-49F8-B996-7A197F43ED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34" name="AutoShape 1" descr="Story">
          <a:hlinkClick xmlns:r="http://schemas.openxmlformats.org/officeDocument/2006/relationships" r:id="rId7"/>
          <a:extLst>
            <a:ext uri="{FF2B5EF4-FFF2-40B4-BE49-F238E27FC236}">
              <a16:creationId xmlns:a16="http://schemas.microsoft.com/office/drawing/2014/main" id="{4A7D6943-B635-4D5E-A432-54DD360AD09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35" name="AutoShape 2" descr="Story">
          <a:hlinkClick xmlns:r="http://schemas.openxmlformats.org/officeDocument/2006/relationships" r:id="rId8"/>
          <a:extLst>
            <a:ext uri="{FF2B5EF4-FFF2-40B4-BE49-F238E27FC236}">
              <a16:creationId xmlns:a16="http://schemas.microsoft.com/office/drawing/2014/main" id="{7E9B9E8D-59F3-4E74-B8EE-8F2C631476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6" name="AutoShape 3" descr="Story">
          <a:hlinkClick xmlns:r="http://schemas.openxmlformats.org/officeDocument/2006/relationships" r:id="rId4"/>
          <a:extLst>
            <a:ext uri="{FF2B5EF4-FFF2-40B4-BE49-F238E27FC236}">
              <a16:creationId xmlns:a16="http://schemas.microsoft.com/office/drawing/2014/main" id="{7F077273-B33A-4106-90BC-9AB84722AB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37" name="AutoShape 4" descr="Story">
          <a:hlinkClick xmlns:r="http://schemas.openxmlformats.org/officeDocument/2006/relationships" r:id="rId5"/>
          <a:extLst>
            <a:ext uri="{FF2B5EF4-FFF2-40B4-BE49-F238E27FC236}">
              <a16:creationId xmlns:a16="http://schemas.microsoft.com/office/drawing/2014/main" id="{512FEB41-1B9B-4E6B-98EF-F1F9CD1E3C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38" name="AutoShape 5" descr="Story">
          <a:hlinkClick xmlns:r="http://schemas.openxmlformats.org/officeDocument/2006/relationships" r:id="rId6"/>
          <a:extLst>
            <a:ext uri="{FF2B5EF4-FFF2-40B4-BE49-F238E27FC236}">
              <a16:creationId xmlns:a16="http://schemas.microsoft.com/office/drawing/2014/main" id="{49D120D4-2764-4B75-8627-0D0C73A983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39" name="AutoShape 1" descr="Sub-task">
          <a:hlinkClick xmlns:r="http://schemas.openxmlformats.org/officeDocument/2006/relationships" r:id="rId9"/>
          <a:extLst>
            <a:ext uri="{FF2B5EF4-FFF2-40B4-BE49-F238E27FC236}">
              <a16:creationId xmlns:a16="http://schemas.microsoft.com/office/drawing/2014/main" id="{61C57D61-D461-4BC9-B417-6316D02C02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0" name="AutoShape 2" descr="Sub-task">
          <a:hlinkClick xmlns:r="http://schemas.openxmlformats.org/officeDocument/2006/relationships" r:id="rId10"/>
          <a:extLst>
            <a:ext uri="{FF2B5EF4-FFF2-40B4-BE49-F238E27FC236}">
              <a16:creationId xmlns:a16="http://schemas.microsoft.com/office/drawing/2014/main" id="{3436ACDA-B391-4869-BEE7-9841887D22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41" name="AutoShape 7" descr="Story">
          <a:hlinkClick xmlns:r="http://schemas.openxmlformats.org/officeDocument/2006/relationships" r:id="rId3"/>
          <a:extLst>
            <a:ext uri="{FF2B5EF4-FFF2-40B4-BE49-F238E27FC236}">
              <a16:creationId xmlns:a16="http://schemas.microsoft.com/office/drawing/2014/main" id="{5152E049-04F7-4278-8786-8F23DAD7D2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2" name="AutoShape 3" descr="Story">
          <a:hlinkClick xmlns:r="http://schemas.openxmlformats.org/officeDocument/2006/relationships" r:id="rId11"/>
          <a:extLst>
            <a:ext uri="{FF2B5EF4-FFF2-40B4-BE49-F238E27FC236}">
              <a16:creationId xmlns:a16="http://schemas.microsoft.com/office/drawing/2014/main" id="{80AFF8DB-5912-4A07-9BFC-B2300FDC23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3" name="AutoShape 12" descr="Story">
          <a:hlinkClick xmlns:r="http://schemas.openxmlformats.org/officeDocument/2006/relationships" r:id="rId12"/>
          <a:extLst>
            <a:ext uri="{FF2B5EF4-FFF2-40B4-BE49-F238E27FC236}">
              <a16:creationId xmlns:a16="http://schemas.microsoft.com/office/drawing/2014/main" id="{29656268-F643-4F61-A9E1-41026B6FA0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4" name="AutoShape 1" descr="Story">
          <a:hlinkClick xmlns:r="http://schemas.openxmlformats.org/officeDocument/2006/relationships" r:id="rId13"/>
          <a:extLst>
            <a:ext uri="{FF2B5EF4-FFF2-40B4-BE49-F238E27FC236}">
              <a16:creationId xmlns:a16="http://schemas.microsoft.com/office/drawing/2014/main" id="{6CA4096A-31AE-44F5-BDDB-77E8370921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5" name="AutoShape 1" descr="Story">
          <a:hlinkClick xmlns:r="http://schemas.openxmlformats.org/officeDocument/2006/relationships" r:id="rId13"/>
          <a:extLst>
            <a:ext uri="{FF2B5EF4-FFF2-40B4-BE49-F238E27FC236}">
              <a16:creationId xmlns:a16="http://schemas.microsoft.com/office/drawing/2014/main" id="{AD875A1C-0CCE-43D0-BC2E-729834B5CD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6" name="AutoShape 3" descr="Story">
          <a:hlinkClick xmlns:r="http://schemas.openxmlformats.org/officeDocument/2006/relationships" r:id="rId4"/>
          <a:extLst>
            <a:ext uri="{FF2B5EF4-FFF2-40B4-BE49-F238E27FC236}">
              <a16:creationId xmlns:a16="http://schemas.microsoft.com/office/drawing/2014/main" id="{28CD248D-7581-4E89-8992-8AE3FB90A2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7" name="AutoShape 4" descr="Story">
          <a:hlinkClick xmlns:r="http://schemas.openxmlformats.org/officeDocument/2006/relationships" r:id="rId5"/>
          <a:extLst>
            <a:ext uri="{FF2B5EF4-FFF2-40B4-BE49-F238E27FC236}">
              <a16:creationId xmlns:a16="http://schemas.microsoft.com/office/drawing/2014/main" id="{16515FDE-F2BA-40F5-BA9C-7032AA6E17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48" name="AutoShape 7" descr="Story">
          <a:hlinkClick xmlns:r="http://schemas.openxmlformats.org/officeDocument/2006/relationships" r:id="rId3"/>
          <a:extLst>
            <a:ext uri="{FF2B5EF4-FFF2-40B4-BE49-F238E27FC236}">
              <a16:creationId xmlns:a16="http://schemas.microsoft.com/office/drawing/2014/main" id="{4CC1F6F0-5FA0-40B5-9417-FCDC31FB93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49" name="AutoShape 8" descr="Story">
          <a:hlinkClick xmlns:r="http://schemas.openxmlformats.org/officeDocument/2006/relationships" r:id="rId4"/>
          <a:extLst>
            <a:ext uri="{FF2B5EF4-FFF2-40B4-BE49-F238E27FC236}">
              <a16:creationId xmlns:a16="http://schemas.microsoft.com/office/drawing/2014/main" id="{EA7AB7A5-040F-4741-B112-911E267CE2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50" name="AutoShape 8" descr="Story">
          <a:hlinkClick xmlns:r="http://schemas.openxmlformats.org/officeDocument/2006/relationships" r:id="rId4"/>
          <a:extLst>
            <a:ext uri="{FF2B5EF4-FFF2-40B4-BE49-F238E27FC236}">
              <a16:creationId xmlns:a16="http://schemas.microsoft.com/office/drawing/2014/main" id="{FA39AC67-20B4-46FE-A47B-F8777C08ED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1275</xdr:row>
      <xdr:rowOff>0</xdr:rowOff>
    </xdr:from>
    <xdr:to>
      <xdr:col>0</xdr:col>
      <xdr:colOff>152400</xdr:colOff>
      <xdr:row>1275</xdr:row>
      <xdr:rowOff>152400</xdr:rowOff>
    </xdr:to>
    <xdr:sp macro="" textlink="">
      <xdr:nvSpPr>
        <xdr:cNvPr id="3551" name="AutoShape 10" descr="Story">
          <a:hlinkClick xmlns:r="http://schemas.openxmlformats.org/officeDocument/2006/relationships" r:id="rId6"/>
          <a:extLst>
            <a:ext uri="{FF2B5EF4-FFF2-40B4-BE49-F238E27FC236}">
              <a16:creationId xmlns:a16="http://schemas.microsoft.com/office/drawing/2014/main" id="{8A671624-8231-4C75-AA80-A1C777EBE4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52" name="AutoShape 14" descr="Story">
          <a:hlinkClick xmlns:r="http://schemas.openxmlformats.org/officeDocument/2006/relationships" r:id="rId4"/>
          <a:extLst>
            <a:ext uri="{FF2B5EF4-FFF2-40B4-BE49-F238E27FC236}">
              <a16:creationId xmlns:a16="http://schemas.microsoft.com/office/drawing/2014/main" id="{F0EE2C23-D2CF-45C3-ADCE-646A921A38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53" name="AutoShape 10" descr="Story">
          <a:hlinkClick xmlns:r="http://schemas.openxmlformats.org/officeDocument/2006/relationships" r:id="rId6"/>
          <a:extLst>
            <a:ext uri="{FF2B5EF4-FFF2-40B4-BE49-F238E27FC236}">
              <a16:creationId xmlns:a16="http://schemas.microsoft.com/office/drawing/2014/main" id="{5890EEA2-43D2-4E5D-94EE-744E96D0A0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54" name="AutoShape 14" descr="Story">
          <a:hlinkClick xmlns:r="http://schemas.openxmlformats.org/officeDocument/2006/relationships" r:id="rId4"/>
          <a:extLst>
            <a:ext uri="{FF2B5EF4-FFF2-40B4-BE49-F238E27FC236}">
              <a16:creationId xmlns:a16="http://schemas.microsoft.com/office/drawing/2014/main" id="{726B6637-C070-4BCE-B767-6718BEE9B6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555" name="AutoShape 1" descr="Story">
          <a:hlinkClick xmlns:r="http://schemas.openxmlformats.org/officeDocument/2006/relationships" r:id="rId13"/>
          <a:extLst>
            <a:ext uri="{FF2B5EF4-FFF2-40B4-BE49-F238E27FC236}">
              <a16:creationId xmlns:a16="http://schemas.microsoft.com/office/drawing/2014/main" id="{0077F2C4-20E4-45F5-A2C7-73C92B3090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56" name="AutoShape 2" descr="Story">
          <a:hlinkClick xmlns:r="http://schemas.openxmlformats.org/officeDocument/2006/relationships" r:id="rId12"/>
          <a:extLst>
            <a:ext uri="{FF2B5EF4-FFF2-40B4-BE49-F238E27FC236}">
              <a16:creationId xmlns:a16="http://schemas.microsoft.com/office/drawing/2014/main" id="{74D08337-F617-43F2-8512-97A9F40E5B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557" name="AutoShape 3" descr="Story">
          <a:hlinkClick xmlns:r="http://schemas.openxmlformats.org/officeDocument/2006/relationships" r:id="rId11"/>
          <a:extLst>
            <a:ext uri="{FF2B5EF4-FFF2-40B4-BE49-F238E27FC236}">
              <a16:creationId xmlns:a16="http://schemas.microsoft.com/office/drawing/2014/main" id="{ADEA51EC-C9B2-41A8-9376-745EFD934F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58" name="AutoShape 4" descr="Bug">
          <a:hlinkClick xmlns:r="http://schemas.openxmlformats.org/officeDocument/2006/relationships" r:id="rId1"/>
          <a:extLst>
            <a:ext uri="{FF2B5EF4-FFF2-40B4-BE49-F238E27FC236}">
              <a16:creationId xmlns:a16="http://schemas.microsoft.com/office/drawing/2014/main" id="{AA5244C0-68DA-464C-B98C-95016E5DE9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59" name="AutoShape 5" descr="Story">
          <a:hlinkClick xmlns:r="http://schemas.openxmlformats.org/officeDocument/2006/relationships" r:id="rId14"/>
          <a:extLst>
            <a:ext uri="{FF2B5EF4-FFF2-40B4-BE49-F238E27FC236}">
              <a16:creationId xmlns:a16="http://schemas.microsoft.com/office/drawing/2014/main" id="{0752DFC0-04F2-4461-B35F-BAE7B0C885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60" name="AutoShape 6" descr="Bug">
          <a:hlinkClick xmlns:r="http://schemas.openxmlformats.org/officeDocument/2006/relationships" r:id="rId2"/>
          <a:extLst>
            <a:ext uri="{FF2B5EF4-FFF2-40B4-BE49-F238E27FC236}">
              <a16:creationId xmlns:a16="http://schemas.microsoft.com/office/drawing/2014/main" id="{4ED9DB24-70F4-4EF6-8412-59511F4844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61" name="AutoShape 7" descr="Story">
          <a:hlinkClick xmlns:r="http://schemas.openxmlformats.org/officeDocument/2006/relationships" r:id="rId3"/>
          <a:extLst>
            <a:ext uri="{FF2B5EF4-FFF2-40B4-BE49-F238E27FC236}">
              <a16:creationId xmlns:a16="http://schemas.microsoft.com/office/drawing/2014/main" id="{2E3099D8-27C2-4B9D-806D-0422ED1A8C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62" name="AutoShape 8" descr="Story">
          <a:hlinkClick xmlns:r="http://schemas.openxmlformats.org/officeDocument/2006/relationships" r:id="rId4"/>
          <a:extLst>
            <a:ext uri="{FF2B5EF4-FFF2-40B4-BE49-F238E27FC236}">
              <a16:creationId xmlns:a16="http://schemas.microsoft.com/office/drawing/2014/main" id="{EB283101-4AFE-4D51-A49B-8D86BF54E8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63" name="AutoShape 9" descr="Story">
          <a:hlinkClick xmlns:r="http://schemas.openxmlformats.org/officeDocument/2006/relationships" r:id="rId5"/>
          <a:extLst>
            <a:ext uri="{FF2B5EF4-FFF2-40B4-BE49-F238E27FC236}">
              <a16:creationId xmlns:a16="http://schemas.microsoft.com/office/drawing/2014/main" id="{67458C7A-9A1A-4424-94A7-2C506830CF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64" name="AutoShape 10" descr="Story">
          <a:hlinkClick xmlns:r="http://schemas.openxmlformats.org/officeDocument/2006/relationships" r:id="rId6"/>
          <a:extLst>
            <a:ext uri="{FF2B5EF4-FFF2-40B4-BE49-F238E27FC236}">
              <a16:creationId xmlns:a16="http://schemas.microsoft.com/office/drawing/2014/main" id="{76CC22A2-8574-4029-8BA5-3835DB723E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65" name="AutoShape 11" descr="Story">
          <a:hlinkClick xmlns:r="http://schemas.openxmlformats.org/officeDocument/2006/relationships" r:id="rId15"/>
          <a:extLst>
            <a:ext uri="{FF2B5EF4-FFF2-40B4-BE49-F238E27FC236}">
              <a16:creationId xmlns:a16="http://schemas.microsoft.com/office/drawing/2014/main" id="{6EA5404B-3080-4CF7-8B91-E3BB6ED262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566" name="AutoShape 12" descr="Story">
          <a:hlinkClick xmlns:r="http://schemas.openxmlformats.org/officeDocument/2006/relationships" r:id="rId12"/>
          <a:extLst>
            <a:ext uri="{FF2B5EF4-FFF2-40B4-BE49-F238E27FC236}">
              <a16:creationId xmlns:a16="http://schemas.microsoft.com/office/drawing/2014/main" id="{CF93C1DE-9ED7-4032-BDE7-6A7B0A6000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1274</xdr:row>
      <xdr:rowOff>0</xdr:rowOff>
    </xdr:from>
    <xdr:to>
      <xdr:col>0</xdr:col>
      <xdr:colOff>152400</xdr:colOff>
      <xdr:row>1274</xdr:row>
      <xdr:rowOff>152400</xdr:rowOff>
    </xdr:to>
    <xdr:sp macro="" textlink="">
      <xdr:nvSpPr>
        <xdr:cNvPr id="3567" name="AutoShape 13" descr="Story">
          <a:hlinkClick xmlns:r="http://schemas.openxmlformats.org/officeDocument/2006/relationships" r:id="rId4"/>
          <a:extLst>
            <a:ext uri="{FF2B5EF4-FFF2-40B4-BE49-F238E27FC236}">
              <a16:creationId xmlns:a16="http://schemas.microsoft.com/office/drawing/2014/main" id="{A9D59737-FF38-40EB-9B8A-AD6EC2DD60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68" name="AutoShape 14" descr="Story">
          <a:hlinkClick xmlns:r="http://schemas.openxmlformats.org/officeDocument/2006/relationships" r:id="rId4"/>
          <a:extLst>
            <a:ext uri="{FF2B5EF4-FFF2-40B4-BE49-F238E27FC236}">
              <a16:creationId xmlns:a16="http://schemas.microsoft.com/office/drawing/2014/main" id="{7D3B0109-3225-4D5B-AD9E-722DBDB6EC8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1278</xdr:row>
      <xdr:rowOff>0</xdr:rowOff>
    </xdr:from>
    <xdr:to>
      <xdr:col>0</xdr:col>
      <xdr:colOff>152400</xdr:colOff>
      <xdr:row>1278</xdr:row>
      <xdr:rowOff>152400</xdr:rowOff>
    </xdr:to>
    <xdr:sp macro="" textlink="">
      <xdr:nvSpPr>
        <xdr:cNvPr id="3569" name="AutoShape 15" descr="Story">
          <a:hlinkClick xmlns:r="http://schemas.openxmlformats.org/officeDocument/2006/relationships" r:id="rId4"/>
          <a:extLst>
            <a:ext uri="{FF2B5EF4-FFF2-40B4-BE49-F238E27FC236}">
              <a16:creationId xmlns:a16="http://schemas.microsoft.com/office/drawing/2014/main" id="{7EF4FDEE-4534-42D9-A631-82E87CB687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1274</xdr:row>
      <xdr:rowOff>0</xdr:rowOff>
    </xdr:from>
    <xdr:ext cx="152400" cy="152400"/>
    <xdr:sp macro="" textlink="">
      <xdr:nvSpPr>
        <xdr:cNvPr id="3570" name="AutoShape 1" descr="Story">
          <a:hlinkClick xmlns:r="http://schemas.openxmlformats.org/officeDocument/2006/relationships" r:id="rId7"/>
          <a:extLst>
            <a:ext uri="{FF2B5EF4-FFF2-40B4-BE49-F238E27FC236}">
              <a16:creationId xmlns:a16="http://schemas.microsoft.com/office/drawing/2014/main" id="{7A8D73F2-8175-499F-A146-6865AF1FF7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1" name="AutoShape 2" descr="Story">
          <a:hlinkClick xmlns:r="http://schemas.openxmlformats.org/officeDocument/2006/relationships" r:id="rId8"/>
          <a:extLst>
            <a:ext uri="{FF2B5EF4-FFF2-40B4-BE49-F238E27FC236}">
              <a16:creationId xmlns:a16="http://schemas.microsoft.com/office/drawing/2014/main" id="{41B3117A-3222-48A3-93B0-8A1F3E7F22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2" name="AutoShape 5" descr="Story">
          <a:hlinkClick xmlns:r="http://schemas.openxmlformats.org/officeDocument/2006/relationships" r:id="rId6"/>
          <a:extLst>
            <a:ext uri="{FF2B5EF4-FFF2-40B4-BE49-F238E27FC236}">
              <a16:creationId xmlns:a16="http://schemas.microsoft.com/office/drawing/2014/main" id="{FEB2C3E6-DCB2-4230-80CA-EE52A8B485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3" name="AutoShape 1" descr="Sub-task">
          <a:hlinkClick xmlns:r="http://schemas.openxmlformats.org/officeDocument/2006/relationships" r:id="rId9"/>
          <a:extLst>
            <a:ext uri="{FF2B5EF4-FFF2-40B4-BE49-F238E27FC236}">
              <a16:creationId xmlns:a16="http://schemas.microsoft.com/office/drawing/2014/main" id="{41FD97B3-B651-41A8-BA4D-63BABBA0BF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4" name="AutoShape 2" descr="Sub-task">
          <a:hlinkClick xmlns:r="http://schemas.openxmlformats.org/officeDocument/2006/relationships" r:id="rId10"/>
          <a:extLst>
            <a:ext uri="{FF2B5EF4-FFF2-40B4-BE49-F238E27FC236}">
              <a16:creationId xmlns:a16="http://schemas.microsoft.com/office/drawing/2014/main" id="{E863ABE3-387B-42D8-B9CF-9A29EC56FC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5" name="AutoShape 3" descr="Story">
          <a:hlinkClick xmlns:r="http://schemas.openxmlformats.org/officeDocument/2006/relationships" r:id="rId11"/>
          <a:extLst>
            <a:ext uri="{FF2B5EF4-FFF2-40B4-BE49-F238E27FC236}">
              <a16:creationId xmlns:a16="http://schemas.microsoft.com/office/drawing/2014/main" id="{5B07CD25-40EA-4747-B97A-0325B87CAD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6" name="AutoShape 12" descr="Story">
          <a:hlinkClick xmlns:r="http://schemas.openxmlformats.org/officeDocument/2006/relationships" r:id="rId12"/>
          <a:extLst>
            <a:ext uri="{FF2B5EF4-FFF2-40B4-BE49-F238E27FC236}">
              <a16:creationId xmlns:a16="http://schemas.microsoft.com/office/drawing/2014/main" id="{E1296755-ABD1-431E-9A89-849A8A2713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7" name="AutoShape 1" descr="Story">
          <a:hlinkClick xmlns:r="http://schemas.openxmlformats.org/officeDocument/2006/relationships" r:id="rId13"/>
          <a:extLst>
            <a:ext uri="{FF2B5EF4-FFF2-40B4-BE49-F238E27FC236}">
              <a16:creationId xmlns:a16="http://schemas.microsoft.com/office/drawing/2014/main" id="{C7BCBB96-DEC5-46D5-BA18-706BA9CA10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8" name="AutoShape 1" descr="Story">
          <a:hlinkClick xmlns:r="http://schemas.openxmlformats.org/officeDocument/2006/relationships" r:id="rId13"/>
          <a:extLst>
            <a:ext uri="{FF2B5EF4-FFF2-40B4-BE49-F238E27FC236}">
              <a16:creationId xmlns:a16="http://schemas.microsoft.com/office/drawing/2014/main" id="{FDCC03A7-61D6-46DF-9B1F-7BF4AC80BF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79" name="AutoShape 3" descr="Story">
          <a:hlinkClick xmlns:r="http://schemas.openxmlformats.org/officeDocument/2006/relationships" r:id="rId4"/>
          <a:extLst>
            <a:ext uri="{FF2B5EF4-FFF2-40B4-BE49-F238E27FC236}">
              <a16:creationId xmlns:a16="http://schemas.microsoft.com/office/drawing/2014/main" id="{3FE2F907-FE4D-4323-89CE-C625A128B5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80" name="AutoShape 4" descr="Story">
          <a:hlinkClick xmlns:r="http://schemas.openxmlformats.org/officeDocument/2006/relationships" r:id="rId5"/>
          <a:extLst>
            <a:ext uri="{FF2B5EF4-FFF2-40B4-BE49-F238E27FC236}">
              <a16:creationId xmlns:a16="http://schemas.microsoft.com/office/drawing/2014/main" id="{F3D9633C-171C-45A7-89E7-A9146D8E44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1" name="AutoShape 1" descr="Story">
          <a:hlinkClick xmlns:r="http://schemas.openxmlformats.org/officeDocument/2006/relationships" r:id="rId7"/>
          <a:extLst>
            <a:ext uri="{FF2B5EF4-FFF2-40B4-BE49-F238E27FC236}">
              <a16:creationId xmlns:a16="http://schemas.microsoft.com/office/drawing/2014/main" id="{E3D626DC-80A4-4E35-8712-34C11CFFA5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2" name="AutoShape 2" descr="Story">
          <a:hlinkClick xmlns:r="http://schemas.openxmlformats.org/officeDocument/2006/relationships" r:id="rId8"/>
          <a:extLst>
            <a:ext uri="{FF2B5EF4-FFF2-40B4-BE49-F238E27FC236}">
              <a16:creationId xmlns:a16="http://schemas.microsoft.com/office/drawing/2014/main" id="{151E82F7-06C1-4160-BCBF-A947FA5BF0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83" name="AutoShape 3" descr="Story">
          <a:hlinkClick xmlns:r="http://schemas.openxmlformats.org/officeDocument/2006/relationships" r:id="rId4"/>
          <a:extLst>
            <a:ext uri="{FF2B5EF4-FFF2-40B4-BE49-F238E27FC236}">
              <a16:creationId xmlns:a16="http://schemas.microsoft.com/office/drawing/2014/main" id="{FB89EE36-B230-40BB-9E6F-B2CA51FAEF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84" name="AutoShape 4" descr="Story">
          <a:hlinkClick xmlns:r="http://schemas.openxmlformats.org/officeDocument/2006/relationships" r:id="rId5"/>
          <a:extLst>
            <a:ext uri="{FF2B5EF4-FFF2-40B4-BE49-F238E27FC236}">
              <a16:creationId xmlns:a16="http://schemas.microsoft.com/office/drawing/2014/main" id="{3AF10E2D-2D7F-4E27-B3E6-3357235BF0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5" name="AutoShape 5" descr="Story">
          <a:hlinkClick xmlns:r="http://schemas.openxmlformats.org/officeDocument/2006/relationships" r:id="rId6"/>
          <a:extLst>
            <a:ext uri="{FF2B5EF4-FFF2-40B4-BE49-F238E27FC236}">
              <a16:creationId xmlns:a16="http://schemas.microsoft.com/office/drawing/2014/main" id="{4FE68CD5-99CD-426D-A102-2409533D48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6" name="AutoShape 1" descr="Sub-task">
          <a:hlinkClick xmlns:r="http://schemas.openxmlformats.org/officeDocument/2006/relationships" r:id="rId9"/>
          <a:extLst>
            <a:ext uri="{FF2B5EF4-FFF2-40B4-BE49-F238E27FC236}">
              <a16:creationId xmlns:a16="http://schemas.microsoft.com/office/drawing/2014/main" id="{E06299F9-D2A7-49B8-A25C-4577FDFF0B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7" name="AutoShape 2" descr="Sub-task">
          <a:hlinkClick xmlns:r="http://schemas.openxmlformats.org/officeDocument/2006/relationships" r:id="rId10"/>
          <a:extLst>
            <a:ext uri="{FF2B5EF4-FFF2-40B4-BE49-F238E27FC236}">
              <a16:creationId xmlns:a16="http://schemas.microsoft.com/office/drawing/2014/main" id="{84B8CDE5-929A-44F6-952F-627D37F55E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88" name="AutoShape 7" descr="Story">
          <a:hlinkClick xmlns:r="http://schemas.openxmlformats.org/officeDocument/2006/relationships" r:id="rId3"/>
          <a:extLst>
            <a:ext uri="{FF2B5EF4-FFF2-40B4-BE49-F238E27FC236}">
              <a16:creationId xmlns:a16="http://schemas.microsoft.com/office/drawing/2014/main" id="{F99EC7C6-3A26-45DB-8AC4-4C059A5F72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89" name="AutoShape 3" descr="Story">
          <a:hlinkClick xmlns:r="http://schemas.openxmlformats.org/officeDocument/2006/relationships" r:id="rId11"/>
          <a:extLst>
            <a:ext uri="{FF2B5EF4-FFF2-40B4-BE49-F238E27FC236}">
              <a16:creationId xmlns:a16="http://schemas.microsoft.com/office/drawing/2014/main" id="{0D5364B6-088F-486E-829B-CD230E2F9E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0" name="AutoShape 12" descr="Story">
          <a:hlinkClick xmlns:r="http://schemas.openxmlformats.org/officeDocument/2006/relationships" r:id="rId12"/>
          <a:extLst>
            <a:ext uri="{FF2B5EF4-FFF2-40B4-BE49-F238E27FC236}">
              <a16:creationId xmlns:a16="http://schemas.microsoft.com/office/drawing/2014/main" id="{207B803D-44DC-451D-9499-5FB03C200F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1" name="AutoShape 1" descr="Story">
          <a:hlinkClick xmlns:r="http://schemas.openxmlformats.org/officeDocument/2006/relationships" r:id="rId13"/>
          <a:extLst>
            <a:ext uri="{FF2B5EF4-FFF2-40B4-BE49-F238E27FC236}">
              <a16:creationId xmlns:a16="http://schemas.microsoft.com/office/drawing/2014/main" id="{88F787FA-8958-4975-9CF4-90A2B0C596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2" name="AutoShape 1" descr="Story">
          <a:hlinkClick xmlns:r="http://schemas.openxmlformats.org/officeDocument/2006/relationships" r:id="rId13"/>
          <a:extLst>
            <a:ext uri="{FF2B5EF4-FFF2-40B4-BE49-F238E27FC236}">
              <a16:creationId xmlns:a16="http://schemas.microsoft.com/office/drawing/2014/main" id="{309B26B4-095D-4355-A757-21F2C3B96E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3" name="AutoShape 3" descr="Story">
          <a:hlinkClick xmlns:r="http://schemas.openxmlformats.org/officeDocument/2006/relationships" r:id="rId4"/>
          <a:extLst>
            <a:ext uri="{FF2B5EF4-FFF2-40B4-BE49-F238E27FC236}">
              <a16:creationId xmlns:a16="http://schemas.microsoft.com/office/drawing/2014/main" id="{5BC944D2-E6A5-446E-BF35-6FDC98B7B01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4" name="AutoShape 4" descr="Story">
          <a:hlinkClick xmlns:r="http://schemas.openxmlformats.org/officeDocument/2006/relationships" r:id="rId5"/>
          <a:extLst>
            <a:ext uri="{FF2B5EF4-FFF2-40B4-BE49-F238E27FC236}">
              <a16:creationId xmlns:a16="http://schemas.microsoft.com/office/drawing/2014/main" id="{658E1A4B-39DD-4BA0-8387-48BB734AF7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1277</xdr:row>
      <xdr:rowOff>0</xdr:rowOff>
    </xdr:from>
    <xdr:ext cx="152400" cy="152400"/>
    <xdr:sp macro="" textlink="">
      <xdr:nvSpPr>
        <xdr:cNvPr id="3595" name="AutoShape 7" descr="Story">
          <a:hlinkClick xmlns:r="http://schemas.openxmlformats.org/officeDocument/2006/relationships" r:id="rId3"/>
          <a:extLst>
            <a:ext uri="{FF2B5EF4-FFF2-40B4-BE49-F238E27FC236}">
              <a16:creationId xmlns:a16="http://schemas.microsoft.com/office/drawing/2014/main" id="{F18608DB-868D-4252-9AE0-B413CD8379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96" name="AutoShape 8" descr="Story">
          <a:hlinkClick xmlns:r="http://schemas.openxmlformats.org/officeDocument/2006/relationships" r:id="rId4"/>
          <a:extLst>
            <a:ext uri="{FF2B5EF4-FFF2-40B4-BE49-F238E27FC236}">
              <a16:creationId xmlns:a16="http://schemas.microsoft.com/office/drawing/2014/main" id="{F269F327-A0B4-4F52-AC5C-41545119E6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1274</xdr:row>
      <xdr:rowOff>0</xdr:rowOff>
    </xdr:from>
    <xdr:ext cx="152400" cy="152400"/>
    <xdr:sp macro="" textlink="">
      <xdr:nvSpPr>
        <xdr:cNvPr id="3597" name="AutoShape 8" descr="Story">
          <a:hlinkClick xmlns:r="http://schemas.openxmlformats.org/officeDocument/2006/relationships" r:id="rId4"/>
          <a:extLst>
            <a:ext uri="{FF2B5EF4-FFF2-40B4-BE49-F238E27FC236}">
              <a16:creationId xmlns:a16="http://schemas.microsoft.com/office/drawing/2014/main" id="{92A6AB60-1312-4212-8BDF-BD8503506E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1275</xdr:row>
      <xdr:rowOff>0</xdr:rowOff>
    </xdr:from>
    <xdr:to>
      <xdr:col>0</xdr:col>
      <xdr:colOff>152400</xdr:colOff>
      <xdr:row>1275</xdr:row>
      <xdr:rowOff>152400</xdr:rowOff>
    </xdr:to>
    <xdr:sp macro="" textlink="">
      <xdr:nvSpPr>
        <xdr:cNvPr id="3598" name="AutoShape 10" descr="Story">
          <a:hlinkClick xmlns:r="http://schemas.openxmlformats.org/officeDocument/2006/relationships" r:id="rId6"/>
          <a:extLst>
            <a:ext uri="{FF2B5EF4-FFF2-40B4-BE49-F238E27FC236}">
              <a16:creationId xmlns:a16="http://schemas.microsoft.com/office/drawing/2014/main" id="{8D489AFA-E7A0-414F-B4C8-420D0118A6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599" name="AutoShape 14" descr="Story">
          <a:hlinkClick xmlns:r="http://schemas.openxmlformats.org/officeDocument/2006/relationships" r:id="rId4"/>
          <a:extLst>
            <a:ext uri="{FF2B5EF4-FFF2-40B4-BE49-F238E27FC236}">
              <a16:creationId xmlns:a16="http://schemas.microsoft.com/office/drawing/2014/main" id="{8597C94B-773C-43CE-AAC9-C8114F59CF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600" name="AutoShape 10" descr="Story">
          <a:hlinkClick xmlns:r="http://schemas.openxmlformats.org/officeDocument/2006/relationships" r:id="rId6"/>
          <a:extLst>
            <a:ext uri="{FF2B5EF4-FFF2-40B4-BE49-F238E27FC236}">
              <a16:creationId xmlns:a16="http://schemas.microsoft.com/office/drawing/2014/main" id="{7E00EABE-B586-4F2E-A8C5-F89C3616AA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1275</xdr:row>
      <xdr:rowOff>0</xdr:rowOff>
    </xdr:from>
    <xdr:to>
      <xdr:col>0</xdr:col>
      <xdr:colOff>152400</xdr:colOff>
      <xdr:row>1275</xdr:row>
      <xdr:rowOff>152400</xdr:rowOff>
    </xdr:to>
    <xdr:sp macro="" textlink="">
      <xdr:nvSpPr>
        <xdr:cNvPr id="3601" name="AutoShape 14" descr="Story">
          <a:hlinkClick xmlns:r="http://schemas.openxmlformats.org/officeDocument/2006/relationships" r:id="rId4"/>
          <a:extLst>
            <a:ext uri="{FF2B5EF4-FFF2-40B4-BE49-F238E27FC236}">
              <a16:creationId xmlns:a16="http://schemas.microsoft.com/office/drawing/2014/main" id="{F472D32D-D0DA-4E98-9B20-B2B0D78A6E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2" name="AutoShape 4" descr="Bug">
          <a:hlinkClick xmlns:r="http://schemas.openxmlformats.org/officeDocument/2006/relationships" r:id="rId1"/>
          <a:extLst>
            <a:ext uri="{FF2B5EF4-FFF2-40B4-BE49-F238E27FC236}">
              <a16:creationId xmlns:a16="http://schemas.microsoft.com/office/drawing/2014/main" id="{BF468EEE-2BC3-45DF-88C5-8AA23EF46C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3" name="AutoShape 6" descr="Bug">
          <a:hlinkClick xmlns:r="http://schemas.openxmlformats.org/officeDocument/2006/relationships" r:id="rId2"/>
          <a:extLst>
            <a:ext uri="{FF2B5EF4-FFF2-40B4-BE49-F238E27FC236}">
              <a16:creationId xmlns:a16="http://schemas.microsoft.com/office/drawing/2014/main" id="{BCCD5912-389F-4D3F-BA17-5FED5D636E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4" name="AutoShape 7" descr="Story">
          <a:hlinkClick xmlns:r="http://schemas.openxmlformats.org/officeDocument/2006/relationships" r:id="rId3"/>
          <a:extLst>
            <a:ext uri="{FF2B5EF4-FFF2-40B4-BE49-F238E27FC236}">
              <a16:creationId xmlns:a16="http://schemas.microsoft.com/office/drawing/2014/main" id="{0CD3ABDB-C860-402B-AE8F-1E0E4AF0E3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5" name="AutoShape 8" descr="Story">
          <a:hlinkClick xmlns:r="http://schemas.openxmlformats.org/officeDocument/2006/relationships" r:id="rId4"/>
          <a:extLst>
            <a:ext uri="{FF2B5EF4-FFF2-40B4-BE49-F238E27FC236}">
              <a16:creationId xmlns:a16="http://schemas.microsoft.com/office/drawing/2014/main" id="{725A7C62-D41D-4D05-9DF8-051069AD1A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6" name="AutoShape 9" descr="Story">
          <a:hlinkClick xmlns:r="http://schemas.openxmlformats.org/officeDocument/2006/relationships" r:id="rId5"/>
          <a:extLst>
            <a:ext uri="{FF2B5EF4-FFF2-40B4-BE49-F238E27FC236}">
              <a16:creationId xmlns:a16="http://schemas.microsoft.com/office/drawing/2014/main" id="{E37E5673-FF3C-4B67-AD04-28E1FBD49B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07" name="AutoShape 13" descr="Story">
          <a:hlinkClick xmlns:r="http://schemas.openxmlformats.org/officeDocument/2006/relationships" r:id="rId4"/>
          <a:extLst>
            <a:ext uri="{FF2B5EF4-FFF2-40B4-BE49-F238E27FC236}">
              <a16:creationId xmlns:a16="http://schemas.microsoft.com/office/drawing/2014/main" id="{1D4282E6-0D5E-418A-BD0B-DE8FAA8BD0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1280</xdr:row>
      <xdr:rowOff>0</xdr:rowOff>
    </xdr:from>
    <xdr:ext cx="152400" cy="152400"/>
    <xdr:sp macro="" textlink="">
      <xdr:nvSpPr>
        <xdr:cNvPr id="3608" name="AutoShape 1" descr="Story">
          <a:hlinkClick xmlns:r="http://schemas.openxmlformats.org/officeDocument/2006/relationships" r:id="rId7"/>
          <a:extLst>
            <a:ext uri="{FF2B5EF4-FFF2-40B4-BE49-F238E27FC236}">
              <a16:creationId xmlns:a16="http://schemas.microsoft.com/office/drawing/2014/main" id="{AA819E07-9B30-43FD-B122-264BD71706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09" name="AutoShape 2" descr="Story">
          <a:hlinkClick xmlns:r="http://schemas.openxmlformats.org/officeDocument/2006/relationships" r:id="rId8"/>
          <a:extLst>
            <a:ext uri="{FF2B5EF4-FFF2-40B4-BE49-F238E27FC236}">
              <a16:creationId xmlns:a16="http://schemas.microsoft.com/office/drawing/2014/main" id="{8179224B-0B04-45F7-AF85-F8B64079A2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0" name="AutoShape 5" descr="Story">
          <a:hlinkClick xmlns:r="http://schemas.openxmlformats.org/officeDocument/2006/relationships" r:id="rId6"/>
          <a:extLst>
            <a:ext uri="{FF2B5EF4-FFF2-40B4-BE49-F238E27FC236}">
              <a16:creationId xmlns:a16="http://schemas.microsoft.com/office/drawing/2014/main" id="{B6296CC3-F732-4449-BAFA-5CD727F721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1" name="AutoShape 1" descr="Sub-task">
          <a:hlinkClick xmlns:r="http://schemas.openxmlformats.org/officeDocument/2006/relationships" r:id="rId9"/>
          <a:extLst>
            <a:ext uri="{FF2B5EF4-FFF2-40B4-BE49-F238E27FC236}">
              <a16:creationId xmlns:a16="http://schemas.microsoft.com/office/drawing/2014/main" id="{A23C3006-DA86-48A9-B7C4-3B55CB2F2A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2" name="AutoShape 2" descr="Sub-task">
          <a:hlinkClick xmlns:r="http://schemas.openxmlformats.org/officeDocument/2006/relationships" r:id="rId10"/>
          <a:extLst>
            <a:ext uri="{FF2B5EF4-FFF2-40B4-BE49-F238E27FC236}">
              <a16:creationId xmlns:a16="http://schemas.microsoft.com/office/drawing/2014/main" id="{EEB2D9FE-7B3E-4358-BAA6-6D159181E2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3" name="AutoShape 3" descr="Story">
          <a:hlinkClick xmlns:r="http://schemas.openxmlformats.org/officeDocument/2006/relationships" r:id="rId11"/>
          <a:extLst>
            <a:ext uri="{FF2B5EF4-FFF2-40B4-BE49-F238E27FC236}">
              <a16:creationId xmlns:a16="http://schemas.microsoft.com/office/drawing/2014/main" id="{56AF95F3-CDF0-4152-AB85-41D2CBDB1A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4" name="AutoShape 12" descr="Story">
          <a:hlinkClick xmlns:r="http://schemas.openxmlformats.org/officeDocument/2006/relationships" r:id="rId12"/>
          <a:extLst>
            <a:ext uri="{FF2B5EF4-FFF2-40B4-BE49-F238E27FC236}">
              <a16:creationId xmlns:a16="http://schemas.microsoft.com/office/drawing/2014/main" id="{D5260775-3B66-4F79-9020-95E13D924C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5" name="AutoShape 1" descr="Story">
          <a:hlinkClick xmlns:r="http://schemas.openxmlformats.org/officeDocument/2006/relationships" r:id="rId13"/>
          <a:extLst>
            <a:ext uri="{FF2B5EF4-FFF2-40B4-BE49-F238E27FC236}">
              <a16:creationId xmlns:a16="http://schemas.microsoft.com/office/drawing/2014/main" id="{77DCEC76-ADEF-4E3F-9A6C-787E5BCCE0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6" name="AutoShape 1" descr="Story">
          <a:hlinkClick xmlns:r="http://schemas.openxmlformats.org/officeDocument/2006/relationships" r:id="rId13"/>
          <a:extLst>
            <a:ext uri="{FF2B5EF4-FFF2-40B4-BE49-F238E27FC236}">
              <a16:creationId xmlns:a16="http://schemas.microsoft.com/office/drawing/2014/main" id="{B88E8CF7-C4AA-4A3B-9747-56DD5D8EA0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7" name="AutoShape 3" descr="Story">
          <a:hlinkClick xmlns:r="http://schemas.openxmlformats.org/officeDocument/2006/relationships" r:id="rId4"/>
          <a:extLst>
            <a:ext uri="{FF2B5EF4-FFF2-40B4-BE49-F238E27FC236}">
              <a16:creationId xmlns:a16="http://schemas.microsoft.com/office/drawing/2014/main" id="{639412F8-E97E-49D9-90B5-681B341768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8" name="AutoShape 4" descr="Story">
          <a:hlinkClick xmlns:r="http://schemas.openxmlformats.org/officeDocument/2006/relationships" r:id="rId5"/>
          <a:extLst>
            <a:ext uri="{FF2B5EF4-FFF2-40B4-BE49-F238E27FC236}">
              <a16:creationId xmlns:a16="http://schemas.microsoft.com/office/drawing/2014/main" id="{B2D7AFEE-12BE-4857-BA50-5732D9E4CD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19" name="AutoShape 3" descr="Story">
          <a:hlinkClick xmlns:r="http://schemas.openxmlformats.org/officeDocument/2006/relationships" r:id="rId4"/>
          <a:extLst>
            <a:ext uri="{FF2B5EF4-FFF2-40B4-BE49-F238E27FC236}">
              <a16:creationId xmlns:a16="http://schemas.microsoft.com/office/drawing/2014/main" id="{52E1ADDA-8F74-499A-9CC7-2C39D0A3CE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20" name="AutoShape 4" descr="Story">
          <a:hlinkClick xmlns:r="http://schemas.openxmlformats.org/officeDocument/2006/relationships" r:id="rId5"/>
          <a:extLst>
            <a:ext uri="{FF2B5EF4-FFF2-40B4-BE49-F238E27FC236}">
              <a16:creationId xmlns:a16="http://schemas.microsoft.com/office/drawing/2014/main" id="{200DB809-276C-4CF0-A065-1322F0A35E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21" name="AutoShape 7" descr="Story">
          <a:hlinkClick xmlns:r="http://schemas.openxmlformats.org/officeDocument/2006/relationships" r:id="rId3"/>
          <a:extLst>
            <a:ext uri="{FF2B5EF4-FFF2-40B4-BE49-F238E27FC236}">
              <a16:creationId xmlns:a16="http://schemas.microsoft.com/office/drawing/2014/main" id="{05B3C54F-FC0F-4CF1-A133-B22854A9A38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22" name="AutoShape 8" descr="Story">
          <a:hlinkClick xmlns:r="http://schemas.openxmlformats.org/officeDocument/2006/relationships" r:id="rId4"/>
          <a:extLst>
            <a:ext uri="{FF2B5EF4-FFF2-40B4-BE49-F238E27FC236}">
              <a16:creationId xmlns:a16="http://schemas.microsoft.com/office/drawing/2014/main" id="{57B4C3BF-AE20-49A8-95C2-96F62AE4B9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23" name="AutoShape 8" descr="Story">
          <a:hlinkClick xmlns:r="http://schemas.openxmlformats.org/officeDocument/2006/relationships" r:id="rId4"/>
          <a:extLst>
            <a:ext uri="{FF2B5EF4-FFF2-40B4-BE49-F238E27FC236}">
              <a16:creationId xmlns:a16="http://schemas.microsoft.com/office/drawing/2014/main" id="{FE438440-4BB4-4F1D-9056-8ABC63DD97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1280</xdr:row>
      <xdr:rowOff>0</xdr:rowOff>
    </xdr:from>
    <xdr:to>
      <xdr:col>0</xdr:col>
      <xdr:colOff>152400</xdr:colOff>
      <xdr:row>1280</xdr:row>
      <xdr:rowOff>152400</xdr:rowOff>
    </xdr:to>
    <xdr:sp macro="" textlink="">
      <xdr:nvSpPr>
        <xdr:cNvPr id="3624" name="AutoShape 4" descr="Bug">
          <a:hlinkClick xmlns:r="http://schemas.openxmlformats.org/officeDocument/2006/relationships" r:id="rId1"/>
          <a:extLst>
            <a:ext uri="{FF2B5EF4-FFF2-40B4-BE49-F238E27FC236}">
              <a16:creationId xmlns:a16="http://schemas.microsoft.com/office/drawing/2014/main" id="{2A7B4382-97E3-457B-AA31-8F8C569F4C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25" name="AutoShape 6" descr="Bug">
          <a:hlinkClick xmlns:r="http://schemas.openxmlformats.org/officeDocument/2006/relationships" r:id="rId2"/>
          <a:extLst>
            <a:ext uri="{FF2B5EF4-FFF2-40B4-BE49-F238E27FC236}">
              <a16:creationId xmlns:a16="http://schemas.microsoft.com/office/drawing/2014/main" id="{FEC70AE3-16EF-43CA-861E-D5A0AAB5A5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26" name="AutoShape 7" descr="Story">
          <a:hlinkClick xmlns:r="http://schemas.openxmlformats.org/officeDocument/2006/relationships" r:id="rId3"/>
          <a:extLst>
            <a:ext uri="{FF2B5EF4-FFF2-40B4-BE49-F238E27FC236}">
              <a16:creationId xmlns:a16="http://schemas.microsoft.com/office/drawing/2014/main" id="{C79826A2-1D7F-4D3E-AA9A-FCA8CF3FA5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27" name="AutoShape 8" descr="Story">
          <a:hlinkClick xmlns:r="http://schemas.openxmlformats.org/officeDocument/2006/relationships" r:id="rId4"/>
          <a:extLst>
            <a:ext uri="{FF2B5EF4-FFF2-40B4-BE49-F238E27FC236}">
              <a16:creationId xmlns:a16="http://schemas.microsoft.com/office/drawing/2014/main" id="{EE977F36-62B5-40DD-8F33-AC543D10DA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28" name="AutoShape 9" descr="Story">
          <a:hlinkClick xmlns:r="http://schemas.openxmlformats.org/officeDocument/2006/relationships" r:id="rId5"/>
          <a:extLst>
            <a:ext uri="{FF2B5EF4-FFF2-40B4-BE49-F238E27FC236}">
              <a16:creationId xmlns:a16="http://schemas.microsoft.com/office/drawing/2014/main" id="{CF3CEC96-B87D-40F7-80D3-0AE3812C5A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29" name="AutoShape 13" descr="Story">
          <a:hlinkClick xmlns:r="http://schemas.openxmlformats.org/officeDocument/2006/relationships" r:id="rId4"/>
          <a:extLst>
            <a:ext uri="{FF2B5EF4-FFF2-40B4-BE49-F238E27FC236}">
              <a16:creationId xmlns:a16="http://schemas.microsoft.com/office/drawing/2014/main" id="{B35687DF-2C37-40A3-86F1-F6A8C2C7BD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1280</xdr:row>
      <xdr:rowOff>0</xdr:rowOff>
    </xdr:from>
    <xdr:ext cx="152400" cy="152400"/>
    <xdr:sp macro="" textlink="">
      <xdr:nvSpPr>
        <xdr:cNvPr id="3630" name="AutoShape 1" descr="Story">
          <a:hlinkClick xmlns:r="http://schemas.openxmlformats.org/officeDocument/2006/relationships" r:id="rId7"/>
          <a:extLst>
            <a:ext uri="{FF2B5EF4-FFF2-40B4-BE49-F238E27FC236}">
              <a16:creationId xmlns:a16="http://schemas.microsoft.com/office/drawing/2014/main" id="{7F7B9D96-11D5-4B63-BB83-7D8FCD03A4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1" name="AutoShape 2" descr="Story">
          <a:hlinkClick xmlns:r="http://schemas.openxmlformats.org/officeDocument/2006/relationships" r:id="rId8"/>
          <a:extLst>
            <a:ext uri="{FF2B5EF4-FFF2-40B4-BE49-F238E27FC236}">
              <a16:creationId xmlns:a16="http://schemas.microsoft.com/office/drawing/2014/main" id="{67E51587-74DB-4691-A2CF-096B4A9980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2" name="AutoShape 5" descr="Story">
          <a:hlinkClick xmlns:r="http://schemas.openxmlformats.org/officeDocument/2006/relationships" r:id="rId6"/>
          <a:extLst>
            <a:ext uri="{FF2B5EF4-FFF2-40B4-BE49-F238E27FC236}">
              <a16:creationId xmlns:a16="http://schemas.microsoft.com/office/drawing/2014/main" id="{E1B0823A-1B6E-4EB4-8FBD-CC3E34ACD6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3" name="AutoShape 1" descr="Sub-task">
          <a:hlinkClick xmlns:r="http://schemas.openxmlformats.org/officeDocument/2006/relationships" r:id="rId9"/>
          <a:extLst>
            <a:ext uri="{FF2B5EF4-FFF2-40B4-BE49-F238E27FC236}">
              <a16:creationId xmlns:a16="http://schemas.microsoft.com/office/drawing/2014/main" id="{02D21E5B-B589-44F8-BE1A-56D7D58D9D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4" name="AutoShape 2" descr="Sub-task">
          <a:hlinkClick xmlns:r="http://schemas.openxmlformats.org/officeDocument/2006/relationships" r:id="rId10"/>
          <a:extLst>
            <a:ext uri="{FF2B5EF4-FFF2-40B4-BE49-F238E27FC236}">
              <a16:creationId xmlns:a16="http://schemas.microsoft.com/office/drawing/2014/main" id="{0CC66160-8514-4936-91D0-8B4CCDEED0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5" name="AutoShape 3" descr="Story">
          <a:hlinkClick xmlns:r="http://schemas.openxmlformats.org/officeDocument/2006/relationships" r:id="rId11"/>
          <a:extLst>
            <a:ext uri="{FF2B5EF4-FFF2-40B4-BE49-F238E27FC236}">
              <a16:creationId xmlns:a16="http://schemas.microsoft.com/office/drawing/2014/main" id="{827FBE26-FBEE-47B6-96B4-BDFC76A81B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6" name="AutoShape 12" descr="Story">
          <a:hlinkClick xmlns:r="http://schemas.openxmlformats.org/officeDocument/2006/relationships" r:id="rId12"/>
          <a:extLst>
            <a:ext uri="{FF2B5EF4-FFF2-40B4-BE49-F238E27FC236}">
              <a16:creationId xmlns:a16="http://schemas.microsoft.com/office/drawing/2014/main" id="{B85FDBA6-2D82-4DC4-9CA2-1D34AE40C2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7" name="AutoShape 1" descr="Story">
          <a:hlinkClick xmlns:r="http://schemas.openxmlformats.org/officeDocument/2006/relationships" r:id="rId13"/>
          <a:extLst>
            <a:ext uri="{FF2B5EF4-FFF2-40B4-BE49-F238E27FC236}">
              <a16:creationId xmlns:a16="http://schemas.microsoft.com/office/drawing/2014/main" id="{ED86B1E9-D1F4-4E3C-BBEC-D90F090981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8" name="AutoShape 1" descr="Story">
          <a:hlinkClick xmlns:r="http://schemas.openxmlformats.org/officeDocument/2006/relationships" r:id="rId13"/>
          <a:extLst>
            <a:ext uri="{FF2B5EF4-FFF2-40B4-BE49-F238E27FC236}">
              <a16:creationId xmlns:a16="http://schemas.microsoft.com/office/drawing/2014/main" id="{1B7DB83D-FDDF-4224-8500-8723B4CFA3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39" name="AutoShape 3" descr="Story">
          <a:hlinkClick xmlns:r="http://schemas.openxmlformats.org/officeDocument/2006/relationships" r:id="rId4"/>
          <a:extLst>
            <a:ext uri="{FF2B5EF4-FFF2-40B4-BE49-F238E27FC236}">
              <a16:creationId xmlns:a16="http://schemas.microsoft.com/office/drawing/2014/main" id="{E95DE8D6-129A-46D3-A0D1-16E6DB7C6E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0" name="AutoShape 4" descr="Story">
          <a:hlinkClick xmlns:r="http://schemas.openxmlformats.org/officeDocument/2006/relationships" r:id="rId5"/>
          <a:extLst>
            <a:ext uri="{FF2B5EF4-FFF2-40B4-BE49-F238E27FC236}">
              <a16:creationId xmlns:a16="http://schemas.microsoft.com/office/drawing/2014/main" id="{09C2C11D-61F7-486B-ADE2-C9A51F6302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1" name="AutoShape 3" descr="Story">
          <a:hlinkClick xmlns:r="http://schemas.openxmlformats.org/officeDocument/2006/relationships" r:id="rId4"/>
          <a:extLst>
            <a:ext uri="{FF2B5EF4-FFF2-40B4-BE49-F238E27FC236}">
              <a16:creationId xmlns:a16="http://schemas.microsoft.com/office/drawing/2014/main" id="{28C7BF21-1A16-4BFA-B8E7-2F6F1061D1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2" name="AutoShape 4" descr="Story">
          <a:hlinkClick xmlns:r="http://schemas.openxmlformats.org/officeDocument/2006/relationships" r:id="rId5"/>
          <a:extLst>
            <a:ext uri="{FF2B5EF4-FFF2-40B4-BE49-F238E27FC236}">
              <a16:creationId xmlns:a16="http://schemas.microsoft.com/office/drawing/2014/main" id="{C73FBDB2-F64F-4668-AAB8-A3A7749F2F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3" name="AutoShape 7" descr="Story">
          <a:hlinkClick xmlns:r="http://schemas.openxmlformats.org/officeDocument/2006/relationships" r:id="rId3"/>
          <a:extLst>
            <a:ext uri="{FF2B5EF4-FFF2-40B4-BE49-F238E27FC236}">
              <a16:creationId xmlns:a16="http://schemas.microsoft.com/office/drawing/2014/main" id="{405FBD26-7CBB-49B3-A637-9DBF993ADD7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4" name="AutoShape 8" descr="Story">
          <a:hlinkClick xmlns:r="http://schemas.openxmlformats.org/officeDocument/2006/relationships" r:id="rId4"/>
          <a:extLst>
            <a:ext uri="{FF2B5EF4-FFF2-40B4-BE49-F238E27FC236}">
              <a16:creationId xmlns:a16="http://schemas.microsoft.com/office/drawing/2014/main" id="{EB9B08FC-CA92-436C-814A-EF0DE52F3B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45" name="AutoShape 8" descr="Story">
          <a:hlinkClick xmlns:r="http://schemas.openxmlformats.org/officeDocument/2006/relationships" r:id="rId4"/>
          <a:extLst>
            <a:ext uri="{FF2B5EF4-FFF2-40B4-BE49-F238E27FC236}">
              <a16:creationId xmlns:a16="http://schemas.microsoft.com/office/drawing/2014/main" id="{A82E0B10-8D27-496F-863E-4EBC6C1F53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1280</xdr:row>
      <xdr:rowOff>0</xdr:rowOff>
    </xdr:from>
    <xdr:to>
      <xdr:col>0</xdr:col>
      <xdr:colOff>152400</xdr:colOff>
      <xdr:row>1280</xdr:row>
      <xdr:rowOff>152400</xdr:rowOff>
    </xdr:to>
    <xdr:sp macro="" textlink="">
      <xdr:nvSpPr>
        <xdr:cNvPr id="3646" name="AutoShape 4" descr="Bug">
          <a:hlinkClick xmlns:r="http://schemas.openxmlformats.org/officeDocument/2006/relationships" r:id="rId1"/>
          <a:extLst>
            <a:ext uri="{FF2B5EF4-FFF2-40B4-BE49-F238E27FC236}">
              <a16:creationId xmlns:a16="http://schemas.microsoft.com/office/drawing/2014/main" id="{16BFD377-B74B-4A07-9EB4-63F4D559F9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47" name="AutoShape 6" descr="Bug">
          <a:hlinkClick xmlns:r="http://schemas.openxmlformats.org/officeDocument/2006/relationships" r:id="rId2"/>
          <a:extLst>
            <a:ext uri="{FF2B5EF4-FFF2-40B4-BE49-F238E27FC236}">
              <a16:creationId xmlns:a16="http://schemas.microsoft.com/office/drawing/2014/main" id="{C91E2FFC-BF09-4570-8AAF-D20C607340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48" name="AutoShape 7" descr="Story">
          <a:hlinkClick xmlns:r="http://schemas.openxmlformats.org/officeDocument/2006/relationships" r:id="rId3"/>
          <a:extLst>
            <a:ext uri="{FF2B5EF4-FFF2-40B4-BE49-F238E27FC236}">
              <a16:creationId xmlns:a16="http://schemas.microsoft.com/office/drawing/2014/main" id="{68CC7AD3-7618-461D-8839-2229579016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49" name="AutoShape 8" descr="Story">
          <a:hlinkClick xmlns:r="http://schemas.openxmlformats.org/officeDocument/2006/relationships" r:id="rId4"/>
          <a:extLst>
            <a:ext uri="{FF2B5EF4-FFF2-40B4-BE49-F238E27FC236}">
              <a16:creationId xmlns:a16="http://schemas.microsoft.com/office/drawing/2014/main" id="{2A977BFE-1B86-44CD-B2BC-5A515C70CA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50" name="AutoShape 9" descr="Story">
          <a:hlinkClick xmlns:r="http://schemas.openxmlformats.org/officeDocument/2006/relationships" r:id="rId5"/>
          <a:extLst>
            <a:ext uri="{FF2B5EF4-FFF2-40B4-BE49-F238E27FC236}">
              <a16:creationId xmlns:a16="http://schemas.microsoft.com/office/drawing/2014/main" id="{F8A6B8DA-8B50-433D-9BBE-2001F6DF4B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51" name="AutoShape 13" descr="Story">
          <a:hlinkClick xmlns:r="http://schemas.openxmlformats.org/officeDocument/2006/relationships" r:id="rId4"/>
          <a:extLst>
            <a:ext uri="{FF2B5EF4-FFF2-40B4-BE49-F238E27FC236}">
              <a16:creationId xmlns:a16="http://schemas.microsoft.com/office/drawing/2014/main" id="{FFD33F55-FE2F-4FB4-8361-6B90029707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1280</xdr:row>
      <xdr:rowOff>0</xdr:rowOff>
    </xdr:from>
    <xdr:ext cx="152400" cy="152400"/>
    <xdr:sp macro="" textlink="">
      <xdr:nvSpPr>
        <xdr:cNvPr id="3652" name="AutoShape 1" descr="Story">
          <a:hlinkClick xmlns:r="http://schemas.openxmlformats.org/officeDocument/2006/relationships" r:id="rId7"/>
          <a:extLst>
            <a:ext uri="{FF2B5EF4-FFF2-40B4-BE49-F238E27FC236}">
              <a16:creationId xmlns:a16="http://schemas.microsoft.com/office/drawing/2014/main" id="{D2B5F0F2-326C-4AB8-8EC1-055A701BA1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3" name="AutoShape 2" descr="Story">
          <a:hlinkClick xmlns:r="http://schemas.openxmlformats.org/officeDocument/2006/relationships" r:id="rId8"/>
          <a:extLst>
            <a:ext uri="{FF2B5EF4-FFF2-40B4-BE49-F238E27FC236}">
              <a16:creationId xmlns:a16="http://schemas.microsoft.com/office/drawing/2014/main" id="{721018D7-593D-4C9D-A390-DA61B28953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4" name="AutoShape 5" descr="Story">
          <a:hlinkClick xmlns:r="http://schemas.openxmlformats.org/officeDocument/2006/relationships" r:id="rId6"/>
          <a:extLst>
            <a:ext uri="{FF2B5EF4-FFF2-40B4-BE49-F238E27FC236}">
              <a16:creationId xmlns:a16="http://schemas.microsoft.com/office/drawing/2014/main" id="{2D290979-82A4-43B8-9CD6-BEF33A8B1E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5" name="AutoShape 1" descr="Sub-task">
          <a:hlinkClick xmlns:r="http://schemas.openxmlformats.org/officeDocument/2006/relationships" r:id="rId9"/>
          <a:extLst>
            <a:ext uri="{FF2B5EF4-FFF2-40B4-BE49-F238E27FC236}">
              <a16:creationId xmlns:a16="http://schemas.microsoft.com/office/drawing/2014/main" id="{93EFC120-E1E5-43F8-BBBC-5C2FA897BD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6" name="AutoShape 2" descr="Sub-task">
          <a:hlinkClick xmlns:r="http://schemas.openxmlformats.org/officeDocument/2006/relationships" r:id="rId10"/>
          <a:extLst>
            <a:ext uri="{FF2B5EF4-FFF2-40B4-BE49-F238E27FC236}">
              <a16:creationId xmlns:a16="http://schemas.microsoft.com/office/drawing/2014/main" id="{31502227-4459-48ED-BF82-6C2730C9DA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7" name="AutoShape 3" descr="Story">
          <a:hlinkClick xmlns:r="http://schemas.openxmlformats.org/officeDocument/2006/relationships" r:id="rId11"/>
          <a:extLst>
            <a:ext uri="{FF2B5EF4-FFF2-40B4-BE49-F238E27FC236}">
              <a16:creationId xmlns:a16="http://schemas.microsoft.com/office/drawing/2014/main" id="{9AB22530-E58D-415F-B5BE-BC3E056174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8" name="AutoShape 12" descr="Story">
          <a:hlinkClick xmlns:r="http://schemas.openxmlformats.org/officeDocument/2006/relationships" r:id="rId12"/>
          <a:extLst>
            <a:ext uri="{FF2B5EF4-FFF2-40B4-BE49-F238E27FC236}">
              <a16:creationId xmlns:a16="http://schemas.microsoft.com/office/drawing/2014/main" id="{ACDCDF75-D919-454E-BB43-29E514599E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59" name="AutoShape 1" descr="Story">
          <a:hlinkClick xmlns:r="http://schemas.openxmlformats.org/officeDocument/2006/relationships" r:id="rId13"/>
          <a:extLst>
            <a:ext uri="{FF2B5EF4-FFF2-40B4-BE49-F238E27FC236}">
              <a16:creationId xmlns:a16="http://schemas.microsoft.com/office/drawing/2014/main" id="{58AC1894-53F0-4DE4-A560-56FDAB1E30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0" name="AutoShape 1" descr="Story">
          <a:hlinkClick xmlns:r="http://schemas.openxmlformats.org/officeDocument/2006/relationships" r:id="rId13"/>
          <a:extLst>
            <a:ext uri="{FF2B5EF4-FFF2-40B4-BE49-F238E27FC236}">
              <a16:creationId xmlns:a16="http://schemas.microsoft.com/office/drawing/2014/main" id="{BA84F0CE-6AF3-494B-A1F5-A731BCFD4B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1" name="AutoShape 3" descr="Story">
          <a:hlinkClick xmlns:r="http://schemas.openxmlformats.org/officeDocument/2006/relationships" r:id="rId4"/>
          <a:extLst>
            <a:ext uri="{FF2B5EF4-FFF2-40B4-BE49-F238E27FC236}">
              <a16:creationId xmlns:a16="http://schemas.microsoft.com/office/drawing/2014/main" id="{BA74805E-7D42-44CF-ABC3-4601DEC876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2" name="AutoShape 4" descr="Story">
          <a:hlinkClick xmlns:r="http://schemas.openxmlformats.org/officeDocument/2006/relationships" r:id="rId5"/>
          <a:extLst>
            <a:ext uri="{FF2B5EF4-FFF2-40B4-BE49-F238E27FC236}">
              <a16:creationId xmlns:a16="http://schemas.microsoft.com/office/drawing/2014/main" id="{3E4E6B97-3276-43A9-8E11-667EEA460F9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3" name="AutoShape 3" descr="Story">
          <a:hlinkClick xmlns:r="http://schemas.openxmlformats.org/officeDocument/2006/relationships" r:id="rId4"/>
          <a:extLst>
            <a:ext uri="{FF2B5EF4-FFF2-40B4-BE49-F238E27FC236}">
              <a16:creationId xmlns:a16="http://schemas.microsoft.com/office/drawing/2014/main" id="{D7D84FE7-B14B-4645-96C2-03B632B921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4" name="AutoShape 4" descr="Story">
          <a:hlinkClick xmlns:r="http://schemas.openxmlformats.org/officeDocument/2006/relationships" r:id="rId5"/>
          <a:extLst>
            <a:ext uri="{FF2B5EF4-FFF2-40B4-BE49-F238E27FC236}">
              <a16:creationId xmlns:a16="http://schemas.microsoft.com/office/drawing/2014/main" id="{E3E1815E-C519-4418-BD58-8DCE4B1EB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5" name="AutoShape 7" descr="Story">
          <a:hlinkClick xmlns:r="http://schemas.openxmlformats.org/officeDocument/2006/relationships" r:id="rId3"/>
          <a:extLst>
            <a:ext uri="{FF2B5EF4-FFF2-40B4-BE49-F238E27FC236}">
              <a16:creationId xmlns:a16="http://schemas.microsoft.com/office/drawing/2014/main" id="{163E7EC6-A433-4073-9803-41FC5614A5D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6" name="AutoShape 8" descr="Story">
          <a:hlinkClick xmlns:r="http://schemas.openxmlformats.org/officeDocument/2006/relationships" r:id="rId4"/>
          <a:extLst>
            <a:ext uri="{FF2B5EF4-FFF2-40B4-BE49-F238E27FC236}">
              <a16:creationId xmlns:a16="http://schemas.microsoft.com/office/drawing/2014/main" id="{E0A7F3D1-711E-4A6F-BDD7-44BCA89B64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67" name="AutoShape 8" descr="Story">
          <a:hlinkClick xmlns:r="http://schemas.openxmlformats.org/officeDocument/2006/relationships" r:id="rId4"/>
          <a:extLst>
            <a:ext uri="{FF2B5EF4-FFF2-40B4-BE49-F238E27FC236}">
              <a16:creationId xmlns:a16="http://schemas.microsoft.com/office/drawing/2014/main" id="{ECD1A533-F41C-41D9-AC3C-D41B1DD10E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1280</xdr:row>
      <xdr:rowOff>0</xdr:rowOff>
    </xdr:from>
    <xdr:to>
      <xdr:col>0</xdr:col>
      <xdr:colOff>152400</xdr:colOff>
      <xdr:row>1280</xdr:row>
      <xdr:rowOff>152400</xdr:rowOff>
    </xdr:to>
    <xdr:sp macro="" textlink="">
      <xdr:nvSpPr>
        <xdr:cNvPr id="3668" name="AutoShape 4" descr="Bug">
          <a:hlinkClick xmlns:r="http://schemas.openxmlformats.org/officeDocument/2006/relationships" r:id="rId1"/>
          <a:extLst>
            <a:ext uri="{FF2B5EF4-FFF2-40B4-BE49-F238E27FC236}">
              <a16:creationId xmlns:a16="http://schemas.microsoft.com/office/drawing/2014/main" id="{A8487AC5-09FD-43CC-BA93-8FF6A198DE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69" name="AutoShape 6" descr="Bug">
          <a:hlinkClick xmlns:r="http://schemas.openxmlformats.org/officeDocument/2006/relationships" r:id="rId2"/>
          <a:extLst>
            <a:ext uri="{FF2B5EF4-FFF2-40B4-BE49-F238E27FC236}">
              <a16:creationId xmlns:a16="http://schemas.microsoft.com/office/drawing/2014/main" id="{FF823D01-8351-4212-B87D-611ACF9F25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70" name="AutoShape 7" descr="Story">
          <a:hlinkClick xmlns:r="http://schemas.openxmlformats.org/officeDocument/2006/relationships" r:id="rId3"/>
          <a:extLst>
            <a:ext uri="{FF2B5EF4-FFF2-40B4-BE49-F238E27FC236}">
              <a16:creationId xmlns:a16="http://schemas.microsoft.com/office/drawing/2014/main" id="{DCD153AD-C68F-4A51-9248-ECFF771055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71" name="AutoShape 8" descr="Story">
          <a:hlinkClick xmlns:r="http://schemas.openxmlformats.org/officeDocument/2006/relationships" r:id="rId4"/>
          <a:extLst>
            <a:ext uri="{FF2B5EF4-FFF2-40B4-BE49-F238E27FC236}">
              <a16:creationId xmlns:a16="http://schemas.microsoft.com/office/drawing/2014/main" id="{0ACDC9D0-4334-44C4-9B4C-595468839B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72" name="AutoShape 9" descr="Story">
          <a:hlinkClick xmlns:r="http://schemas.openxmlformats.org/officeDocument/2006/relationships" r:id="rId5"/>
          <a:extLst>
            <a:ext uri="{FF2B5EF4-FFF2-40B4-BE49-F238E27FC236}">
              <a16:creationId xmlns:a16="http://schemas.microsoft.com/office/drawing/2014/main" id="{1ECF37F5-DD84-4024-907E-45E9AE8433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673" name="AutoShape 13" descr="Story">
          <a:hlinkClick xmlns:r="http://schemas.openxmlformats.org/officeDocument/2006/relationships" r:id="rId4"/>
          <a:extLst>
            <a:ext uri="{FF2B5EF4-FFF2-40B4-BE49-F238E27FC236}">
              <a16:creationId xmlns:a16="http://schemas.microsoft.com/office/drawing/2014/main" id="{A7E3C67D-8DB3-422D-A4B0-4D2DC0CD06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1280</xdr:row>
      <xdr:rowOff>0</xdr:rowOff>
    </xdr:from>
    <xdr:ext cx="152400" cy="152400"/>
    <xdr:sp macro="" textlink="">
      <xdr:nvSpPr>
        <xdr:cNvPr id="3674" name="AutoShape 1" descr="Story">
          <a:hlinkClick xmlns:r="http://schemas.openxmlformats.org/officeDocument/2006/relationships" r:id="rId7"/>
          <a:extLst>
            <a:ext uri="{FF2B5EF4-FFF2-40B4-BE49-F238E27FC236}">
              <a16:creationId xmlns:a16="http://schemas.microsoft.com/office/drawing/2014/main" id="{BEF7C870-9197-4913-8F0A-12BAB182A2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75" name="AutoShape 2" descr="Story">
          <a:hlinkClick xmlns:r="http://schemas.openxmlformats.org/officeDocument/2006/relationships" r:id="rId8"/>
          <a:extLst>
            <a:ext uri="{FF2B5EF4-FFF2-40B4-BE49-F238E27FC236}">
              <a16:creationId xmlns:a16="http://schemas.microsoft.com/office/drawing/2014/main" id="{E326E5C3-EA4A-4EE5-8927-EA21D1F595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76" name="AutoShape 5" descr="Story">
          <a:hlinkClick xmlns:r="http://schemas.openxmlformats.org/officeDocument/2006/relationships" r:id="rId6"/>
          <a:extLst>
            <a:ext uri="{FF2B5EF4-FFF2-40B4-BE49-F238E27FC236}">
              <a16:creationId xmlns:a16="http://schemas.microsoft.com/office/drawing/2014/main" id="{897D9724-34CC-45C7-BAF9-3DEAC72C69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77" name="AutoShape 1" descr="Sub-task">
          <a:hlinkClick xmlns:r="http://schemas.openxmlformats.org/officeDocument/2006/relationships" r:id="rId9"/>
          <a:extLst>
            <a:ext uri="{FF2B5EF4-FFF2-40B4-BE49-F238E27FC236}">
              <a16:creationId xmlns:a16="http://schemas.microsoft.com/office/drawing/2014/main" id="{90050E39-9981-47AE-B157-5A6D65AA11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78" name="AutoShape 2" descr="Sub-task">
          <a:hlinkClick xmlns:r="http://schemas.openxmlformats.org/officeDocument/2006/relationships" r:id="rId10"/>
          <a:extLst>
            <a:ext uri="{FF2B5EF4-FFF2-40B4-BE49-F238E27FC236}">
              <a16:creationId xmlns:a16="http://schemas.microsoft.com/office/drawing/2014/main" id="{0B0276EA-3D33-4E2D-A274-D51B372D3B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79" name="AutoShape 3" descr="Story">
          <a:hlinkClick xmlns:r="http://schemas.openxmlformats.org/officeDocument/2006/relationships" r:id="rId11"/>
          <a:extLst>
            <a:ext uri="{FF2B5EF4-FFF2-40B4-BE49-F238E27FC236}">
              <a16:creationId xmlns:a16="http://schemas.microsoft.com/office/drawing/2014/main" id="{4F999259-6142-45F6-9C8E-E46098730C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0" name="AutoShape 12" descr="Story">
          <a:hlinkClick xmlns:r="http://schemas.openxmlformats.org/officeDocument/2006/relationships" r:id="rId12"/>
          <a:extLst>
            <a:ext uri="{FF2B5EF4-FFF2-40B4-BE49-F238E27FC236}">
              <a16:creationId xmlns:a16="http://schemas.microsoft.com/office/drawing/2014/main" id="{4DCC512D-36ED-45F0-A4CA-D06E3B3E89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1" name="AutoShape 1" descr="Story">
          <a:hlinkClick xmlns:r="http://schemas.openxmlformats.org/officeDocument/2006/relationships" r:id="rId13"/>
          <a:extLst>
            <a:ext uri="{FF2B5EF4-FFF2-40B4-BE49-F238E27FC236}">
              <a16:creationId xmlns:a16="http://schemas.microsoft.com/office/drawing/2014/main" id="{D1EA4AC9-9A64-4739-ADC3-B073EE83D3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2" name="AutoShape 1" descr="Story">
          <a:hlinkClick xmlns:r="http://schemas.openxmlformats.org/officeDocument/2006/relationships" r:id="rId13"/>
          <a:extLst>
            <a:ext uri="{FF2B5EF4-FFF2-40B4-BE49-F238E27FC236}">
              <a16:creationId xmlns:a16="http://schemas.microsoft.com/office/drawing/2014/main" id="{34116EAF-59E2-47B9-82DB-3020B3F286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3" name="AutoShape 3" descr="Story">
          <a:hlinkClick xmlns:r="http://schemas.openxmlformats.org/officeDocument/2006/relationships" r:id="rId4"/>
          <a:extLst>
            <a:ext uri="{FF2B5EF4-FFF2-40B4-BE49-F238E27FC236}">
              <a16:creationId xmlns:a16="http://schemas.microsoft.com/office/drawing/2014/main" id="{324C8E8F-8615-4886-9E33-6A25C9F89D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4" name="AutoShape 4" descr="Story">
          <a:hlinkClick xmlns:r="http://schemas.openxmlformats.org/officeDocument/2006/relationships" r:id="rId5"/>
          <a:extLst>
            <a:ext uri="{FF2B5EF4-FFF2-40B4-BE49-F238E27FC236}">
              <a16:creationId xmlns:a16="http://schemas.microsoft.com/office/drawing/2014/main" id="{293E5993-7DA5-4ADD-903E-5159FEE26A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5" name="AutoShape 3" descr="Story">
          <a:hlinkClick xmlns:r="http://schemas.openxmlformats.org/officeDocument/2006/relationships" r:id="rId4"/>
          <a:extLst>
            <a:ext uri="{FF2B5EF4-FFF2-40B4-BE49-F238E27FC236}">
              <a16:creationId xmlns:a16="http://schemas.microsoft.com/office/drawing/2014/main" id="{213F9C32-4A5D-4AC0-ABC5-A55C191A67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6" name="AutoShape 4" descr="Story">
          <a:hlinkClick xmlns:r="http://schemas.openxmlformats.org/officeDocument/2006/relationships" r:id="rId5"/>
          <a:extLst>
            <a:ext uri="{FF2B5EF4-FFF2-40B4-BE49-F238E27FC236}">
              <a16:creationId xmlns:a16="http://schemas.microsoft.com/office/drawing/2014/main" id="{5B82C98F-9EA1-40DB-A08B-397525D0C9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7" name="AutoShape 7" descr="Story">
          <a:hlinkClick xmlns:r="http://schemas.openxmlformats.org/officeDocument/2006/relationships" r:id="rId3"/>
          <a:extLst>
            <a:ext uri="{FF2B5EF4-FFF2-40B4-BE49-F238E27FC236}">
              <a16:creationId xmlns:a16="http://schemas.microsoft.com/office/drawing/2014/main" id="{ED2CA43D-F256-4A89-8EE4-DEB16CB223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8" name="AutoShape 8" descr="Story">
          <a:hlinkClick xmlns:r="http://schemas.openxmlformats.org/officeDocument/2006/relationships" r:id="rId4"/>
          <a:extLst>
            <a:ext uri="{FF2B5EF4-FFF2-40B4-BE49-F238E27FC236}">
              <a16:creationId xmlns:a16="http://schemas.microsoft.com/office/drawing/2014/main" id="{84DB1D8B-29BE-4A17-96FB-6E197C7BF2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1280</xdr:row>
      <xdr:rowOff>0</xdr:rowOff>
    </xdr:from>
    <xdr:ext cx="152400" cy="152400"/>
    <xdr:sp macro="" textlink="">
      <xdr:nvSpPr>
        <xdr:cNvPr id="3689" name="AutoShape 8" descr="Story">
          <a:hlinkClick xmlns:r="http://schemas.openxmlformats.org/officeDocument/2006/relationships" r:id="rId4"/>
          <a:extLst>
            <a:ext uri="{FF2B5EF4-FFF2-40B4-BE49-F238E27FC236}">
              <a16:creationId xmlns:a16="http://schemas.microsoft.com/office/drawing/2014/main" id="{87FADC95-3C99-4ED7-80E6-5D14E3D00E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1284</xdr:row>
      <xdr:rowOff>0</xdr:rowOff>
    </xdr:from>
    <xdr:to>
      <xdr:col>0</xdr:col>
      <xdr:colOff>152400</xdr:colOff>
      <xdr:row>1284</xdr:row>
      <xdr:rowOff>152400</xdr:rowOff>
    </xdr:to>
    <xdr:sp macro="" textlink="">
      <xdr:nvSpPr>
        <xdr:cNvPr id="3690" name="AutoShape 4" descr="Bug">
          <a:hlinkClick xmlns:r="http://schemas.openxmlformats.org/officeDocument/2006/relationships" r:id="rId1"/>
          <a:extLst>
            <a:ext uri="{FF2B5EF4-FFF2-40B4-BE49-F238E27FC236}">
              <a16:creationId xmlns:a16="http://schemas.microsoft.com/office/drawing/2014/main" id="{9B8709AC-1224-41AB-8974-B49BFC2B6E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691" name="AutoShape 6" descr="Bug">
          <a:hlinkClick xmlns:r="http://schemas.openxmlformats.org/officeDocument/2006/relationships" r:id="rId2"/>
          <a:extLst>
            <a:ext uri="{FF2B5EF4-FFF2-40B4-BE49-F238E27FC236}">
              <a16:creationId xmlns:a16="http://schemas.microsoft.com/office/drawing/2014/main" id="{3B939995-6860-4020-B66D-6C27510331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692" name="AutoShape 7" descr="Story">
          <a:hlinkClick xmlns:r="http://schemas.openxmlformats.org/officeDocument/2006/relationships" r:id="rId3"/>
          <a:extLst>
            <a:ext uri="{FF2B5EF4-FFF2-40B4-BE49-F238E27FC236}">
              <a16:creationId xmlns:a16="http://schemas.microsoft.com/office/drawing/2014/main" id="{B1E3A57E-BF02-43E8-998E-7AAF351BD74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693" name="AutoShape 8" descr="Story">
          <a:hlinkClick xmlns:r="http://schemas.openxmlformats.org/officeDocument/2006/relationships" r:id="rId4"/>
          <a:extLst>
            <a:ext uri="{FF2B5EF4-FFF2-40B4-BE49-F238E27FC236}">
              <a16:creationId xmlns:a16="http://schemas.microsoft.com/office/drawing/2014/main" id="{1B7509C5-19EF-45E2-98E7-3646EDC1EF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694" name="AutoShape 9" descr="Story">
          <a:hlinkClick xmlns:r="http://schemas.openxmlformats.org/officeDocument/2006/relationships" r:id="rId5"/>
          <a:extLst>
            <a:ext uri="{FF2B5EF4-FFF2-40B4-BE49-F238E27FC236}">
              <a16:creationId xmlns:a16="http://schemas.microsoft.com/office/drawing/2014/main" id="{69319896-71FB-4BB8-9748-266F4C6823E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695" name="AutoShape 13" descr="Story">
          <a:hlinkClick xmlns:r="http://schemas.openxmlformats.org/officeDocument/2006/relationships" r:id="rId4"/>
          <a:extLst>
            <a:ext uri="{FF2B5EF4-FFF2-40B4-BE49-F238E27FC236}">
              <a16:creationId xmlns:a16="http://schemas.microsoft.com/office/drawing/2014/main" id="{BA39B98C-5CE4-4184-885B-80AAAE7B53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1284</xdr:row>
      <xdr:rowOff>0</xdr:rowOff>
    </xdr:from>
    <xdr:ext cx="152400" cy="152400"/>
    <xdr:sp macro="" textlink="">
      <xdr:nvSpPr>
        <xdr:cNvPr id="3696" name="AutoShape 1" descr="Story">
          <a:hlinkClick xmlns:r="http://schemas.openxmlformats.org/officeDocument/2006/relationships" r:id="rId7"/>
          <a:extLst>
            <a:ext uri="{FF2B5EF4-FFF2-40B4-BE49-F238E27FC236}">
              <a16:creationId xmlns:a16="http://schemas.microsoft.com/office/drawing/2014/main" id="{A746BA86-9304-47DD-988B-78EFB92C23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697" name="AutoShape 2" descr="Story">
          <a:hlinkClick xmlns:r="http://schemas.openxmlformats.org/officeDocument/2006/relationships" r:id="rId8"/>
          <a:extLst>
            <a:ext uri="{FF2B5EF4-FFF2-40B4-BE49-F238E27FC236}">
              <a16:creationId xmlns:a16="http://schemas.microsoft.com/office/drawing/2014/main" id="{EF81317C-08B3-4C88-8D7E-C35042C89D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698" name="AutoShape 5" descr="Story">
          <a:hlinkClick xmlns:r="http://schemas.openxmlformats.org/officeDocument/2006/relationships" r:id="rId6"/>
          <a:extLst>
            <a:ext uri="{FF2B5EF4-FFF2-40B4-BE49-F238E27FC236}">
              <a16:creationId xmlns:a16="http://schemas.microsoft.com/office/drawing/2014/main" id="{355C7BE8-1BA1-481E-9093-2FD658377D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699" name="AutoShape 1" descr="Sub-task">
          <a:hlinkClick xmlns:r="http://schemas.openxmlformats.org/officeDocument/2006/relationships" r:id="rId9"/>
          <a:extLst>
            <a:ext uri="{FF2B5EF4-FFF2-40B4-BE49-F238E27FC236}">
              <a16:creationId xmlns:a16="http://schemas.microsoft.com/office/drawing/2014/main" id="{AAF1B264-1EC6-4A4A-A289-75B7C9BABB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0" name="AutoShape 2" descr="Sub-task">
          <a:hlinkClick xmlns:r="http://schemas.openxmlformats.org/officeDocument/2006/relationships" r:id="rId10"/>
          <a:extLst>
            <a:ext uri="{FF2B5EF4-FFF2-40B4-BE49-F238E27FC236}">
              <a16:creationId xmlns:a16="http://schemas.microsoft.com/office/drawing/2014/main" id="{F14A1289-E4B7-42D2-8C32-A50B00A805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1" name="AutoShape 3" descr="Story">
          <a:hlinkClick xmlns:r="http://schemas.openxmlformats.org/officeDocument/2006/relationships" r:id="rId11"/>
          <a:extLst>
            <a:ext uri="{FF2B5EF4-FFF2-40B4-BE49-F238E27FC236}">
              <a16:creationId xmlns:a16="http://schemas.microsoft.com/office/drawing/2014/main" id="{BE7828E3-E6B4-4A2A-B6E4-DA95723FC8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2" name="AutoShape 12" descr="Story">
          <a:hlinkClick xmlns:r="http://schemas.openxmlformats.org/officeDocument/2006/relationships" r:id="rId12"/>
          <a:extLst>
            <a:ext uri="{FF2B5EF4-FFF2-40B4-BE49-F238E27FC236}">
              <a16:creationId xmlns:a16="http://schemas.microsoft.com/office/drawing/2014/main" id="{86DF7D0A-5CEB-4B87-B876-644D0191E8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3" name="AutoShape 1" descr="Story">
          <a:hlinkClick xmlns:r="http://schemas.openxmlformats.org/officeDocument/2006/relationships" r:id="rId13"/>
          <a:extLst>
            <a:ext uri="{FF2B5EF4-FFF2-40B4-BE49-F238E27FC236}">
              <a16:creationId xmlns:a16="http://schemas.microsoft.com/office/drawing/2014/main" id="{87DBCA12-A0ED-4B84-B250-66CD50DF5B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4" name="AutoShape 1" descr="Story">
          <a:hlinkClick xmlns:r="http://schemas.openxmlformats.org/officeDocument/2006/relationships" r:id="rId13"/>
          <a:extLst>
            <a:ext uri="{FF2B5EF4-FFF2-40B4-BE49-F238E27FC236}">
              <a16:creationId xmlns:a16="http://schemas.microsoft.com/office/drawing/2014/main" id="{0CB7E705-8613-4964-A633-9D12FFF2B2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5" name="AutoShape 3" descr="Story">
          <a:hlinkClick xmlns:r="http://schemas.openxmlformats.org/officeDocument/2006/relationships" r:id="rId4"/>
          <a:extLst>
            <a:ext uri="{FF2B5EF4-FFF2-40B4-BE49-F238E27FC236}">
              <a16:creationId xmlns:a16="http://schemas.microsoft.com/office/drawing/2014/main" id="{0741D1DD-FE0C-4D4D-8C57-4AC8DC5AB16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6" name="AutoShape 4" descr="Story">
          <a:hlinkClick xmlns:r="http://schemas.openxmlformats.org/officeDocument/2006/relationships" r:id="rId5"/>
          <a:extLst>
            <a:ext uri="{FF2B5EF4-FFF2-40B4-BE49-F238E27FC236}">
              <a16:creationId xmlns:a16="http://schemas.microsoft.com/office/drawing/2014/main" id="{C042439A-85F4-4EC4-8BF8-463364EB23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7" name="AutoShape 3" descr="Story">
          <a:hlinkClick xmlns:r="http://schemas.openxmlformats.org/officeDocument/2006/relationships" r:id="rId4"/>
          <a:extLst>
            <a:ext uri="{FF2B5EF4-FFF2-40B4-BE49-F238E27FC236}">
              <a16:creationId xmlns:a16="http://schemas.microsoft.com/office/drawing/2014/main" id="{0BAFE8F0-8F77-409A-BE52-6B8D665AF8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8" name="AutoShape 4" descr="Story">
          <a:hlinkClick xmlns:r="http://schemas.openxmlformats.org/officeDocument/2006/relationships" r:id="rId5"/>
          <a:extLst>
            <a:ext uri="{FF2B5EF4-FFF2-40B4-BE49-F238E27FC236}">
              <a16:creationId xmlns:a16="http://schemas.microsoft.com/office/drawing/2014/main" id="{F4017764-6189-4CC2-A2EB-55CECC005A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09" name="AutoShape 7" descr="Story">
          <a:hlinkClick xmlns:r="http://schemas.openxmlformats.org/officeDocument/2006/relationships" r:id="rId3"/>
          <a:extLst>
            <a:ext uri="{FF2B5EF4-FFF2-40B4-BE49-F238E27FC236}">
              <a16:creationId xmlns:a16="http://schemas.microsoft.com/office/drawing/2014/main" id="{8FF8980E-7C14-4D1F-91FA-882E36762D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10" name="AutoShape 8" descr="Story">
          <a:hlinkClick xmlns:r="http://schemas.openxmlformats.org/officeDocument/2006/relationships" r:id="rId4"/>
          <a:extLst>
            <a:ext uri="{FF2B5EF4-FFF2-40B4-BE49-F238E27FC236}">
              <a16:creationId xmlns:a16="http://schemas.microsoft.com/office/drawing/2014/main" id="{2794A287-C87E-4FE4-B870-C991154A42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11" name="AutoShape 8" descr="Story">
          <a:hlinkClick xmlns:r="http://schemas.openxmlformats.org/officeDocument/2006/relationships" r:id="rId4"/>
          <a:extLst>
            <a:ext uri="{FF2B5EF4-FFF2-40B4-BE49-F238E27FC236}">
              <a16:creationId xmlns:a16="http://schemas.microsoft.com/office/drawing/2014/main" id="{85D593D3-549E-455B-9227-4AF17BE55A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1284</xdr:row>
      <xdr:rowOff>0</xdr:rowOff>
    </xdr:from>
    <xdr:to>
      <xdr:col>0</xdr:col>
      <xdr:colOff>152400</xdr:colOff>
      <xdr:row>1284</xdr:row>
      <xdr:rowOff>152400</xdr:rowOff>
    </xdr:to>
    <xdr:sp macro="" textlink="">
      <xdr:nvSpPr>
        <xdr:cNvPr id="3712" name="AutoShape 4" descr="Bug">
          <a:hlinkClick xmlns:r="http://schemas.openxmlformats.org/officeDocument/2006/relationships" r:id="rId1"/>
          <a:extLst>
            <a:ext uri="{FF2B5EF4-FFF2-40B4-BE49-F238E27FC236}">
              <a16:creationId xmlns:a16="http://schemas.microsoft.com/office/drawing/2014/main" id="{F672BB3F-C547-4447-8B8B-8261BD56BF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13" name="AutoShape 6" descr="Bug">
          <a:hlinkClick xmlns:r="http://schemas.openxmlformats.org/officeDocument/2006/relationships" r:id="rId2"/>
          <a:extLst>
            <a:ext uri="{FF2B5EF4-FFF2-40B4-BE49-F238E27FC236}">
              <a16:creationId xmlns:a16="http://schemas.microsoft.com/office/drawing/2014/main" id="{B5A6F1DD-A1EE-49ED-8DF3-171CD17C18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14" name="AutoShape 7" descr="Story">
          <a:hlinkClick xmlns:r="http://schemas.openxmlformats.org/officeDocument/2006/relationships" r:id="rId3"/>
          <a:extLst>
            <a:ext uri="{FF2B5EF4-FFF2-40B4-BE49-F238E27FC236}">
              <a16:creationId xmlns:a16="http://schemas.microsoft.com/office/drawing/2014/main" id="{7E92EE8F-88B0-4F91-9347-9C4E5321E2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15" name="AutoShape 8" descr="Story">
          <a:hlinkClick xmlns:r="http://schemas.openxmlformats.org/officeDocument/2006/relationships" r:id="rId4"/>
          <a:extLst>
            <a:ext uri="{FF2B5EF4-FFF2-40B4-BE49-F238E27FC236}">
              <a16:creationId xmlns:a16="http://schemas.microsoft.com/office/drawing/2014/main" id="{8D80802D-61EA-4B0C-8DD0-2B55431DFE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16" name="AutoShape 9" descr="Story">
          <a:hlinkClick xmlns:r="http://schemas.openxmlformats.org/officeDocument/2006/relationships" r:id="rId5"/>
          <a:extLst>
            <a:ext uri="{FF2B5EF4-FFF2-40B4-BE49-F238E27FC236}">
              <a16:creationId xmlns:a16="http://schemas.microsoft.com/office/drawing/2014/main" id="{FD7ACE75-CBAE-4B81-A9B0-440E44D8C4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17" name="AutoShape 13" descr="Story">
          <a:hlinkClick xmlns:r="http://schemas.openxmlformats.org/officeDocument/2006/relationships" r:id="rId4"/>
          <a:extLst>
            <a:ext uri="{FF2B5EF4-FFF2-40B4-BE49-F238E27FC236}">
              <a16:creationId xmlns:a16="http://schemas.microsoft.com/office/drawing/2014/main" id="{B346610F-C71A-4853-9CFF-425C929E6B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1284</xdr:row>
      <xdr:rowOff>0</xdr:rowOff>
    </xdr:from>
    <xdr:ext cx="152400" cy="152400"/>
    <xdr:sp macro="" textlink="">
      <xdr:nvSpPr>
        <xdr:cNvPr id="3718" name="AutoShape 1" descr="Story">
          <a:hlinkClick xmlns:r="http://schemas.openxmlformats.org/officeDocument/2006/relationships" r:id="rId7"/>
          <a:extLst>
            <a:ext uri="{FF2B5EF4-FFF2-40B4-BE49-F238E27FC236}">
              <a16:creationId xmlns:a16="http://schemas.microsoft.com/office/drawing/2014/main" id="{AF1E8024-8732-4035-8C4A-90551765ED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19" name="AutoShape 2" descr="Story">
          <a:hlinkClick xmlns:r="http://schemas.openxmlformats.org/officeDocument/2006/relationships" r:id="rId8"/>
          <a:extLst>
            <a:ext uri="{FF2B5EF4-FFF2-40B4-BE49-F238E27FC236}">
              <a16:creationId xmlns:a16="http://schemas.microsoft.com/office/drawing/2014/main" id="{72518678-1241-4ED3-8AC7-4359579480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0" name="AutoShape 5" descr="Story">
          <a:hlinkClick xmlns:r="http://schemas.openxmlformats.org/officeDocument/2006/relationships" r:id="rId6"/>
          <a:extLst>
            <a:ext uri="{FF2B5EF4-FFF2-40B4-BE49-F238E27FC236}">
              <a16:creationId xmlns:a16="http://schemas.microsoft.com/office/drawing/2014/main" id="{2E6666C2-6573-45B1-A8F6-3C0A16408C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1" name="AutoShape 1" descr="Sub-task">
          <a:hlinkClick xmlns:r="http://schemas.openxmlformats.org/officeDocument/2006/relationships" r:id="rId9"/>
          <a:extLst>
            <a:ext uri="{FF2B5EF4-FFF2-40B4-BE49-F238E27FC236}">
              <a16:creationId xmlns:a16="http://schemas.microsoft.com/office/drawing/2014/main" id="{85B531CB-711F-4729-898E-C26683A975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2" name="AutoShape 2" descr="Sub-task">
          <a:hlinkClick xmlns:r="http://schemas.openxmlformats.org/officeDocument/2006/relationships" r:id="rId10"/>
          <a:extLst>
            <a:ext uri="{FF2B5EF4-FFF2-40B4-BE49-F238E27FC236}">
              <a16:creationId xmlns:a16="http://schemas.microsoft.com/office/drawing/2014/main" id="{AE4338C9-98D6-4479-B06A-A14FC44C65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3" name="AutoShape 3" descr="Story">
          <a:hlinkClick xmlns:r="http://schemas.openxmlformats.org/officeDocument/2006/relationships" r:id="rId11"/>
          <a:extLst>
            <a:ext uri="{FF2B5EF4-FFF2-40B4-BE49-F238E27FC236}">
              <a16:creationId xmlns:a16="http://schemas.microsoft.com/office/drawing/2014/main" id="{08AA3068-2A27-4101-B82F-A0F17E78F4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4" name="AutoShape 12" descr="Story">
          <a:hlinkClick xmlns:r="http://schemas.openxmlformats.org/officeDocument/2006/relationships" r:id="rId12"/>
          <a:extLst>
            <a:ext uri="{FF2B5EF4-FFF2-40B4-BE49-F238E27FC236}">
              <a16:creationId xmlns:a16="http://schemas.microsoft.com/office/drawing/2014/main" id="{F09A7FBB-591E-4530-A6AC-B8A2D989A6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5" name="AutoShape 1" descr="Story">
          <a:hlinkClick xmlns:r="http://schemas.openxmlformats.org/officeDocument/2006/relationships" r:id="rId13"/>
          <a:extLst>
            <a:ext uri="{FF2B5EF4-FFF2-40B4-BE49-F238E27FC236}">
              <a16:creationId xmlns:a16="http://schemas.microsoft.com/office/drawing/2014/main" id="{3D574E64-F75D-4CD3-AF74-C571B92452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6" name="AutoShape 1" descr="Story">
          <a:hlinkClick xmlns:r="http://schemas.openxmlformats.org/officeDocument/2006/relationships" r:id="rId13"/>
          <a:extLst>
            <a:ext uri="{FF2B5EF4-FFF2-40B4-BE49-F238E27FC236}">
              <a16:creationId xmlns:a16="http://schemas.microsoft.com/office/drawing/2014/main" id="{4AA5684A-4BB1-420F-9F5D-FF84CF453C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7" name="AutoShape 3" descr="Story">
          <a:hlinkClick xmlns:r="http://schemas.openxmlformats.org/officeDocument/2006/relationships" r:id="rId4"/>
          <a:extLst>
            <a:ext uri="{FF2B5EF4-FFF2-40B4-BE49-F238E27FC236}">
              <a16:creationId xmlns:a16="http://schemas.microsoft.com/office/drawing/2014/main" id="{FE22FBBA-AED0-4070-AFAD-D950BDCBBF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8" name="AutoShape 4" descr="Story">
          <a:hlinkClick xmlns:r="http://schemas.openxmlformats.org/officeDocument/2006/relationships" r:id="rId5"/>
          <a:extLst>
            <a:ext uri="{FF2B5EF4-FFF2-40B4-BE49-F238E27FC236}">
              <a16:creationId xmlns:a16="http://schemas.microsoft.com/office/drawing/2014/main" id="{61098475-B110-4D10-AF4F-2341987B13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29" name="AutoShape 3" descr="Story">
          <a:hlinkClick xmlns:r="http://schemas.openxmlformats.org/officeDocument/2006/relationships" r:id="rId4"/>
          <a:extLst>
            <a:ext uri="{FF2B5EF4-FFF2-40B4-BE49-F238E27FC236}">
              <a16:creationId xmlns:a16="http://schemas.microsoft.com/office/drawing/2014/main" id="{E63E2D4B-7261-46BE-A7E4-3AD5797C8D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30" name="AutoShape 4" descr="Story">
          <a:hlinkClick xmlns:r="http://schemas.openxmlformats.org/officeDocument/2006/relationships" r:id="rId5"/>
          <a:extLst>
            <a:ext uri="{FF2B5EF4-FFF2-40B4-BE49-F238E27FC236}">
              <a16:creationId xmlns:a16="http://schemas.microsoft.com/office/drawing/2014/main" id="{CE832CD8-D4AF-4C05-854C-E7B40126F41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31" name="AutoShape 7" descr="Story">
          <a:hlinkClick xmlns:r="http://schemas.openxmlformats.org/officeDocument/2006/relationships" r:id="rId3"/>
          <a:extLst>
            <a:ext uri="{FF2B5EF4-FFF2-40B4-BE49-F238E27FC236}">
              <a16:creationId xmlns:a16="http://schemas.microsoft.com/office/drawing/2014/main" id="{C1C9A190-58F2-4F36-B797-35E3FFB7F6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32" name="AutoShape 8" descr="Story">
          <a:hlinkClick xmlns:r="http://schemas.openxmlformats.org/officeDocument/2006/relationships" r:id="rId4"/>
          <a:extLst>
            <a:ext uri="{FF2B5EF4-FFF2-40B4-BE49-F238E27FC236}">
              <a16:creationId xmlns:a16="http://schemas.microsoft.com/office/drawing/2014/main" id="{8431B51E-A0A3-475B-A443-00971E795A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33" name="AutoShape 8" descr="Story">
          <a:hlinkClick xmlns:r="http://schemas.openxmlformats.org/officeDocument/2006/relationships" r:id="rId4"/>
          <a:extLst>
            <a:ext uri="{FF2B5EF4-FFF2-40B4-BE49-F238E27FC236}">
              <a16:creationId xmlns:a16="http://schemas.microsoft.com/office/drawing/2014/main" id="{C36C0F3C-EFC3-4A92-90CE-6B2535A859A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1284</xdr:row>
      <xdr:rowOff>0</xdr:rowOff>
    </xdr:from>
    <xdr:to>
      <xdr:col>0</xdr:col>
      <xdr:colOff>152400</xdr:colOff>
      <xdr:row>1284</xdr:row>
      <xdr:rowOff>152400</xdr:rowOff>
    </xdr:to>
    <xdr:sp macro="" textlink="">
      <xdr:nvSpPr>
        <xdr:cNvPr id="3734" name="AutoShape 4" descr="Bug">
          <a:hlinkClick xmlns:r="http://schemas.openxmlformats.org/officeDocument/2006/relationships" r:id="rId1"/>
          <a:extLst>
            <a:ext uri="{FF2B5EF4-FFF2-40B4-BE49-F238E27FC236}">
              <a16:creationId xmlns:a16="http://schemas.microsoft.com/office/drawing/2014/main" id="{120314C2-6AE7-4C36-AA63-D77C7C063F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35" name="AutoShape 6" descr="Bug">
          <a:hlinkClick xmlns:r="http://schemas.openxmlformats.org/officeDocument/2006/relationships" r:id="rId2"/>
          <a:extLst>
            <a:ext uri="{FF2B5EF4-FFF2-40B4-BE49-F238E27FC236}">
              <a16:creationId xmlns:a16="http://schemas.microsoft.com/office/drawing/2014/main" id="{7577D16E-0927-487A-8F58-B2898F9303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36" name="AutoShape 7" descr="Story">
          <a:hlinkClick xmlns:r="http://schemas.openxmlformats.org/officeDocument/2006/relationships" r:id="rId3"/>
          <a:extLst>
            <a:ext uri="{FF2B5EF4-FFF2-40B4-BE49-F238E27FC236}">
              <a16:creationId xmlns:a16="http://schemas.microsoft.com/office/drawing/2014/main" id="{9F382AE7-68B1-495D-904F-3007AB445F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37" name="AutoShape 8" descr="Story">
          <a:hlinkClick xmlns:r="http://schemas.openxmlformats.org/officeDocument/2006/relationships" r:id="rId4"/>
          <a:extLst>
            <a:ext uri="{FF2B5EF4-FFF2-40B4-BE49-F238E27FC236}">
              <a16:creationId xmlns:a16="http://schemas.microsoft.com/office/drawing/2014/main" id="{A48B26B6-D7D4-46A1-89C4-25AB48D466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38" name="AutoShape 9" descr="Story">
          <a:hlinkClick xmlns:r="http://schemas.openxmlformats.org/officeDocument/2006/relationships" r:id="rId5"/>
          <a:extLst>
            <a:ext uri="{FF2B5EF4-FFF2-40B4-BE49-F238E27FC236}">
              <a16:creationId xmlns:a16="http://schemas.microsoft.com/office/drawing/2014/main" id="{EC1CA142-A80D-49B5-96F2-D09E59D651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39" name="AutoShape 13" descr="Story">
          <a:hlinkClick xmlns:r="http://schemas.openxmlformats.org/officeDocument/2006/relationships" r:id="rId4"/>
          <a:extLst>
            <a:ext uri="{FF2B5EF4-FFF2-40B4-BE49-F238E27FC236}">
              <a16:creationId xmlns:a16="http://schemas.microsoft.com/office/drawing/2014/main" id="{EADAFD60-7DD8-46EC-A56B-4A3CAC27F7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1284</xdr:row>
      <xdr:rowOff>0</xdr:rowOff>
    </xdr:from>
    <xdr:ext cx="152400" cy="152400"/>
    <xdr:sp macro="" textlink="">
      <xdr:nvSpPr>
        <xdr:cNvPr id="3740" name="AutoShape 1" descr="Story">
          <a:hlinkClick xmlns:r="http://schemas.openxmlformats.org/officeDocument/2006/relationships" r:id="rId7"/>
          <a:extLst>
            <a:ext uri="{FF2B5EF4-FFF2-40B4-BE49-F238E27FC236}">
              <a16:creationId xmlns:a16="http://schemas.microsoft.com/office/drawing/2014/main" id="{F905547A-FD36-477C-AF69-844FA0A92A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1" name="AutoShape 2" descr="Story">
          <a:hlinkClick xmlns:r="http://schemas.openxmlformats.org/officeDocument/2006/relationships" r:id="rId8"/>
          <a:extLst>
            <a:ext uri="{FF2B5EF4-FFF2-40B4-BE49-F238E27FC236}">
              <a16:creationId xmlns:a16="http://schemas.microsoft.com/office/drawing/2014/main" id="{A1555A13-22DD-46BB-9414-976839F418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2" name="AutoShape 5" descr="Story">
          <a:hlinkClick xmlns:r="http://schemas.openxmlformats.org/officeDocument/2006/relationships" r:id="rId6"/>
          <a:extLst>
            <a:ext uri="{FF2B5EF4-FFF2-40B4-BE49-F238E27FC236}">
              <a16:creationId xmlns:a16="http://schemas.microsoft.com/office/drawing/2014/main" id="{D9DC2130-9837-4EE3-8EB3-CC87BC9E3B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3" name="AutoShape 1" descr="Sub-task">
          <a:hlinkClick xmlns:r="http://schemas.openxmlformats.org/officeDocument/2006/relationships" r:id="rId9"/>
          <a:extLst>
            <a:ext uri="{FF2B5EF4-FFF2-40B4-BE49-F238E27FC236}">
              <a16:creationId xmlns:a16="http://schemas.microsoft.com/office/drawing/2014/main" id="{67681617-1181-4080-88FE-9690864E82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4" name="AutoShape 2" descr="Sub-task">
          <a:hlinkClick xmlns:r="http://schemas.openxmlformats.org/officeDocument/2006/relationships" r:id="rId10"/>
          <a:extLst>
            <a:ext uri="{FF2B5EF4-FFF2-40B4-BE49-F238E27FC236}">
              <a16:creationId xmlns:a16="http://schemas.microsoft.com/office/drawing/2014/main" id="{CF1EFC65-33ED-45A3-8838-12D0AE4DD4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5" name="AutoShape 3" descr="Story">
          <a:hlinkClick xmlns:r="http://schemas.openxmlformats.org/officeDocument/2006/relationships" r:id="rId11"/>
          <a:extLst>
            <a:ext uri="{FF2B5EF4-FFF2-40B4-BE49-F238E27FC236}">
              <a16:creationId xmlns:a16="http://schemas.microsoft.com/office/drawing/2014/main" id="{770F7763-DD50-4437-9D2E-0BDCE9B394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6" name="AutoShape 12" descr="Story">
          <a:hlinkClick xmlns:r="http://schemas.openxmlformats.org/officeDocument/2006/relationships" r:id="rId12"/>
          <a:extLst>
            <a:ext uri="{FF2B5EF4-FFF2-40B4-BE49-F238E27FC236}">
              <a16:creationId xmlns:a16="http://schemas.microsoft.com/office/drawing/2014/main" id="{20BA2668-F469-4245-ACDC-927F3D55E8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7" name="AutoShape 1" descr="Story">
          <a:hlinkClick xmlns:r="http://schemas.openxmlformats.org/officeDocument/2006/relationships" r:id="rId13"/>
          <a:extLst>
            <a:ext uri="{FF2B5EF4-FFF2-40B4-BE49-F238E27FC236}">
              <a16:creationId xmlns:a16="http://schemas.microsoft.com/office/drawing/2014/main" id="{4E7CF01C-2EE5-4E76-B862-4ACCF92732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8" name="AutoShape 1" descr="Story">
          <a:hlinkClick xmlns:r="http://schemas.openxmlformats.org/officeDocument/2006/relationships" r:id="rId13"/>
          <a:extLst>
            <a:ext uri="{FF2B5EF4-FFF2-40B4-BE49-F238E27FC236}">
              <a16:creationId xmlns:a16="http://schemas.microsoft.com/office/drawing/2014/main" id="{385AFE94-AF9F-40C8-A653-9DBA203AFB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49" name="AutoShape 3" descr="Story">
          <a:hlinkClick xmlns:r="http://schemas.openxmlformats.org/officeDocument/2006/relationships" r:id="rId4"/>
          <a:extLst>
            <a:ext uri="{FF2B5EF4-FFF2-40B4-BE49-F238E27FC236}">
              <a16:creationId xmlns:a16="http://schemas.microsoft.com/office/drawing/2014/main" id="{B8905DEE-27AC-4492-91DE-74B8CCDAB7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0" name="AutoShape 4" descr="Story">
          <a:hlinkClick xmlns:r="http://schemas.openxmlformats.org/officeDocument/2006/relationships" r:id="rId5"/>
          <a:extLst>
            <a:ext uri="{FF2B5EF4-FFF2-40B4-BE49-F238E27FC236}">
              <a16:creationId xmlns:a16="http://schemas.microsoft.com/office/drawing/2014/main" id="{637D82F9-652F-4D5B-AFEC-6FDF87F6CE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1" name="AutoShape 3" descr="Story">
          <a:hlinkClick xmlns:r="http://schemas.openxmlformats.org/officeDocument/2006/relationships" r:id="rId4"/>
          <a:extLst>
            <a:ext uri="{FF2B5EF4-FFF2-40B4-BE49-F238E27FC236}">
              <a16:creationId xmlns:a16="http://schemas.microsoft.com/office/drawing/2014/main" id="{F182149F-DDAB-441A-907F-4D2E347BEF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2" name="AutoShape 4" descr="Story">
          <a:hlinkClick xmlns:r="http://schemas.openxmlformats.org/officeDocument/2006/relationships" r:id="rId5"/>
          <a:extLst>
            <a:ext uri="{FF2B5EF4-FFF2-40B4-BE49-F238E27FC236}">
              <a16:creationId xmlns:a16="http://schemas.microsoft.com/office/drawing/2014/main" id="{9C800A3B-5184-4E60-8CD2-2DF292FC4A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3" name="AutoShape 7" descr="Story">
          <a:hlinkClick xmlns:r="http://schemas.openxmlformats.org/officeDocument/2006/relationships" r:id="rId3"/>
          <a:extLst>
            <a:ext uri="{FF2B5EF4-FFF2-40B4-BE49-F238E27FC236}">
              <a16:creationId xmlns:a16="http://schemas.microsoft.com/office/drawing/2014/main" id="{94513094-E8F6-4AFB-AFDD-985CB781F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4" name="AutoShape 8" descr="Story">
          <a:hlinkClick xmlns:r="http://schemas.openxmlformats.org/officeDocument/2006/relationships" r:id="rId4"/>
          <a:extLst>
            <a:ext uri="{FF2B5EF4-FFF2-40B4-BE49-F238E27FC236}">
              <a16:creationId xmlns:a16="http://schemas.microsoft.com/office/drawing/2014/main" id="{D0EE7BD5-EF59-47CB-932B-118A492F5B9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55" name="AutoShape 8" descr="Story">
          <a:hlinkClick xmlns:r="http://schemas.openxmlformats.org/officeDocument/2006/relationships" r:id="rId4"/>
          <a:extLst>
            <a:ext uri="{FF2B5EF4-FFF2-40B4-BE49-F238E27FC236}">
              <a16:creationId xmlns:a16="http://schemas.microsoft.com/office/drawing/2014/main" id="{77E992E4-8723-4190-BDD5-5983664A77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1284</xdr:row>
      <xdr:rowOff>0</xdr:rowOff>
    </xdr:from>
    <xdr:to>
      <xdr:col>0</xdr:col>
      <xdr:colOff>152400</xdr:colOff>
      <xdr:row>1284</xdr:row>
      <xdr:rowOff>152400</xdr:rowOff>
    </xdr:to>
    <xdr:sp macro="" textlink="">
      <xdr:nvSpPr>
        <xdr:cNvPr id="3756" name="AutoShape 4" descr="Bug">
          <a:hlinkClick xmlns:r="http://schemas.openxmlformats.org/officeDocument/2006/relationships" r:id="rId1"/>
          <a:extLst>
            <a:ext uri="{FF2B5EF4-FFF2-40B4-BE49-F238E27FC236}">
              <a16:creationId xmlns:a16="http://schemas.microsoft.com/office/drawing/2014/main" id="{5A890914-31C0-49CF-BACC-A8E4DA268D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57" name="AutoShape 6" descr="Bug">
          <a:hlinkClick xmlns:r="http://schemas.openxmlformats.org/officeDocument/2006/relationships" r:id="rId2"/>
          <a:extLst>
            <a:ext uri="{FF2B5EF4-FFF2-40B4-BE49-F238E27FC236}">
              <a16:creationId xmlns:a16="http://schemas.microsoft.com/office/drawing/2014/main" id="{67747255-3F41-43B2-9AF1-B77345EA3A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58" name="AutoShape 7" descr="Story">
          <a:hlinkClick xmlns:r="http://schemas.openxmlformats.org/officeDocument/2006/relationships" r:id="rId3"/>
          <a:extLst>
            <a:ext uri="{FF2B5EF4-FFF2-40B4-BE49-F238E27FC236}">
              <a16:creationId xmlns:a16="http://schemas.microsoft.com/office/drawing/2014/main" id="{D4AE80B8-D927-4896-AE01-5561ACEDC6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59" name="AutoShape 8" descr="Story">
          <a:hlinkClick xmlns:r="http://schemas.openxmlformats.org/officeDocument/2006/relationships" r:id="rId4"/>
          <a:extLst>
            <a:ext uri="{FF2B5EF4-FFF2-40B4-BE49-F238E27FC236}">
              <a16:creationId xmlns:a16="http://schemas.microsoft.com/office/drawing/2014/main" id="{CDCA142A-E44A-463D-8F6A-6CDE063E5F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60" name="AutoShape 9" descr="Story">
          <a:hlinkClick xmlns:r="http://schemas.openxmlformats.org/officeDocument/2006/relationships" r:id="rId5"/>
          <a:extLst>
            <a:ext uri="{FF2B5EF4-FFF2-40B4-BE49-F238E27FC236}">
              <a16:creationId xmlns:a16="http://schemas.microsoft.com/office/drawing/2014/main" id="{E1162FA7-9DD9-4DA2-93F7-C64BD9E85B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1284</xdr:row>
      <xdr:rowOff>0</xdr:rowOff>
    </xdr:from>
    <xdr:to>
      <xdr:col>0</xdr:col>
      <xdr:colOff>152400</xdr:colOff>
      <xdr:row>1284</xdr:row>
      <xdr:rowOff>152400</xdr:rowOff>
    </xdr:to>
    <xdr:sp macro="" textlink="">
      <xdr:nvSpPr>
        <xdr:cNvPr id="3761" name="AutoShape 13" descr="Story">
          <a:hlinkClick xmlns:r="http://schemas.openxmlformats.org/officeDocument/2006/relationships" r:id="rId4"/>
          <a:extLst>
            <a:ext uri="{FF2B5EF4-FFF2-40B4-BE49-F238E27FC236}">
              <a16:creationId xmlns:a16="http://schemas.microsoft.com/office/drawing/2014/main" id="{15CEACE9-836C-49D7-98FF-57E6843D04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1284</xdr:row>
      <xdr:rowOff>0</xdr:rowOff>
    </xdr:from>
    <xdr:ext cx="152400" cy="152400"/>
    <xdr:sp macro="" textlink="">
      <xdr:nvSpPr>
        <xdr:cNvPr id="3762" name="AutoShape 1" descr="Story">
          <a:hlinkClick xmlns:r="http://schemas.openxmlformats.org/officeDocument/2006/relationships" r:id="rId7"/>
          <a:extLst>
            <a:ext uri="{FF2B5EF4-FFF2-40B4-BE49-F238E27FC236}">
              <a16:creationId xmlns:a16="http://schemas.microsoft.com/office/drawing/2014/main" id="{6B8BE58D-867A-47D4-A48B-6C46F8AA65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3" name="AutoShape 2" descr="Story">
          <a:hlinkClick xmlns:r="http://schemas.openxmlformats.org/officeDocument/2006/relationships" r:id="rId8"/>
          <a:extLst>
            <a:ext uri="{FF2B5EF4-FFF2-40B4-BE49-F238E27FC236}">
              <a16:creationId xmlns:a16="http://schemas.microsoft.com/office/drawing/2014/main" id="{580B0541-51D2-456D-ADAC-F5F8C62993F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4" name="AutoShape 5" descr="Story">
          <a:hlinkClick xmlns:r="http://schemas.openxmlformats.org/officeDocument/2006/relationships" r:id="rId6"/>
          <a:extLst>
            <a:ext uri="{FF2B5EF4-FFF2-40B4-BE49-F238E27FC236}">
              <a16:creationId xmlns:a16="http://schemas.microsoft.com/office/drawing/2014/main" id="{CC4CC6AE-EA08-4149-A15F-F3E4E24E03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5" name="AutoShape 1" descr="Sub-task">
          <a:hlinkClick xmlns:r="http://schemas.openxmlformats.org/officeDocument/2006/relationships" r:id="rId9"/>
          <a:extLst>
            <a:ext uri="{FF2B5EF4-FFF2-40B4-BE49-F238E27FC236}">
              <a16:creationId xmlns:a16="http://schemas.microsoft.com/office/drawing/2014/main" id="{25778A51-DEE3-41E1-B103-B5E589B1213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6" name="AutoShape 2" descr="Sub-task">
          <a:hlinkClick xmlns:r="http://schemas.openxmlformats.org/officeDocument/2006/relationships" r:id="rId10"/>
          <a:extLst>
            <a:ext uri="{FF2B5EF4-FFF2-40B4-BE49-F238E27FC236}">
              <a16:creationId xmlns:a16="http://schemas.microsoft.com/office/drawing/2014/main" id="{895D2034-41EF-4436-9A5F-A75485AD87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7" name="AutoShape 3" descr="Story">
          <a:hlinkClick xmlns:r="http://schemas.openxmlformats.org/officeDocument/2006/relationships" r:id="rId11"/>
          <a:extLst>
            <a:ext uri="{FF2B5EF4-FFF2-40B4-BE49-F238E27FC236}">
              <a16:creationId xmlns:a16="http://schemas.microsoft.com/office/drawing/2014/main" id="{CD234C58-2300-40CB-AF0A-3A37F76EF1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8" name="AutoShape 12" descr="Story">
          <a:hlinkClick xmlns:r="http://schemas.openxmlformats.org/officeDocument/2006/relationships" r:id="rId12"/>
          <a:extLst>
            <a:ext uri="{FF2B5EF4-FFF2-40B4-BE49-F238E27FC236}">
              <a16:creationId xmlns:a16="http://schemas.microsoft.com/office/drawing/2014/main" id="{5861FC2C-0691-4F0F-A224-92F205CC59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69" name="AutoShape 1" descr="Story">
          <a:hlinkClick xmlns:r="http://schemas.openxmlformats.org/officeDocument/2006/relationships" r:id="rId13"/>
          <a:extLst>
            <a:ext uri="{FF2B5EF4-FFF2-40B4-BE49-F238E27FC236}">
              <a16:creationId xmlns:a16="http://schemas.microsoft.com/office/drawing/2014/main" id="{BC10258C-AAAA-4BA2-8F4C-F6922C9C30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0" name="AutoShape 1" descr="Story">
          <a:hlinkClick xmlns:r="http://schemas.openxmlformats.org/officeDocument/2006/relationships" r:id="rId13"/>
          <a:extLst>
            <a:ext uri="{FF2B5EF4-FFF2-40B4-BE49-F238E27FC236}">
              <a16:creationId xmlns:a16="http://schemas.microsoft.com/office/drawing/2014/main" id="{8AF42A22-B17A-4C86-B129-D858E3CE21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1" name="AutoShape 3" descr="Story">
          <a:hlinkClick xmlns:r="http://schemas.openxmlformats.org/officeDocument/2006/relationships" r:id="rId4"/>
          <a:extLst>
            <a:ext uri="{FF2B5EF4-FFF2-40B4-BE49-F238E27FC236}">
              <a16:creationId xmlns:a16="http://schemas.microsoft.com/office/drawing/2014/main" id="{9EAAA468-830E-42F8-8637-D301BAE92C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2" name="AutoShape 4" descr="Story">
          <a:hlinkClick xmlns:r="http://schemas.openxmlformats.org/officeDocument/2006/relationships" r:id="rId5"/>
          <a:extLst>
            <a:ext uri="{FF2B5EF4-FFF2-40B4-BE49-F238E27FC236}">
              <a16:creationId xmlns:a16="http://schemas.microsoft.com/office/drawing/2014/main" id="{B6359D06-E11E-4A1D-B3EA-9CEF21ED67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3" name="AutoShape 3" descr="Story">
          <a:hlinkClick xmlns:r="http://schemas.openxmlformats.org/officeDocument/2006/relationships" r:id="rId4"/>
          <a:extLst>
            <a:ext uri="{FF2B5EF4-FFF2-40B4-BE49-F238E27FC236}">
              <a16:creationId xmlns:a16="http://schemas.microsoft.com/office/drawing/2014/main" id="{F299202A-BC82-4BA8-9B1C-9010E738FD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4" name="AutoShape 4" descr="Story">
          <a:hlinkClick xmlns:r="http://schemas.openxmlformats.org/officeDocument/2006/relationships" r:id="rId5"/>
          <a:extLst>
            <a:ext uri="{FF2B5EF4-FFF2-40B4-BE49-F238E27FC236}">
              <a16:creationId xmlns:a16="http://schemas.microsoft.com/office/drawing/2014/main" id="{D1244600-DBFD-484D-B5B3-6470F3CB99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5" name="AutoShape 7" descr="Story">
          <a:hlinkClick xmlns:r="http://schemas.openxmlformats.org/officeDocument/2006/relationships" r:id="rId3"/>
          <a:extLst>
            <a:ext uri="{FF2B5EF4-FFF2-40B4-BE49-F238E27FC236}">
              <a16:creationId xmlns:a16="http://schemas.microsoft.com/office/drawing/2014/main" id="{8023CF99-2D9E-4171-B4C1-7289D95C0B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6" name="AutoShape 8" descr="Story">
          <a:hlinkClick xmlns:r="http://schemas.openxmlformats.org/officeDocument/2006/relationships" r:id="rId4"/>
          <a:extLst>
            <a:ext uri="{FF2B5EF4-FFF2-40B4-BE49-F238E27FC236}">
              <a16:creationId xmlns:a16="http://schemas.microsoft.com/office/drawing/2014/main" id="{DCEB216B-AC8C-4228-A316-1C70472C7C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1284</xdr:row>
      <xdr:rowOff>0</xdr:rowOff>
    </xdr:from>
    <xdr:ext cx="152400" cy="152400"/>
    <xdr:sp macro="" textlink="">
      <xdr:nvSpPr>
        <xdr:cNvPr id="3777" name="AutoShape 8" descr="Story">
          <a:hlinkClick xmlns:r="http://schemas.openxmlformats.org/officeDocument/2006/relationships" r:id="rId4"/>
          <a:extLst>
            <a:ext uri="{FF2B5EF4-FFF2-40B4-BE49-F238E27FC236}">
              <a16:creationId xmlns:a16="http://schemas.microsoft.com/office/drawing/2014/main" id="{C86BED50-FFB7-46F2-BF70-6EF15732A9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1276</xdr:row>
      <xdr:rowOff>0</xdr:rowOff>
    </xdr:from>
    <xdr:to>
      <xdr:col>0</xdr:col>
      <xdr:colOff>152400</xdr:colOff>
      <xdr:row>1276</xdr:row>
      <xdr:rowOff>152400</xdr:rowOff>
    </xdr:to>
    <xdr:sp macro="" textlink="">
      <xdr:nvSpPr>
        <xdr:cNvPr id="3778" name="AutoShape 1" descr="Story">
          <a:hlinkClick xmlns:r="http://schemas.openxmlformats.org/officeDocument/2006/relationships" r:id="rId13"/>
          <a:extLst>
            <a:ext uri="{FF2B5EF4-FFF2-40B4-BE49-F238E27FC236}">
              <a16:creationId xmlns:a16="http://schemas.microsoft.com/office/drawing/2014/main" id="{09936743-65E0-4264-ABAE-390BAEA98F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79" name="AutoShape 2" descr="Story">
          <a:hlinkClick xmlns:r="http://schemas.openxmlformats.org/officeDocument/2006/relationships" r:id="rId12"/>
          <a:extLst>
            <a:ext uri="{FF2B5EF4-FFF2-40B4-BE49-F238E27FC236}">
              <a16:creationId xmlns:a16="http://schemas.microsoft.com/office/drawing/2014/main" id="{CAEBB141-10E7-4DDC-A620-E2844E66DA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0" name="AutoShape 3" descr="Story">
          <a:hlinkClick xmlns:r="http://schemas.openxmlformats.org/officeDocument/2006/relationships" r:id="rId11"/>
          <a:extLst>
            <a:ext uri="{FF2B5EF4-FFF2-40B4-BE49-F238E27FC236}">
              <a16:creationId xmlns:a16="http://schemas.microsoft.com/office/drawing/2014/main" id="{33014C7C-0DD4-4D75-99D9-5E42F637AD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1" name="AutoShape 4" descr="Bug">
          <a:hlinkClick xmlns:r="http://schemas.openxmlformats.org/officeDocument/2006/relationships" r:id="rId1"/>
          <a:extLst>
            <a:ext uri="{FF2B5EF4-FFF2-40B4-BE49-F238E27FC236}">
              <a16:creationId xmlns:a16="http://schemas.microsoft.com/office/drawing/2014/main" id="{47CC5577-1672-4BD3-95D7-75EC8CA51F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2" name="AutoShape 5" descr="Story">
          <a:hlinkClick xmlns:r="http://schemas.openxmlformats.org/officeDocument/2006/relationships" r:id="rId14"/>
          <a:extLst>
            <a:ext uri="{FF2B5EF4-FFF2-40B4-BE49-F238E27FC236}">
              <a16:creationId xmlns:a16="http://schemas.microsoft.com/office/drawing/2014/main" id="{10A282E0-EFD3-4DBD-84DF-9E591635E2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3" name="AutoShape 6" descr="Bug">
          <a:hlinkClick xmlns:r="http://schemas.openxmlformats.org/officeDocument/2006/relationships" r:id="rId2"/>
          <a:extLst>
            <a:ext uri="{FF2B5EF4-FFF2-40B4-BE49-F238E27FC236}">
              <a16:creationId xmlns:a16="http://schemas.microsoft.com/office/drawing/2014/main" id="{CDF8E192-562E-4111-8C30-9D698E8316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4" name="AutoShape 7" descr="Story">
          <a:hlinkClick xmlns:r="http://schemas.openxmlformats.org/officeDocument/2006/relationships" r:id="rId3"/>
          <a:extLst>
            <a:ext uri="{FF2B5EF4-FFF2-40B4-BE49-F238E27FC236}">
              <a16:creationId xmlns:a16="http://schemas.microsoft.com/office/drawing/2014/main" id="{68FFED8C-72D4-4151-B7B8-77417300D0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5" name="AutoShape 8" descr="Story">
          <a:hlinkClick xmlns:r="http://schemas.openxmlformats.org/officeDocument/2006/relationships" r:id="rId4"/>
          <a:extLst>
            <a:ext uri="{FF2B5EF4-FFF2-40B4-BE49-F238E27FC236}">
              <a16:creationId xmlns:a16="http://schemas.microsoft.com/office/drawing/2014/main" id="{F14A7F52-D454-46F0-9DC8-4C33A8928F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6" name="AutoShape 9" descr="Story">
          <a:hlinkClick xmlns:r="http://schemas.openxmlformats.org/officeDocument/2006/relationships" r:id="rId5"/>
          <a:extLst>
            <a:ext uri="{FF2B5EF4-FFF2-40B4-BE49-F238E27FC236}">
              <a16:creationId xmlns:a16="http://schemas.microsoft.com/office/drawing/2014/main" id="{BF76E67B-12BD-4D7A-8641-D36BF0F3248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7" name="AutoShape 10" descr="Story">
          <a:hlinkClick xmlns:r="http://schemas.openxmlformats.org/officeDocument/2006/relationships" r:id="rId6"/>
          <a:extLst>
            <a:ext uri="{FF2B5EF4-FFF2-40B4-BE49-F238E27FC236}">
              <a16:creationId xmlns:a16="http://schemas.microsoft.com/office/drawing/2014/main" id="{FA5F447E-00BD-410D-8BF9-0C91690A29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8" name="AutoShape 11" descr="Story">
          <a:hlinkClick xmlns:r="http://schemas.openxmlformats.org/officeDocument/2006/relationships" r:id="rId15"/>
          <a:extLst>
            <a:ext uri="{FF2B5EF4-FFF2-40B4-BE49-F238E27FC236}">
              <a16:creationId xmlns:a16="http://schemas.microsoft.com/office/drawing/2014/main" id="{F3B7BFBD-60BA-4F86-9F11-15840C6D38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89" name="AutoShape 12" descr="Story">
          <a:hlinkClick xmlns:r="http://schemas.openxmlformats.org/officeDocument/2006/relationships" r:id="rId12"/>
          <a:extLst>
            <a:ext uri="{FF2B5EF4-FFF2-40B4-BE49-F238E27FC236}">
              <a16:creationId xmlns:a16="http://schemas.microsoft.com/office/drawing/2014/main" id="{D8DB4732-8356-43E8-8826-0A3346DB9A6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90" name="AutoShape 13" descr="Story">
          <a:hlinkClick xmlns:r="http://schemas.openxmlformats.org/officeDocument/2006/relationships" r:id="rId4"/>
          <a:extLst>
            <a:ext uri="{FF2B5EF4-FFF2-40B4-BE49-F238E27FC236}">
              <a16:creationId xmlns:a16="http://schemas.microsoft.com/office/drawing/2014/main" id="{A2CBEDBF-1D0E-46F3-A7FA-80F89B6B02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91" name="AutoShape 14" descr="Story">
          <a:hlinkClick xmlns:r="http://schemas.openxmlformats.org/officeDocument/2006/relationships" r:id="rId4"/>
          <a:extLst>
            <a:ext uri="{FF2B5EF4-FFF2-40B4-BE49-F238E27FC236}">
              <a16:creationId xmlns:a16="http://schemas.microsoft.com/office/drawing/2014/main" id="{6EA7D2C9-213B-4F86-A25E-5424F30CB0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792" name="AutoShape 15" descr="Story">
          <a:hlinkClick xmlns:r="http://schemas.openxmlformats.org/officeDocument/2006/relationships" r:id="rId4"/>
          <a:extLst>
            <a:ext uri="{FF2B5EF4-FFF2-40B4-BE49-F238E27FC236}">
              <a16:creationId xmlns:a16="http://schemas.microsoft.com/office/drawing/2014/main" id="{946DEB85-7640-444B-8EDC-488360B661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793" name="AutoShape 1" descr="Story">
          <a:hlinkClick xmlns:r="http://schemas.openxmlformats.org/officeDocument/2006/relationships" r:id="rId7"/>
          <a:extLst>
            <a:ext uri="{FF2B5EF4-FFF2-40B4-BE49-F238E27FC236}">
              <a16:creationId xmlns:a16="http://schemas.microsoft.com/office/drawing/2014/main" id="{8628B7CC-581F-497B-BE1D-1ED538A5D2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4" name="AutoShape 2" descr="Story">
          <a:hlinkClick xmlns:r="http://schemas.openxmlformats.org/officeDocument/2006/relationships" r:id="rId8"/>
          <a:extLst>
            <a:ext uri="{FF2B5EF4-FFF2-40B4-BE49-F238E27FC236}">
              <a16:creationId xmlns:a16="http://schemas.microsoft.com/office/drawing/2014/main" id="{BA84A086-3AF2-4251-881A-1E2F3A4815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5" name="AutoShape 5" descr="Story">
          <a:hlinkClick xmlns:r="http://schemas.openxmlformats.org/officeDocument/2006/relationships" r:id="rId6"/>
          <a:extLst>
            <a:ext uri="{FF2B5EF4-FFF2-40B4-BE49-F238E27FC236}">
              <a16:creationId xmlns:a16="http://schemas.microsoft.com/office/drawing/2014/main" id="{8A27FA32-90E8-458B-892C-CF6B73239A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6" name="AutoShape 1" descr="Sub-task">
          <a:hlinkClick xmlns:r="http://schemas.openxmlformats.org/officeDocument/2006/relationships" r:id="rId9"/>
          <a:extLst>
            <a:ext uri="{FF2B5EF4-FFF2-40B4-BE49-F238E27FC236}">
              <a16:creationId xmlns:a16="http://schemas.microsoft.com/office/drawing/2014/main" id="{C53C3599-6473-4517-918F-6233139FB8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7" name="AutoShape 2" descr="Sub-task">
          <a:hlinkClick xmlns:r="http://schemas.openxmlformats.org/officeDocument/2006/relationships" r:id="rId10"/>
          <a:extLst>
            <a:ext uri="{FF2B5EF4-FFF2-40B4-BE49-F238E27FC236}">
              <a16:creationId xmlns:a16="http://schemas.microsoft.com/office/drawing/2014/main" id="{41A973CA-F902-4A86-91A9-244BC330F7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8" name="AutoShape 3" descr="Story">
          <a:hlinkClick xmlns:r="http://schemas.openxmlformats.org/officeDocument/2006/relationships" r:id="rId11"/>
          <a:extLst>
            <a:ext uri="{FF2B5EF4-FFF2-40B4-BE49-F238E27FC236}">
              <a16:creationId xmlns:a16="http://schemas.microsoft.com/office/drawing/2014/main" id="{5F333897-2124-45DD-8F2D-BDA4D49542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799" name="AutoShape 12" descr="Story">
          <a:hlinkClick xmlns:r="http://schemas.openxmlformats.org/officeDocument/2006/relationships" r:id="rId12"/>
          <a:extLst>
            <a:ext uri="{FF2B5EF4-FFF2-40B4-BE49-F238E27FC236}">
              <a16:creationId xmlns:a16="http://schemas.microsoft.com/office/drawing/2014/main" id="{5DE88A3D-AFE2-45C0-B3A4-9AC054BD33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0" name="AutoShape 1" descr="Story">
          <a:hlinkClick xmlns:r="http://schemas.openxmlformats.org/officeDocument/2006/relationships" r:id="rId13"/>
          <a:extLst>
            <a:ext uri="{FF2B5EF4-FFF2-40B4-BE49-F238E27FC236}">
              <a16:creationId xmlns:a16="http://schemas.microsoft.com/office/drawing/2014/main" id="{2410C3BD-5639-4528-99B5-2996962717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1" name="AutoShape 1" descr="Story">
          <a:hlinkClick xmlns:r="http://schemas.openxmlformats.org/officeDocument/2006/relationships" r:id="rId13"/>
          <a:extLst>
            <a:ext uri="{FF2B5EF4-FFF2-40B4-BE49-F238E27FC236}">
              <a16:creationId xmlns:a16="http://schemas.microsoft.com/office/drawing/2014/main" id="{CD5455A1-E8A6-4CDE-B654-8AE65FFB5C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2" name="AutoShape 3" descr="Story">
          <a:hlinkClick xmlns:r="http://schemas.openxmlformats.org/officeDocument/2006/relationships" r:id="rId4"/>
          <a:extLst>
            <a:ext uri="{FF2B5EF4-FFF2-40B4-BE49-F238E27FC236}">
              <a16:creationId xmlns:a16="http://schemas.microsoft.com/office/drawing/2014/main" id="{22C3184A-9B0A-4245-901F-073E5F5636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3" name="AutoShape 4" descr="Story">
          <a:hlinkClick xmlns:r="http://schemas.openxmlformats.org/officeDocument/2006/relationships" r:id="rId5"/>
          <a:extLst>
            <a:ext uri="{FF2B5EF4-FFF2-40B4-BE49-F238E27FC236}">
              <a16:creationId xmlns:a16="http://schemas.microsoft.com/office/drawing/2014/main" id="{F6254CF6-76D7-4DA1-A8E8-A7A7AF19B5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4" name="AutoShape 1" descr="Story">
          <a:hlinkClick xmlns:r="http://schemas.openxmlformats.org/officeDocument/2006/relationships" r:id="rId7"/>
          <a:extLst>
            <a:ext uri="{FF2B5EF4-FFF2-40B4-BE49-F238E27FC236}">
              <a16:creationId xmlns:a16="http://schemas.microsoft.com/office/drawing/2014/main" id="{1CE5FBA9-A757-4EFA-BE2A-238794570B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5" name="AutoShape 2" descr="Story">
          <a:hlinkClick xmlns:r="http://schemas.openxmlformats.org/officeDocument/2006/relationships" r:id="rId8"/>
          <a:extLst>
            <a:ext uri="{FF2B5EF4-FFF2-40B4-BE49-F238E27FC236}">
              <a16:creationId xmlns:a16="http://schemas.microsoft.com/office/drawing/2014/main" id="{7FF348C7-EF18-41D9-B646-864A90CC1C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6" name="AutoShape 3" descr="Story">
          <a:hlinkClick xmlns:r="http://schemas.openxmlformats.org/officeDocument/2006/relationships" r:id="rId4"/>
          <a:extLst>
            <a:ext uri="{FF2B5EF4-FFF2-40B4-BE49-F238E27FC236}">
              <a16:creationId xmlns:a16="http://schemas.microsoft.com/office/drawing/2014/main" id="{7F7365A6-E2DC-4270-8830-AE8B81CC86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7" name="AutoShape 4" descr="Story">
          <a:hlinkClick xmlns:r="http://schemas.openxmlformats.org/officeDocument/2006/relationships" r:id="rId5"/>
          <a:extLst>
            <a:ext uri="{FF2B5EF4-FFF2-40B4-BE49-F238E27FC236}">
              <a16:creationId xmlns:a16="http://schemas.microsoft.com/office/drawing/2014/main" id="{043FDD44-1169-40E2-8784-E774683614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8" name="AutoShape 5" descr="Story">
          <a:hlinkClick xmlns:r="http://schemas.openxmlformats.org/officeDocument/2006/relationships" r:id="rId6"/>
          <a:extLst>
            <a:ext uri="{FF2B5EF4-FFF2-40B4-BE49-F238E27FC236}">
              <a16:creationId xmlns:a16="http://schemas.microsoft.com/office/drawing/2014/main" id="{55CEE453-C6DC-4233-8F14-297AC4E79B3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09" name="AutoShape 1" descr="Sub-task">
          <a:hlinkClick xmlns:r="http://schemas.openxmlformats.org/officeDocument/2006/relationships" r:id="rId9"/>
          <a:extLst>
            <a:ext uri="{FF2B5EF4-FFF2-40B4-BE49-F238E27FC236}">
              <a16:creationId xmlns:a16="http://schemas.microsoft.com/office/drawing/2014/main" id="{78929706-1793-4A00-9935-6A8BAA9ADF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0" name="AutoShape 2" descr="Sub-task">
          <a:hlinkClick xmlns:r="http://schemas.openxmlformats.org/officeDocument/2006/relationships" r:id="rId10"/>
          <a:extLst>
            <a:ext uri="{FF2B5EF4-FFF2-40B4-BE49-F238E27FC236}">
              <a16:creationId xmlns:a16="http://schemas.microsoft.com/office/drawing/2014/main" id="{8D608CF3-9090-4B1A-831A-B3E9016A4A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1" name="AutoShape 7" descr="Story">
          <a:hlinkClick xmlns:r="http://schemas.openxmlformats.org/officeDocument/2006/relationships" r:id="rId3"/>
          <a:extLst>
            <a:ext uri="{FF2B5EF4-FFF2-40B4-BE49-F238E27FC236}">
              <a16:creationId xmlns:a16="http://schemas.microsoft.com/office/drawing/2014/main" id="{1950A026-5C7D-488B-853D-F143C1065D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2" name="AutoShape 3" descr="Story">
          <a:hlinkClick xmlns:r="http://schemas.openxmlformats.org/officeDocument/2006/relationships" r:id="rId11"/>
          <a:extLst>
            <a:ext uri="{FF2B5EF4-FFF2-40B4-BE49-F238E27FC236}">
              <a16:creationId xmlns:a16="http://schemas.microsoft.com/office/drawing/2014/main" id="{8F5A0674-33F0-4B35-AE3C-41ACDE65A2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3" name="AutoShape 12" descr="Story">
          <a:hlinkClick xmlns:r="http://schemas.openxmlformats.org/officeDocument/2006/relationships" r:id="rId12"/>
          <a:extLst>
            <a:ext uri="{FF2B5EF4-FFF2-40B4-BE49-F238E27FC236}">
              <a16:creationId xmlns:a16="http://schemas.microsoft.com/office/drawing/2014/main" id="{2DE128B9-DE3C-49F2-AFC0-D263A77A78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4" name="AutoShape 1" descr="Story">
          <a:hlinkClick xmlns:r="http://schemas.openxmlformats.org/officeDocument/2006/relationships" r:id="rId13"/>
          <a:extLst>
            <a:ext uri="{FF2B5EF4-FFF2-40B4-BE49-F238E27FC236}">
              <a16:creationId xmlns:a16="http://schemas.microsoft.com/office/drawing/2014/main" id="{2FBB7BC1-017E-4385-85A7-648D2B45D1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5" name="AutoShape 1" descr="Story">
          <a:hlinkClick xmlns:r="http://schemas.openxmlformats.org/officeDocument/2006/relationships" r:id="rId13"/>
          <a:extLst>
            <a:ext uri="{FF2B5EF4-FFF2-40B4-BE49-F238E27FC236}">
              <a16:creationId xmlns:a16="http://schemas.microsoft.com/office/drawing/2014/main" id="{75C0E5C2-F46B-45CE-99B8-9C6C5839090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6" name="AutoShape 3" descr="Story">
          <a:hlinkClick xmlns:r="http://schemas.openxmlformats.org/officeDocument/2006/relationships" r:id="rId4"/>
          <a:extLst>
            <a:ext uri="{FF2B5EF4-FFF2-40B4-BE49-F238E27FC236}">
              <a16:creationId xmlns:a16="http://schemas.microsoft.com/office/drawing/2014/main" id="{D689A0A4-D1F8-4BA9-BCCE-57D0036A27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7" name="AutoShape 4" descr="Story">
          <a:hlinkClick xmlns:r="http://schemas.openxmlformats.org/officeDocument/2006/relationships" r:id="rId5"/>
          <a:extLst>
            <a:ext uri="{FF2B5EF4-FFF2-40B4-BE49-F238E27FC236}">
              <a16:creationId xmlns:a16="http://schemas.microsoft.com/office/drawing/2014/main" id="{491DE373-0255-4C96-9BDF-2B5D932C9D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8" name="AutoShape 7" descr="Story">
          <a:hlinkClick xmlns:r="http://schemas.openxmlformats.org/officeDocument/2006/relationships" r:id="rId3"/>
          <a:extLst>
            <a:ext uri="{FF2B5EF4-FFF2-40B4-BE49-F238E27FC236}">
              <a16:creationId xmlns:a16="http://schemas.microsoft.com/office/drawing/2014/main" id="{5D6D467B-02F8-4C2E-97F3-6C5923444B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19" name="AutoShape 8" descr="Story">
          <a:hlinkClick xmlns:r="http://schemas.openxmlformats.org/officeDocument/2006/relationships" r:id="rId4"/>
          <a:extLst>
            <a:ext uri="{FF2B5EF4-FFF2-40B4-BE49-F238E27FC236}">
              <a16:creationId xmlns:a16="http://schemas.microsoft.com/office/drawing/2014/main" id="{DF74B615-005E-47E0-9CA8-98C9301857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20" name="AutoShape 8" descr="Story">
          <a:hlinkClick xmlns:r="http://schemas.openxmlformats.org/officeDocument/2006/relationships" r:id="rId4"/>
          <a:extLst>
            <a:ext uri="{FF2B5EF4-FFF2-40B4-BE49-F238E27FC236}">
              <a16:creationId xmlns:a16="http://schemas.microsoft.com/office/drawing/2014/main" id="{F4216607-FEDD-436B-AF8B-907CEA2A5F7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1276</xdr:row>
      <xdr:rowOff>0</xdr:rowOff>
    </xdr:from>
    <xdr:to>
      <xdr:col>0</xdr:col>
      <xdr:colOff>152400</xdr:colOff>
      <xdr:row>1276</xdr:row>
      <xdr:rowOff>152400</xdr:rowOff>
    </xdr:to>
    <xdr:sp macro="" textlink="">
      <xdr:nvSpPr>
        <xdr:cNvPr id="3821" name="AutoShape 10" descr="Story">
          <a:hlinkClick xmlns:r="http://schemas.openxmlformats.org/officeDocument/2006/relationships" r:id="rId6"/>
          <a:extLst>
            <a:ext uri="{FF2B5EF4-FFF2-40B4-BE49-F238E27FC236}">
              <a16:creationId xmlns:a16="http://schemas.microsoft.com/office/drawing/2014/main" id="{B4ECECBE-8E0E-4EE3-82E8-D63457783A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2" name="AutoShape 14" descr="Story">
          <a:hlinkClick xmlns:r="http://schemas.openxmlformats.org/officeDocument/2006/relationships" r:id="rId4"/>
          <a:extLst>
            <a:ext uri="{FF2B5EF4-FFF2-40B4-BE49-F238E27FC236}">
              <a16:creationId xmlns:a16="http://schemas.microsoft.com/office/drawing/2014/main" id="{FBD84A91-C191-4039-BC8D-BCACAA28CC2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3" name="AutoShape 10" descr="Story">
          <a:hlinkClick xmlns:r="http://schemas.openxmlformats.org/officeDocument/2006/relationships" r:id="rId6"/>
          <a:extLst>
            <a:ext uri="{FF2B5EF4-FFF2-40B4-BE49-F238E27FC236}">
              <a16:creationId xmlns:a16="http://schemas.microsoft.com/office/drawing/2014/main" id="{9BC1D204-17BB-4D81-BDEE-049F927AC2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4" name="AutoShape 14" descr="Story">
          <a:hlinkClick xmlns:r="http://schemas.openxmlformats.org/officeDocument/2006/relationships" r:id="rId4"/>
          <a:extLst>
            <a:ext uri="{FF2B5EF4-FFF2-40B4-BE49-F238E27FC236}">
              <a16:creationId xmlns:a16="http://schemas.microsoft.com/office/drawing/2014/main" id="{79BB147A-1260-4D3F-B5F5-3604BA58CE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5" name="AutoShape 4" descr="Bug">
          <a:hlinkClick xmlns:r="http://schemas.openxmlformats.org/officeDocument/2006/relationships" r:id="rId1"/>
          <a:extLst>
            <a:ext uri="{FF2B5EF4-FFF2-40B4-BE49-F238E27FC236}">
              <a16:creationId xmlns:a16="http://schemas.microsoft.com/office/drawing/2014/main" id="{7E169862-12F6-40E5-9906-8201A6DA24E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6" name="AutoShape 6" descr="Bug">
          <a:hlinkClick xmlns:r="http://schemas.openxmlformats.org/officeDocument/2006/relationships" r:id="rId2"/>
          <a:extLst>
            <a:ext uri="{FF2B5EF4-FFF2-40B4-BE49-F238E27FC236}">
              <a16:creationId xmlns:a16="http://schemas.microsoft.com/office/drawing/2014/main" id="{2F36F102-D349-4E24-83CF-0D54EA0D12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7" name="AutoShape 7" descr="Story">
          <a:hlinkClick xmlns:r="http://schemas.openxmlformats.org/officeDocument/2006/relationships" r:id="rId3"/>
          <a:extLst>
            <a:ext uri="{FF2B5EF4-FFF2-40B4-BE49-F238E27FC236}">
              <a16:creationId xmlns:a16="http://schemas.microsoft.com/office/drawing/2014/main" id="{4277247C-4120-478B-AFD8-D20896E6CF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8" name="AutoShape 8" descr="Story">
          <a:hlinkClick xmlns:r="http://schemas.openxmlformats.org/officeDocument/2006/relationships" r:id="rId4"/>
          <a:extLst>
            <a:ext uri="{FF2B5EF4-FFF2-40B4-BE49-F238E27FC236}">
              <a16:creationId xmlns:a16="http://schemas.microsoft.com/office/drawing/2014/main" id="{3A35EE9D-CF82-44B1-80BD-54986AB1A7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29" name="AutoShape 9" descr="Story">
          <a:hlinkClick xmlns:r="http://schemas.openxmlformats.org/officeDocument/2006/relationships" r:id="rId5"/>
          <a:extLst>
            <a:ext uri="{FF2B5EF4-FFF2-40B4-BE49-F238E27FC236}">
              <a16:creationId xmlns:a16="http://schemas.microsoft.com/office/drawing/2014/main" id="{8C45C03E-0313-46D9-8749-5B10852780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30" name="AutoShape 13" descr="Story">
          <a:hlinkClick xmlns:r="http://schemas.openxmlformats.org/officeDocument/2006/relationships" r:id="rId4"/>
          <a:extLst>
            <a:ext uri="{FF2B5EF4-FFF2-40B4-BE49-F238E27FC236}">
              <a16:creationId xmlns:a16="http://schemas.microsoft.com/office/drawing/2014/main" id="{2CEDEBB5-92CC-4ED6-83D9-548E5AC133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831" name="AutoShape 1" descr="Story">
          <a:hlinkClick xmlns:r="http://schemas.openxmlformats.org/officeDocument/2006/relationships" r:id="rId7"/>
          <a:extLst>
            <a:ext uri="{FF2B5EF4-FFF2-40B4-BE49-F238E27FC236}">
              <a16:creationId xmlns:a16="http://schemas.microsoft.com/office/drawing/2014/main" id="{C9CF4F12-ABEA-4EEE-AF77-24EF186952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2" name="AutoShape 2" descr="Story">
          <a:hlinkClick xmlns:r="http://schemas.openxmlformats.org/officeDocument/2006/relationships" r:id="rId8"/>
          <a:extLst>
            <a:ext uri="{FF2B5EF4-FFF2-40B4-BE49-F238E27FC236}">
              <a16:creationId xmlns:a16="http://schemas.microsoft.com/office/drawing/2014/main" id="{02B6B859-96AA-4B0F-B2DD-C9EBD77DDAA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3" name="AutoShape 5" descr="Story">
          <a:hlinkClick xmlns:r="http://schemas.openxmlformats.org/officeDocument/2006/relationships" r:id="rId6"/>
          <a:extLst>
            <a:ext uri="{FF2B5EF4-FFF2-40B4-BE49-F238E27FC236}">
              <a16:creationId xmlns:a16="http://schemas.microsoft.com/office/drawing/2014/main" id="{5D6AE987-D558-4FAD-8FE5-183A101D7A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4" name="AutoShape 1" descr="Sub-task">
          <a:hlinkClick xmlns:r="http://schemas.openxmlformats.org/officeDocument/2006/relationships" r:id="rId9"/>
          <a:extLst>
            <a:ext uri="{FF2B5EF4-FFF2-40B4-BE49-F238E27FC236}">
              <a16:creationId xmlns:a16="http://schemas.microsoft.com/office/drawing/2014/main" id="{79F29821-59AC-41E3-A3ED-E857CD385A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5" name="AutoShape 2" descr="Sub-task">
          <a:hlinkClick xmlns:r="http://schemas.openxmlformats.org/officeDocument/2006/relationships" r:id="rId10"/>
          <a:extLst>
            <a:ext uri="{FF2B5EF4-FFF2-40B4-BE49-F238E27FC236}">
              <a16:creationId xmlns:a16="http://schemas.microsoft.com/office/drawing/2014/main" id="{28147504-E6FD-4AF2-8958-95AB91210A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6" name="AutoShape 3" descr="Story">
          <a:hlinkClick xmlns:r="http://schemas.openxmlformats.org/officeDocument/2006/relationships" r:id="rId11"/>
          <a:extLst>
            <a:ext uri="{FF2B5EF4-FFF2-40B4-BE49-F238E27FC236}">
              <a16:creationId xmlns:a16="http://schemas.microsoft.com/office/drawing/2014/main" id="{2BA3E78B-0756-489C-837D-1B9840B6BD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7" name="AutoShape 12" descr="Story">
          <a:hlinkClick xmlns:r="http://schemas.openxmlformats.org/officeDocument/2006/relationships" r:id="rId12"/>
          <a:extLst>
            <a:ext uri="{FF2B5EF4-FFF2-40B4-BE49-F238E27FC236}">
              <a16:creationId xmlns:a16="http://schemas.microsoft.com/office/drawing/2014/main" id="{87846E00-7CB0-47EF-BF8A-5C3E15781B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8" name="AutoShape 1" descr="Story">
          <a:hlinkClick xmlns:r="http://schemas.openxmlformats.org/officeDocument/2006/relationships" r:id="rId13"/>
          <a:extLst>
            <a:ext uri="{FF2B5EF4-FFF2-40B4-BE49-F238E27FC236}">
              <a16:creationId xmlns:a16="http://schemas.microsoft.com/office/drawing/2014/main" id="{E525B11E-93BF-43A4-B241-9AF91AE99B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39" name="AutoShape 1" descr="Story">
          <a:hlinkClick xmlns:r="http://schemas.openxmlformats.org/officeDocument/2006/relationships" r:id="rId13"/>
          <a:extLst>
            <a:ext uri="{FF2B5EF4-FFF2-40B4-BE49-F238E27FC236}">
              <a16:creationId xmlns:a16="http://schemas.microsoft.com/office/drawing/2014/main" id="{14B0A492-62AE-4BEF-8EDC-3A5C602874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0" name="AutoShape 3" descr="Story">
          <a:hlinkClick xmlns:r="http://schemas.openxmlformats.org/officeDocument/2006/relationships" r:id="rId4"/>
          <a:extLst>
            <a:ext uri="{FF2B5EF4-FFF2-40B4-BE49-F238E27FC236}">
              <a16:creationId xmlns:a16="http://schemas.microsoft.com/office/drawing/2014/main" id="{B58B9322-719A-4202-A796-210DD3B8DB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1" name="AutoShape 4" descr="Story">
          <a:hlinkClick xmlns:r="http://schemas.openxmlformats.org/officeDocument/2006/relationships" r:id="rId5"/>
          <a:extLst>
            <a:ext uri="{FF2B5EF4-FFF2-40B4-BE49-F238E27FC236}">
              <a16:creationId xmlns:a16="http://schemas.microsoft.com/office/drawing/2014/main" id="{7A4592B6-9D56-4C73-97E6-40B4CBD5E7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2" name="AutoShape 3" descr="Story">
          <a:hlinkClick xmlns:r="http://schemas.openxmlformats.org/officeDocument/2006/relationships" r:id="rId4"/>
          <a:extLst>
            <a:ext uri="{FF2B5EF4-FFF2-40B4-BE49-F238E27FC236}">
              <a16:creationId xmlns:a16="http://schemas.microsoft.com/office/drawing/2014/main" id="{FAD74785-C8D5-4B91-AB3D-D41FFFFBA4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3" name="AutoShape 4" descr="Story">
          <a:hlinkClick xmlns:r="http://schemas.openxmlformats.org/officeDocument/2006/relationships" r:id="rId5"/>
          <a:extLst>
            <a:ext uri="{FF2B5EF4-FFF2-40B4-BE49-F238E27FC236}">
              <a16:creationId xmlns:a16="http://schemas.microsoft.com/office/drawing/2014/main" id="{BDDA0E8C-9A92-4541-A482-9596916133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4" name="AutoShape 7" descr="Story">
          <a:hlinkClick xmlns:r="http://schemas.openxmlformats.org/officeDocument/2006/relationships" r:id="rId3"/>
          <a:extLst>
            <a:ext uri="{FF2B5EF4-FFF2-40B4-BE49-F238E27FC236}">
              <a16:creationId xmlns:a16="http://schemas.microsoft.com/office/drawing/2014/main" id="{FDDCC29B-5765-4052-8EC7-B66FB73321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5" name="AutoShape 8" descr="Story">
          <a:hlinkClick xmlns:r="http://schemas.openxmlformats.org/officeDocument/2006/relationships" r:id="rId4"/>
          <a:extLst>
            <a:ext uri="{FF2B5EF4-FFF2-40B4-BE49-F238E27FC236}">
              <a16:creationId xmlns:a16="http://schemas.microsoft.com/office/drawing/2014/main" id="{7A864549-B82A-4574-8816-5EDA7DCFD6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46" name="AutoShape 8" descr="Story">
          <a:hlinkClick xmlns:r="http://schemas.openxmlformats.org/officeDocument/2006/relationships" r:id="rId4"/>
          <a:extLst>
            <a:ext uri="{FF2B5EF4-FFF2-40B4-BE49-F238E27FC236}">
              <a16:creationId xmlns:a16="http://schemas.microsoft.com/office/drawing/2014/main" id="{8439C6CF-07AB-4B2E-8DD0-9BD2C4526F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1276</xdr:row>
      <xdr:rowOff>0</xdr:rowOff>
    </xdr:from>
    <xdr:to>
      <xdr:col>0</xdr:col>
      <xdr:colOff>152400</xdr:colOff>
      <xdr:row>1276</xdr:row>
      <xdr:rowOff>152400</xdr:rowOff>
    </xdr:to>
    <xdr:sp macro="" textlink="">
      <xdr:nvSpPr>
        <xdr:cNvPr id="3847" name="AutoShape 4" descr="Bug">
          <a:hlinkClick xmlns:r="http://schemas.openxmlformats.org/officeDocument/2006/relationships" r:id="rId1"/>
          <a:extLst>
            <a:ext uri="{FF2B5EF4-FFF2-40B4-BE49-F238E27FC236}">
              <a16:creationId xmlns:a16="http://schemas.microsoft.com/office/drawing/2014/main" id="{66AFD390-930F-4438-B15D-2987C2C7A2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48" name="AutoShape 6" descr="Bug">
          <a:hlinkClick xmlns:r="http://schemas.openxmlformats.org/officeDocument/2006/relationships" r:id="rId2"/>
          <a:extLst>
            <a:ext uri="{FF2B5EF4-FFF2-40B4-BE49-F238E27FC236}">
              <a16:creationId xmlns:a16="http://schemas.microsoft.com/office/drawing/2014/main" id="{1D8A8243-9722-426A-9E45-8790EF753C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49" name="AutoShape 7" descr="Story">
          <a:hlinkClick xmlns:r="http://schemas.openxmlformats.org/officeDocument/2006/relationships" r:id="rId3"/>
          <a:extLst>
            <a:ext uri="{FF2B5EF4-FFF2-40B4-BE49-F238E27FC236}">
              <a16:creationId xmlns:a16="http://schemas.microsoft.com/office/drawing/2014/main" id="{C7868CC4-63C1-4694-8763-58C1C285FE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50" name="AutoShape 8" descr="Story">
          <a:hlinkClick xmlns:r="http://schemas.openxmlformats.org/officeDocument/2006/relationships" r:id="rId4"/>
          <a:extLst>
            <a:ext uri="{FF2B5EF4-FFF2-40B4-BE49-F238E27FC236}">
              <a16:creationId xmlns:a16="http://schemas.microsoft.com/office/drawing/2014/main" id="{0534F86E-760D-416B-AEE4-E87794FBD7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51" name="AutoShape 9" descr="Story">
          <a:hlinkClick xmlns:r="http://schemas.openxmlformats.org/officeDocument/2006/relationships" r:id="rId5"/>
          <a:extLst>
            <a:ext uri="{FF2B5EF4-FFF2-40B4-BE49-F238E27FC236}">
              <a16:creationId xmlns:a16="http://schemas.microsoft.com/office/drawing/2014/main" id="{BBC7CD38-FA71-42D4-89DB-47CCD461FE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52" name="AutoShape 13" descr="Story">
          <a:hlinkClick xmlns:r="http://schemas.openxmlformats.org/officeDocument/2006/relationships" r:id="rId4"/>
          <a:extLst>
            <a:ext uri="{FF2B5EF4-FFF2-40B4-BE49-F238E27FC236}">
              <a16:creationId xmlns:a16="http://schemas.microsoft.com/office/drawing/2014/main" id="{3719E5FE-D55A-4F03-AFA3-AFDEE60DE0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853" name="AutoShape 1" descr="Story">
          <a:hlinkClick xmlns:r="http://schemas.openxmlformats.org/officeDocument/2006/relationships" r:id="rId7"/>
          <a:extLst>
            <a:ext uri="{FF2B5EF4-FFF2-40B4-BE49-F238E27FC236}">
              <a16:creationId xmlns:a16="http://schemas.microsoft.com/office/drawing/2014/main" id="{75F47E6E-615B-4AC5-AE66-60E6E99908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4" name="AutoShape 2" descr="Story">
          <a:hlinkClick xmlns:r="http://schemas.openxmlformats.org/officeDocument/2006/relationships" r:id="rId8"/>
          <a:extLst>
            <a:ext uri="{FF2B5EF4-FFF2-40B4-BE49-F238E27FC236}">
              <a16:creationId xmlns:a16="http://schemas.microsoft.com/office/drawing/2014/main" id="{FCEEF1DC-5FA7-4B5D-801E-A402D719D66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5" name="AutoShape 5" descr="Story">
          <a:hlinkClick xmlns:r="http://schemas.openxmlformats.org/officeDocument/2006/relationships" r:id="rId6"/>
          <a:extLst>
            <a:ext uri="{FF2B5EF4-FFF2-40B4-BE49-F238E27FC236}">
              <a16:creationId xmlns:a16="http://schemas.microsoft.com/office/drawing/2014/main" id="{7D470582-AA65-4230-A30C-B4ACFEF6AE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6" name="AutoShape 1" descr="Sub-task">
          <a:hlinkClick xmlns:r="http://schemas.openxmlformats.org/officeDocument/2006/relationships" r:id="rId9"/>
          <a:extLst>
            <a:ext uri="{FF2B5EF4-FFF2-40B4-BE49-F238E27FC236}">
              <a16:creationId xmlns:a16="http://schemas.microsoft.com/office/drawing/2014/main" id="{E773B034-781B-4B63-9B7D-84FB568640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7" name="AutoShape 2" descr="Sub-task">
          <a:hlinkClick xmlns:r="http://schemas.openxmlformats.org/officeDocument/2006/relationships" r:id="rId10"/>
          <a:extLst>
            <a:ext uri="{FF2B5EF4-FFF2-40B4-BE49-F238E27FC236}">
              <a16:creationId xmlns:a16="http://schemas.microsoft.com/office/drawing/2014/main" id="{42FB5C45-E5D7-42F1-ADCB-449393B992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8" name="AutoShape 3" descr="Story">
          <a:hlinkClick xmlns:r="http://schemas.openxmlformats.org/officeDocument/2006/relationships" r:id="rId11"/>
          <a:extLst>
            <a:ext uri="{FF2B5EF4-FFF2-40B4-BE49-F238E27FC236}">
              <a16:creationId xmlns:a16="http://schemas.microsoft.com/office/drawing/2014/main" id="{70803EF8-874C-44FA-A814-EE70A489E3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59" name="AutoShape 12" descr="Story">
          <a:hlinkClick xmlns:r="http://schemas.openxmlformats.org/officeDocument/2006/relationships" r:id="rId12"/>
          <a:extLst>
            <a:ext uri="{FF2B5EF4-FFF2-40B4-BE49-F238E27FC236}">
              <a16:creationId xmlns:a16="http://schemas.microsoft.com/office/drawing/2014/main" id="{8AE3A228-24D0-499F-9EDA-AB10678302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0" name="AutoShape 1" descr="Story">
          <a:hlinkClick xmlns:r="http://schemas.openxmlformats.org/officeDocument/2006/relationships" r:id="rId13"/>
          <a:extLst>
            <a:ext uri="{FF2B5EF4-FFF2-40B4-BE49-F238E27FC236}">
              <a16:creationId xmlns:a16="http://schemas.microsoft.com/office/drawing/2014/main" id="{10A0E5B8-C049-441C-AEE9-0BE8EC38CA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1" name="AutoShape 1" descr="Story">
          <a:hlinkClick xmlns:r="http://schemas.openxmlformats.org/officeDocument/2006/relationships" r:id="rId13"/>
          <a:extLst>
            <a:ext uri="{FF2B5EF4-FFF2-40B4-BE49-F238E27FC236}">
              <a16:creationId xmlns:a16="http://schemas.microsoft.com/office/drawing/2014/main" id="{9343B9BB-4C66-43D2-A978-A3240A64A5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2" name="AutoShape 3" descr="Story">
          <a:hlinkClick xmlns:r="http://schemas.openxmlformats.org/officeDocument/2006/relationships" r:id="rId4"/>
          <a:extLst>
            <a:ext uri="{FF2B5EF4-FFF2-40B4-BE49-F238E27FC236}">
              <a16:creationId xmlns:a16="http://schemas.microsoft.com/office/drawing/2014/main" id="{9890B07D-CFAF-4383-870D-0B57E8A832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3" name="AutoShape 4" descr="Story">
          <a:hlinkClick xmlns:r="http://schemas.openxmlformats.org/officeDocument/2006/relationships" r:id="rId5"/>
          <a:extLst>
            <a:ext uri="{FF2B5EF4-FFF2-40B4-BE49-F238E27FC236}">
              <a16:creationId xmlns:a16="http://schemas.microsoft.com/office/drawing/2014/main" id="{3985C12A-DEB9-4B95-9214-D6D04E7E69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4" name="AutoShape 3" descr="Story">
          <a:hlinkClick xmlns:r="http://schemas.openxmlformats.org/officeDocument/2006/relationships" r:id="rId4"/>
          <a:extLst>
            <a:ext uri="{FF2B5EF4-FFF2-40B4-BE49-F238E27FC236}">
              <a16:creationId xmlns:a16="http://schemas.microsoft.com/office/drawing/2014/main" id="{F86DDC45-F097-4F15-9C40-D958F934217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5" name="AutoShape 4" descr="Story">
          <a:hlinkClick xmlns:r="http://schemas.openxmlformats.org/officeDocument/2006/relationships" r:id="rId5"/>
          <a:extLst>
            <a:ext uri="{FF2B5EF4-FFF2-40B4-BE49-F238E27FC236}">
              <a16:creationId xmlns:a16="http://schemas.microsoft.com/office/drawing/2014/main" id="{FD0D1ABA-9CE4-45B5-8C0B-9DC8A1CF20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6" name="AutoShape 7" descr="Story">
          <a:hlinkClick xmlns:r="http://schemas.openxmlformats.org/officeDocument/2006/relationships" r:id="rId3"/>
          <a:extLst>
            <a:ext uri="{FF2B5EF4-FFF2-40B4-BE49-F238E27FC236}">
              <a16:creationId xmlns:a16="http://schemas.microsoft.com/office/drawing/2014/main" id="{6F24430D-5886-4270-A183-21F7409489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7" name="AutoShape 8" descr="Story">
          <a:hlinkClick xmlns:r="http://schemas.openxmlformats.org/officeDocument/2006/relationships" r:id="rId4"/>
          <a:extLst>
            <a:ext uri="{FF2B5EF4-FFF2-40B4-BE49-F238E27FC236}">
              <a16:creationId xmlns:a16="http://schemas.microsoft.com/office/drawing/2014/main" id="{AEE43C97-54F8-4DE3-97FD-F25A965EF5B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68" name="AutoShape 8" descr="Story">
          <a:hlinkClick xmlns:r="http://schemas.openxmlformats.org/officeDocument/2006/relationships" r:id="rId4"/>
          <a:extLst>
            <a:ext uri="{FF2B5EF4-FFF2-40B4-BE49-F238E27FC236}">
              <a16:creationId xmlns:a16="http://schemas.microsoft.com/office/drawing/2014/main" id="{5FEEDE8C-80BD-464B-80EF-FBD3C29F21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1276</xdr:row>
      <xdr:rowOff>0</xdr:rowOff>
    </xdr:from>
    <xdr:to>
      <xdr:col>0</xdr:col>
      <xdr:colOff>152400</xdr:colOff>
      <xdr:row>1276</xdr:row>
      <xdr:rowOff>152400</xdr:rowOff>
    </xdr:to>
    <xdr:sp macro="" textlink="">
      <xdr:nvSpPr>
        <xdr:cNvPr id="3869" name="AutoShape 4" descr="Bug">
          <a:hlinkClick xmlns:r="http://schemas.openxmlformats.org/officeDocument/2006/relationships" r:id="rId1"/>
          <a:extLst>
            <a:ext uri="{FF2B5EF4-FFF2-40B4-BE49-F238E27FC236}">
              <a16:creationId xmlns:a16="http://schemas.microsoft.com/office/drawing/2014/main" id="{480676DF-8B64-4E29-9941-8D7475D444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70" name="AutoShape 6" descr="Bug">
          <a:hlinkClick xmlns:r="http://schemas.openxmlformats.org/officeDocument/2006/relationships" r:id="rId2"/>
          <a:extLst>
            <a:ext uri="{FF2B5EF4-FFF2-40B4-BE49-F238E27FC236}">
              <a16:creationId xmlns:a16="http://schemas.microsoft.com/office/drawing/2014/main" id="{F6A9C914-8F0C-45E9-A786-72AAC3F6BA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71" name="AutoShape 7" descr="Story">
          <a:hlinkClick xmlns:r="http://schemas.openxmlformats.org/officeDocument/2006/relationships" r:id="rId3"/>
          <a:extLst>
            <a:ext uri="{FF2B5EF4-FFF2-40B4-BE49-F238E27FC236}">
              <a16:creationId xmlns:a16="http://schemas.microsoft.com/office/drawing/2014/main" id="{5D7A708D-4D65-46AC-AFD0-2FF8F7546F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72" name="AutoShape 8" descr="Story">
          <a:hlinkClick xmlns:r="http://schemas.openxmlformats.org/officeDocument/2006/relationships" r:id="rId4"/>
          <a:extLst>
            <a:ext uri="{FF2B5EF4-FFF2-40B4-BE49-F238E27FC236}">
              <a16:creationId xmlns:a16="http://schemas.microsoft.com/office/drawing/2014/main" id="{44FA92A3-329F-42E6-B30B-6CBE73ED40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73" name="AutoShape 9" descr="Story">
          <a:hlinkClick xmlns:r="http://schemas.openxmlformats.org/officeDocument/2006/relationships" r:id="rId5"/>
          <a:extLst>
            <a:ext uri="{FF2B5EF4-FFF2-40B4-BE49-F238E27FC236}">
              <a16:creationId xmlns:a16="http://schemas.microsoft.com/office/drawing/2014/main" id="{17580938-2EBC-4120-91D0-552F0590D1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74" name="AutoShape 13" descr="Story">
          <a:hlinkClick xmlns:r="http://schemas.openxmlformats.org/officeDocument/2006/relationships" r:id="rId4"/>
          <a:extLst>
            <a:ext uri="{FF2B5EF4-FFF2-40B4-BE49-F238E27FC236}">
              <a16:creationId xmlns:a16="http://schemas.microsoft.com/office/drawing/2014/main" id="{FFB65FD1-3C68-4593-AC9D-4EB7A5F926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875" name="AutoShape 1" descr="Story">
          <a:hlinkClick xmlns:r="http://schemas.openxmlformats.org/officeDocument/2006/relationships" r:id="rId7"/>
          <a:extLst>
            <a:ext uri="{FF2B5EF4-FFF2-40B4-BE49-F238E27FC236}">
              <a16:creationId xmlns:a16="http://schemas.microsoft.com/office/drawing/2014/main" id="{262B155B-BDF2-4A65-8D30-37F3AB65A3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76" name="AutoShape 2" descr="Story">
          <a:hlinkClick xmlns:r="http://schemas.openxmlformats.org/officeDocument/2006/relationships" r:id="rId8"/>
          <a:extLst>
            <a:ext uri="{FF2B5EF4-FFF2-40B4-BE49-F238E27FC236}">
              <a16:creationId xmlns:a16="http://schemas.microsoft.com/office/drawing/2014/main" id="{07A5DD80-D8B4-476B-A731-12BCE3EAD2F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77" name="AutoShape 5" descr="Story">
          <a:hlinkClick xmlns:r="http://schemas.openxmlformats.org/officeDocument/2006/relationships" r:id="rId6"/>
          <a:extLst>
            <a:ext uri="{FF2B5EF4-FFF2-40B4-BE49-F238E27FC236}">
              <a16:creationId xmlns:a16="http://schemas.microsoft.com/office/drawing/2014/main" id="{4F05548D-550B-43F1-B605-B3DF2ACEDD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78" name="AutoShape 1" descr="Sub-task">
          <a:hlinkClick xmlns:r="http://schemas.openxmlformats.org/officeDocument/2006/relationships" r:id="rId9"/>
          <a:extLst>
            <a:ext uri="{FF2B5EF4-FFF2-40B4-BE49-F238E27FC236}">
              <a16:creationId xmlns:a16="http://schemas.microsoft.com/office/drawing/2014/main" id="{ECDCB74B-708B-49B2-9031-D6B8C3888C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79" name="AutoShape 2" descr="Sub-task">
          <a:hlinkClick xmlns:r="http://schemas.openxmlformats.org/officeDocument/2006/relationships" r:id="rId10"/>
          <a:extLst>
            <a:ext uri="{FF2B5EF4-FFF2-40B4-BE49-F238E27FC236}">
              <a16:creationId xmlns:a16="http://schemas.microsoft.com/office/drawing/2014/main" id="{3A4782B9-E621-4378-9399-42EB395EA8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0" name="AutoShape 3" descr="Story">
          <a:hlinkClick xmlns:r="http://schemas.openxmlformats.org/officeDocument/2006/relationships" r:id="rId11"/>
          <a:extLst>
            <a:ext uri="{FF2B5EF4-FFF2-40B4-BE49-F238E27FC236}">
              <a16:creationId xmlns:a16="http://schemas.microsoft.com/office/drawing/2014/main" id="{D599D6D5-1D67-44FC-9599-7E2392BA00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1" name="AutoShape 12" descr="Story">
          <a:hlinkClick xmlns:r="http://schemas.openxmlformats.org/officeDocument/2006/relationships" r:id="rId12"/>
          <a:extLst>
            <a:ext uri="{FF2B5EF4-FFF2-40B4-BE49-F238E27FC236}">
              <a16:creationId xmlns:a16="http://schemas.microsoft.com/office/drawing/2014/main" id="{A6E265A2-3DF3-4521-9AB7-8179BB1EEB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2" name="AutoShape 1" descr="Story">
          <a:hlinkClick xmlns:r="http://schemas.openxmlformats.org/officeDocument/2006/relationships" r:id="rId13"/>
          <a:extLst>
            <a:ext uri="{FF2B5EF4-FFF2-40B4-BE49-F238E27FC236}">
              <a16:creationId xmlns:a16="http://schemas.microsoft.com/office/drawing/2014/main" id="{DC4B002A-7B42-4599-B4CD-277F343AFA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3" name="AutoShape 1" descr="Story">
          <a:hlinkClick xmlns:r="http://schemas.openxmlformats.org/officeDocument/2006/relationships" r:id="rId13"/>
          <a:extLst>
            <a:ext uri="{FF2B5EF4-FFF2-40B4-BE49-F238E27FC236}">
              <a16:creationId xmlns:a16="http://schemas.microsoft.com/office/drawing/2014/main" id="{CC170F11-84C8-4B38-99ED-EE0E756C9C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4" name="AutoShape 3" descr="Story">
          <a:hlinkClick xmlns:r="http://schemas.openxmlformats.org/officeDocument/2006/relationships" r:id="rId4"/>
          <a:extLst>
            <a:ext uri="{FF2B5EF4-FFF2-40B4-BE49-F238E27FC236}">
              <a16:creationId xmlns:a16="http://schemas.microsoft.com/office/drawing/2014/main" id="{B5A51E2A-7E84-46D0-8DBA-60E5DB8DAE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5" name="AutoShape 4" descr="Story">
          <a:hlinkClick xmlns:r="http://schemas.openxmlformats.org/officeDocument/2006/relationships" r:id="rId5"/>
          <a:extLst>
            <a:ext uri="{FF2B5EF4-FFF2-40B4-BE49-F238E27FC236}">
              <a16:creationId xmlns:a16="http://schemas.microsoft.com/office/drawing/2014/main" id="{2726BBA1-2173-4C78-8E45-D8B8AAF9C2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6" name="AutoShape 3" descr="Story">
          <a:hlinkClick xmlns:r="http://schemas.openxmlformats.org/officeDocument/2006/relationships" r:id="rId4"/>
          <a:extLst>
            <a:ext uri="{FF2B5EF4-FFF2-40B4-BE49-F238E27FC236}">
              <a16:creationId xmlns:a16="http://schemas.microsoft.com/office/drawing/2014/main" id="{714FCC43-2643-4D9A-998F-C1EF3E78B33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7" name="AutoShape 4" descr="Story">
          <a:hlinkClick xmlns:r="http://schemas.openxmlformats.org/officeDocument/2006/relationships" r:id="rId5"/>
          <a:extLst>
            <a:ext uri="{FF2B5EF4-FFF2-40B4-BE49-F238E27FC236}">
              <a16:creationId xmlns:a16="http://schemas.microsoft.com/office/drawing/2014/main" id="{63FA601C-5F55-441E-AF70-80E6CFAF85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8" name="AutoShape 7" descr="Story">
          <a:hlinkClick xmlns:r="http://schemas.openxmlformats.org/officeDocument/2006/relationships" r:id="rId3"/>
          <a:extLst>
            <a:ext uri="{FF2B5EF4-FFF2-40B4-BE49-F238E27FC236}">
              <a16:creationId xmlns:a16="http://schemas.microsoft.com/office/drawing/2014/main" id="{C48F6CD1-F910-4A22-B93A-246E1EF267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89" name="AutoShape 8" descr="Story">
          <a:hlinkClick xmlns:r="http://schemas.openxmlformats.org/officeDocument/2006/relationships" r:id="rId4"/>
          <a:extLst>
            <a:ext uri="{FF2B5EF4-FFF2-40B4-BE49-F238E27FC236}">
              <a16:creationId xmlns:a16="http://schemas.microsoft.com/office/drawing/2014/main" id="{C6AF8E28-695C-4883-BB52-EA2BE63FC3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90" name="AutoShape 8" descr="Story">
          <a:hlinkClick xmlns:r="http://schemas.openxmlformats.org/officeDocument/2006/relationships" r:id="rId4"/>
          <a:extLst>
            <a:ext uri="{FF2B5EF4-FFF2-40B4-BE49-F238E27FC236}">
              <a16:creationId xmlns:a16="http://schemas.microsoft.com/office/drawing/2014/main" id="{738A950A-088F-4CD9-9EA6-F8970B331E4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1276</xdr:row>
      <xdr:rowOff>0</xdr:rowOff>
    </xdr:from>
    <xdr:to>
      <xdr:col>0</xdr:col>
      <xdr:colOff>152400</xdr:colOff>
      <xdr:row>1276</xdr:row>
      <xdr:rowOff>152400</xdr:rowOff>
    </xdr:to>
    <xdr:sp macro="" textlink="">
      <xdr:nvSpPr>
        <xdr:cNvPr id="3891" name="AutoShape 4" descr="Bug">
          <a:hlinkClick xmlns:r="http://schemas.openxmlformats.org/officeDocument/2006/relationships" r:id="rId1"/>
          <a:extLst>
            <a:ext uri="{FF2B5EF4-FFF2-40B4-BE49-F238E27FC236}">
              <a16:creationId xmlns:a16="http://schemas.microsoft.com/office/drawing/2014/main" id="{425A1D4F-BAF6-444F-A25F-50F3092B45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92" name="AutoShape 6" descr="Bug">
          <a:hlinkClick xmlns:r="http://schemas.openxmlformats.org/officeDocument/2006/relationships" r:id="rId2"/>
          <a:extLst>
            <a:ext uri="{FF2B5EF4-FFF2-40B4-BE49-F238E27FC236}">
              <a16:creationId xmlns:a16="http://schemas.microsoft.com/office/drawing/2014/main" id="{925F4519-9CBC-49DE-A4C8-FC50D7E62E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93" name="AutoShape 7" descr="Story">
          <a:hlinkClick xmlns:r="http://schemas.openxmlformats.org/officeDocument/2006/relationships" r:id="rId3"/>
          <a:extLst>
            <a:ext uri="{FF2B5EF4-FFF2-40B4-BE49-F238E27FC236}">
              <a16:creationId xmlns:a16="http://schemas.microsoft.com/office/drawing/2014/main" id="{B79615B6-F498-4A29-9492-F772408A5A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94" name="AutoShape 8" descr="Story">
          <a:hlinkClick xmlns:r="http://schemas.openxmlformats.org/officeDocument/2006/relationships" r:id="rId4"/>
          <a:extLst>
            <a:ext uri="{FF2B5EF4-FFF2-40B4-BE49-F238E27FC236}">
              <a16:creationId xmlns:a16="http://schemas.microsoft.com/office/drawing/2014/main" id="{BA8CB501-DEB5-46A0-817F-29EF365FB5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95" name="AutoShape 9" descr="Story">
          <a:hlinkClick xmlns:r="http://schemas.openxmlformats.org/officeDocument/2006/relationships" r:id="rId5"/>
          <a:extLst>
            <a:ext uri="{FF2B5EF4-FFF2-40B4-BE49-F238E27FC236}">
              <a16:creationId xmlns:a16="http://schemas.microsoft.com/office/drawing/2014/main" id="{9B22C997-D05A-46B4-8564-ED3FABA870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896" name="AutoShape 13" descr="Story">
          <a:hlinkClick xmlns:r="http://schemas.openxmlformats.org/officeDocument/2006/relationships" r:id="rId4"/>
          <a:extLst>
            <a:ext uri="{FF2B5EF4-FFF2-40B4-BE49-F238E27FC236}">
              <a16:creationId xmlns:a16="http://schemas.microsoft.com/office/drawing/2014/main" id="{4A2FADAB-1CAF-4B5F-BD44-2D1F8F9EA6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897" name="AutoShape 1" descr="Story">
          <a:hlinkClick xmlns:r="http://schemas.openxmlformats.org/officeDocument/2006/relationships" r:id="rId7"/>
          <a:extLst>
            <a:ext uri="{FF2B5EF4-FFF2-40B4-BE49-F238E27FC236}">
              <a16:creationId xmlns:a16="http://schemas.microsoft.com/office/drawing/2014/main" id="{8FB4D918-1BD4-4CEF-BF46-06CCA752B8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98" name="AutoShape 2" descr="Story">
          <a:hlinkClick xmlns:r="http://schemas.openxmlformats.org/officeDocument/2006/relationships" r:id="rId8"/>
          <a:extLst>
            <a:ext uri="{FF2B5EF4-FFF2-40B4-BE49-F238E27FC236}">
              <a16:creationId xmlns:a16="http://schemas.microsoft.com/office/drawing/2014/main" id="{5E02C724-0DFC-4FC1-86EA-B419AA9F9C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899" name="AutoShape 5" descr="Story">
          <a:hlinkClick xmlns:r="http://schemas.openxmlformats.org/officeDocument/2006/relationships" r:id="rId6"/>
          <a:extLst>
            <a:ext uri="{FF2B5EF4-FFF2-40B4-BE49-F238E27FC236}">
              <a16:creationId xmlns:a16="http://schemas.microsoft.com/office/drawing/2014/main" id="{7B589256-9F45-4E00-9D61-D07ED03E71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0" name="AutoShape 1" descr="Sub-task">
          <a:hlinkClick xmlns:r="http://schemas.openxmlformats.org/officeDocument/2006/relationships" r:id="rId9"/>
          <a:extLst>
            <a:ext uri="{FF2B5EF4-FFF2-40B4-BE49-F238E27FC236}">
              <a16:creationId xmlns:a16="http://schemas.microsoft.com/office/drawing/2014/main" id="{3A0547A8-7692-4FE8-B6DE-DE72828226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1" name="AutoShape 2" descr="Sub-task">
          <a:hlinkClick xmlns:r="http://schemas.openxmlformats.org/officeDocument/2006/relationships" r:id="rId10"/>
          <a:extLst>
            <a:ext uri="{FF2B5EF4-FFF2-40B4-BE49-F238E27FC236}">
              <a16:creationId xmlns:a16="http://schemas.microsoft.com/office/drawing/2014/main" id="{6726B8A0-146E-4DA4-B609-9CF9D78364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2" name="AutoShape 3" descr="Story">
          <a:hlinkClick xmlns:r="http://schemas.openxmlformats.org/officeDocument/2006/relationships" r:id="rId11"/>
          <a:extLst>
            <a:ext uri="{FF2B5EF4-FFF2-40B4-BE49-F238E27FC236}">
              <a16:creationId xmlns:a16="http://schemas.microsoft.com/office/drawing/2014/main" id="{2858EBCF-A6CA-4445-B735-B7EBAD4721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3" name="AutoShape 12" descr="Story">
          <a:hlinkClick xmlns:r="http://schemas.openxmlformats.org/officeDocument/2006/relationships" r:id="rId12"/>
          <a:extLst>
            <a:ext uri="{FF2B5EF4-FFF2-40B4-BE49-F238E27FC236}">
              <a16:creationId xmlns:a16="http://schemas.microsoft.com/office/drawing/2014/main" id="{D6EC0538-A6BB-4FC4-BC66-82D7A0B554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4" name="AutoShape 1" descr="Story">
          <a:hlinkClick xmlns:r="http://schemas.openxmlformats.org/officeDocument/2006/relationships" r:id="rId13"/>
          <a:extLst>
            <a:ext uri="{FF2B5EF4-FFF2-40B4-BE49-F238E27FC236}">
              <a16:creationId xmlns:a16="http://schemas.microsoft.com/office/drawing/2014/main" id="{A9E637A7-48D6-4A14-9B3C-693B4C0A04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5" name="AutoShape 1" descr="Story">
          <a:hlinkClick xmlns:r="http://schemas.openxmlformats.org/officeDocument/2006/relationships" r:id="rId13"/>
          <a:extLst>
            <a:ext uri="{FF2B5EF4-FFF2-40B4-BE49-F238E27FC236}">
              <a16:creationId xmlns:a16="http://schemas.microsoft.com/office/drawing/2014/main" id="{3AB4FB29-E4F1-4AC4-8733-B3F7147800E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6" name="AutoShape 3" descr="Story">
          <a:hlinkClick xmlns:r="http://schemas.openxmlformats.org/officeDocument/2006/relationships" r:id="rId4"/>
          <a:extLst>
            <a:ext uri="{FF2B5EF4-FFF2-40B4-BE49-F238E27FC236}">
              <a16:creationId xmlns:a16="http://schemas.microsoft.com/office/drawing/2014/main" id="{59FFF08F-8A13-49FC-8FC3-E8B783E32A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7" name="AutoShape 4" descr="Story">
          <a:hlinkClick xmlns:r="http://schemas.openxmlformats.org/officeDocument/2006/relationships" r:id="rId5"/>
          <a:extLst>
            <a:ext uri="{FF2B5EF4-FFF2-40B4-BE49-F238E27FC236}">
              <a16:creationId xmlns:a16="http://schemas.microsoft.com/office/drawing/2014/main" id="{22A1BCC6-29C1-4B34-9EDA-0620EB6384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8" name="AutoShape 3" descr="Story">
          <a:hlinkClick xmlns:r="http://schemas.openxmlformats.org/officeDocument/2006/relationships" r:id="rId4"/>
          <a:extLst>
            <a:ext uri="{FF2B5EF4-FFF2-40B4-BE49-F238E27FC236}">
              <a16:creationId xmlns:a16="http://schemas.microsoft.com/office/drawing/2014/main" id="{0FC3C203-7F3D-4343-A636-222CF5CA41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09" name="AutoShape 4" descr="Story">
          <a:hlinkClick xmlns:r="http://schemas.openxmlformats.org/officeDocument/2006/relationships" r:id="rId5"/>
          <a:extLst>
            <a:ext uri="{FF2B5EF4-FFF2-40B4-BE49-F238E27FC236}">
              <a16:creationId xmlns:a16="http://schemas.microsoft.com/office/drawing/2014/main" id="{B369BE32-4499-412F-9513-A1C2BDF616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10" name="AutoShape 7" descr="Story">
          <a:hlinkClick xmlns:r="http://schemas.openxmlformats.org/officeDocument/2006/relationships" r:id="rId3"/>
          <a:extLst>
            <a:ext uri="{FF2B5EF4-FFF2-40B4-BE49-F238E27FC236}">
              <a16:creationId xmlns:a16="http://schemas.microsoft.com/office/drawing/2014/main" id="{4766F37E-E97C-48FA-BA50-450B6A4B6C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11" name="AutoShape 8" descr="Story">
          <a:hlinkClick xmlns:r="http://schemas.openxmlformats.org/officeDocument/2006/relationships" r:id="rId4"/>
          <a:extLst>
            <a:ext uri="{FF2B5EF4-FFF2-40B4-BE49-F238E27FC236}">
              <a16:creationId xmlns:a16="http://schemas.microsoft.com/office/drawing/2014/main" id="{660E057D-E1F3-4E96-979F-A538D53E90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12" name="AutoShape 8" descr="Story">
          <a:hlinkClick xmlns:r="http://schemas.openxmlformats.org/officeDocument/2006/relationships" r:id="rId4"/>
          <a:extLst>
            <a:ext uri="{FF2B5EF4-FFF2-40B4-BE49-F238E27FC236}">
              <a16:creationId xmlns:a16="http://schemas.microsoft.com/office/drawing/2014/main" id="{B1C5BC33-96A9-4A6D-BCD8-0C238104F2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1281</xdr:row>
      <xdr:rowOff>0</xdr:rowOff>
    </xdr:from>
    <xdr:to>
      <xdr:col>0</xdr:col>
      <xdr:colOff>152400</xdr:colOff>
      <xdr:row>1281</xdr:row>
      <xdr:rowOff>152400</xdr:rowOff>
    </xdr:to>
    <xdr:sp macro="" textlink="">
      <xdr:nvSpPr>
        <xdr:cNvPr id="3913" name="AutoShape 1" descr="Story">
          <a:hlinkClick xmlns:r="http://schemas.openxmlformats.org/officeDocument/2006/relationships" r:id="rId13"/>
          <a:extLst>
            <a:ext uri="{FF2B5EF4-FFF2-40B4-BE49-F238E27FC236}">
              <a16:creationId xmlns:a16="http://schemas.microsoft.com/office/drawing/2014/main" id="{EEAA37F0-8BA4-46A8-AF90-98A9226A5B1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914" name="AutoShape 2" descr="Story">
          <a:hlinkClick xmlns:r="http://schemas.openxmlformats.org/officeDocument/2006/relationships" r:id="rId12"/>
          <a:extLst>
            <a:ext uri="{FF2B5EF4-FFF2-40B4-BE49-F238E27FC236}">
              <a16:creationId xmlns:a16="http://schemas.microsoft.com/office/drawing/2014/main" id="{1DB79B1C-FFEA-4019-9FFA-26541F9459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915" name="AutoShape 3" descr="Story">
          <a:hlinkClick xmlns:r="http://schemas.openxmlformats.org/officeDocument/2006/relationships" r:id="rId11"/>
          <a:extLst>
            <a:ext uri="{FF2B5EF4-FFF2-40B4-BE49-F238E27FC236}">
              <a16:creationId xmlns:a16="http://schemas.microsoft.com/office/drawing/2014/main" id="{FFA3441D-7494-4687-A5A1-73BFAF8624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16" name="AutoShape 4" descr="Bug">
          <a:hlinkClick xmlns:r="http://schemas.openxmlformats.org/officeDocument/2006/relationships" r:id="rId1"/>
          <a:extLst>
            <a:ext uri="{FF2B5EF4-FFF2-40B4-BE49-F238E27FC236}">
              <a16:creationId xmlns:a16="http://schemas.microsoft.com/office/drawing/2014/main" id="{EF8264DD-C8C3-4697-B65E-714A0E05E69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917" name="AutoShape 5" descr="Story">
          <a:hlinkClick xmlns:r="http://schemas.openxmlformats.org/officeDocument/2006/relationships" r:id="rId14"/>
          <a:extLst>
            <a:ext uri="{FF2B5EF4-FFF2-40B4-BE49-F238E27FC236}">
              <a16:creationId xmlns:a16="http://schemas.microsoft.com/office/drawing/2014/main" id="{00A0DF87-A99A-4EF1-A296-6556564CC5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18" name="AutoShape 6" descr="Bug">
          <a:hlinkClick xmlns:r="http://schemas.openxmlformats.org/officeDocument/2006/relationships" r:id="rId2"/>
          <a:extLst>
            <a:ext uri="{FF2B5EF4-FFF2-40B4-BE49-F238E27FC236}">
              <a16:creationId xmlns:a16="http://schemas.microsoft.com/office/drawing/2014/main" id="{63D283E5-C452-440E-8E14-93BFACEC77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19" name="AutoShape 7" descr="Story">
          <a:hlinkClick xmlns:r="http://schemas.openxmlformats.org/officeDocument/2006/relationships" r:id="rId3"/>
          <a:extLst>
            <a:ext uri="{FF2B5EF4-FFF2-40B4-BE49-F238E27FC236}">
              <a16:creationId xmlns:a16="http://schemas.microsoft.com/office/drawing/2014/main" id="{A324C811-1D2E-4CDE-ACF4-FF0E24E767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20" name="AutoShape 8" descr="Story">
          <a:hlinkClick xmlns:r="http://schemas.openxmlformats.org/officeDocument/2006/relationships" r:id="rId4"/>
          <a:extLst>
            <a:ext uri="{FF2B5EF4-FFF2-40B4-BE49-F238E27FC236}">
              <a16:creationId xmlns:a16="http://schemas.microsoft.com/office/drawing/2014/main" id="{8A91B90D-82B7-48D1-BC10-B52F1243C1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21" name="AutoShape 9" descr="Story">
          <a:hlinkClick xmlns:r="http://schemas.openxmlformats.org/officeDocument/2006/relationships" r:id="rId5"/>
          <a:extLst>
            <a:ext uri="{FF2B5EF4-FFF2-40B4-BE49-F238E27FC236}">
              <a16:creationId xmlns:a16="http://schemas.microsoft.com/office/drawing/2014/main" id="{7DB7A9C0-C4A0-4314-BBC1-C9B0FC0EED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922" name="AutoShape 10" descr="Story">
          <a:hlinkClick xmlns:r="http://schemas.openxmlformats.org/officeDocument/2006/relationships" r:id="rId6"/>
          <a:extLst>
            <a:ext uri="{FF2B5EF4-FFF2-40B4-BE49-F238E27FC236}">
              <a16:creationId xmlns:a16="http://schemas.microsoft.com/office/drawing/2014/main" id="{9F109BA9-3DCD-4D1E-95C8-03D23B32CE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923" name="AutoShape 11" descr="Story">
          <a:hlinkClick xmlns:r="http://schemas.openxmlformats.org/officeDocument/2006/relationships" r:id="rId15"/>
          <a:extLst>
            <a:ext uri="{FF2B5EF4-FFF2-40B4-BE49-F238E27FC236}">
              <a16:creationId xmlns:a16="http://schemas.microsoft.com/office/drawing/2014/main" id="{C0721375-7300-4FF9-92C0-D3D6F269BB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152400</xdr:colOff>
      <xdr:row>1279</xdr:row>
      <xdr:rowOff>152400</xdr:rowOff>
    </xdr:to>
    <xdr:sp macro="" textlink="">
      <xdr:nvSpPr>
        <xdr:cNvPr id="3924" name="AutoShape 12" descr="Story">
          <a:hlinkClick xmlns:r="http://schemas.openxmlformats.org/officeDocument/2006/relationships" r:id="rId12"/>
          <a:extLst>
            <a:ext uri="{FF2B5EF4-FFF2-40B4-BE49-F238E27FC236}">
              <a16:creationId xmlns:a16="http://schemas.microsoft.com/office/drawing/2014/main" id="{1EDDD3AA-EEBC-417C-8F8D-6CFE612A7A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1276</xdr:row>
      <xdr:rowOff>0</xdr:rowOff>
    </xdr:from>
    <xdr:to>
      <xdr:col>0</xdr:col>
      <xdr:colOff>152400</xdr:colOff>
      <xdr:row>1276</xdr:row>
      <xdr:rowOff>152400</xdr:rowOff>
    </xdr:to>
    <xdr:sp macro="" textlink="">
      <xdr:nvSpPr>
        <xdr:cNvPr id="3925" name="AutoShape 13" descr="Story">
          <a:hlinkClick xmlns:r="http://schemas.openxmlformats.org/officeDocument/2006/relationships" r:id="rId4"/>
          <a:extLst>
            <a:ext uri="{FF2B5EF4-FFF2-40B4-BE49-F238E27FC236}">
              <a16:creationId xmlns:a16="http://schemas.microsoft.com/office/drawing/2014/main" id="{897FC27C-9367-4F92-A9F1-A16B8AAF600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926" name="AutoShape 14" descr="Story">
          <a:hlinkClick xmlns:r="http://schemas.openxmlformats.org/officeDocument/2006/relationships" r:id="rId4"/>
          <a:extLst>
            <a:ext uri="{FF2B5EF4-FFF2-40B4-BE49-F238E27FC236}">
              <a16:creationId xmlns:a16="http://schemas.microsoft.com/office/drawing/2014/main" id="{791A39A1-5A44-4FA7-B3A6-1A6EEC2BBA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0</xdr:col>
      <xdr:colOff>152400</xdr:colOff>
      <xdr:row>1280</xdr:row>
      <xdr:rowOff>152400</xdr:rowOff>
    </xdr:to>
    <xdr:sp macro="" textlink="">
      <xdr:nvSpPr>
        <xdr:cNvPr id="3927" name="AutoShape 15" descr="Story">
          <a:hlinkClick xmlns:r="http://schemas.openxmlformats.org/officeDocument/2006/relationships" r:id="rId4"/>
          <a:extLst>
            <a:ext uri="{FF2B5EF4-FFF2-40B4-BE49-F238E27FC236}">
              <a16:creationId xmlns:a16="http://schemas.microsoft.com/office/drawing/2014/main" id="{22E09804-45A3-4B41-BED2-77A0F55153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1276</xdr:row>
      <xdr:rowOff>0</xdr:rowOff>
    </xdr:from>
    <xdr:ext cx="152400" cy="152400"/>
    <xdr:sp macro="" textlink="">
      <xdr:nvSpPr>
        <xdr:cNvPr id="3928" name="AutoShape 1" descr="Story">
          <a:hlinkClick xmlns:r="http://schemas.openxmlformats.org/officeDocument/2006/relationships" r:id="rId7"/>
          <a:extLst>
            <a:ext uri="{FF2B5EF4-FFF2-40B4-BE49-F238E27FC236}">
              <a16:creationId xmlns:a16="http://schemas.microsoft.com/office/drawing/2014/main" id="{AB4C016F-79E2-47DC-9BEC-4C011EC064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29" name="AutoShape 2" descr="Story">
          <a:hlinkClick xmlns:r="http://schemas.openxmlformats.org/officeDocument/2006/relationships" r:id="rId8"/>
          <a:extLst>
            <a:ext uri="{FF2B5EF4-FFF2-40B4-BE49-F238E27FC236}">
              <a16:creationId xmlns:a16="http://schemas.microsoft.com/office/drawing/2014/main" id="{C93F2DE1-D231-41A4-A191-3A393396BB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0" name="AutoShape 5" descr="Story">
          <a:hlinkClick xmlns:r="http://schemas.openxmlformats.org/officeDocument/2006/relationships" r:id="rId6"/>
          <a:extLst>
            <a:ext uri="{FF2B5EF4-FFF2-40B4-BE49-F238E27FC236}">
              <a16:creationId xmlns:a16="http://schemas.microsoft.com/office/drawing/2014/main" id="{5E68193E-F3FA-49F5-BC84-3704DCE37B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1" name="AutoShape 1" descr="Sub-task">
          <a:hlinkClick xmlns:r="http://schemas.openxmlformats.org/officeDocument/2006/relationships" r:id="rId9"/>
          <a:extLst>
            <a:ext uri="{FF2B5EF4-FFF2-40B4-BE49-F238E27FC236}">
              <a16:creationId xmlns:a16="http://schemas.microsoft.com/office/drawing/2014/main" id="{54C716EF-6ADD-42E9-977D-CD205ED17E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2" name="AutoShape 2" descr="Sub-task">
          <a:hlinkClick xmlns:r="http://schemas.openxmlformats.org/officeDocument/2006/relationships" r:id="rId10"/>
          <a:extLst>
            <a:ext uri="{FF2B5EF4-FFF2-40B4-BE49-F238E27FC236}">
              <a16:creationId xmlns:a16="http://schemas.microsoft.com/office/drawing/2014/main" id="{3ED3B759-DC70-4475-B945-F38EEA1B84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3" name="AutoShape 3" descr="Story">
          <a:hlinkClick xmlns:r="http://schemas.openxmlformats.org/officeDocument/2006/relationships" r:id="rId11"/>
          <a:extLst>
            <a:ext uri="{FF2B5EF4-FFF2-40B4-BE49-F238E27FC236}">
              <a16:creationId xmlns:a16="http://schemas.microsoft.com/office/drawing/2014/main" id="{27CE946C-A81D-4B2E-89EC-AE193EC08F8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4" name="AutoShape 12" descr="Story">
          <a:hlinkClick xmlns:r="http://schemas.openxmlformats.org/officeDocument/2006/relationships" r:id="rId12"/>
          <a:extLst>
            <a:ext uri="{FF2B5EF4-FFF2-40B4-BE49-F238E27FC236}">
              <a16:creationId xmlns:a16="http://schemas.microsoft.com/office/drawing/2014/main" id="{E47634E6-2D24-4519-BB2C-A0026A345F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5" name="AutoShape 1" descr="Story">
          <a:hlinkClick xmlns:r="http://schemas.openxmlformats.org/officeDocument/2006/relationships" r:id="rId13"/>
          <a:extLst>
            <a:ext uri="{FF2B5EF4-FFF2-40B4-BE49-F238E27FC236}">
              <a16:creationId xmlns:a16="http://schemas.microsoft.com/office/drawing/2014/main" id="{1577C4F7-4A2F-487B-8571-C12525041D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6" name="AutoShape 1" descr="Story">
          <a:hlinkClick xmlns:r="http://schemas.openxmlformats.org/officeDocument/2006/relationships" r:id="rId13"/>
          <a:extLst>
            <a:ext uri="{FF2B5EF4-FFF2-40B4-BE49-F238E27FC236}">
              <a16:creationId xmlns:a16="http://schemas.microsoft.com/office/drawing/2014/main" id="{D01386AE-6353-4651-93F1-086A53D059C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7" name="AutoShape 3" descr="Story">
          <a:hlinkClick xmlns:r="http://schemas.openxmlformats.org/officeDocument/2006/relationships" r:id="rId4"/>
          <a:extLst>
            <a:ext uri="{FF2B5EF4-FFF2-40B4-BE49-F238E27FC236}">
              <a16:creationId xmlns:a16="http://schemas.microsoft.com/office/drawing/2014/main" id="{33B84806-D0F2-418F-A571-267AAA1A9B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38" name="AutoShape 4" descr="Story">
          <a:hlinkClick xmlns:r="http://schemas.openxmlformats.org/officeDocument/2006/relationships" r:id="rId5"/>
          <a:extLst>
            <a:ext uri="{FF2B5EF4-FFF2-40B4-BE49-F238E27FC236}">
              <a16:creationId xmlns:a16="http://schemas.microsoft.com/office/drawing/2014/main" id="{C5948E5A-14BA-4806-B055-CF365C05F9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39" name="AutoShape 1" descr="Story">
          <a:hlinkClick xmlns:r="http://schemas.openxmlformats.org/officeDocument/2006/relationships" r:id="rId7"/>
          <a:extLst>
            <a:ext uri="{FF2B5EF4-FFF2-40B4-BE49-F238E27FC236}">
              <a16:creationId xmlns:a16="http://schemas.microsoft.com/office/drawing/2014/main" id="{4BC350E8-D2EB-47DE-B5B3-E922DCB15EF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0" name="AutoShape 2" descr="Story">
          <a:hlinkClick xmlns:r="http://schemas.openxmlformats.org/officeDocument/2006/relationships" r:id="rId8"/>
          <a:extLst>
            <a:ext uri="{FF2B5EF4-FFF2-40B4-BE49-F238E27FC236}">
              <a16:creationId xmlns:a16="http://schemas.microsoft.com/office/drawing/2014/main" id="{2E7EBEB6-C52A-477C-B950-0E392CE16D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41" name="AutoShape 3" descr="Story">
          <a:hlinkClick xmlns:r="http://schemas.openxmlformats.org/officeDocument/2006/relationships" r:id="rId4"/>
          <a:extLst>
            <a:ext uri="{FF2B5EF4-FFF2-40B4-BE49-F238E27FC236}">
              <a16:creationId xmlns:a16="http://schemas.microsoft.com/office/drawing/2014/main" id="{83D23477-693A-4F6B-918C-5D8171AAA3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42" name="AutoShape 4" descr="Story">
          <a:hlinkClick xmlns:r="http://schemas.openxmlformats.org/officeDocument/2006/relationships" r:id="rId5"/>
          <a:extLst>
            <a:ext uri="{FF2B5EF4-FFF2-40B4-BE49-F238E27FC236}">
              <a16:creationId xmlns:a16="http://schemas.microsoft.com/office/drawing/2014/main" id="{DD2FC5D1-63CB-43D8-9085-823542F573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3" name="AutoShape 5" descr="Story">
          <a:hlinkClick xmlns:r="http://schemas.openxmlformats.org/officeDocument/2006/relationships" r:id="rId6"/>
          <a:extLst>
            <a:ext uri="{FF2B5EF4-FFF2-40B4-BE49-F238E27FC236}">
              <a16:creationId xmlns:a16="http://schemas.microsoft.com/office/drawing/2014/main" id="{430AAAE2-6962-48D6-B6BB-039CC02656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4" name="AutoShape 1" descr="Sub-task">
          <a:hlinkClick xmlns:r="http://schemas.openxmlformats.org/officeDocument/2006/relationships" r:id="rId9"/>
          <a:extLst>
            <a:ext uri="{FF2B5EF4-FFF2-40B4-BE49-F238E27FC236}">
              <a16:creationId xmlns:a16="http://schemas.microsoft.com/office/drawing/2014/main" id="{CCD36FDD-09A2-455B-98A7-99492E6974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5" name="AutoShape 2" descr="Sub-task">
          <a:hlinkClick xmlns:r="http://schemas.openxmlformats.org/officeDocument/2006/relationships" r:id="rId10"/>
          <a:extLst>
            <a:ext uri="{FF2B5EF4-FFF2-40B4-BE49-F238E27FC236}">
              <a16:creationId xmlns:a16="http://schemas.microsoft.com/office/drawing/2014/main" id="{8445402C-2AA1-43AB-836F-41FF751715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46" name="AutoShape 7" descr="Story">
          <a:hlinkClick xmlns:r="http://schemas.openxmlformats.org/officeDocument/2006/relationships" r:id="rId3"/>
          <a:extLst>
            <a:ext uri="{FF2B5EF4-FFF2-40B4-BE49-F238E27FC236}">
              <a16:creationId xmlns:a16="http://schemas.microsoft.com/office/drawing/2014/main" id="{2198C256-DF63-4884-908D-23EC130723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7" name="AutoShape 3" descr="Story">
          <a:hlinkClick xmlns:r="http://schemas.openxmlformats.org/officeDocument/2006/relationships" r:id="rId11"/>
          <a:extLst>
            <a:ext uri="{FF2B5EF4-FFF2-40B4-BE49-F238E27FC236}">
              <a16:creationId xmlns:a16="http://schemas.microsoft.com/office/drawing/2014/main" id="{DA1790CB-756F-462B-957C-D64F526CA8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8" name="AutoShape 12" descr="Story">
          <a:hlinkClick xmlns:r="http://schemas.openxmlformats.org/officeDocument/2006/relationships" r:id="rId12"/>
          <a:extLst>
            <a:ext uri="{FF2B5EF4-FFF2-40B4-BE49-F238E27FC236}">
              <a16:creationId xmlns:a16="http://schemas.microsoft.com/office/drawing/2014/main" id="{15B837B3-EF15-447B-B7A7-1BF320BC21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49" name="AutoShape 1" descr="Story">
          <a:hlinkClick xmlns:r="http://schemas.openxmlformats.org/officeDocument/2006/relationships" r:id="rId13"/>
          <a:extLst>
            <a:ext uri="{FF2B5EF4-FFF2-40B4-BE49-F238E27FC236}">
              <a16:creationId xmlns:a16="http://schemas.microsoft.com/office/drawing/2014/main" id="{3362A57F-BBE9-4493-9A89-896200DDD8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50" name="AutoShape 1" descr="Story">
          <a:hlinkClick xmlns:r="http://schemas.openxmlformats.org/officeDocument/2006/relationships" r:id="rId13"/>
          <a:extLst>
            <a:ext uri="{FF2B5EF4-FFF2-40B4-BE49-F238E27FC236}">
              <a16:creationId xmlns:a16="http://schemas.microsoft.com/office/drawing/2014/main" id="{D877AB1B-617D-438A-B1D6-C2307B8371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51" name="AutoShape 3" descr="Story">
          <a:hlinkClick xmlns:r="http://schemas.openxmlformats.org/officeDocument/2006/relationships" r:id="rId4"/>
          <a:extLst>
            <a:ext uri="{FF2B5EF4-FFF2-40B4-BE49-F238E27FC236}">
              <a16:creationId xmlns:a16="http://schemas.microsoft.com/office/drawing/2014/main" id="{89D23B7A-57EA-4365-9655-4FC1F53BFE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52" name="AutoShape 4" descr="Story">
          <a:hlinkClick xmlns:r="http://schemas.openxmlformats.org/officeDocument/2006/relationships" r:id="rId5"/>
          <a:extLst>
            <a:ext uri="{FF2B5EF4-FFF2-40B4-BE49-F238E27FC236}">
              <a16:creationId xmlns:a16="http://schemas.microsoft.com/office/drawing/2014/main" id="{288BED4E-5B60-4AA8-B22B-4ECD37DBD0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1279</xdr:row>
      <xdr:rowOff>0</xdr:rowOff>
    </xdr:from>
    <xdr:ext cx="152400" cy="152400"/>
    <xdr:sp macro="" textlink="">
      <xdr:nvSpPr>
        <xdr:cNvPr id="3953" name="AutoShape 7" descr="Story">
          <a:hlinkClick xmlns:r="http://schemas.openxmlformats.org/officeDocument/2006/relationships" r:id="rId3"/>
          <a:extLst>
            <a:ext uri="{FF2B5EF4-FFF2-40B4-BE49-F238E27FC236}">
              <a16:creationId xmlns:a16="http://schemas.microsoft.com/office/drawing/2014/main" id="{509BD3A4-2E2B-4AE8-AF28-7968B8DC22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54" name="AutoShape 8" descr="Story">
          <a:hlinkClick xmlns:r="http://schemas.openxmlformats.org/officeDocument/2006/relationships" r:id="rId4"/>
          <a:extLst>
            <a:ext uri="{FF2B5EF4-FFF2-40B4-BE49-F238E27FC236}">
              <a16:creationId xmlns:a16="http://schemas.microsoft.com/office/drawing/2014/main" id="{4F26C958-FD50-4F0F-A8D1-5F618EBD95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1276</xdr:row>
      <xdr:rowOff>0</xdr:rowOff>
    </xdr:from>
    <xdr:ext cx="152400" cy="152400"/>
    <xdr:sp macro="" textlink="">
      <xdr:nvSpPr>
        <xdr:cNvPr id="3955" name="AutoShape 8" descr="Story">
          <a:hlinkClick xmlns:r="http://schemas.openxmlformats.org/officeDocument/2006/relationships" r:id="rId4"/>
          <a:extLst>
            <a:ext uri="{FF2B5EF4-FFF2-40B4-BE49-F238E27FC236}">
              <a16:creationId xmlns:a16="http://schemas.microsoft.com/office/drawing/2014/main" id="{DA9DFA86-74DE-4502-A4E8-549670D291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1277</xdr:row>
      <xdr:rowOff>0</xdr:rowOff>
    </xdr:from>
    <xdr:to>
      <xdr:col>0</xdr:col>
      <xdr:colOff>152400</xdr:colOff>
      <xdr:row>1277</xdr:row>
      <xdr:rowOff>152400</xdr:rowOff>
    </xdr:to>
    <xdr:sp macro="" textlink="">
      <xdr:nvSpPr>
        <xdr:cNvPr id="3956" name="AutoShape 10" descr="Story">
          <a:hlinkClick xmlns:r="http://schemas.openxmlformats.org/officeDocument/2006/relationships" r:id="rId6"/>
          <a:extLst>
            <a:ext uri="{FF2B5EF4-FFF2-40B4-BE49-F238E27FC236}">
              <a16:creationId xmlns:a16="http://schemas.microsoft.com/office/drawing/2014/main" id="{9DB0D1D7-232E-4884-B651-9467A90582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957" name="AutoShape 14" descr="Story">
          <a:hlinkClick xmlns:r="http://schemas.openxmlformats.org/officeDocument/2006/relationships" r:id="rId4"/>
          <a:extLst>
            <a:ext uri="{FF2B5EF4-FFF2-40B4-BE49-F238E27FC236}">
              <a16:creationId xmlns:a16="http://schemas.microsoft.com/office/drawing/2014/main" id="{3BC8646E-2E5A-4AC0-8F49-CA93409442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958" name="AutoShape 10" descr="Story">
          <a:hlinkClick xmlns:r="http://schemas.openxmlformats.org/officeDocument/2006/relationships" r:id="rId6"/>
          <a:extLst>
            <a:ext uri="{FF2B5EF4-FFF2-40B4-BE49-F238E27FC236}">
              <a16:creationId xmlns:a16="http://schemas.microsoft.com/office/drawing/2014/main" id="{544C36DA-2B18-4390-AC95-D5DB3D0838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1277</xdr:row>
      <xdr:rowOff>0</xdr:rowOff>
    </xdr:from>
    <xdr:to>
      <xdr:col>0</xdr:col>
      <xdr:colOff>152400</xdr:colOff>
      <xdr:row>1277</xdr:row>
      <xdr:rowOff>152400</xdr:rowOff>
    </xdr:to>
    <xdr:sp macro="" textlink="">
      <xdr:nvSpPr>
        <xdr:cNvPr id="3959" name="AutoShape 14" descr="Story">
          <a:hlinkClick xmlns:r="http://schemas.openxmlformats.org/officeDocument/2006/relationships" r:id="rId4"/>
          <a:extLst>
            <a:ext uri="{FF2B5EF4-FFF2-40B4-BE49-F238E27FC236}">
              <a16:creationId xmlns:a16="http://schemas.microsoft.com/office/drawing/2014/main" id="{751F8F06-011A-4EF9-9DC4-51F608EE41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0" name="AutoShape 4" descr="Bug">
          <a:hlinkClick xmlns:r="http://schemas.openxmlformats.org/officeDocument/2006/relationships" r:id="rId1"/>
          <a:extLst>
            <a:ext uri="{FF2B5EF4-FFF2-40B4-BE49-F238E27FC236}">
              <a16:creationId xmlns:a16="http://schemas.microsoft.com/office/drawing/2014/main" id="{D636FFCD-7AA7-4D10-827F-8CEC103898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1" name="AutoShape 6" descr="Bug">
          <a:hlinkClick xmlns:r="http://schemas.openxmlformats.org/officeDocument/2006/relationships" r:id="rId2"/>
          <a:extLst>
            <a:ext uri="{FF2B5EF4-FFF2-40B4-BE49-F238E27FC236}">
              <a16:creationId xmlns:a16="http://schemas.microsoft.com/office/drawing/2014/main" id="{DB336A3B-346B-4686-A2EF-E5FBCA3BE4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2" name="AutoShape 7" descr="Story">
          <a:hlinkClick xmlns:r="http://schemas.openxmlformats.org/officeDocument/2006/relationships" r:id="rId3"/>
          <a:extLst>
            <a:ext uri="{FF2B5EF4-FFF2-40B4-BE49-F238E27FC236}">
              <a16:creationId xmlns:a16="http://schemas.microsoft.com/office/drawing/2014/main" id="{825BF866-29D5-4135-8C0A-2A17925B3D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3" name="AutoShape 8" descr="Story">
          <a:hlinkClick xmlns:r="http://schemas.openxmlformats.org/officeDocument/2006/relationships" r:id="rId4"/>
          <a:extLst>
            <a:ext uri="{FF2B5EF4-FFF2-40B4-BE49-F238E27FC236}">
              <a16:creationId xmlns:a16="http://schemas.microsoft.com/office/drawing/2014/main" id="{B927D1D8-E16D-47C2-92A8-9555CC68D8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4" name="AutoShape 9" descr="Story">
          <a:hlinkClick xmlns:r="http://schemas.openxmlformats.org/officeDocument/2006/relationships" r:id="rId5"/>
          <a:extLst>
            <a:ext uri="{FF2B5EF4-FFF2-40B4-BE49-F238E27FC236}">
              <a16:creationId xmlns:a16="http://schemas.microsoft.com/office/drawing/2014/main" id="{33A4FA2C-75E7-4416-BAD4-129067C292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65" name="AutoShape 13" descr="Story">
          <a:hlinkClick xmlns:r="http://schemas.openxmlformats.org/officeDocument/2006/relationships" r:id="rId4"/>
          <a:extLst>
            <a:ext uri="{FF2B5EF4-FFF2-40B4-BE49-F238E27FC236}">
              <a16:creationId xmlns:a16="http://schemas.microsoft.com/office/drawing/2014/main" id="{C90716B8-5DED-4A69-83D4-782191B3A0B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1282</xdr:row>
      <xdr:rowOff>0</xdr:rowOff>
    </xdr:from>
    <xdr:ext cx="152400" cy="152400"/>
    <xdr:sp macro="" textlink="">
      <xdr:nvSpPr>
        <xdr:cNvPr id="3966" name="AutoShape 1" descr="Story">
          <a:hlinkClick xmlns:r="http://schemas.openxmlformats.org/officeDocument/2006/relationships" r:id="rId7"/>
          <a:extLst>
            <a:ext uri="{FF2B5EF4-FFF2-40B4-BE49-F238E27FC236}">
              <a16:creationId xmlns:a16="http://schemas.microsoft.com/office/drawing/2014/main" id="{AED222AC-08F4-44B9-BE3B-FC2FB84060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67" name="AutoShape 2" descr="Story">
          <a:hlinkClick xmlns:r="http://schemas.openxmlformats.org/officeDocument/2006/relationships" r:id="rId8"/>
          <a:extLst>
            <a:ext uri="{FF2B5EF4-FFF2-40B4-BE49-F238E27FC236}">
              <a16:creationId xmlns:a16="http://schemas.microsoft.com/office/drawing/2014/main" id="{97552605-6D30-4D21-A016-B708B1D979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68" name="AutoShape 5" descr="Story">
          <a:hlinkClick xmlns:r="http://schemas.openxmlformats.org/officeDocument/2006/relationships" r:id="rId6"/>
          <a:extLst>
            <a:ext uri="{FF2B5EF4-FFF2-40B4-BE49-F238E27FC236}">
              <a16:creationId xmlns:a16="http://schemas.microsoft.com/office/drawing/2014/main" id="{82ADC8C1-0AC0-4D5C-B8D1-7727C1F47D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69" name="AutoShape 1" descr="Sub-task">
          <a:hlinkClick xmlns:r="http://schemas.openxmlformats.org/officeDocument/2006/relationships" r:id="rId9"/>
          <a:extLst>
            <a:ext uri="{FF2B5EF4-FFF2-40B4-BE49-F238E27FC236}">
              <a16:creationId xmlns:a16="http://schemas.microsoft.com/office/drawing/2014/main" id="{966B5A6D-5ABB-4149-8697-42865125A1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0" name="AutoShape 2" descr="Sub-task">
          <a:hlinkClick xmlns:r="http://schemas.openxmlformats.org/officeDocument/2006/relationships" r:id="rId10"/>
          <a:extLst>
            <a:ext uri="{FF2B5EF4-FFF2-40B4-BE49-F238E27FC236}">
              <a16:creationId xmlns:a16="http://schemas.microsoft.com/office/drawing/2014/main" id="{16EBEA3D-F136-4A46-93AA-395666B34A6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1" name="AutoShape 3" descr="Story">
          <a:hlinkClick xmlns:r="http://schemas.openxmlformats.org/officeDocument/2006/relationships" r:id="rId11"/>
          <a:extLst>
            <a:ext uri="{FF2B5EF4-FFF2-40B4-BE49-F238E27FC236}">
              <a16:creationId xmlns:a16="http://schemas.microsoft.com/office/drawing/2014/main" id="{9B9B310A-0C32-444E-BADE-ED58C41952B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2" name="AutoShape 12" descr="Story">
          <a:hlinkClick xmlns:r="http://schemas.openxmlformats.org/officeDocument/2006/relationships" r:id="rId12"/>
          <a:extLst>
            <a:ext uri="{FF2B5EF4-FFF2-40B4-BE49-F238E27FC236}">
              <a16:creationId xmlns:a16="http://schemas.microsoft.com/office/drawing/2014/main" id="{78F0B2F5-7A7B-427B-B43E-B67926F8E8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3" name="AutoShape 1" descr="Story">
          <a:hlinkClick xmlns:r="http://schemas.openxmlformats.org/officeDocument/2006/relationships" r:id="rId13"/>
          <a:extLst>
            <a:ext uri="{FF2B5EF4-FFF2-40B4-BE49-F238E27FC236}">
              <a16:creationId xmlns:a16="http://schemas.microsoft.com/office/drawing/2014/main" id="{93C42417-2DCA-4D89-AA91-FE165BC5A3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4" name="AutoShape 1" descr="Story">
          <a:hlinkClick xmlns:r="http://schemas.openxmlformats.org/officeDocument/2006/relationships" r:id="rId13"/>
          <a:extLst>
            <a:ext uri="{FF2B5EF4-FFF2-40B4-BE49-F238E27FC236}">
              <a16:creationId xmlns:a16="http://schemas.microsoft.com/office/drawing/2014/main" id="{BE92107E-A9FF-4FC0-A2B1-79C3CACED4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5" name="AutoShape 3" descr="Story">
          <a:hlinkClick xmlns:r="http://schemas.openxmlformats.org/officeDocument/2006/relationships" r:id="rId4"/>
          <a:extLst>
            <a:ext uri="{FF2B5EF4-FFF2-40B4-BE49-F238E27FC236}">
              <a16:creationId xmlns:a16="http://schemas.microsoft.com/office/drawing/2014/main" id="{B3CB3786-B7AA-4136-BE7D-57E5523E89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6" name="AutoShape 4" descr="Story">
          <a:hlinkClick xmlns:r="http://schemas.openxmlformats.org/officeDocument/2006/relationships" r:id="rId5"/>
          <a:extLst>
            <a:ext uri="{FF2B5EF4-FFF2-40B4-BE49-F238E27FC236}">
              <a16:creationId xmlns:a16="http://schemas.microsoft.com/office/drawing/2014/main" id="{34360A90-C7AE-4DAF-88AD-89FC0A77EAA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7" name="AutoShape 3" descr="Story">
          <a:hlinkClick xmlns:r="http://schemas.openxmlformats.org/officeDocument/2006/relationships" r:id="rId4"/>
          <a:extLst>
            <a:ext uri="{FF2B5EF4-FFF2-40B4-BE49-F238E27FC236}">
              <a16:creationId xmlns:a16="http://schemas.microsoft.com/office/drawing/2014/main" id="{212D7444-9B1D-426E-B3CB-0FF96D0722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8" name="AutoShape 4" descr="Story">
          <a:hlinkClick xmlns:r="http://schemas.openxmlformats.org/officeDocument/2006/relationships" r:id="rId5"/>
          <a:extLst>
            <a:ext uri="{FF2B5EF4-FFF2-40B4-BE49-F238E27FC236}">
              <a16:creationId xmlns:a16="http://schemas.microsoft.com/office/drawing/2014/main" id="{BD5E422C-092C-4906-BBBD-9E68B6F59E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79" name="AutoShape 7" descr="Story">
          <a:hlinkClick xmlns:r="http://schemas.openxmlformats.org/officeDocument/2006/relationships" r:id="rId3"/>
          <a:extLst>
            <a:ext uri="{FF2B5EF4-FFF2-40B4-BE49-F238E27FC236}">
              <a16:creationId xmlns:a16="http://schemas.microsoft.com/office/drawing/2014/main" id="{0BC9D35C-C725-4537-96E8-F6A655BF5B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80" name="AutoShape 8" descr="Story">
          <a:hlinkClick xmlns:r="http://schemas.openxmlformats.org/officeDocument/2006/relationships" r:id="rId4"/>
          <a:extLst>
            <a:ext uri="{FF2B5EF4-FFF2-40B4-BE49-F238E27FC236}">
              <a16:creationId xmlns:a16="http://schemas.microsoft.com/office/drawing/2014/main" id="{38693B34-ABC4-4EF9-B141-7463D35D483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81" name="AutoShape 8" descr="Story">
          <a:hlinkClick xmlns:r="http://schemas.openxmlformats.org/officeDocument/2006/relationships" r:id="rId4"/>
          <a:extLst>
            <a:ext uri="{FF2B5EF4-FFF2-40B4-BE49-F238E27FC236}">
              <a16:creationId xmlns:a16="http://schemas.microsoft.com/office/drawing/2014/main" id="{23129136-EB6D-476F-AE94-98CAADBB8D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1282</xdr:row>
      <xdr:rowOff>0</xdr:rowOff>
    </xdr:from>
    <xdr:to>
      <xdr:col>0</xdr:col>
      <xdr:colOff>152400</xdr:colOff>
      <xdr:row>1282</xdr:row>
      <xdr:rowOff>152400</xdr:rowOff>
    </xdr:to>
    <xdr:sp macro="" textlink="">
      <xdr:nvSpPr>
        <xdr:cNvPr id="3982" name="AutoShape 4" descr="Bug">
          <a:hlinkClick xmlns:r="http://schemas.openxmlformats.org/officeDocument/2006/relationships" r:id="rId1"/>
          <a:extLst>
            <a:ext uri="{FF2B5EF4-FFF2-40B4-BE49-F238E27FC236}">
              <a16:creationId xmlns:a16="http://schemas.microsoft.com/office/drawing/2014/main" id="{8F659CC8-94DE-4071-A4F2-824647E5DB6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83" name="AutoShape 6" descr="Bug">
          <a:hlinkClick xmlns:r="http://schemas.openxmlformats.org/officeDocument/2006/relationships" r:id="rId2"/>
          <a:extLst>
            <a:ext uri="{FF2B5EF4-FFF2-40B4-BE49-F238E27FC236}">
              <a16:creationId xmlns:a16="http://schemas.microsoft.com/office/drawing/2014/main" id="{12EF714C-D13B-43AE-AAEE-410F1A4BC7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84" name="AutoShape 7" descr="Story">
          <a:hlinkClick xmlns:r="http://schemas.openxmlformats.org/officeDocument/2006/relationships" r:id="rId3"/>
          <a:extLst>
            <a:ext uri="{FF2B5EF4-FFF2-40B4-BE49-F238E27FC236}">
              <a16:creationId xmlns:a16="http://schemas.microsoft.com/office/drawing/2014/main" id="{CAB16EBE-0672-4756-95C6-7A8D8D1AEF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85" name="AutoShape 8" descr="Story">
          <a:hlinkClick xmlns:r="http://schemas.openxmlformats.org/officeDocument/2006/relationships" r:id="rId4"/>
          <a:extLst>
            <a:ext uri="{FF2B5EF4-FFF2-40B4-BE49-F238E27FC236}">
              <a16:creationId xmlns:a16="http://schemas.microsoft.com/office/drawing/2014/main" id="{7174FD0C-C965-4A93-AE6A-AB0A9EB05A9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86" name="AutoShape 9" descr="Story">
          <a:hlinkClick xmlns:r="http://schemas.openxmlformats.org/officeDocument/2006/relationships" r:id="rId5"/>
          <a:extLst>
            <a:ext uri="{FF2B5EF4-FFF2-40B4-BE49-F238E27FC236}">
              <a16:creationId xmlns:a16="http://schemas.microsoft.com/office/drawing/2014/main" id="{DE945A65-991B-4E8A-96F9-8C65728CDB6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3987" name="AutoShape 13" descr="Story">
          <a:hlinkClick xmlns:r="http://schemas.openxmlformats.org/officeDocument/2006/relationships" r:id="rId4"/>
          <a:extLst>
            <a:ext uri="{FF2B5EF4-FFF2-40B4-BE49-F238E27FC236}">
              <a16:creationId xmlns:a16="http://schemas.microsoft.com/office/drawing/2014/main" id="{33F7545C-D371-43DE-B2C9-401E14B698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1282</xdr:row>
      <xdr:rowOff>0</xdr:rowOff>
    </xdr:from>
    <xdr:ext cx="152400" cy="152400"/>
    <xdr:sp macro="" textlink="">
      <xdr:nvSpPr>
        <xdr:cNvPr id="3988" name="AutoShape 1" descr="Story">
          <a:hlinkClick xmlns:r="http://schemas.openxmlformats.org/officeDocument/2006/relationships" r:id="rId7"/>
          <a:extLst>
            <a:ext uri="{FF2B5EF4-FFF2-40B4-BE49-F238E27FC236}">
              <a16:creationId xmlns:a16="http://schemas.microsoft.com/office/drawing/2014/main" id="{818E4216-A41E-4EFC-8CE1-7DCE7A51E2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89" name="AutoShape 2" descr="Story">
          <a:hlinkClick xmlns:r="http://schemas.openxmlformats.org/officeDocument/2006/relationships" r:id="rId8"/>
          <a:extLst>
            <a:ext uri="{FF2B5EF4-FFF2-40B4-BE49-F238E27FC236}">
              <a16:creationId xmlns:a16="http://schemas.microsoft.com/office/drawing/2014/main" id="{7DEFD3EA-3DD1-4FED-ACF8-1283BA1982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0" name="AutoShape 5" descr="Story">
          <a:hlinkClick xmlns:r="http://schemas.openxmlformats.org/officeDocument/2006/relationships" r:id="rId6"/>
          <a:extLst>
            <a:ext uri="{FF2B5EF4-FFF2-40B4-BE49-F238E27FC236}">
              <a16:creationId xmlns:a16="http://schemas.microsoft.com/office/drawing/2014/main" id="{9C57EF8F-373D-47D4-A251-4A8783D03A1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1" name="AutoShape 1" descr="Sub-task">
          <a:hlinkClick xmlns:r="http://schemas.openxmlformats.org/officeDocument/2006/relationships" r:id="rId9"/>
          <a:extLst>
            <a:ext uri="{FF2B5EF4-FFF2-40B4-BE49-F238E27FC236}">
              <a16:creationId xmlns:a16="http://schemas.microsoft.com/office/drawing/2014/main" id="{ED98436E-C0CD-4E50-B0E9-3FAF6DF37C4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2" name="AutoShape 2" descr="Sub-task">
          <a:hlinkClick xmlns:r="http://schemas.openxmlformats.org/officeDocument/2006/relationships" r:id="rId10"/>
          <a:extLst>
            <a:ext uri="{FF2B5EF4-FFF2-40B4-BE49-F238E27FC236}">
              <a16:creationId xmlns:a16="http://schemas.microsoft.com/office/drawing/2014/main" id="{21988F8D-933C-4A12-81BB-430AC8DC3CE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3" name="AutoShape 3" descr="Story">
          <a:hlinkClick xmlns:r="http://schemas.openxmlformats.org/officeDocument/2006/relationships" r:id="rId11"/>
          <a:extLst>
            <a:ext uri="{FF2B5EF4-FFF2-40B4-BE49-F238E27FC236}">
              <a16:creationId xmlns:a16="http://schemas.microsoft.com/office/drawing/2014/main" id="{A53F54B5-CC10-4D82-89F3-4758CB61F0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4" name="AutoShape 12" descr="Story">
          <a:hlinkClick xmlns:r="http://schemas.openxmlformats.org/officeDocument/2006/relationships" r:id="rId12"/>
          <a:extLst>
            <a:ext uri="{FF2B5EF4-FFF2-40B4-BE49-F238E27FC236}">
              <a16:creationId xmlns:a16="http://schemas.microsoft.com/office/drawing/2014/main" id="{2DEEC6B9-4951-4D88-A6F6-05946B921F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5" name="AutoShape 1" descr="Story">
          <a:hlinkClick xmlns:r="http://schemas.openxmlformats.org/officeDocument/2006/relationships" r:id="rId13"/>
          <a:extLst>
            <a:ext uri="{FF2B5EF4-FFF2-40B4-BE49-F238E27FC236}">
              <a16:creationId xmlns:a16="http://schemas.microsoft.com/office/drawing/2014/main" id="{5F48129D-837D-4D76-A387-58FE767146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6" name="AutoShape 1" descr="Story">
          <a:hlinkClick xmlns:r="http://schemas.openxmlformats.org/officeDocument/2006/relationships" r:id="rId13"/>
          <a:extLst>
            <a:ext uri="{FF2B5EF4-FFF2-40B4-BE49-F238E27FC236}">
              <a16:creationId xmlns:a16="http://schemas.microsoft.com/office/drawing/2014/main" id="{2D934047-45ED-42ED-97FB-7EA68C564C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7" name="AutoShape 3" descr="Story">
          <a:hlinkClick xmlns:r="http://schemas.openxmlformats.org/officeDocument/2006/relationships" r:id="rId4"/>
          <a:extLst>
            <a:ext uri="{FF2B5EF4-FFF2-40B4-BE49-F238E27FC236}">
              <a16:creationId xmlns:a16="http://schemas.microsoft.com/office/drawing/2014/main" id="{8BE3453B-CB1F-4052-A83F-1092F4969E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8" name="AutoShape 4" descr="Story">
          <a:hlinkClick xmlns:r="http://schemas.openxmlformats.org/officeDocument/2006/relationships" r:id="rId5"/>
          <a:extLst>
            <a:ext uri="{FF2B5EF4-FFF2-40B4-BE49-F238E27FC236}">
              <a16:creationId xmlns:a16="http://schemas.microsoft.com/office/drawing/2014/main" id="{0D8AF2AE-CB3F-4C24-A78D-485C453C4B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3999" name="AutoShape 3" descr="Story">
          <a:hlinkClick xmlns:r="http://schemas.openxmlformats.org/officeDocument/2006/relationships" r:id="rId4"/>
          <a:extLst>
            <a:ext uri="{FF2B5EF4-FFF2-40B4-BE49-F238E27FC236}">
              <a16:creationId xmlns:a16="http://schemas.microsoft.com/office/drawing/2014/main" id="{72DD547B-FD41-48DF-9A9F-F0114686BA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00" name="AutoShape 4" descr="Story">
          <a:hlinkClick xmlns:r="http://schemas.openxmlformats.org/officeDocument/2006/relationships" r:id="rId5"/>
          <a:extLst>
            <a:ext uri="{FF2B5EF4-FFF2-40B4-BE49-F238E27FC236}">
              <a16:creationId xmlns:a16="http://schemas.microsoft.com/office/drawing/2014/main" id="{3006600B-F272-4EE7-9815-456B8718AC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01" name="AutoShape 7" descr="Story">
          <a:hlinkClick xmlns:r="http://schemas.openxmlformats.org/officeDocument/2006/relationships" r:id="rId3"/>
          <a:extLst>
            <a:ext uri="{FF2B5EF4-FFF2-40B4-BE49-F238E27FC236}">
              <a16:creationId xmlns:a16="http://schemas.microsoft.com/office/drawing/2014/main" id="{E02E709B-8028-48A2-A27A-80DDC4E507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02" name="AutoShape 8" descr="Story">
          <a:hlinkClick xmlns:r="http://schemas.openxmlformats.org/officeDocument/2006/relationships" r:id="rId4"/>
          <a:extLst>
            <a:ext uri="{FF2B5EF4-FFF2-40B4-BE49-F238E27FC236}">
              <a16:creationId xmlns:a16="http://schemas.microsoft.com/office/drawing/2014/main" id="{3D473A4F-344E-4D9C-A61A-19E2B4FB47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03" name="AutoShape 8" descr="Story">
          <a:hlinkClick xmlns:r="http://schemas.openxmlformats.org/officeDocument/2006/relationships" r:id="rId4"/>
          <a:extLst>
            <a:ext uri="{FF2B5EF4-FFF2-40B4-BE49-F238E27FC236}">
              <a16:creationId xmlns:a16="http://schemas.microsoft.com/office/drawing/2014/main" id="{C956D496-984F-4FF1-82FA-7962396E15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1282</xdr:row>
      <xdr:rowOff>0</xdr:rowOff>
    </xdr:from>
    <xdr:to>
      <xdr:col>0</xdr:col>
      <xdr:colOff>152400</xdr:colOff>
      <xdr:row>1282</xdr:row>
      <xdr:rowOff>152400</xdr:rowOff>
    </xdr:to>
    <xdr:sp macro="" textlink="">
      <xdr:nvSpPr>
        <xdr:cNvPr id="4004" name="AutoShape 4" descr="Bug">
          <a:hlinkClick xmlns:r="http://schemas.openxmlformats.org/officeDocument/2006/relationships" r:id="rId1"/>
          <a:extLst>
            <a:ext uri="{FF2B5EF4-FFF2-40B4-BE49-F238E27FC236}">
              <a16:creationId xmlns:a16="http://schemas.microsoft.com/office/drawing/2014/main" id="{2ED5CB85-64D0-4DA0-8891-F62448539F2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05" name="AutoShape 6" descr="Bug">
          <a:hlinkClick xmlns:r="http://schemas.openxmlformats.org/officeDocument/2006/relationships" r:id="rId2"/>
          <a:extLst>
            <a:ext uri="{FF2B5EF4-FFF2-40B4-BE49-F238E27FC236}">
              <a16:creationId xmlns:a16="http://schemas.microsoft.com/office/drawing/2014/main" id="{FDA826FE-F102-42FE-9A05-B3D67BF8C7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06" name="AutoShape 7" descr="Story">
          <a:hlinkClick xmlns:r="http://schemas.openxmlformats.org/officeDocument/2006/relationships" r:id="rId3"/>
          <a:extLst>
            <a:ext uri="{FF2B5EF4-FFF2-40B4-BE49-F238E27FC236}">
              <a16:creationId xmlns:a16="http://schemas.microsoft.com/office/drawing/2014/main" id="{E878AE14-056A-4FE8-BE7E-4C2AE9297F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07" name="AutoShape 8" descr="Story">
          <a:hlinkClick xmlns:r="http://schemas.openxmlformats.org/officeDocument/2006/relationships" r:id="rId4"/>
          <a:extLst>
            <a:ext uri="{FF2B5EF4-FFF2-40B4-BE49-F238E27FC236}">
              <a16:creationId xmlns:a16="http://schemas.microsoft.com/office/drawing/2014/main" id="{3ED6B2CC-8930-47A5-B0E1-6EB334E5CE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08" name="AutoShape 9" descr="Story">
          <a:hlinkClick xmlns:r="http://schemas.openxmlformats.org/officeDocument/2006/relationships" r:id="rId5"/>
          <a:extLst>
            <a:ext uri="{FF2B5EF4-FFF2-40B4-BE49-F238E27FC236}">
              <a16:creationId xmlns:a16="http://schemas.microsoft.com/office/drawing/2014/main" id="{18C8F9C2-7B4A-4BB1-81DE-CCBED0DCFE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09" name="AutoShape 13" descr="Story">
          <a:hlinkClick xmlns:r="http://schemas.openxmlformats.org/officeDocument/2006/relationships" r:id="rId4"/>
          <a:extLst>
            <a:ext uri="{FF2B5EF4-FFF2-40B4-BE49-F238E27FC236}">
              <a16:creationId xmlns:a16="http://schemas.microsoft.com/office/drawing/2014/main" id="{FED944CB-E97F-40AA-92BB-E8690334BF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1282</xdr:row>
      <xdr:rowOff>0</xdr:rowOff>
    </xdr:from>
    <xdr:ext cx="152400" cy="152400"/>
    <xdr:sp macro="" textlink="">
      <xdr:nvSpPr>
        <xdr:cNvPr id="4010" name="AutoShape 1" descr="Story">
          <a:hlinkClick xmlns:r="http://schemas.openxmlformats.org/officeDocument/2006/relationships" r:id="rId7"/>
          <a:extLst>
            <a:ext uri="{FF2B5EF4-FFF2-40B4-BE49-F238E27FC236}">
              <a16:creationId xmlns:a16="http://schemas.microsoft.com/office/drawing/2014/main" id="{5128C022-97FA-4D4A-9409-5B2B2084C6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1" name="AutoShape 2" descr="Story">
          <a:hlinkClick xmlns:r="http://schemas.openxmlformats.org/officeDocument/2006/relationships" r:id="rId8"/>
          <a:extLst>
            <a:ext uri="{FF2B5EF4-FFF2-40B4-BE49-F238E27FC236}">
              <a16:creationId xmlns:a16="http://schemas.microsoft.com/office/drawing/2014/main" id="{DC1279FC-5A61-4BFA-9869-E87473BB29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2" name="AutoShape 5" descr="Story">
          <a:hlinkClick xmlns:r="http://schemas.openxmlformats.org/officeDocument/2006/relationships" r:id="rId6"/>
          <a:extLst>
            <a:ext uri="{FF2B5EF4-FFF2-40B4-BE49-F238E27FC236}">
              <a16:creationId xmlns:a16="http://schemas.microsoft.com/office/drawing/2014/main" id="{3D10DD82-B537-4F46-A4A8-5076344F5B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3" name="AutoShape 1" descr="Sub-task">
          <a:hlinkClick xmlns:r="http://schemas.openxmlformats.org/officeDocument/2006/relationships" r:id="rId9"/>
          <a:extLst>
            <a:ext uri="{FF2B5EF4-FFF2-40B4-BE49-F238E27FC236}">
              <a16:creationId xmlns:a16="http://schemas.microsoft.com/office/drawing/2014/main" id="{6FA5F894-C769-4509-8C5F-E8DCEBE7970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4" name="AutoShape 2" descr="Sub-task">
          <a:hlinkClick xmlns:r="http://schemas.openxmlformats.org/officeDocument/2006/relationships" r:id="rId10"/>
          <a:extLst>
            <a:ext uri="{FF2B5EF4-FFF2-40B4-BE49-F238E27FC236}">
              <a16:creationId xmlns:a16="http://schemas.microsoft.com/office/drawing/2014/main" id="{FE9E1F26-1832-4C5D-917A-C268B6051D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5" name="AutoShape 3" descr="Story">
          <a:hlinkClick xmlns:r="http://schemas.openxmlformats.org/officeDocument/2006/relationships" r:id="rId11"/>
          <a:extLst>
            <a:ext uri="{FF2B5EF4-FFF2-40B4-BE49-F238E27FC236}">
              <a16:creationId xmlns:a16="http://schemas.microsoft.com/office/drawing/2014/main" id="{3C198C3D-6148-4D07-8AFB-937701EEEF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6" name="AutoShape 12" descr="Story">
          <a:hlinkClick xmlns:r="http://schemas.openxmlformats.org/officeDocument/2006/relationships" r:id="rId12"/>
          <a:extLst>
            <a:ext uri="{FF2B5EF4-FFF2-40B4-BE49-F238E27FC236}">
              <a16:creationId xmlns:a16="http://schemas.microsoft.com/office/drawing/2014/main" id="{A2E3F4B6-24C7-41EF-BE46-0F2B12C5CF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7" name="AutoShape 1" descr="Story">
          <a:hlinkClick xmlns:r="http://schemas.openxmlformats.org/officeDocument/2006/relationships" r:id="rId13"/>
          <a:extLst>
            <a:ext uri="{FF2B5EF4-FFF2-40B4-BE49-F238E27FC236}">
              <a16:creationId xmlns:a16="http://schemas.microsoft.com/office/drawing/2014/main" id="{4F42AF49-3001-4FD0-BBBF-A89586BE54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8" name="AutoShape 1" descr="Story">
          <a:hlinkClick xmlns:r="http://schemas.openxmlformats.org/officeDocument/2006/relationships" r:id="rId13"/>
          <a:extLst>
            <a:ext uri="{FF2B5EF4-FFF2-40B4-BE49-F238E27FC236}">
              <a16:creationId xmlns:a16="http://schemas.microsoft.com/office/drawing/2014/main" id="{3B85C621-10B5-4C83-B8F6-903CD71A63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19" name="AutoShape 3" descr="Story">
          <a:hlinkClick xmlns:r="http://schemas.openxmlformats.org/officeDocument/2006/relationships" r:id="rId4"/>
          <a:extLst>
            <a:ext uri="{FF2B5EF4-FFF2-40B4-BE49-F238E27FC236}">
              <a16:creationId xmlns:a16="http://schemas.microsoft.com/office/drawing/2014/main" id="{061797B6-4D57-4DAE-83F6-976ABBA691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0" name="AutoShape 4" descr="Story">
          <a:hlinkClick xmlns:r="http://schemas.openxmlformats.org/officeDocument/2006/relationships" r:id="rId5"/>
          <a:extLst>
            <a:ext uri="{FF2B5EF4-FFF2-40B4-BE49-F238E27FC236}">
              <a16:creationId xmlns:a16="http://schemas.microsoft.com/office/drawing/2014/main" id="{D01B1E92-F7F6-4661-8288-F760750242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1" name="AutoShape 3" descr="Story">
          <a:hlinkClick xmlns:r="http://schemas.openxmlformats.org/officeDocument/2006/relationships" r:id="rId4"/>
          <a:extLst>
            <a:ext uri="{FF2B5EF4-FFF2-40B4-BE49-F238E27FC236}">
              <a16:creationId xmlns:a16="http://schemas.microsoft.com/office/drawing/2014/main" id="{B3783478-F3C9-4A88-9012-46D94B101B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2" name="AutoShape 4" descr="Story">
          <a:hlinkClick xmlns:r="http://schemas.openxmlformats.org/officeDocument/2006/relationships" r:id="rId5"/>
          <a:extLst>
            <a:ext uri="{FF2B5EF4-FFF2-40B4-BE49-F238E27FC236}">
              <a16:creationId xmlns:a16="http://schemas.microsoft.com/office/drawing/2014/main" id="{8BE0A099-D9D6-4CEB-9BCF-775ED61DECF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3" name="AutoShape 7" descr="Story">
          <a:hlinkClick xmlns:r="http://schemas.openxmlformats.org/officeDocument/2006/relationships" r:id="rId3"/>
          <a:extLst>
            <a:ext uri="{FF2B5EF4-FFF2-40B4-BE49-F238E27FC236}">
              <a16:creationId xmlns:a16="http://schemas.microsoft.com/office/drawing/2014/main" id="{939BA390-B3B8-45A1-BA98-46A705044D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4" name="AutoShape 8" descr="Story">
          <a:hlinkClick xmlns:r="http://schemas.openxmlformats.org/officeDocument/2006/relationships" r:id="rId4"/>
          <a:extLst>
            <a:ext uri="{FF2B5EF4-FFF2-40B4-BE49-F238E27FC236}">
              <a16:creationId xmlns:a16="http://schemas.microsoft.com/office/drawing/2014/main" id="{57EFFAD6-A5A3-4F76-89DF-49617FA4CED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25" name="AutoShape 8" descr="Story">
          <a:hlinkClick xmlns:r="http://schemas.openxmlformats.org/officeDocument/2006/relationships" r:id="rId4"/>
          <a:extLst>
            <a:ext uri="{FF2B5EF4-FFF2-40B4-BE49-F238E27FC236}">
              <a16:creationId xmlns:a16="http://schemas.microsoft.com/office/drawing/2014/main" id="{711B989E-BF4C-4667-BFA3-6FA14295EF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1282</xdr:row>
      <xdr:rowOff>0</xdr:rowOff>
    </xdr:from>
    <xdr:to>
      <xdr:col>0</xdr:col>
      <xdr:colOff>152400</xdr:colOff>
      <xdr:row>1282</xdr:row>
      <xdr:rowOff>152400</xdr:rowOff>
    </xdr:to>
    <xdr:sp macro="" textlink="">
      <xdr:nvSpPr>
        <xdr:cNvPr id="4026" name="AutoShape 4" descr="Bug">
          <a:hlinkClick xmlns:r="http://schemas.openxmlformats.org/officeDocument/2006/relationships" r:id="rId1"/>
          <a:extLst>
            <a:ext uri="{FF2B5EF4-FFF2-40B4-BE49-F238E27FC236}">
              <a16:creationId xmlns:a16="http://schemas.microsoft.com/office/drawing/2014/main" id="{874D7544-7859-49E1-8C71-59A1201E20B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27" name="AutoShape 6" descr="Bug">
          <a:hlinkClick xmlns:r="http://schemas.openxmlformats.org/officeDocument/2006/relationships" r:id="rId2"/>
          <a:extLst>
            <a:ext uri="{FF2B5EF4-FFF2-40B4-BE49-F238E27FC236}">
              <a16:creationId xmlns:a16="http://schemas.microsoft.com/office/drawing/2014/main" id="{D3737A66-5A19-4956-ACA6-81C7BC80CD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28" name="AutoShape 7" descr="Story">
          <a:hlinkClick xmlns:r="http://schemas.openxmlformats.org/officeDocument/2006/relationships" r:id="rId3"/>
          <a:extLst>
            <a:ext uri="{FF2B5EF4-FFF2-40B4-BE49-F238E27FC236}">
              <a16:creationId xmlns:a16="http://schemas.microsoft.com/office/drawing/2014/main" id="{66A01F51-EE21-410D-8493-368067A7DB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29" name="AutoShape 8" descr="Story">
          <a:hlinkClick xmlns:r="http://schemas.openxmlformats.org/officeDocument/2006/relationships" r:id="rId4"/>
          <a:extLst>
            <a:ext uri="{FF2B5EF4-FFF2-40B4-BE49-F238E27FC236}">
              <a16:creationId xmlns:a16="http://schemas.microsoft.com/office/drawing/2014/main" id="{58A53C5D-4D28-494A-A5B2-19923B4221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30" name="AutoShape 9" descr="Story">
          <a:hlinkClick xmlns:r="http://schemas.openxmlformats.org/officeDocument/2006/relationships" r:id="rId5"/>
          <a:extLst>
            <a:ext uri="{FF2B5EF4-FFF2-40B4-BE49-F238E27FC236}">
              <a16:creationId xmlns:a16="http://schemas.microsoft.com/office/drawing/2014/main" id="{4F41401C-0229-401A-BCE6-B661DCF527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1282</xdr:row>
      <xdr:rowOff>0</xdr:rowOff>
    </xdr:from>
    <xdr:to>
      <xdr:col>0</xdr:col>
      <xdr:colOff>152400</xdr:colOff>
      <xdr:row>1282</xdr:row>
      <xdr:rowOff>152400</xdr:rowOff>
    </xdr:to>
    <xdr:sp macro="" textlink="">
      <xdr:nvSpPr>
        <xdr:cNvPr id="4031" name="AutoShape 13" descr="Story">
          <a:hlinkClick xmlns:r="http://schemas.openxmlformats.org/officeDocument/2006/relationships" r:id="rId4"/>
          <a:extLst>
            <a:ext uri="{FF2B5EF4-FFF2-40B4-BE49-F238E27FC236}">
              <a16:creationId xmlns:a16="http://schemas.microsoft.com/office/drawing/2014/main" id="{4B4F9D96-F1F0-4501-A343-063CD44476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1282</xdr:row>
      <xdr:rowOff>0</xdr:rowOff>
    </xdr:from>
    <xdr:ext cx="152400" cy="152400"/>
    <xdr:sp macro="" textlink="">
      <xdr:nvSpPr>
        <xdr:cNvPr id="4032" name="AutoShape 1" descr="Story">
          <a:hlinkClick xmlns:r="http://schemas.openxmlformats.org/officeDocument/2006/relationships" r:id="rId7"/>
          <a:extLst>
            <a:ext uri="{FF2B5EF4-FFF2-40B4-BE49-F238E27FC236}">
              <a16:creationId xmlns:a16="http://schemas.microsoft.com/office/drawing/2014/main" id="{7C81C6B9-E4E3-4A36-A979-104AC21F35A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3" name="AutoShape 2" descr="Story">
          <a:hlinkClick xmlns:r="http://schemas.openxmlformats.org/officeDocument/2006/relationships" r:id="rId8"/>
          <a:extLst>
            <a:ext uri="{FF2B5EF4-FFF2-40B4-BE49-F238E27FC236}">
              <a16:creationId xmlns:a16="http://schemas.microsoft.com/office/drawing/2014/main" id="{523E96CF-B024-4915-83A0-F350C9FAB6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4" name="AutoShape 5" descr="Story">
          <a:hlinkClick xmlns:r="http://schemas.openxmlformats.org/officeDocument/2006/relationships" r:id="rId6"/>
          <a:extLst>
            <a:ext uri="{FF2B5EF4-FFF2-40B4-BE49-F238E27FC236}">
              <a16:creationId xmlns:a16="http://schemas.microsoft.com/office/drawing/2014/main" id="{06A619FA-6A7C-4D15-BA99-C7DC00B725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5" name="AutoShape 1" descr="Sub-task">
          <a:hlinkClick xmlns:r="http://schemas.openxmlformats.org/officeDocument/2006/relationships" r:id="rId9"/>
          <a:extLst>
            <a:ext uri="{FF2B5EF4-FFF2-40B4-BE49-F238E27FC236}">
              <a16:creationId xmlns:a16="http://schemas.microsoft.com/office/drawing/2014/main" id="{352F5116-B83D-4815-AC75-3F32EFF845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6" name="AutoShape 2" descr="Sub-task">
          <a:hlinkClick xmlns:r="http://schemas.openxmlformats.org/officeDocument/2006/relationships" r:id="rId10"/>
          <a:extLst>
            <a:ext uri="{FF2B5EF4-FFF2-40B4-BE49-F238E27FC236}">
              <a16:creationId xmlns:a16="http://schemas.microsoft.com/office/drawing/2014/main" id="{B62D4650-D776-41E3-91E4-8BF229014C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7" name="AutoShape 3" descr="Story">
          <a:hlinkClick xmlns:r="http://schemas.openxmlformats.org/officeDocument/2006/relationships" r:id="rId11"/>
          <a:extLst>
            <a:ext uri="{FF2B5EF4-FFF2-40B4-BE49-F238E27FC236}">
              <a16:creationId xmlns:a16="http://schemas.microsoft.com/office/drawing/2014/main" id="{B870DDAE-5DC6-4BA5-AD66-27EDDDFBE3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8" name="AutoShape 12" descr="Story">
          <a:hlinkClick xmlns:r="http://schemas.openxmlformats.org/officeDocument/2006/relationships" r:id="rId12"/>
          <a:extLst>
            <a:ext uri="{FF2B5EF4-FFF2-40B4-BE49-F238E27FC236}">
              <a16:creationId xmlns:a16="http://schemas.microsoft.com/office/drawing/2014/main" id="{30BC8840-0763-407A-8FF4-8B628D8C0B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39" name="AutoShape 1" descr="Story">
          <a:hlinkClick xmlns:r="http://schemas.openxmlformats.org/officeDocument/2006/relationships" r:id="rId13"/>
          <a:extLst>
            <a:ext uri="{FF2B5EF4-FFF2-40B4-BE49-F238E27FC236}">
              <a16:creationId xmlns:a16="http://schemas.microsoft.com/office/drawing/2014/main" id="{183AED37-6BF2-4125-A46E-57B4C66464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0" name="AutoShape 1" descr="Story">
          <a:hlinkClick xmlns:r="http://schemas.openxmlformats.org/officeDocument/2006/relationships" r:id="rId13"/>
          <a:extLst>
            <a:ext uri="{FF2B5EF4-FFF2-40B4-BE49-F238E27FC236}">
              <a16:creationId xmlns:a16="http://schemas.microsoft.com/office/drawing/2014/main" id="{806EA5D9-BE94-475E-B4EA-4C90A880F6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1" name="AutoShape 3" descr="Story">
          <a:hlinkClick xmlns:r="http://schemas.openxmlformats.org/officeDocument/2006/relationships" r:id="rId4"/>
          <a:extLst>
            <a:ext uri="{FF2B5EF4-FFF2-40B4-BE49-F238E27FC236}">
              <a16:creationId xmlns:a16="http://schemas.microsoft.com/office/drawing/2014/main" id="{BE91BEF4-D5BA-4154-8A0A-9656C6E4C5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2" name="AutoShape 4" descr="Story">
          <a:hlinkClick xmlns:r="http://schemas.openxmlformats.org/officeDocument/2006/relationships" r:id="rId5"/>
          <a:extLst>
            <a:ext uri="{FF2B5EF4-FFF2-40B4-BE49-F238E27FC236}">
              <a16:creationId xmlns:a16="http://schemas.microsoft.com/office/drawing/2014/main" id="{9D876048-9BE3-41DF-A9B0-F8CE4BB0A5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3" name="AutoShape 3" descr="Story">
          <a:hlinkClick xmlns:r="http://schemas.openxmlformats.org/officeDocument/2006/relationships" r:id="rId4"/>
          <a:extLst>
            <a:ext uri="{FF2B5EF4-FFF2-40B4-BE49-F238E27FC236}">
              <a16:creationId xmlns:a16="http://schemas.microsoft.com/office/drawing/2014/main" id="{1FDC5312-E079-4FEA-A650-C95D6B5BDE3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4" name="AutoShape 4" descr="Story">
          <a:hlinkClick xmlns:r="http://schemas.openxmlformats.org/officeDocument/2006/relationships" r:id="rId5"/>
          <a:extLst>
            <a:ext uri="{FF2B5EF4-FFF2-40B4-BE49-F238E27FC236}">
              <a16:creationId xmlns:a16="http://schemas.microsoft.com/office/drawing/2014/main" id="{AFD90551-D24D-403F-90CF-08CB6FABB9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5" name="AutoShape 7" descr="Story">
          <a:hlinkClick xmlns:r="http://schemas.openxmlformats.org/officeDocument/2006/relationships" r:id="rId3"/>
          <a:extLst>
            <a:ext uri="{FF2B5EF4-FFF2-40B4-BE49-F238E27FC236}">
              <a16:creationId xmlns:a16="http://schemas.microsoft.com/office/drawing/2014/main" id="{7202CFC2-2A61-4822-AAD7-FA762776770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6" name="AutoShape 8" descr="Story">
          <a:hlinkClick xmlns:r="http://schemas.openxmlformats.org/officeDocument/2006/relationships" r:id="rId4"/>
          <a:extLst>
            <a:ext uri="{FF2B5EF4-FFF2-40B4-BE49-F238E27FC236}">
              <a16:creationId xmlns:a16="http://schemas.microsoft.com/office/drawing/2014/main" id="{20ED3311-95E8-48BC-B48B-C9E4EEA2E8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1282</xdr:row>
      <xdr:rowOff>0</xdr:rowOff>
    </xdr:from>
    <xdr:ext cx="152400" cy="152400"/>
    <xdr:sp macro="" textlink="">
      <xdr:nvSpPr>
        <xdr:cNvPr id="4047" name="AutoShape 8" descr="Story">
          <a:hlinkClick xmlns:r="http://schemas.openxmlformats.org/officeDocument/2006/relationships" r:id="rId4"/>
          <a:extLst>
            <a:ext uri="{FF2B5EF4-FFF2-40B4-BE49-F238E27FC236}">
              <a16:creationId xmlns:a16="http://schemas.microsoft.com/office/drawing/2014/main" id="{8DE05016-0D94-48CC-AF7C-7CA7F32DAD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52400" cy="152400"/>
    <xdr:sp macro="" textlink="">
      <xdr:nvSpPr>
        <xdr:cNvPr id="41" name="AutoShape 4" descr="Bug">
          <a:hlinkClick xmlns:r="http://schemas.openxmlformats.org/officeDocument/2006/relationships" r:id="rId1"/>
          <a:extLst>
            <a:ext uri="{FF2B5EF4-FFF2-40B4-BE49-F238E27FC236}">
              <a16:creationId xmlns:a16="http://schemas.microsoft.com/office/drawing/2014/main" id="{F87BC8B9-42CB-4D4F-B285-DFFC96C3B476}"/>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2" name="AutoShape 6" descr="Bug">
          <a:hlinkClick xmlns:r="http://schemas.openxmlformats.org/officeDocument/2006/relationships" r:id="rId2"/>
          <a:extLst>
            <a:ext uri="{FF2B5EF4-FFF2-40B4-BE49-F238E27FC236}">
              <a16:creationId xmlns:a16="http://schemas.microsoft.com/office/drawing/2014/main" id="{20C3257A-EC3F-434E-8C9C-4BB93270099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3" name="AutoShape 7" descr="Story">
          <a:hlinkClick xmlns:r="http://schemas.openxmlformats.org/officeDocument/2006/relationships" r:id="rId3"/>
          <a:extLst>
            <a:ext uri="{FF2B5EF4-FFF2-40B4-BE49-F238E27FC236}">
              <a16:creationId xmlns:a16="http://schemas.microsoft.com/office/drawing/2014/main" id="{65357B5E-E441-48FF-8F78-ED8334D9244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4" name="AutoShape 8" descr="Story">
          <a:hlinkClick xmlns:r="http://schemas.openxmlformats.org/officeDocument/2006/relationships" r:id="rId4"/>
          <a:extLst>
            <a:ext uri="{FF2B5EF4-FFF2-40B4-BE49-F238E27FC236}">
              <a16:creationId xmlns:a16="http://schemas.microsoft.com/office/drawing/2014/main" id="{F287A870-7AAE-4112-9644-57B9FA9AD434}"/>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5" name="AutoShape 9" descr="Story">
          <a:hlinkClick xmlns:r="http://schemas.openxmlformats.org/officeDocument/2006/relationships" r:id="rId5"/>
          <a:extLst>
            <a:ext uri="{FF2B5EF4-FFF2-40B4-BE49-F238E27FC236}">
              <a16:creationId xmlns:a16="http://schemas.microsoft.com/office/drawing/2014/main" id="{98A6FB43-A48B-427C-A67B-D257D6D19FF8}"/>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6" name="AutoShape 10" descr="Story">
          <a:hlinkClick xmlns:r="http://schemas.openxmlformats.org/officeDocument/2006/relationships" r:id="rId6"/>
          <a:extLst>
            <a:ext uri="{FF2B5EF4-FFF2-40B4-BE49-F238E27FC236}">
              <a16:creationId xmlns:a16="http://schemas.microsoft.com/office/drawing/2014/main" id="{A8508152-C4E8-4CA3-AAA9-6C3A587FCD4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7" name="AutoShape 13" descr="Story">
          <a:hlinkClick xmlns:r="http://schemas.openxmlformats.org/officeDocument/2006/relationships" r:id="rId4"/>
          <a:extLst>
            <a:ext uri="{FF2B5EF4-FFF2-40B4-BE49-F238E27FC236}">
              <a16:creationId xmlns:a16="http://schemas.microsoft.com/office/drawing/2014/main" id="{27DA88A2-8109-4A44-9175-91BDF1E4CB41}"/>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8" name="AutoShape 14" descr="Story">
          <a:hlinkClick xmlns:r="http://schemas.openxmlformats.org/officeDocument/2006/relationships" r:id="rId4"/>
          <a:extLst>
            <a:ext uri="{FF2B5EF4-FFF2-40B4-BE49-F238E27FC236}">
              <a16:creationId xmlns:a16="http://schemas.microsoft.com/office/drawing/2014/main" id="{BD557FC2-7834-4EA1-A8B6-A19AE3A2750B}"/>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0</xdr:row>
      <xdr:rowOff>0</xdr:rowOff>
    </xdr:from>
    <xdr:to>
      <xdr:col>1</xdr:col>
      <xdr:colOff>152400</xdr:colOff>
      <xdr:row>0</xdr:row>
      <xdr:rowOff>152400</xdr:rowOff>
    </xdr:to>
    <xdr:sp macro="" textlink="">
      <xdr:nvSpPr>
        <xdr:cNvPr id="49" name="AutoShape 4" descr="Bug">
          <a:hlinkClick xmlns:r="http://schemas.openxmlformats.org/officeDocument/2006/relationships" r:id="rId1"/>
          <a:extLst>
            <a:ext uri="{FF2B5EF4-FFF2-40B4-BE49-F238E27FC236}">
              <a16:creationId xmlns:a16="http://schemas.microsoft.com/office/drawing/2014/main" id="{47090EAD-2C19-4812-8B14-DEA6F014BEC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0" name="AutoShape 6" descr="Bug">
          <a:hlinkClick xmlns:r="http://schemas.openxmlformats.org/officeDocument/2006/relationships" r:id="rId2"/>
          <a:extLst>
            <a:ext uri="{FF2B5EF4-FFF2-40B4-BE49-F238E27FC236}">
              <a16:creationId xmlns:a16="http://schemas.microsoft.com/office/drawing/2014/main" id="{D09653D0-F960-444C-8DC8-BEE73E0B716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1" name="AutoShape 7" descr="Story">
          <a:hlinkClick xmlns:r="http://schemas.openxmlformats.org/officeDocument/2006/relationships" r:id="rId3"/>
          <a:extLst>
            <a:ext uri="{FF2B5EF4-FFF2-40B4-BE49-F238E27FC236}">
              <a16:creationId xmlns:a16="http://schemas.microsoft.com/office/drawing/2014/main" id="{6C99C77F-F7D5-4EB1-A087-4C08CE7468B3}"/>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2" name="AutoShape 8" descr="Story">
          <a:hlinkClick xmlns:r="http://schemas.openxmlformats.org/officeDocument/2006/relationships" r:id="rId4"/>
          <a:extLst>
            <a:ext uri="{FF2B5EF4-FFF2-40B4-BE49-F238E27FC236}">
              <a16:creationId xmlns:a16="http://schemas.microsoft.com/office/drawing/2014/main" id="{2CE9B3DE-EC9D-46B7-A354-738FACA27A64}"/>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3" name="AutoShape 9" descr="Story">
          <a:hlinkClick xmlns:r="http://schemas.openxmlformats.org/officeDocument/2006/relationships" r:id="rId5"/>
          <a:extLst>
            <a:ext uri="{FF2B5EF4-FFF2-40B4-BE49-F238E27FC236}">
              <a16:creationId xmlns:a16="http://schemas.microsoft.com/office/drawing/2014/main" id="{1FC9EBBF-E156-4286-AEB9-2FA7D0653D7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4" name="AutoShape 10" descr="Story">
          <a:hlinkClick xmlns:r="http://schemas.openxmlformats.org/officeDocument/2006/relationships" r:id="rId6"/>
          <a:extLst>
            <a:ext uri="{FF2B5EF4-FFF2-40B4-BE49-F238E27FC236}">
              <a16:creationId xmlns:a16="http://schemas.microsoft.com/office/drawing/2014/main" id="{2814E7BD-F6B9-40F9-A902-F43B34616A7C}"/>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5" name="AutoShape 13" descr="Story">
          <a:hlinkClick xmlns:r="http://schemas.openxmlformats.org/officeDocument/2006/relationships" r:id="rId4"/>
          <a:extLst>
            <a:ext uri="{FF2B5EF4-FFF2-40B4-BE49-F238E27FC236}">
              <a16:creationId xmlns:a16="http://schemas.microsoft.com/office/drawing/2014/main" id="{1AFF8840-B9A1-4746-BBD4-A3A5B48A449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6" name="AutoShape 14" descr="Story">
          <a:hlinkClick xmlns:r="http://schemas.openxmlformats.org/officeDocument/2006/relationships" r:id="rId4"/>
          <a:extLst>
            <a:ext uri="{FF2B5EF4-FFF2-40B4-BE49-F238E27FC236}">
              <a16:creationId xmlns:a16="http://schemas.microsoft.com/office/drawing/2014/main" id="{60B53503-86EB-48EA-A6BD-8213C663D4CB}"/>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1" name="AutoShape 1" descr="Story">
          <a:hlinkClick xmlns:r="http://schemas.openxmlformats.org/officeDocument/2006/relationships" r:id="rId7"/>
          <a:extLst>
            <a:ext uri="{FF2B5EF4-FFF2-40B4-BE49-F238E27FC236}">
              <a16:creationId xmlns:a16="http://schemas.microsoft.com/office/drawing/2014/main" id="{F1842BD6-D6EF-4C19-AB6C-DCE0CB7614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2" name="AutoShape 2" descr="Story">
          <a:hlinkClick xmlns:r="http://schemas.openxmlformats.org/officeDocument/2006/relationships" r:id="rId8"/>
          <a:extLst>
            <a:ext uri="{FF2B5EF4-FFF2-40B4-BE49-F238E27FC236}">
              <a16:creationId xmlns:a16="http://schemas.microsoft.com/office/drawing/2014/main" id="{72360CE3-3A60-481F-B790-BEC6859C566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3" name="AutoShape 3" descr="Story">
          <a:hlinkClick xmlns:r="http://schemas.openxmlformats.org/officeDocument/2006/relationships" r:id="rId9"/>
          <a:extLst>
            <a:ext uri="{FF2B5EF4-FFF2-40B4-BE49-F238E27FC236}">
              <a16:creationId xmlns:a16="http://schemas.microsoft.com/office/drawing/2014/main" id="{EA62F680-A2B5-458D-942A-EDF096363D7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4" name="AutoShape 4" descr="Bug">
          <a:hlinkClick xmlns:r="http://schemas.openxmlformats.org/officeDocument/2006/relationships" r:id="rId1"/>
          <a:extLst>
            <a:ext uri="{FF2B5EF4-FFF2-40B4-BE49-F238E27FC236}">
              <a16:creationId xmlns:a16="http://schemas.microsoft.com/office/drawing/2014/main" id="{1EF697A3-3C9A-4C12-B228-E9D77C8580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5" name="AutoShape 5" descr="Story">
          <a:hlinkClick xmlns:r="http://schemas.openxmlformats.org/officeDocument/2006/relationships" r:id="rId10"/>
          <a:extLst>
            <a:ext uri="{FF2B5EF4-FFF2-40B4-BE49-F238E27FC236}">
              <a16:creationId xmlns:a16="http://schemas.microsoft.com/office/drawing/2014/main" id="{4462E754-D93D-4459-9B5A-3F1B545D66D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6" name="AutoShape 6" descr="Bug">
          <a:hlinkClick xmlns:r="http://schemas.openxmlformats.org/officeDocument/2006/relationships" r:id="rId2"/>
          <a:extLst>
            <a:ext uri="{FF2B5EF4-FFF2-40B4-BE49-F238E27FC236}">
              <a16:creationId xmlns:a16="http://schemas.microsoft.com/office/drawing/2014/main" id="{830965F1-D5BF-4E4D-91E2-A89B83592B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7" name="AutoShape 7" descr="Story">
          <a:hlinkClick xmlns:r="http://schemas.openxmlformats.org/officeDocument/2006/relationships" r:id="rId3"/>
          <a:extLst>
            <a:ext uri="{FF2B5EF4-FFF2-40B4-BE49-F238E27FC236}">
              <a16:creationId xmlns:a16="http://schemas.microsoft.com/office/drawing/2014/main" id="{9C8130A0-5866-4D7B-8666-1F6A475B8A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8" name="AutoShape 8" descr="Story">
          <a:hlinkClick xmlns:r="http://schemas.openxmlformats.org/officeDocument/2006/relationships" r:id="rId4"/>
          <a:extLst>
            <a:ext uri="{FF2B5EF4-FFF2-40B4-BE49-F238E27FC236}">
              <a16:creationId xmlns:a16="http://schemas.microsoft.com/office/drawing/2014/main" id="{DB4CCA61-C9E1-4545-9E76-0921FF7338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9" name="AutoShape 9" descr="Story">
          <a:hlinkClick xmlns:r="http://schemas.openxmlformats.org/officeDocument/2006/relationships" r:id="rId5"/>
          <a:extLst>
            <a:ext uri="{FF2B5EF4-FFF2-40B4-BE49-F238E27FC236}">
              <a16:creationId xmlns:a16="http://schemas.microsoft.com/office/drawing/2014/main" id="{16927F42-DADF-457D-B7BC-3CC55A0FD5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0" name="AutoShape 10" descr="Story">
          <a:hlinkClick xmlns:r="http://schemas.openxmlformats.org/officeDocument/2006/relationships" r:id="rId6"/>
          <a:extLst>
            <a:ext uri="{FF2B5EF4-FFF2-40B4-BE49-F238E27FC236}">
              <a16:creationId xmlns:a16="http://schemas.microsoft.com/office/drawing/2014/main" id="{D17267D7-7755-48B9-9AC4-7C8ED5A11E7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1" name="AutoShape 11" descr="Story">
          <a:hlinkClick xmlns:r="http://schemas.openxmlformats.org/officeDocument/2006/relationships" r:id="rId11"/>
          <a:extLst>
            <a:ext uri="{FF2B5EF4-FFF2-40B4-BE49-F238E27FC236}">
              <a16:creationId xmlns:a16="http://schemas.microsoft.com/office/drawing/2014/main" id="{B8AB6173-F116-4F7B-BA4D-EA0B10A27DC0}"/>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2" name="AutoShape 12" descr="Story">
          <a:hlinkClick xmlns:r="http://schemas.openxmlformats.org/officeDocument/2006/relationships" r:id="rId8"/>
          <a:extLst>
            <a:ext uri="{FF2B5EF4-FFF2-40B4-BE49-F238E27FC236}">
              <a16:creationId xmlns:a16="http://schemas.microsoft.com/office/drawing/2014/main" id="{BA672C9C-85F5-4C22-8A30-772232BC2AA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3" name="AutoShape 13" descr="Story">
          <a:hlinkClick xmlns:r="http://schemas.openxmlformats.org/officeDocument/2006/relationships" r:id="rId4"/>
          <a:extLst>
            <a:ext uri="{FF2B5EF4-FFF2-40B4-BE49-F238E27FC236}">
              <a16:creationId xmlns:a16="http://schemas.microsoft.com/office/drawing/2014/main" id="{899D41E9-ED68-4478-81B1-2CBE78A678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4" name="AutoShape 14" descr="Story">
          <a:hlinkClick xmlns:r="http://schemas.openxmlformats.org/officeDocument/2006/relationships" r:id="rId4"/>
          <a:extLst>
            <a:ext uri="{FF2B5EF4-FFF2-40B4-BE49-F238E27FC236}">
              <a16:creationId xmlns:a16="http://schemas.microsoft.com/office/drawing/2014/main" id="{61EBBF32-222D-4CE2-AC17-F5A295FC12F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5" name="AutoShape 15" descr="Story">
          <a:hlinkClick xmlns:r="http://schemas.openxmlformats.org/officeDocument/2006/relationships" r:id="rId4"/>
          <a:extLst>
            <a:ext uri="{FF2B5EF4-FFF2-40B4-BE49-F238E27FC236}">
              <a16:creationId xmlns:a16="http://schemas.microsoft.com/office/drawing/2014/main" id="{DADC5C2A-561E-4864-AA68-161C33AA2EF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76" name="AutoShape 1" descr="Story">
          <a:hlinkClick xmlns:r="http://schemas.openxmlformats.org/officeDocument/2006/relationships" r:id="rId12"/>
          <a:extLst>
            <a:ext uri="{FF2B5EF4-FFF2-40B4-BE49-F238E27FC236}">
              <a16:creationId xmlns:a16="http://schemas.microsoft.com/office/drawing/2014/main" id="{C42DB449-6D5E-4458-A2DC-B227C8DD08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7" name="AutoShape 2" descr="Story">
          <a:hlinkClick xmlns:r="http://schemas.openxmlformats.org/officeDocument/2006/relationships" r:id="rId13"/>
          <a:extLst>
            <a:ext uri="{FF2B5EF4-FFF2-40B4-BE49-F238E27FC236}">
              <a16:creationId xmlns:a16="http://schemas.microsoft.com/office/drawing/2014/main" id="{C7131707-B7D0-44FD-B39E-B0F5F48572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8" name="AutoShape 5" descr="Story">
          <a:hlinkClick xmlns:r="http://schemas.openxmlformats.org/officeDocument/2006/relationships" r:id="rId6"/>
          <a:extLst>
            <a:ext uri="{FF2B5EF4-FFF2-40B4-BE49-F238E27FC236}">
              <a16:creationId xmlns:a16="http://schemas.microsoft.com/office/drawing/2014/main" id="{E7D5D739-E8B9-434B-B4D5-F712D83F16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9" name="AutoShape 1" descr="Sub-task">
          <a:hlinkClick xmlns:r="http://schemas.openxmlformats.org/officeDocument/2006/relationships" r:id="rId14"/>
          <a:extLst>
            <a:ext uri="{FF2B5EF4-FFF2-40B4-BE49-F238E27FC236}">
              <a16:creationId xmlns:a16="http://schemas.microsoft.com/office/drawing/2014/main" id="{6A324277-E246-44FC-B631-B5E9015717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0" name="AutoShape 2" descr="Sub-task">
          <a:hlinkClick xmlns:r="http://schemas.openxmlformats.org/officeDocument/2006/relationships" r:id="rId15"/>
          <a:extLst>
            <a:ext uri="{FF2B5EF4-FFF2-40B4-BE49-F238E27FC236}">
              <a16:creationId xmlns:a16="http://schemas.microsoft.com/office/drawing/2014/main" id="{FFFEBD92-D7BD-4E16-B6FF-3C60A56728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1" name="AutoShape 3" descr="Story">
          <a:hlinkClick xmlns:r="http://schemas.openxmlformats.org/officeDocument/2006/relationships" r:id="rId9"/>
          <a:extLst>
            <a:ext uri="{FF2B5EF4-FFF2-40B4-BE49-F238E27FC236}">
              <a16:creationId xmlns:a16="http://schemas.microsoft.com/office/drawing/2014/main" id="{B3996068-7E3D-43F4-AE03-352D06CE46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2" name="AutoShape 12" descr="Story">
          <a:hlinkClick xmlns:r="http://schemas.openxmlformats.org/officeDocument/2006/relationships" r:id="rId8"/>
          <a:extLst>
            <a:ext uri="{FF2B5EF4-FFF2-40B4-BE49-F238E27FC236}">
              <a16:creationId xmlns:a16="http://schemas.microsoft.com/office/drawing/2014/main" id="{33EA66A1-DDDD-4F6E-A558-50915DC65C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3" name="AutoShape 1" descr="Story">
          <a:hlinkClick xmlns:r="http://schemas.openxmlformats.org/officeDocument/2006/relationships" r:id="rId7"/>
          <a:extLst>
            <a:ext uri="{FF2B5EF4-FFF2-40B4-BE49-F238E27FC236}">
              <a16:creationId xmlns:a16="http://schemas.microsoft.com/office/drawing/2014/main" id="{DC109AF6-94C0-46D3-B97F-BF85787FD0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4" name="AutoShape 1" descr="Story">
          <a:hlinkClick xmlns:r="http://schemas.openxmlformats.org/officeDocument/2006/relationships" r:id="rId7"/>
          <a:extLst>
            <a:ext uri="{FF2B5EF4-FFF2-40B4-BE49-F238E27FC236}">
              <a16:creationId xmlns:a16="http://schemas.microsoft.com/office/drawing/2014/main" id="{2366D95F-47A8-4658-BBBC-EFBB7050E5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5" name="AutoShape 3" descr="Story">
          <a:hlinkClick xmlns:r="http://schemas.openxmlformats.org/officeDocument/2006/relationships" r:id="rId4"/>
          <a:extLst>
            <a:ext uri="{FF2B5EF4-FFF2-40B4-BE49-F238E27FC236}">
              <a16:creationId xmlns:a16="http://schemas.microsoft.com/office/drawing/2014/main" id="{BCCF5544-5ACA-460D-BFA0-740CEBC068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6" name="AutoShape 4" descr="Story">
          <a:hlinkClick xmlns:r="http://schemas.openxmlformats.org/officeDocument/2006/relationships" r:id="rId5"/>
          <a:extLst>
            <a:ext uri="{FF2B5EF4-FFF2-40B4-BE49-F238E27FC236}">
              <a16:creationId xmlns:a16="http://schemas.microsoft.com/office/drawing/2014/main" id="{42482BF0-1E81-4641-AB63-E2AB59BC74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7" name="AutoShape 1" descr="Story">
          <a:hlinkClick xmlns:r="http://schemas.openxmlformats.org/officeDocument/2006/relationships" r:id="rId12"/>
          <a:extLst>
            <a:ext uri="{FF2B5EF4-FFF2-40B4-BE49-F238E27FC236}">
              <a16:creationId xmlns:a16="http://schemas.microsoft.com/office/drawing/2014/main" id="{ADB0E696-3783-4C35-86C1-785B3FCBFB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8" name="AutoShape 2" descr="Story">
          <a:hlinkClick xmlns:r="http://schemas.openxmlformats.org/officeDocument/2006/relationships" r:id="rId13"/>
          <a:extLst>
            <a:ext uri="{FF2B5EF4-FFF2-40B4-BE49-F238E27FC236}">
              <a16:creationId xmlns:a16="http://schemas.microsoft.com/office/drawing/2014/main" id="{D5D8C73F-65A9-4EDC-AF1F-3DA84ECB613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9" name="AutoShape 3" descr="Story">
          <a:hlinkClick xmlns:r="http://schemas.openxmlformats.org/officeDocument/2006/relationships" r:id="rId4"/>
          <a:extLst>
            <a:ext uri="{FF2B5EF4-FFF2-40B4-BE49-F238E27FC236}">
              <a16:creationId xmlns:a16="http://schemas.microsoft.com/office/drawing/2014/main" id="{40718BE4-CC0A-4806-9BE6-316B28D627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0" name="AutoShape 4" descr="Story">
          <a:hlinkClick xmlns:r="http://schemas.openxmlformats.org/officeDocument/2006/relationships" r:id="rId5"/>
          <a:extLst>
            <a:ext uri="{FF2B5EF4-FFF2-40B4-BE49-F238E27FC236}">
              <a16:creationId xmlns:a16="http://schemas.microsoft.com/office/drawing/2014/main" id="{BC2167F1-7BFA-4393-8C7F-B0A56B314C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1" name="AutoShape 5" descr="Story">
          <a:hlinkClick xmlns:r="http://schemas.openxmlformats.org/officeDocument/2006/relationships" r:id="rId6"/>
          <a:extLst>
            <a:ext uri="{FF2B5EF4-FFF2-40B4-BE49-F238E27FC236}">
              <a16:creationId xmlns:a16="http://schemas.microsoft.com/office/drawing/2014/main" id="{74121033-F4A6-4B86-81FB-10CBEA216F7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2" name="AutoShape 1" descr="Sub-task">
          <a:hlinkClick xmlns:r="http://schemas.openxmlformats.org/officeDocument/2006/relationships" r:id="rId14"/>
          <a:extLst>
            <a:ext uri="{FF2B5EF4-FFF2-40B4-BE49-F238E27FC236}">
              <a16:creationId xmlns:a16="http://schemas.microsoft.com/office/drawing/2014/main" id="{F1DD77EC-5CFC-4E65-9418-D375D470794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3" name="AutoShape 2" descr="Sub-task">
          <a:hlinkClick xmlns:r="http://schemas.openxmlformats.org/officeDocument/2006/relationships" r:id="rId15"/>
          <a:extLst>
            <a:ext uri="{FF2B5EF4-FFF2-40B4-BE49-F238E27FC236}">
              <a16:creationId xmlns:a16="http://schemas.microsoft.com/office/drawing/2014/main" id="{53C635EA-E287-4687-BB96-9407C42D9CF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4" name="AutoShape 7" descr="Story">
          <a:hlinkClick xmlns:r="http://schemas.openxmlformats.org/officeDocument/2006/relationships" r:id="rId3"/>
          <a:extLst>
            <a:ext uri="{FF2B5EF4-FFF2-40B4-BE49-F238E27FC236}">
              <a16:creationId xmlns:a16="http://schemas.microsoft.com/office/drawing/2014/main" id="{3A52AC87-8F29-4A2F-A632-30DD94D6F9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5" name="AutoShape 3" descr="Story">
          <a:hlinkClick xmlns:r="http://schemas.openxmlformats.org/officeDocument/2006/relationships" r:id="rId9"/>
          <a:extLst>
            <a:ext uri="{FF2B5EF4-FFF2-40B4-BE49-F238E27FC236}">
              <a16:creationId xmlns:a16="http://schemas.microsoft.com/office/drawing/2014/main" id="{64077663-C147-4B69-BF76-B1490228648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6" name="AutoShape 12" descr="Story">
          <a:hlinkClick xmlns:r="http://schemas.openxmlformats.org/officeDocument/2006/relationships" r:id="rId8"/>
          <a:extLst>
            <a:ext uri="{FF2B5EF4-FFF2-40B4-BE49-F238E27FC236}">
              <a16:creationId xmlns:a16="http://schemas.microsoft.com/office/drawing/2014/main" id="{A334BC78-1697-4A45-8547-105BEDDABF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7" name="AutoShape 1" descr="Story">
          <a:hlinkClick xmlns:r="http://schemas.openxmlformats.org/officeDocument/2006/relationships" r:id="rId7"/>
          <a:extLst>
            <a:ext uri="{FF2B5EF4-FFF2-40B4-BE49-F238E27FC236}">
              <a16:creationId xmlns:a16="http://schemas.microsoft.com/office/drawing/2014/main" id="{F7538D61-37A0-4D35-9528-ABCCFB55270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8" name="AutoShape 1" descr="Story">
          <a:hlinkClick xmlns:r="http://schemas.openxmlformats.org/officeDocument/2006/relationships" r:id="rId7"/>
          <a:extLst>
            <a:ext uri="{FF2B5EF4-FFF2-40B4-BE49-F238E27FC236}">
              <a16:creationId xmlns:a16="http://schemas.microsoft.com/office/drawing/2014/main" id="{1F0B0BB3-BB8A-4236-8780-3813A825CFD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9" name="AutoShape 3" descr="Story">
          <a:hlinkClick xmlns:r="http://schemas.openxmlformats.org/officeDocument/2006/relationships" r:id="rId4"/>
          <a:extLst>
            <a:ext uri="{FF2B5EF4-FFF2-40B4-BE49-F238E27FC236}">
              <a16:creationId xmlns:a16="http://schemas.microsoft.com/office/drawing/2014/main" id="{C5C98BA0-2927-44F8-9B66-06A9E1126B5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0" name="AutoShape 4" descr="Story">
          <a:hlinkClick xmlns:r="http://schemas.openxmlformats.org/officeDocument/2006/relationships" r:id="rId5"/>
          <a:extLst>
            <a:ext uri="{FF2B5EF4-FFF2-40B4-BE49-F238E27FC236}">
              <a16:creationId xmlns:a16="http://schemas.microsoft.com/office/drawing/2014/main" id="{1A3C8020-A2E8-4018-AB02-2BF3D855D48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1" name="AutoShape 7" descr="Story">
          <a:hlinkClick xmlns:r="http://schemas.openxmlformats.org/officeDocument/2006/relationships" r:id="rId3"/>
          <a:extLst>
            <a:ext uri="{FF2B5EF4-FFF2-40B4-BE49-F238E27FC236}">
              <a16:creationId xmlns:a16="http://schemas.microsoft.com/office/drawing/2014/main" id="{73F31E94-F964-4EAA-84D7-C81033505CD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2" name="AutoShape 8" descr="Story">
          <a:hlinkClick xmlns:r="http://schemas.openxmlformats.org/officeDocument/2006/relationships" r:id="rId4"/>
          <a:extLst>
            <a:ext uri="{FF2B5EF4-FFF2-40B4-BE49-F238E27FC236}">
              <a16:creationId xmlns:a16="http://schemas.microsoft.com/office/drawing/2014/main" id="{4A6E99BC-E27B-4E3F-B56C-3074C3B90A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3" name="AutoShape 8" descr="Story">
          <a:hlinkClick xmlns:r="http://schemas.openxmlformats.org/officeDocument/2006/relationships" r:id="rId4"/>
          <a:extLst>
            <a:ext uri="{FF2B5EF4-FFF2-40B4-BE49-F238E27FC236}">
              <a16:creationId xmlns:a16="http://schemas.microsoft.com/office/drawing/2014/main" id="{B7C73ECA-1D98-4A08-9433-503653D629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2" name="AutoShape 1" descr="Story">
          <a:hlinkClick xmlns:r="http://schemas.openxmlformats.org/officeDocument/2006/relationships" r:id="rId7"/>
          <a:extLst>
            <a:ext uri="{FF2B5EF4-FFF2-40B4-BE49-F238E27FC236}">
              <a16:creationId xmlns:a16="http://schemas.microsoft.com/office/drawing/2014/main" id="{79757C6E-4B06-4681-BA0B-F8C1BEC35C0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 name="AutoShape 2" descr="Story">
          <a:hlinkClick xmlns:r="http://schemas.openxmlformats.org/officeDocument/2006/relationships" r:id="rId8"/>
          <a:extLst>
            <a:ext uri="{FF2B5EF4-FFF2-40B4-BE49-F238E27FC236}">
              <a16:creationId xmlns:a16="http://schemas.microsoft.com/office/drawing/2014/main" id="{24BC32BE-3DE0-4AA2-A9EB-F997BD2975E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 name="AutoShape 3" descr="Story">
          <a:hlinkClick xmlns:r="http://schemas.openxmlformats.org/officeDocument/2006/relationships" r:id="rId9"/>
          <a:extLst>
            <a:ext uri="{FF2B5EF4-FFF2-40B4-BE49-F238E27FC236}">
              <a16:creationId xmlns:a16="http://schemas.microsoft.com/office/drawing/2014/main" id="{67BAA225-62DC-4069-8D8E-2FF47E39A3D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 name="AutoShape 4" descr="Bug">
          <a:hlinkClick xmlns:r="http://schemas.openxmlformats.org/officeDocument/2006/relationships" r:id="rId1"/>
          <a:extLst>
            <a:ext uri="{FF2B5EF4-FFF2-40B4-BE49-F238E27FC236}">
              <a16:creationId xmlns:a16="http://schemas.microsoft.com/office/drawing/2014/main" id="{4F6A0577-DAE3-47BB-A1EF-360E70A0CA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 name="AutoShape 5" descr="Story">
          <a:hlinkClick xmlns:r="http://schemas.openxmlformats.org/officeDocument/2006/relationships" r:id="rId10"/>
          <a:extLst>
            <a:ext uri="{FF2B5EF4-FFF2-40B4-BE49-F238E27FC236}">
              <a16:creationId xmlns:a16="http://schemas.microsoft.com/office/drawing/2014/main" id="{F05CFC83-A47A-4F94-BC8B-97584AD1F6C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 name="AutoShape 6" descr="Bug">
          <a:hlinkClick xmlns:r="http://schemas.openxmlformats.org/officeDocument/2006/relationships" r:id="rId2"/>
          <a:extLst>
            <a:ext uri="{FF2B5EF4-FFF2-40B4-BE49-F238E27FC236}">
              <a16:creationId xmlns:a16="http://schemas.microsoft.com/office/drawing/2014/main" id="{7F5788AC-9F59-4A5F-B45B-DF72323FFC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8" name="AutoShape 7" descr="Story">
          <a:hlinkClick xmlns:r="http://schemas.openxmlformats.org/officeDocument/2006/relationships" r:id="rId3"/>
          <a:extLst>
            <a:ext uri="{FF2B5EF4-FFF2-40B4-BE49-F238E27FC236}">
              <a16:creationId xmlns:a16="http://schemas.microsoft.com/office/drawing/2014/main" id="{0A2F4268-1BF0-411F-92F1-FCEE9A9231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9" name="AutoShape 8" descr="Story">
          <a:hlinkClick xmlns:r="http://schemas.openxmlformats.org/officeDocument/2006/relationships" r:id="rId4"/>
          <a:extLst>
            <a:ext uri="{FF2B5EF4-FFF2-40B4-BE49-F238E27FC236}">
              <a16:creationId xmlns:a16="http://schemas.microsoft.com/office/drawing/2014/main" id="{B8C2EE39-0D59-47A8-B7A4-7F0FE2C89E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 name="AutoShape 9" descr="Story">
          <a:hlinkClick xmlns:r="http://schemas.openxmlformats.org/officeDocument/2006/relationships" r:id="rId5"/>
          <a:extLst>
            <a:ext uri="{FF2B5EF4-FFF2-40B4-BE49-F238E27FC236}">
              <a16:creationId xmlns:a16="http://schemas.microsoft.com/office/drawing/2014/main" id="{8ECABF7E-01BC-4CED-B9DB-9D325A01D3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 name="AutoShape 10" descr="Story">
          <a:hlinkClick xmlns:r="http://schemas.openxmlformats.org/officeDocument/2006/relationships" r:id="rId6"/>
          <a:extLst>
            <a:ext uri="{FF2B5EF4-FFF2-40B4-BE49-F238E27FC236}">
              <a16:creationId xmlns:a16="http://schemas.microsoft.com/office/drawing/2014/main" id="{321E40D2-E2E6-4C8F-99EB-2C68D667623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2" name="AutoShape 11" descr="Story">
          <a:hlinkClick xmlns:r="http://schemas.openxmlformats.org/officeDocument/2006/relationships" r:id="rId11"/>
          <a:extLst>
            <a:ext uri="{FF2B5EF4-FFF2-40B4-BE49-F238E27FC236}">
              <a16:creationId xmlns:a16="http://schemas.microsoft.com/office/drawing/2014/main" id="{1E039D14-C4EE-4FF5-ABAB-EAF5AD2BDCB9}"/>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 name="AutoShape 12" descr="Story">
          <a:hlinkClick xmlns:r="http://schemas.openxmlformats.org/officeDocument/2006/relationships" r:id="rId8"/>
          <a:extLst>
            <a:ext uri="{FF2B5EF4-FFF2-40B4-BE49-F238E27FC236}">
              <a16:creationId xmlns:a16="http://schemas.microsoft.com/office/drawing/2014/main" id="{F351AE06-ADFD-401E-ACDE-63FD4E70EB5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4" name="AutoShape 13" descr="Story">
          <a:hlinkClick xmlns:r="http://schemas.openxmlformats.org/officeDocument/2006/relationships" r:id="rId4"/>
          <a:extLst>
            <a:ext uri="{FF2B5EF4-FFF2-40B4-BE49-F238E27FC236}">
              <a16:creationId xmlns:a16="http://schemas.microsoft.com/office/drawing/2014/main" id="{324B9945-542C-478B-874E-D96D5E6AFD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 name="AutoShape 14" descr="Story">
          <a:hlinkClick xmlns:r="http://schemas.openxmlformats.org/officeDocument/2006/relationships" r:id="rId4"/>
          <a:extLst>
            <a:ext uri="{FF2B5EF4-FFF2-40B4-BE49-F238E27FC236}">
              <a16:creationId xmlns:a16="http://schemas.microsoft.com/office/drawing/2014/main" id="{411650D8-4454-4379-A90F-18CCBA72784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 name="AutoShape 15" descr="Story">
          <a:hlinkClick xmlns:r="http://schemas.openxmlformats.org/officeDocument/2006/relationships" r:id="rId4"/>
          <a:extLst>
            <a:ext uri="{FF2B5EF4-FFF2-40B4-BE49-F238E27FC236}">
              <a16:creationId xmlns:a16="http://schemas.microsoft.com/office/drawing/2014/main" id="{9AEEB078-A706-4D2C-AE8E-FB1712D233DA}"/>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7" name="AutoShape 1" descr="Story">
          <a:hlinkClick xmlns:r="http://schemas.openxmlformats.org/officeDocument/2006/relationships" r:id="rId12"/>
          <a:extLst>
            <a:ext uri="{FF2B5EF4-FFF2-40B4-BE49-F238E27FC236}">
              <a16:creationId xmlns:a16="http://schemas.microsoft.com/office/drawing/2014/main" id="{F11E65A3-BB17-4C19-8E68-B0AE8E6476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 name="AutoShape 2" descr="Story">
          <a:hlinkClick xmlns:r="http://schemas.openxmlformats.org/officeDocument/2006/relationships" r:id="rId13"/>
          <a:extLst>
            <a:ext uri="{FF2B5EF4-FFF2-40B4-BE49-F238E27FC236}">
              <a16:creationId xmlns:a16="http://schemas.microsoft.com/office/drawing/2014/main" id="{DD81E52D-7870-4A7D-8C77-911A4FD08E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9" name="AutoShape 5" descr="Story">
          <a:hlinkClick xmlns:r="http://schemas.openxmlformats.org/officeDocument/2006/relationships" r:id="rId6"/>
          <a:extLst>
            <a:ext uri="{FF2B5EF4-FFF2-40B4-BE49-F238E27FC236}">
              <a16:creationId xmlns:a16="http://schemas.microsoft.com/office/drawing/2014/main" id="{F971E993-22CA-4AC6-BC45-B3DA6FF66E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0" name="AutoShape 1" descr="Sub-task">
          <a:hlinkClick xmlns:r="http://schemas.openxmlformats.org/officeDocument/2006/relationships" r:id="rId14"/>
          <a:extLst>
            <a:ext uri="{FF2B5EF4-FFF2-40B4-BE49-F238E27FC236}">
              <a16:creationId xmlns:a16="http://schemas.microsoft.com/office/drawing/2014/main" id="{9CD40892-83DF-418C-9967-8A53DB8F4E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 name="AutoShape 2" descr="Sub-task">
          <a:hlinkClick xmlns:r="http://schemas.openxmlformats.org/officeDocument/2006/relationships" r:id="rId15"/>
          <a:extLst>
            <a:ext uri="{FF2B5EF4-FFF2-40B4-BE49-F238E27FC236}">
              <a16:creationId xmlns:a16="http://schemas.microsoft.com/office/drawing/2014/main" id="{298D6788-47AB-4320-892B-ECC1D3C131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 name="AutoShape 3" descr="Story">
          <a:hlinkClick xmlns:r="http://schemas.openxmlformats.org/officeDocument/2006/relationships" r:id="rId9"/>
          <a:extLst>
            <a:ext uri="{FF2B5EF4-FFF2-40B4-BE49-F238E27FC236}">
              <a16:creationId xmlns:a16="http://schemas.microsoft.com/office/drawing/2014/main" id="{D069E747-69A1-4991-AC78-37188E4354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3" name="AutoShape 12" descr="Story">
          <a:hlinkClick xmlns:r="http://schemas.openxmlformats.org/officeDocument/2006/relationships" r:id="rId8"/>
          <a:extLst>
            <a:ext uri="{FF2B5EF4-FFF2-40B4-BE49-F238E27FC236}">
              <a16:creationId xmlns:a16="http://schemas.microsoft.com/office/drawing/2014/main" id="{C9E1B61B-F7AF-4CE7-AA48-2C71639437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4" name="AutoShape 1" descr="Story">
          <a:hlinkClick xmlns:r="http://schemas.openxmlformats.org/officeDocument/2006/relationships" r:id="rId7"/>
          <a:extLst>
            <a:ext uri="{FF2B5EF4-FFF2-40B4-BE49-F238E27FC236}">
              <a16:creationId xmlns:a16="http://schemas.microsoft.com/office/drawing/2014/main" id="{3AE45C86-18F2-4DB6-8A7F-80920391AF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 name="AutoShape 1" descr="Story">
          <a:hlinkClick xmlns:r="http://schemas.openxmlformats.org/officeDocument/2006/relationships" r:id="rId7"/>
          <a:extLst>
            <a:ext uri="{FF2B5EF4-FFF2-40B4-BE49-F238E27FC236}">
              <a16:creationId xmlns:a16="http://schemas.microsoft.com/office/drawing/2014/main" id="{84F78875-B552-4FD5-B901-04F64C14B1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 name="AutoShape 3" descr="Story">
          <a:hlinkClick xmlns:r="http://schemas.openxmlformats.org/officeDocument/2006/relationships" r:id="rId4"/>
          <a:extLst>
            <a:ext uri="{FF2B5EF4-FFF2-40B4-BE49-F238E27FC236}">
              <a16:creationId xmlns:a16="http://schemas.microsoft.com/office/drawing/2014/main" id="{DDD4883A-A66D-44A3-867B-232AF73929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 name="AutoShape 4" descr="Story">
          <a:hlinkClick xmlns:r="http://schemas.openxmlformats.org/officeDocument/2006/relationships" r:id="rId5"/>
          <a:extLst>
            <a:ext uri="{FF2B5EF4-FFF2-40B4-BE49-F238E27FC236}">
              <a16:creationId xmlns:a16="http://schemas.microsoft.com/office/drawing/2014/main" id="{90367D42-053F-46DC-9F28-DE9A5B25AD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8" name="AutoShape 1" descr="Story">
          <a:hlinkClick xmlns:r="http://schemas.openxmlformats.org/officeDocument/2006/relationships" r:id="rId12"/>
          <a:extLst>
            <a:ext uri="{FF2B5EF4-FFF2-40B4-BE49-F238E27FC236}">
              <a16:creationId xmlns:a16="http://schemas.microsoft.com/office/drawing/2014/main" id="{7C786D93-470B-4634-8665-0919F0E9475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 name="AutoShape 2" descr="Story">
          <a:hlinkClick xmlns:r="http://schemas.openxmlformats.org/officeDocument/2006/relationships" r:id="rId13"/>
          <a:extLst>
            <a:ext uri="{FF2B5EF4-FFF2-40B4-BE49-F238E27FC236}">
              <a16:creationId xmlns:a16="http://schemas.microsoft.com/office/drawing/2014/main" id="{FD4B3D6A-8790-4A8D-8BBE-B9439819E8B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 name="AutoShape 3" descr="Story">
          <a:hlinkClick xmlns:r="http://schemas.openxmlformats.org/officeDocument/2006/relationships" r:id="rId4"/>
          <a:extLst>
            <a:ext uri="{FF2B5EF4-FFF2-40B4-BE49-F238E27FC236}">
              <a16:creationId xmlns:a16="http://schemas.microsoft.com/office/drawing/2014/main" id="{593F229B-8ED9-45C0-B5F4-FA7491BA41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 name="AutoShape 4" descr="Story">
          <a:hlinkClick xmlns:r="http://schemas.openxmlformats.org/officeDocument/2006/relationships" r:id="rId5"/>
          <a:extLst>
            <a:ext uri="{FF2B5EF4-FFF2-40B4-BE49-F238E27FC236}">
              <a16:creationId xmlns:a16="http://schemas.microsoft.com/office/drawing/2014/main" id="{1E76F1FE-D804-4FFB-8AA2-234D87E0DE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2" name="AutoShape 5" descr="Story">
          <a:hlinkClick xmlns:r="http://schemas.openxmlformats.org/officeDocument/2006/relationships" r:id="rId6"/>
          <a:extLst>
            <a:ext uri="{FF2B5EF4-FFF2-40B4-BE49-F238E27FC236}">
              <a16:creationId xmlns:a16="http://schemas.microsoft.com/office/drawing/2014/main" id="{2FE57903-A6CC-4C1A-9880-2AE83403C7C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3" name="AutoShape 1" descr="Sub-task">
          <a:hlinkClick xmlns:r="http://schemas.openxmlformats.org/officeDocument/2006/relationships" r:id="rId14"/>
          <a:extLst>
            <a:ext uri="{FF2B5EF4-FFF2-40B4-BE49-F238E27FC236}">
              <a16:creationId xmlns:a16="http://schemas.microsoft.com/office/drawing/2014/main" id="{738E8347-612F-4773-ACA9-6CAD1F36C7A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 name="AutoShape 2" descr="Sub-task">
          <a:hlinkClick xmlns:r="http://schemas.openxmlformats.org/officeDocument/2006/relationships" r:id="rId15"/>
          <a:extLst>
            <a:ext uri="{FF2B5EF4-FFF2-40B4-BE49-F238E27FC236}">
              <a16:creationId xmlns:a16="http://schemas.microsoft.com/office/drawing/2014/main" id="{81B3E3DC-09B8-4D4D-BF7B-B5B99665E9D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 name="AutoShape 7" descr="Story">
          <a:hlinkClick xmlns:r="http://schemas.openxmlformats.org/officeDocument/2006/relationships" r:id="rId3"/>
          <a:extLst>
            <a:ext uri="{FF2B5EF4-FFF2-40B4-BE49-F238E27FC236}">
              <a16:creationId xmlns:a16="http://schemas.microsoft.com/office/drawing/2014/main" id="{C7F8726B-9483-4C54-847E-C31C1A2271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 name="AutoShape 3" descr="Story">
          <a:hlinkClick xmlns:r="http://schemas.openxmlformats.org/officeDocument/2006/relationships" r:id="rId9"/>
          <a:extLst>
            <a:ext uri="{FF2B5EF4-FFF2-40B4-BE49-F238E27FC236}">
              <a16:creationId xmlns:a16="http://schemas.microsoft.com/office/drawing/2014/main" id="{44B6E611-E0EC-4781-8E0B-05821B52FB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7" name="AutoShape 12" descr="Story">
          <a:hlinkClick xmlns:r="http://schemas.openxmlformats.org/officeDocument/2006/relationships" r:id="rId8"/>
          <a:extLst>
            <a:ext uri="{FF2B5EF4-FFF2-40B4-BE49-F238E27FC236}">
              <a16:creationId xmlns:a16="http://schemas.microsoft.com/office/drawing/2014/main" id="{DF7202B1-46E6-400C-9757-E4E69D9DA9B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 name="AutoShape 1" descr="Story">
          <a:hlinkClick xmlns:r="http://schemas.openxmlformats.org/officeDocument/2006/relationships" r:id="rId7"/>
          <a:extLst>
            <a:ext uri="{FF2B5EF4-FFF2-40B4-BE49-F238E27FC236}">
              <a16:creationId xmlns:a16="http://schemas.microsoft.com/office/drawing/2014/main" id="{37A154B5-A267-447C-A572-FD3F053E0DB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 name="AutoShape 1" descr="Story">
          <a:hlinkClick xmlns:r="http://schemas.openxmlformats.org/officeDocument/2006/relationships" r:id="rId7"/>
          <a:extLst>
            <a:ext uri="{FF2B5EF4-FFF2-40B4-BE49-F238E27FC236}">
              <a16:creationId xmlns:a16="http://schemas.microsoft.com/office/drawing/2014/main" id="{A7B79411-DB28-4D04-A8C3-5B7101C4C6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0" name="AutoShape 3" descr="Story">
          <a:hlinkClick xmlns:r="http://schemas.openxmlformats.org/officeDocument/2006/relationships" r:id="rId4"/>
          <a:extLst>
            <a:ext uri="{FF2B5EF4-FFF2-40B4-BE49-F238E27FC236}">
              <a16:creationId xmlns:a16="http://schemas.microsoft.com/office/drawing/2014/main" id="{5C1604A3-FC3D-4C08-A9A0-716FB84FB23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 name="AutoShape 4" descr="Story">
          <a:hlinkClick xmlns:r="http://schemas.openxmlformats.org/officeDocument/2006/relationships" r:id="rId5"/>
          <a:extLst>
            <a:ext uri="{FF2B5EF4-FFF2-40B4-BE49-F238E27FC236}">
              <a16:creationId xmlns:a16="http://schemas.microsoft.com/office/drawing/2014/main" id="{D6BAB628-C614-4DF2-BB02-6A46DF89221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8" name="AutoShape 7" descr="Story">
          <a:hlinkClick xmlns:r="http://schemas.openxmlformats.org/officeDocument/2006/relationships" r:id="rId3"/>
          <a:extLst>
            <a:ext uri="{FF2B5EF4-FFF2-40B4-BE49-F238E27FC236}">
              <a16:creationId xmlns:a16="http://schemas.microsoft.com/office/drawing/2014/main" id="{DDF50E54-A2E4-433E-BD0E-67A26A86239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9" name="AutoShape 8" descr="Story">
          <a:hlinkClick xmlns:r="http://schemas.openxmlformats.org/officeDocument/2006/relationships" r:id="rId4"/>
          <a:extLst>
            <a:ext uri="{FF2B5EF4-FFF2-40B4-BE49-F238E27FC236}">
              <a16:creationId xmlns:a16="http://schemas.microsoft.com/office/drawing/2014/main" id="{27C6B2FC-02BC-4120-929E-2E3DB3D9A2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60" name="AutoShape 8" descr="Story">
          <a:hlinkClick xmlns:r="http://schemas.openxmlformats.org/officeDocument/2006/relationships" r:id="rId4"/>
          <a:extLst>
            <a:ext uri="{FF2B5EF4-FFF2-40B4-BE49-F238E27FC236}">
              <a16:creationId xmlns:a16="http://schemas.microsoft.com/office/drawing/2014/main" id="{B24F67C7-D2E7-4421-BA18-88866D3A53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104" name="AutoShape 1" descr="Story">
          <a:hlinkClick xmlns:r="http://schemas.openxmlformats.org/officeDocument/2006/relationships" r:id="rId7"/>
          <a:extLst>
            <a:ext uri="{FF2B5EF4-FFF2-40B4-BE49-F238E27FC236}">
              <a16:creationId xmlns:a16="http://schemas.microsoft.com/office/drawing/2014/main" id="{49F21385-7765-4689-B6B7-92BDDB9F9BD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5" name="AutoShape 2" descr="Story">
          <a:hlinkClick xmlns:r="http://schemas.openxmlformats.org/officeDocument/2006/relationships" r:id="rId8"/>
          <a:extLst>
            <a:ext uri="{FF2B5EF4-FFF2-40B4-BE49-F238E27FC236}">
              <a16:creationId xmlns:a16="http://schemas.microsoft.com/office/drawing/2014/main" id="{E6AA5A15-C236-4998-A7AA-43E1016A2CD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6" name="AutoShape 3" descr="Story">
          <a:hlinkClick xmlns:r="http://schemas.openxmlformats.org/officeDocument/2006/relationships" r:id="rId9"/>
          <a:extLst>
            <a:ext uri="{FF2B5EF4-FFF2-40B4-BE49-F238E27FC236}">
              <a16:creationId xmlns:a16="http://schemas.microsoft.com/office/drawing/2014/main" id="{FDFA2EAD-B115-46BD-967F-49A7F2FE87B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7" name="AutoShape 4" descr="Bug">
          <a:hlinkClick xmlns:r="http://schemas.openxmlformats.org/officeDocument/2006/relationships" r:id="rId1"/>
          <a:extLst>
            <a:ext uri="{FF2B5EF4-FFF2-40B4-BE49-F238E27FC236}">
              <a16:creationId xmlns:a16="http://schemas.microsoft.com/office/drawing/2014/main" id="{7985816C-90E5-4DD3-8494-AF29027451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8" name="AutoShape 5" descr="Story">
          <a:hlinkClick xmlns:r="http://schemas.openxmlformats.org/officeDocument/2006/relationships" r:id="rId10"/>
          <a:extLst>
            <a:ext uri="{FF2B5EF4-FFF2-40B4-BE49-F238E27FC236}">
              <a16:creationId xmlns:a16="http://schemas.microsoft.com/office/drawing/2014/main" id="{1619730B-BBF8-4830-BBC8-E01817FD8D8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09" name="AutoShape 6" descr="Bug">
          <a:hlinkClick xmlns:r="http://schemas.openxmlformats.org/officeDocument/2006/relationships" r:id="rId2"/>
          <a:extLst>
            <a:ext uri="{FF2B5EF4-FFF2-40B4-BE49-F238E27FC236}">
              <a16:creationId xmlns:a16="http://schemas.microsoft.com/office/drawing/2014/main" id="{D2E1084E-EDAD-4389-A8A9-C070876C6C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0" name="AutoShape 7" descr="Story">
          <a:hlinkClick xmlns:r="http://schemas.openxmlformats.org/officeDocument/2006/relationships" r:id="rId3"/>
          <a:extLst>
            <a:ext uri="{FF2B5EF4-FFF2-40B4-BE49-F238E27FC236}">
              <a16:creationId xmlns:a16="http://schemas.microsoft.com/office/drawing/2014/main" id="{DE5E3705-528B-4287-9CCD-03528FCB6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1" name="AutoShape 8" descr="Story">
          <a:hlinkClick xmlns:r="http://schemas.openxmlformats.org/officeDocument/2006/relationships" r:id="rId4"/>
          <a:extLst>
            <a:ext uri="{FF2B5EF4-FFF2-40B4-BE49-F238E27FC236}">
              <a16:creationId xmlns:a16="http://schemas.microsoft.com/office/drawing/2014/main" id="{03E57E03-CFAF-4888-BA5A-87CBB33AC4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2" name="AutoShape 9" descr="Story">
          <a:hlinkClick xmlns:r="http://schemas.openxmlformats.org/officeDocument/2006/relationships" r:id="rId5"/>
          <a:extLst>
            <a:ext uri="{FF2B5EF4-FFF2-40B4-BE49-F238E27FC236}">
              <a16:creationId xmlns:a16="http://schemas.microsoft.com/office/drawing/2014/main" id="{E539AB79-C21A-4025-A433-00D5D89BA6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3" name="AutoShape 10" descr="Story">
          <a:hlinkClick xmlns:r="http://schemas.openxmlformats.org/officeDocument/2006/relationships" r:id="rId6"/>
          <a:extLst>
            <a:ext uri="{FF2B5EF4-FFF2-40B4-BE49-F238E27FC236}">
              <a16:creationId xmlns:a16="http://schemas.microsoft.com/office/drawing/2014/main" id="{34137C79-B97F-4C7C-8F28-C4FD0CF2D20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4" name="AutoShape 11" descr="Story">
          <a:hlinkClick xmlns:r="http://schemas.openxmlformats.org/officeDocument/2006/relationships" r:id="rId11"/>
          <a:extLst>
            <a:ext uri="{FF2B5EF4-FFF2-40B4-BE49-F238E27FC236}">
              <a16:creationId xmlns:a16="http://schemas.microsoft.com/office/drawing/2014/main" id="{34A8B240-8107-4624-B61A-BE9815C5A39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5" name="AutoShape 12" descr="Story">
          <a:hlinkClick xmlns:r="http://schemas.openxmlformats.org/officeDocument/2006/relationships" r:id="rId8"/>
          <a:extLst>
            <a:ext uri="{FF2B5EF4-FFF2-40B4-BE49-F238E27FC236}">
              <a16:creationId xmlns:a16="http://schemas.microsoft.com/office/drawing/2014/main" id="{7E5EC446-5BB9-48E8-A5D2-1ED3FF77CB7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6" name="AutoShape 13" descr="Story">
          <a:hlinkClick xmlns:r="http://schemas.openxmlformats.org/officeDocument/2006/relationships" r:id="rId4"/>
          <a:extLst>
            <a:ext uri="{FF2B5EF4-FFF2-40B4-BE49-F238E27FC236}">
              <a16:creationId xmlns:a16="http://schemas.microsoft.com/office/drawing/2014/main" id="{0E5D28F1-D991-49A0-AA04-44E2AECD14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7" name="AutoShape 14" descr="Story">
          <a:hlinkClick xmlns:r="http://schemas.openxmlformats.org/officeDocument/2006/relationships" r:id="rId4"/>
          <a:extLst>
            <a:ext uri="{FF2B5EF4-FFF2-40B4-BE49-F238E27FC236}">
              <a16:creationId xmlns:a16="http://schemas.microsoft.com/office/drawing/2014/main" id="{BDE3C64C-AE92-4FA2-81CF-0C26D618C8D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8" name="AutoShape 15" descr="Story">
          <a:hlinkClick xmlns:r="http://schemas.openxmlformats.org/officeDocument/2006/relationships" r:id="rId4"/>
          <a:extLst>
            <a:ext uri="{FF2B5EF4-FFF2-40B4-BE49-F238E27FC236}">
              <a16:creationId xmlns:a16="http://schemas.microsoft.com/office/drawing/2014/main" id="{3993C00F-3994-47A1-A1E0-266DB2987CD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19" name="AutoShape 1" descr="Story">
          <a:hlinkClick xmlns:r="http://schemas.openxmlformats.org/officeDocument/2006/relationships" r:id="rId12"/>
          <a:extLst>
            <a:ext uri="{FF2B5EF4-FFF2-40B4-BE49-F238E27FC236}">
              <a16:creationId xmlns:a16="http://schemas.microsoft.com/office/drawing/2014/main" id="{F85216A8-EE23-4D14-B4EF-F01FF01135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0" name="AutoShape 2" descr="Story">
          <a:hlinkClick xmlns:r="http://schemas.openxmlformats.org/officeDocument/2006/relationships" r:id="rId13"/>
          <a:extLst>
            <a:ext uri="{FF2B5EF4-FFF2-40B4-BE49-F238E27FC236}">
              <a16:creationId xmlns:a16="http://schemas.microsoft.com/office/drawing/2014/main" id="{B1895D20-4D56-4268-B81F-6F1607F70D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1" name="AutoShape 5" descr="Story">
          <a:hlinkClick xmlns:r="http://schemas.openxmlformats.org/officeDocument/2006/relationships" r:id="rId6"/>
          <a:extLst>
            <a:ext uri="{FF2B5EF4-FFF2-40B4-BE49-F238E27FC236}">
              <a16:creationId xmlns:a16="http://schemas.microsoft.com/office/drawing/2014/main" id="{871577E9-91A7-4D28-88AE-1A776FB308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2" name="AutoShape 1" descr="Sub-task">
          <a:hlinkClick xmlns:r="http://schemas.openxmlformats.org/officeDocument/2006/relationships" r:id="rId14"/>
          <a:extLst>
            <a:ext uri="{FF2B5EF4-FFF2-40B4-BE49-F238E27FC236}">
              <a16:creationId xmlns:a16="http://schemas.microsoft.com/office/drawing/2014/main" id="{8D66C33E-D1EB-4DB0-8DC8-CEA752BF2B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3" name="AutoShape 2" descr="Sub-task">
          <a:hlinkClick xmlns:r="http://schemas.openxmlformats.org/officeDocument/2006/relationships" r:id="rId15"/>
          <a:extLst>
            <a:ext uri="{FF2B5EF4-FFF2-40B4-BE49-F238E27FC236}">
              <a16:creationId xmlns:a16="http://schemas.microsoft.com/office/drawing/2014/main" id="{D4447AFF-F202-4D63-85EA-A102FCFF92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4" name="AutoShape 3" descr="Story">
          <a:hlinkClick xmlns:r="http://schemas.openxmlformats.org/officeDocument/2006/relationships" r:id="rId9"/>
          <a:extLst>
            <a:ext uri="{FF2B5EF4-FFF2-40B4-BE49-F238E27FC236}">
              <a16:creationId xmlns:a16="http://schemas.microsoft.com/office/drawing/2014/main" id="{F267C215-527F-48F4-876C-B2FEA66EAD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5" name="AutoShape 12" descr="Story">
          <a:hlinkClick xmlns:r="http://schemas.openxmlformats.org/officeDocument/2006/relationships" r:id="rId8"/>
          <a:extLst>
            <a:ext uri="{FF2B5EF4-FFF2-40B4-BE49-F238E27FC236}">
              <a16:creationId xmlns:a16="http://schemas.microsoft.com/office/drawing/2014/main" id="{2311EAF9-DC79-4D0C-86DC-A5758511FA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6" name="AutoShape 1" descr="Story">
          <a:hlinkClick xmlns:r="http://schemas.openxmlformats.org/officeDocument/2006/relationships" r:id="rId7"/>
          <a:extLst>
            <a:ext uri="{FF2B5EF4-FFF2-40B4-BE49-F238E27FC236}">
              <a16:creationId xmlns:a16="http://schemas.microsoft.com/office/drawing/2014/main" id="{0FB724BF-E27A-413E-AB7C-BF10315F23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7" name="AutoShape 1" descr="Story">
          <a:hlinkClick xmlns:r="http://schemas.openxmlformats.org/officeDocument/2006/relationships" r:id="rId7"/>
          <a:extLst>
            <a:ext uri="{FF2B5EF4-FFF2-40B4-BE49-F238E27FC236}">
              <a16:creationId xmlns:a16="http://schemas.microsoft.com/office/drawing/2014/main" id="{80ADF40D-44BB-4699-93C1-3D30FA543F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8" name="AutoShape 3" descr="Story">
          <a:hlinkClick xmlns:r="http://schemas.openxmlformats.org/officeDocument/2006/relationships" r:id="rId4"/>
          <a:extLst>
            <a:ext uri="{FF2B5EF4-FFF2-40B4-BE49-F238E27FC236}">
              <a16:creationId xmlns:a16="http://schemas.microsoft.com/office/drawing/2014/main" id="{3B535F6F-4C7D-4519-90D7-AE0D51D382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9" name="AutoShape 4" descr="Story">
          <a:hlinkClick xmlns:r="http://schemas.openxmlformats.org/officeDocument/2006/relationships" r:id="rId5"/>
          <a:extLst>
            <a:ext uri="{FF2B5EF4-FFF2-40B4-BE49-F238E27FC236}">
              <a16:creationId xmlns:a16="http://schemas.microsoft.com/office/drawing/2014/main" id="{806D29BA-A0FD-4635-A979-F415EB3CE87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0" name="AutoShape 1" descr="Story">
          <a:hlinkClick xmlns:r="http://schemas.openxmlformats.org/officeDocument/2006/relationships" r:id="rId12"/>
          <a:extLst>
            <a:ext uri="{FF2B5EF4-FFF2-40B4-BE49-F238E27FC236}">
              <a16:creationId xmlns:a16="http://schemas.microsoft.com/office/drawing/2014/main" id="{9EAE77CD-7EDE-45CF-9AF5-BF98631D6C0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1" name="AutoShape 2" descr="Story">
          <a:hlinkClick xmlns:r="http://schemas.openxmlformats.org/officeDocument/2006/relationships" r:id="rId13"/>
          <a:extLst>
            <a:ext uri="{FF2B5EF4-FFF2-40B4-BE49-F238E27FC236}">
              <a16:creationId xmlns:a16="http://schemas.microsoft.com/office/drawing/2014/main" id="{5D9E86CA-7561-40D8-B750-649194F6115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2" name="AutoShape 3" descr="Story">
          <a:hlinkClick xmlns:r="http://schemas.openxmlformats.org/officeDocument/2006/relationships" r:id="rId4"/>
          <a:extLst>
            <a:ext uri="{FF2B5EF4-FFF2-40B4-BE49-F238E27FC236}">
              <a16:creationId xmlns:a16="http://schemas.microsoft.com/office/drawing/2014/main" id="{966A71C4-F8AC-4DC4-8B29-C8B562DF2B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3" name="AutoShape 4" descr="Story">
          <a:hlinkClick xmlns:r="http://schemas.openxmlformats.org/officeDocument/2006/relationships" r:id="rId5"/>
          <a:extLst>
            <a:ext uri="{FF2B5EF4-FFF2-40B4-BE49-F238E27FC236}">
              <a16:creationId xmlns:a16="http://schemas.microsoft.com/office/drawing/2014/main" id="{65DAAD37-6052-4452-96B7-317B9E1E9B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4" name="AutoShape 5" descr="Story">
          <a:hlinkClick xmlns:r="http://schemas.openxmlformats.org/officeDocument/2006/relationships" r:id="rId6"/>
          <a:extLst>
            <a:ext uri="{FF2B5EF4-FFF2-40B4-BE49-F238E27FC236}">
              <a16:creationId xmlns:a16="http://schemas.microsoft.com/office/drawing/2014/main" id="{6BA6C020-EF25-4413-BFFF-01C4576134C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5" name="AutoShape 1" descr="Sub-task">
          <a:hlinkClick xmlns:r="http://schemas.openxmlformats.org/officeDocument/2006/relationships" r:id="rId14"/>
          <a:extLst>
            <a:ext uri="{FF2B5EF4-FFF2-40B4-BE49-F238E27FC236}">
              <a16:creationId xmlns:a16="http://schemas.microsoft.com/office/drawing/2014/main" id="{DF08680F-6AB0-421F-B0C5-FE2492FB93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6" name="AutoShape 2" descr="Sub-task">
          <a:hlinkClick xmlns:r="http://schemas.openxmlformats.org/officeDocument/2006/relationships" r:id="rId15"/>
          <a:extLst>
            <a:ext uri="{FF2B5EF4-FFF2-40B4-BE49-F238E27FC236}">
              <a16:creationId xmlns:a16="http://schemas.microsoft.com/office/drawing/2014/main" id="{2A692BF3-035A-4101-809B-1F10B2C17E5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7" name="AutoShape 7" descr="Story">
          <a:hlinkClick xmlns:r="http://schemas.openxmlformats.org/officeDocument/2006/relationships" r:id="rId3"/>
          <a:extLst>
            <a:ext uri="{FF2B5EF4-FFF2-40B4-BE49-F238E27FC236}">
              <a16:creationId xmlns:a16="http://schemas.microsoft.com/office/drawing/2014/main" id="{4588A062-63CC-4CDF-A0EA-64084CCA18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8" name="AutoShape 3" descr="Story">
          <a:hlinkClick xmlns:r="http://schemas.openxmlformats.org/officeDocument/2006/relationships" r:id="rId9"/>
          <a:extLst>
            <a:ext uri="{FF2B5EF4-FFF2-40B4-BE49-F238E27FC236}">
              <a16:creationId xmlns:a16="http://schemas.microsoft.com/office/drawing/2014/main" id="{82E413E6-F6AB-4D0B-867A-B27BEF6D7C7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9" name="AutoShape 12" descr="Story">
          <a:hlinkClick xmlns:r="http://schemas.openxmlformats.org/officeDocument/2006/relationships" r:id="rId8"/>
          <a:extLst>
            <a:ext uri="{FF2B5EF4-FFF2-40B4-BE49-F238E27FC236}">
              <a16:creationId xmlns:a16="http://schemas.microsoft.com/office/drawing/2014/main" id="{077D0C9F-5532-4DE3-9DD3-DE18B97CF7F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0" name="AutoShape 1" descr="Story">
          <a:hlinkClick xmlns:r="http://schemas.openxmlformats.org/officeDocument/2006/relationships" r:id="rId7"/>
          <a:extLst>
            <a:ext uri="{FF2B5EF4-FFF2-40B4-BE49-F238E27FC236}">
              <a16:creationId xmlns:a16="http://schemas.microsoft.com/office/drawing/2014/main" id="{307B8507-1810-4A64-ADA6-1D0A3AFA3E5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1" name="AutoShape 1" descr="Story">
          <a:hlinkClick xmlns:r="http://schemas.openxmlformats.org/officeDocument/2006/relationships" r:id="rId7"/>
          <a:extLst>
            <a:ext uri="{FF2B5EF4-FFF2-40B4-BE49-F238E27FC236}">
              <a16:creationId xmlns:a16="http://schemas.microsoft.com/office/drawing/2014/main" id="{6606E2C5-D3A9-4691-A1EC-26478C11056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2" name="AutoShape 3" descr="Story">
          <a:hlinkClick xmlns:r="http://schemas.openxmlformats.org/officeDocument/2006/relationships" r:id="rId4"/>
          <a:extLst>
            <a:ext uri="{FF2B5EF4-FFF2-40B4-BE49-F238E27FC236}">
              <a16:creationId xmlns:a16="http://schemas.microsoft.com/office/drawing/2014/main" id="{CED1E7CB-BF40-4C00-B60C-052BC2FDC49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3" name="AutoShape 4" descr="Story">
          <a:hlinkClick xmlns:r="http://schemas.openxmlformats.org/officeDocument/2006/relationships" r:id="rId5"/>
          <a:extLst>
            <a:ext uri="{FF2B5EF4-FFF2-40B4-BE49-F238E27FC236}">
              <a16:creationId xmlns:a16="http://schemas.microsoft.com/office/drawing/2014/main" id="{1201EF51-880C-4524-8C24-7254DBA7D65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4" name="AutoShape 7" descr="Story">
          <a:hlinkClick xmlns:r="http://schemas.openxmlformats.org/officeDocument/2006/relationships" r:id="rId3"/>
          <a:extLst>
            <a:ext uri="{FF2B5EF4-FFF2-40B4-BE49-F238E27FC236}">
              <a16:creationId xmlns:a16="http://schemas.microsoft.com/office/drawing/2014/main" id="{9EDCFD76-A1C1-4CE5-845E-3232FFA9C8F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5" name="AutoShape 8" descr="Story">
          <a:hlinkClick xmlns:r="http://schemas.openxmlformats.org/officeDocument/2006/relationships" r:id="rId4"/>
          <a:extLst>
            <a:ext uri="{FF2B5EF4-FFF2-40B4-BE49-F238E27FC236}">
              <a16:creationId xmlns:a16="http://schemas.microsoft.com/office/drawing/2014/main" id="{3D4C672F-3607-4FFB-AB7F-CB983DD704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6" name="AutoShape 8" descr="Story">
          <a:hlinkClick xmlns:r="http://schemas.openxmlformats.org/officeDocument/2006/relationships" r:id="rId4"/>
          <a:extLst>
            <a:ext uri="{FF2B5EF4-FFF2-40B4-BE49-F238E27FC236}">
              <a16:creationId xmlns:a16="http://schemas.microsoft.com/office/drawing/2014/main" id="{426D54E0-8F9A-4F9B-AC52-71BFE38EF8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147" name="AutoShape 1" descr="Story">
          <a:hlinkClick xmlns:r="http://schemas.openxmlformats.org/officeDocument/2006/relationships" r:id="rId7"/>
          <a:extLst>
            <a:ext uri="{FF2B5EF4-FFF2-40B4-BE49-F238E27FC236}">
              <a16:creationId xmlns:a16="http://schemas.microsoft.com/office/drawing/2014/main" id="{87A8F580-3378-42E0-AF98-E410D9F9310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48" name="AutoShape 2" descr="Story">
          <a:hlinkClick xmlns:r="http://schemas.openxmlformats.org/officeDocument/2006/relationships" r:id="rId8"/>
          <a:extLst>
            <a:ext uri="{FF2B5EF4-FFF2-40B4-BE49-F238E27FC236}">
              <a16:creationId xmlns:a16="http://schemas.microsoft.com/office/drawing/2014/main" id="{90C2C3E5-3FE8-400C-87CE-2F9F8B51D3D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49" name="AutoShape 3" descr="Story">
          <a:hlinkClick xmlns:r="http://schemas.openxmlformats.org/officeDocument/2006/relationships" r:id="rId9"/>
          <a:extLst>
            <a:ext uri="{FF2B5EF4-FFF2-40B4-BE49-F238E27FC236}">
              <a16:creationId xmlns:a16="http://schemas.microsoft.com/office/drawing/2014/main" id="{E3C5E9F8-F827-45A9-9C82-BE5FE6FCBC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0" name="AutoShape 4" descr="Bug">
          <a:hlinkClick xmlns:r="http://schemas.openxmlformats.org/officeDocument/2006/relationships" r:id="rId1"/>
          <a:extLst>
            <a:ext uri="{FF2B5EF4-FFF2-40B4-BE49-F238E27FC236}">
              <a16:creationId xmlns:a16="http://schemas.microsoft.com/office/drawing/2014/main" id="{C0A4763E-8C56-4E12-B107-5AC17B6D21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1" name="AutoShape 5" descr="Story">
          <a:hlinkClick xmlns:r="http://schemas.openxmlformats.org/officeDocument/2006/relationships" r:id="rId10"/>
          <a:extLst>
            <a:ext uri="{FF2B5EF4-FFF2-40B4-BE49-F238E27FC236}">
              <a16:creationId xmlns:a16="http://schemas.microsoft.com/office/drawing/2014/main" id="{27C99EEA-7987-4929-8ECC-F0FCFACDDD7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2" name="AutoShape 6" descr="Bug">
          <a:hlinkClick xmlns:r="http://schemas.openxmlformats.org/officeDocument/2006/relationships" r:id="rId2"/>
          <a:extLst>
            <a:ext uri="{FF2B5EF4-FFF2-40B4-BE49-F238E27FC236}">
              <a16:creationId xmlns:a16="http://schemas.microsoft.com/office/drawing/2014/main" id="{7B8B7FD8-E0AD-4B71-B016-57611E2441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3" name="AutoShape 7" descr="Story">
          <a:hlinkClick xmlns:r="http://schemas.openxmlformats.org/officeDocument/2006/relationships" r:id="rId3"/>
          <a:extLst>
            <a:ext uri="{FF2B5EF4-FFF2-40B4-BE49-F238E27FC236}">
              <a16:creationId xmlns:a16="http://schemas.microsoft.com/office/drawing/2014/main" id="{319C3DFD-F7DF-4D48-8C4A-8CC62442B6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4" name="AutoShape 8" descr="Story">
          <a:hlinkClick xmlns:r="http://schemas.openxmlformats.org/officeDocument/2006/relationships" r:id="rId4"/>
          <a:extLst>
            <a:ext uri="{FF2B5EF4-FFF2-40B4-BE49-F238E27FC236}">
              <a16:creationId xmlns:a16="http://schemas.microsoft.com/office/drawing/2014/main" id="{019B944F-3063-481B-9B35-FAD110DA6E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5" name="AutoShape 9" descr="Story">
          <a:hlinkClick xmlns:r="http://schemas.openxmlformats.org/officeDocument/2006/relationships" r:id="rId5"/>
          <a:extLst>
            <a:ext uri="{FF2B5EF4-FFF2-40B4-BE49-F238E27FC236}">
              <a16:creationId xmlns:a16="http://schemas.microsoft.com/office/drawing/2014/main" id="{0B4FF202-BC1B-4379-9886-0064B4AAD4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6" name="AutoShape 10" descr="Story">
          <a:hlinkClick xmlns:r="http://schemas.openxmlformats.org/officeDocument/2006/relationships" r:id="rId6"/>
          <a:extLst>
            <a:ext uri="{FF2B5EF4-FFF2-40B4-BE49-F238E27FC236}">
              <a16:creationId xmlns:a16="http://schemas.microsoft.com/office/drawing/2014/main" id="{7868562D-CDAE-4123-8A4A-375CFB0157F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7" name="AutoShape 11" descr="Story">
          <a:hlinkClick xmlns:r="http://schemas.openxmlformats.org/officeDocument/2006/relationships" r:id="rId11"/>
          <a:extLst>
            <a:ext uri="{FF2B5EF4-FFF2-40B4-BE49-F238E27FC236}">
              <a16:creationId xmlns:a16="http://schemas.microsoft.com/office/drawing/2014/main" id="{706A486F-2E10-49A3-BF8D-EB5A6D7ADB3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8" name="AutoShape 12" descr="Story">
          <a:hlinkClick xmlns:r="http://schemas.openxmlformats.org/officeDocument/2006/relationships" r:id="rId8"/>
          <a:extLst>
            <a:ext uri="{FF2B5EF4-FFF2-40B4-BE49-F238E27FC236}">
              <a16:creationId xmlns:a16="http://schemas.microsoft.com/office/drawing/2014/main" id="{9E8E673B-3076-4884-A94C-A461D1C8DDB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9" name="AutoShape 13" descr="Story">
          <a:hlinkClick xmlns:r="http://schemas.openxmlformats.org/officeDocument/2006/relationships" r:id="rId4"/>
          <a:extLst>
            <a:ext uri="{FF2B5EF4-FFF2-40B4-BE49-F238E27FC236}">
              <a16:creationId xmlns:a16="http://schemas.microsoft.com/office/drawing/2014/main" id="{7A903D80-5614-499B-93AE-92AEDB8B8F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0" name="AutoShape 14" descr="Story">
          <a:hlinkClick xmlns:r="http://schemas.openxmlformats.org/officeDocument/2006/relationships" r:id="rId4"/>
          <a:extLst>
            <a:ext uri="{FF2B5EF4-FFF2-40B4-BE49-F238E27FC236}">
              <a16:creationId xmlns:a16="http://schemas.microsoft.com/office/drawing/2014/main" id="{69720C13-06B3-4642-A564-CC0D3663E43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1" name="AutoShape 15" descr="Story">
          <a:hlinkClick xmlns:r="http://schemas.openxmlformats.org/officeDocument/2006/relationships" r:id="rId4"/>
          <a:extLst>
            <a:ext uri="{FF2B5EF4-FFF2-40B4-BE49-F238E27FC236}">
              <a16:creationId xmlns:a16="http://schemas.microsoft.com/office/drawing/2014/main" id="{F7E22C1D-9B55-4C4F-883A-C01EAF7A3386}"/>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62" name="AutoShape 1" descr="Story">
          <a:hlinkClick xmlns:r="http://schemas.openxmlformats.org/officeDocument/2006/relationships" r:id="rId12"/>
          <a:extLst>
            <a:ext uri="{FF2B5EF4-FFF2-40B4-BE49-F238E27FC236}">
              <a16:creationId xmlns:a16="http://schemas.microsoft.com/office/drawing/2014/main" id="{E5381C9B-EEAF-4FFA-AF5F-4B543C9B71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3" name="AutoShape 2" descr="Story">
          <a:hlinkClick xmlns:r="http://schemas.openxmlformats.org/officeDocument/2006/relationships" r:id="rId13"/>
          <a:extLst>
            <a:ext uri="{FF2B5EF4-FFF2-40B4-BE49-F238E27FC236}">
              <a16:creationId xmlns:a16="http://schemas.microsoft.com/office/drawing/2014/main" id="{D0928E12-3E67-4048-B8E3-3A3FBF0CCB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4" name="AutoShape 5" descr="Story">
          <a:hlinkClick xmlns:r="http://schemas.openxmlformats.org/officeDocument/2006/relationships" r:id="rId6"/>
          <a:extLst>
            <a:ext uri="{FF2B5EF4-FFF2-40B4-BE49-F238E27FC236}">
              <a16:creationId xmlns:a16="http://schemas.microsoft.com/office/drawing/2014/main" id="{EA97F856-7703-4710-8114-C92374838E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5" name="AutoShape 1" descr="Sub-task">
          <a:hlinkClick xmlns:r="http://schemas.openxmlformats.org/officeDocument/2006/relationships" r:id="rId14"/>
          <a:extLst>
            <a:ext uri="{FF2B5EF4-FFF2-40B4-BE49-F238E27FC236}">
              <a16:creationId xmlns:a16="http://schemas.microsoft.com/office/drawing/2014/main" id="{995B943D-EDF2-48EA-87D6-60B65BC67A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6" name="AutoShape 2" descr="Sub-task">
          <a:hlinkClick xmlns:r="http://schemas.openxmlformats.org/officeDocument/2006/relationships" r:id="rId15"/>
          <a:extLst>
            <a:ext uri="{FF2B5EF4-FFF2-40B4-BE49-F238E27FC236}">
              <a16:creationId xmlns:a16="http://schemas.microsoft.com/office/drawing/2014/main" id="{8A5DAFD1-6858-4A0C-98AB-560136CE3C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7" name="AutoShape 3" descr="Story">
          <a:hlinkClick xmlns:r="http://schemas.openxmlformats.org/officeDocument/2006/relationships" r:id="rId9"/>
          <a:extLst>
            <a:ext uri="{FF2B5EF4-FFF2-40B4-BE49-F238E27FC236}">
              <a16:creationId xmlns:a16="http://schemas.microsoft.com/office/drawing/2014/main" id="{E5F5A43C-17AA-4C1E-810F-37CEFF08D8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8" name="AutoShape 12" descr="Story">
          <a:hlinkClick xmlns:r="http://schemas.openxmlformats.org/officeDocument/2006/relationships" r:id="rId8"/>
          <a:extLst>
            <a:ext uri="{FF2B5EF4-FFF2-40B4-BE49-F238E27FC236}">
              <a16:creationId xmlns:a16="http://schemas.microsoft.com/office/drawing/2014/main" id="{FA304A61-2BF0-4B3D-8AB5-371C5E7D9F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9" name="AutoShape 1" descr="Story">
          <a:hlinkClick xmlns:r="http://schemas.openxmlformats.org/officeDocument/2006/relationships" r:id="rId7"/>
          <a:extLst>
            <a:ext uri="{FF2B5EF4-FFF2-40B4-BE49-F238E27FC236}">
              <a16:creationId xmlns:a16="http://schemas.microsoft.com/office/drawing/2014/main" id="{4658D544-3581-4645-8484-3520F101E8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0" name="AutoShape 1" descr="Story">
          <a:hlinkClick xmlns:r="http://schemas.openxmlformats.org/officeDocument/2006/relationships" r:id="rId7"/>
          <a:extLst>
            <a:ext uri="{FF2B5EF4-FFF2-40B4-BE49-F238E27FC236}">
              <a16:creationId xmlns:a16="http://schemas.microsoft.com/office/drawing/2014/main" id="{8101C18B-B448-4CBC-945C-8DFDFE1913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1" name="AutoShape 3" descr="Story">
          <a:hlinkClick xmlns:r="http://schemas.openxmlformats.org/officeDocument/2006/relationships" r:id="rId4"/>
          <a:extLst>
            <a:ext uri="{FF2B5EF4-FFF2-40B4-BE49-F238E27FC236}">
              <a16:creationId xmlns:a16="http://schemas.microsoft.com/office/drawing/2014/main" id="{6E16B382-C9E5-453D-832B-6ACCD454E4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2" name="AutoShape 4" descr="Story">
          <a:hlinkClick xmlns:r="http://schemas.openxmlformats.org/officeDocument/2006/relationships" r:id="rId5"/>
          <a:extLst>
            <a:ext uri="{FF2B5EF4-FFF2-40B4-BE49-F238E27FC236}">
              <a16:creationId xmlns:a16="http://schemas.microsoft.com/office/drawing/2014/main" id="{6C4DC654-BAC5-45AF-8A07-FE9A676461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3" name="AutoShape 1" descr="Story">
          <a:hlinkClick xmlns:r="http://schemas.openxmlformats.org/officeDocument/2006/relationships" r:id="rId12"/>
          <a:extLst>
            <a:ext uri="{FF2B5EF4-FFF2-40B4-BE49-F238E27FC236}">
              <a16:creationId xmlns:a16="http://schemas.microsoft.com/office/drawing/2014/main" id="{2AD3CE75-D443-4144-9237-AB4B040A9B4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4" name="AutoShape 2" descr="Story">
          <a:hlinkClick xmlns:r="http://schemas.openxmlformats.org/officeDocument/2006/relationships" r:id="rId13"/>
          <a:extLst>
            <a:ext uri="{FF2B5EF4-FFF2-40B4-BE49-F238E27FC236}">
              <a16:creationId xmlns:a16="http://schemas.microsoft.com/office/drawing/2014/main" id="{9E5E2FA8-FC12-45A8-B283-C9C18C3DD3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5" name="AutoShape 3" descr="Story">
          <a:hlinkClick xmlns:r="http://schemas.openxmlformats.org/officeDocument/2006/relationships" r:id="rId4"/>
          <a:extLst>
            <a:ext uri="{FF2B5EF4-FFF2-40B4-BE49-F238E27FC236}">
              <a16:creationId xmlns:a16="http://schemas.microsoft.com/office/drawing/2014/main" id="{160BC476-8697-474A-9694-933398B44E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6" name="AutoShape 4" descr="Story">
          <a:hlinkClick xmlns:r="http://schemas.openxmlformats.org/officeDocument/2006/relationships" r:id="rId5"/>
          <a:extLst>
            <a:ext uri="{FF2B5EF4-FFF2-40B4-BE49-F238E27FC236}">
              <a16:creationId xmlns:a16="http://schemas.microsoft.com/office/drawing/2014/main" id="{E4305B21-0A4B-4D0B-8D69-1C814DE117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7" name="AutoShape 5" descr="Story">
          <a:hlinkClick xmlns:r="http://schemas.openxmlformats.org/officeDocument/2006/relationships" r:id="rId6"/>
          <a:extLst>
            <a:ext uri="{FF2B5EF4-FFF2-40B4-BE49-F238E27FC236}">
              <a16:creationId xmlns:a16="http://schemas.microsoft.com/office/drawing/2014/main" id="{1A42F072-38D4-4F1D-BFE2-33CD35A1AF4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8" name="AutoShape 1" descr="Sub-task">
          <a:hlinkClick xmlns:r="http://schemas.openxmlformats.org/officeDocument/2006/relationships" r:id="rId14"/>
          <a:extLst>
            <a:ext uri="{FF2B5EF4-FFF2-40B4-BE49-F238E27FC236}">
              <a16:creationId xmlns:a16="http://schemas.microsoft.com/office/drawing/2014/main" id="{96C41C7E-2BE3-4DCB-A008-3043E6AF114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9" name="AutoShape 2" descr="Sub-task">
          <a:hlinkClick xmlns:r="http://schemas.openxmlformats.org/officeDocument/2006/relationships" r:id="rId15"/>
          <a:extLst>
            <a:ext uri="{FF2B5EF4-FFF2-40B4-BE49-F238E27FC236}">
              <a16:creationId xmlns:a16="http://schemas.microsoft.com/office/drawing/2014/main" id="{359D1D86-4A6C-4457-9F5F-66E57602010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0" name="AutoShape 7" descr="Story">
          <a:hlinkClick xmlns:r="http://schemas.openxmlformats.org/officeDocument/2006/relationships" r:id="rId3"/>
          <a:extLst>
            <a:ext uri="{FF2B5EF4-FFF2-40B4-BE49-F238E27FC236}">
              <a16:creationId xmlns:a16="http://schemas.microsoft.com/office/drawing/2014/main" id="{B5A6F418-EEF3-477D-A897-A0DD392259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1" name="AutoShape 3" descr="Story">
          <a:hlinkClick xmlns:r="http://schemas.openxmlformats.org/officeDocument/2006/relationships" r:id="rId9"/>
          <a:extLst>
            <a:ext uri="{FF2B5EF4-FFF2-40B4-BE49-F238E27FC236}">
              <a16:creationId xmlns:a16="http://schemas.microsoft.com/office/drawing/2014/main" id="{C9DC186B-E660-4A66-8358-17508BC5683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2" name="AutoShape 12" descr="Story">
          <a:hlinkClick xmlns:r="http://schemas.openxmlformats.org/officeDocument/2006/relationships" r:id="rId8"/>
          <a:extLst>
            <a:ext uri="{FF2B5EF4-FFF2-40B4-BE49-F238E27FC236}">
              <a16:creationId xmlns:a16="http://schemas.microsoft.com/office/drawing/2014/main" id="{2398B0F7-57B0-4B4E-9690-388F9CD5C21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3" name="AutoShape 1" descr="Story">
          <a:hlinkClick xmlns:r="http://schemas.openxmlformats.org/officeDocument/2006/relationships" r:id="rId7"/>
          <a:extLst>
            <a:ext uri="{FF2B5EF4-FFF2-40B4-BE49-F238E27FC236}">
              <a16:creationId xmlns:a16="http://schemas.microsoft.com/office/drawing/2014/main" id="{6CF173F6-3756-4279-AD07-A82B425CA94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4" name="AutoShape 1" descr="Story">
          <a:hlinkClick xmlns:r="http://schemas.openxmlformats.org/officeDocument/2006/relationships" r:id="rId7"/>
          <a:extLst>
            <a:ext uri="{FF2B5EF4-FFF2-40B4-BE49-F238E27FC236}">
              <a16:creationId xmlns:a16="http://schemas.microsoft.com/office/drawing/2014/main" id="{61F83456-7D47-47BC-9222-094DC32653B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5" name="AutoShape 3" descr="Story">
          <a:hlinkClick xmlns:r="http://schemas.openxmlformats.org/officeDocument/2006/relationships" r:id="rId4"/>
          <a:extLst>
            <a:ext uri="{FF2B5EF4-FFF2-40B4-BE49-F238E27FC236}">
              <a16:creationId xmlns:a16="http://schemas.microsoft.com/office/drawing/2014/main" id="{7FA43A8C-A14B-48F9-B2F3-1148525B054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6" name="AutoShape 4" descr="Story">
          <a:hlinkClick xmlns:r="http://schemas.openxmlformats.org/officeDocument/2006/relationships" r:id="rId5"/>
          <a:extLst>
            <a:ext uri="{FF2B5EF4-FFF2-40B4-BE49-F238E27FC236}">
              <a16:creationId xmlns:a16="http://schemas.microsoft.com/office/drawing/2014/main" id="{58C3C310-B689-4035-A83C-332262749FC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7" name="AutoShape 7" descr="Story">
          <a:hlinkClick xmlns:r="http://schemas.openxmlformats.org/officeDocument/2006/relationships" r:id="rId3"/>
          <a:extLst>
            <a:ext uri="{FF2B5EF4-FFF2-40B4-BE49-F238E27FC236}">
              <a16:creationId xmlns:a16="http://schemas.microsoft.com/office/drawing/2014/main" id="{AFE302D0-1287-4B79-A7D7-0AA8452D91B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8" name="AutoShape 8" descr="Story">
          <a:hlinkClick xmlns:r="http://schemas.openxmlformats.org/officeDocument/2006/relationships" r:id="rId4"/>
          <a:extLst>
            <a:ext uri="{FF2B5EF4-FFF2-40B4-BE49-F238E27FC236}">
              <a16:creationId xmlns:a16="http://schemas.microsoft.com/office/drawing/2014/main" id="{C446E0D8-4755-4F9E-BD99-3B790777D6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9" name="AutoShape 8" descr="Story">
          <a:hlinkClick xmlns:r="http://schemas.openxmlformats.org/officeDocument/2006/relationships" r:id="rId4"/>
          <a:extLst>
            <a:ext uri="{FF2B5EF4-FFF2-40B4-BE49-F238E27FC236}">
              <a16:creationId xmlns:a16="http://schemas.microsoft.com/office/drawing/2014/main" id="{5D99A24E-DEE3-4BD7-B7D5-62AAA31F43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190" name="AutoShape 1" descr="Story">
          <a:hlinkClick xmlns:r="http://schemas.openxmlformats.org/officeDocument/2006/relationships" r:id="rId7"/>
          <a:extLst>
            <a:ext uri="{FF2B5EF4-FFF2-40B4-BE49-F238E27FC236}">
              <a16:creationId xmlns:a16="http://schemas.microsoft.com/office/drawing/2014/main" id="{F6B03F76-7408-4258-BE93-C14181E902E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1" name="AutoShape 2" descr="Story">
          <a:hlinkClick xmlns:r="http://schemas.openxmlformats.org/officeDocument/2006/relationships" r:id="rId8"/>
          <a:extLst>
            <a:ext uri="{FF2B5EF4-FFF2-40B4-BE49-F238E27FC236}">
              <a16:creationId xmlns:a16="http://schemas.microsoft.com/office/drawing/2014/main" id="{3ABF5DBE-A738-43C1-B21B-CAC4A9D709E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2" name="AutoShape 3" descr="Story">
          <a:hlinkClick xmlns:r="http://schemas.openxmlformats.org/officeDocument/2006/relationships" r:id="rId9"/>
          <a:extLst>
            <a:ext uri="{FF2B5EF4-FFF2-40B4-BE49-F238E27FC236}">
              <a16:creationId xmlns:a16="http://schemas.microsoft.com/office/drawing/2014/main" id="{0BEE1FCB-23E8-431E-A32F-3F916BFED07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3" name="AutoShape 4" descr="Bug">
          <a:hlinkClick xmlns:r="http://schemas.openxmlformats.org/officeDocument/2006/relationships" r:id="rId1"/>
          <a:extLst>
            <a:ext uri="{FF2B5EF4-FFF2-40B4-BE49-F238E27FC236}">
              <a16:creationId xmlns:a16="http://schemas.microsoft.com/office/drawing/2014/main" id="{5C23C2F4-B21C-46AB-AA8A-419466B6EE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4" name="AutoShape 5" descr="Story">
          <a:hlinkClick xmlns:r="http://schemas.openxmlformats.org/officeDocument/2006/relationships" r:id="rId10"/>
          <a:extLst>
            <a:ext uri="{FF2B5EF4-FFF2-40B4-BE49-F238E27FC236}">
              <a16:creationId xmlns:a16="http://schemas.microsoft.com/office/drawing/2014/main" id="{62E9DD96-4CBF-42CB-8A6E-39E4CF5FC71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5" name="AutoShape 6" descr="Bug">
          <a:hlinkClick xmlns:r="http://schemas.openxmlformats.org/officeDocument/2006/relationships" r:id="rId2"/>
          <a:extLst>
            <a:ext uri="{FF2B5EF4-FFF2-40B4-BE49-F238E27FC236}">
              <a16:creationId xmlns:a16="http://schemas.microsoft.com/office/drawing/2014/main" id="{F7ED90DA-7B43-433B-A68C-AC94A1A380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6" name="AutoShape 7" descr="Story">
          <a:hlinkClick xmlns:r="http://schemas.openxmlformats.org/officeDocument/2006/relationships" r:id="rId3"/>
          <a:extLst>
            <a:ext uri="{FF2B5EF4-FFF2-40B4-BE49-F238E27FC236}">
              <a16:creationId xmlns:a16="http://schemas.microsoft.com/office/drawing/2014/main" id="{531CBFBD-EB04-480E-AA3E-ED6A8684C6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7" name="AutoShape 8" descr="Story">
          <a:hlinkClick xmlns:r="http://schemas.openxmlformats.org/officeDocument/2006/relationships" r:id="rId4"/>
          <a:extLst>
            <a:ext uri="{FF2B5EF4-FFF2-40B4-BE49-F238E27FC236}">
              <a16:creationId xmlns:a16="http://schemas.microsoft.com/office/drawing/2014/main" id="{DE7F0419-591A-4C79-BBD2-1A3D066B62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8" name="AutoShape 9" descr="Story">
          <a:hlinkClick xmlns:r="http://schemas.openxmlformats.org/officeDocument/2006/relationships" r:id="rId5"/>
          <a:extLst>
            <a:ext uri="{FF2B5EF4-FFF2-40B4-BE49-F238E27FC236}">
              <a16:creationId xmlns:a16="http://schemas.microsoft.com/office/drawing/2014/main" id="{C7CA9B7D-395F-4BE5-92D3-D0F353F8CF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9" name="AutoShape 10" descr="Story">
          <a:hlinkClick xmlns:r="http://schemas.openxmlformats.org/officeDocument/2006/relationships" r:id="rId6"/>
          <a:extLst>
            <a:ext uri="{FF2B5EF4-FFF2-40B4-BE49-F238E27FC236}">
              <a16:creationId xmlns:a16="http://schemas.microsoft.com/office/drawing/2014/main" id="{501152E1-11BD-49D6-A6E0-696F8B52D3D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0" name="AutoShape 11" descr="Story">
          <a:hlinkClick xmlns:r="http://schemas.openxmlformats.org/officeDocument/2006/relationships" r:id="rId11"/>
          <a:extLst>
            <a:ext uri="{FF2B5EF4-FFF2-40B4-BE49-F238E27FC236}">
              <a16:creationId xmlns:a16="http://schemas.microsoft.com/office/drawing/2014/main" id="{EAF2AE96-3956-4E3A-97FC-5DEDD40661F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1" name="AutoShape 12" descr="Story">
          <a:hlinkClick xmlns:r="http://schemas.openxmlformats.org/officeDocument/2006/relationships" r:id="rId8"/>
          <a:extLst>
            <a:ext uri="{FF2B5EF4-FFF2-40B4-BE49-F238E27FC236}">
              <a16:creationId xmlns:a16="http://schemas.microsoft.com/office/drawing/2014/main" id="{17523ABC-B96A-4023-8F9F-C7D6CDB49C5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2" name="AutoShape 13" descr="Story">
          <a:hlinkClick xmlns:r="http://schemas.openxmlformats.org/officeDocument/2006/relationships" r:id="rId4"/>
          <a:extLst>
            <a:ext uri="{FF2B5EF4-FFF2-40B4-BE49-F238E27FC236}">
              <a16:creationId xmlns:a16="http://schemas.microsoft.com/office/drawing/2014/main" id="{A8E0041B-2F92-45A8-9ED7-F30143965C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3" name="AutoShape 14" descr="Story">
          <a:hlinkClick xmlns:r="http://schemas.openxmlformats.org/officeDocument/2006/relationships" r:id="rId4"/>
          <a:extLst>
            <a:ext uri="{FF2B5EF4-FFF2-40B4-BE49-F238E27FC236}">
              <a16:creationId xmlns:a16="http://schemas.microsoft.com/office/drawing/2014/main" id="{4DF95F0A-110E-4690-8557-27124C2629C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4" name="AutoShape 15" descr="Story">
          <a:hlinkClick xmlns:r="http://schemas.openxmlformats.org/officeDocument/2006/relationships" r:id="rId4"/>
          <a:extLst>
            <a:ext uri="{FF2B5EF4-FFF2-40B4-BE49-F238E27FC236}">
              <a16:creationId xmlns:a16="http://schemas.microsoft.com/office/drawing/2014/main" id="{4F7417E3-5450-4515-BE73-54EF6A999DF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205" name="AutoShape 1" descr="Story">
          <a:hlinkClick xmlns:r="http://schemas.openxmlformats.org/officeDocument/2006/relationships" r:id="rId12"/>
          <a:extLst>
            <a:ext uri="{FF2B5EF4-FFF2-40B4-BE49-F238E27FC236}">
              <a16:creationId xmlns:a16="http://schemas.microsoft.com/office/drawing/2014/main" id="{563212FC-9E0F-4054-A54A-B4FCEFFECD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06" name="AutoShape 2" descr="Story">
          <a:hlinkClick xmlns:r="http://schemas.openxmlformats.org/officeDocument/2006/relationships" r:id="rId13"/>
          <a:extLst>
            <a:ext uri="{FF2B5EF4-FFF2-40B4-BE49-F238E27FC236}">
              <a16:creationId xmlns:a16="http://schemas.microsoft.com/office/drawing/2014/main" id="{DB808FE0-2BCE-46F0-85CF-97EA071073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07" name="AutoShape 5" descr="Story">
          <a:hlinkClick xmlns:r="http://schemas.openxmlformats.org/officeDocument/2006/relationships" r:id="rId6"/>
          <a:extLst>
            <a:ext uri="{FF2B5EF4-FFF2-40B4-BE49-F238E27FC236}">
              <a16:creationId xmlns:a16="http://schemas.microsoft.com/office/drawing/2014/main" id="{474C8703-DDAF-4926-8BCA-D6BAD648E2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08" name="AutoShape 1" descr="Sub-task">
          <a:hlinkClick xmlns:r="http://schemas.openxmlformats.org/officeDocument/2006/relationships" r:id="rId14"/>
          <a:extLst>
            <a:ext uri="{FF2B5EF4-FFF2-40B4-BE49-F238E27FC236}">
              <a16:creationId xmlns:a16="http://schemas.microsoft.com/office/drawing/2014/main" id="{E4749B08-ED38-4C12-B4B4-34E1465F02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09" name="AutoShape 2" descr="Sub-task">
          <a:hlinkClick xmlns:r="http://schemas.openxmlformats.org/officeDocument/2006/relationships" r:id="rId15"/>
          <a:extLst>
            <a:ext uri="{FF2B5EF4-FFF2-40B4-BE49-F238E27FC236}">
              <a16:creationId xmlns:a16="http://schemas.microsoft.com/office/drawing/2014/main" id="{21A66E77-AA5B-4770-8DDB-F51D3D7201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0" name="AutoShape 3" descr="Story">
          <a:hlinkClick xmlns:r="http://schemas.openxmlformats.org/officeDocument/2006/relationships" r:id="rId9"/>
          <a:extLst>
            <a:ext uri="{FF2B5EF4-FFF2-40B4-BE49-F238E27FC236}">
              <a16:creationId xmlns:a16="http://schemas.microsoft.com/office/drawing/2014/main" id="{4DD38AD1-AF10-42B8-AC88-D412849940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1" name="AutoShape 12" descr="Story">
          <a:hlinkClick xmlns:r="http://schemas.openxmlformats.org/officeDocument/2006/relationships" r:id="rId8"/>
          <a:extLst>
            <a:ext uri="{FF2B5EF4-FFF2-40B4-BE49-F238E27FC236}">
              <a16:creationId xmlns:a16="http://schemas.microsoft.com/office/drawing/2014/main" id="{48F8AC03-327C-4BEA-86C0-41959AD91F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2" name="AutoShape 1" descr="Story">
          <a:hlinkClick xmlns:r="http://schemas.openxmlformats.org/officeDocument/2006/relationships" r:id="rId7"/>
          <a:extLst>
            <a:ext uri="{FF2B5EF4-FFF2-40B4-BE49-F238E27FC236}">
              <a16:creationId xmlns:a16="http://schemas.microsoft.com/office/drawing/2014/main" id="{7994EBE9-E097-4994-860E-934F1F5701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3" name="AutoShape 1" descr="Story">
          <a:hlinkClick xmlns:r="http://schemas.openxmlformats.org/officeDocument/2006/relationships" r:id="rId7"/>
          <a:extLst>
            <a:ext uri="{FF2B5EF4-FFF2-40B4-BE49-F238E27FC236}">
              <a16:creationId xmlns:a16="http://schemas.microsoft.com/office/drawing/2014/main" id="{AFBBFC60-8EC0-4FE7-90FE-F6A9275591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4" name="AutoShape 3" descr="Story">
          <a:hlinkClick xmlns:r="http://schemas.openxmlformats.org/officeDocument/2006/relationships" r:id="rId4"/>
          <a:extLst>
            <a:ext uri="{FF2B5EF4-FFF2-40B4-BE49-F238E27FC236}">
              <a16:creationId xmlns:a16="http://schemas.microsoft.com/office/drawing/2014/main" id="{C1F08445-61F6-4FAC-838F-29FA8E5DC6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5" name="AutoShape 4" descr="Story">
          <a:hlinkClick xmlns:r="http://schemas.openxmlformats.org/officeDocument/2006/relationships" r:id="rId5"/>
          <a:extLst>
            <a:ext uri="{FF2B5EF4-FFF2-40B4-BE49-F238E27FC236}">
              <a16:creationId xmlns:a16="http://schemas.microsoft.com/office/drawing/2014/main" id="{12B2643E-40A8-4066-B402-FE849D4286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6" name="AutoShape 1" descr="Story">
          <a:hlinkClick xmlns:r="http://schemas.openxmlformats.org/officeDocument/2006/relationships" r:id="rId12"/>
          <a:extLst>
            <a:ext uri="{FF2B5EF4-FFF2-40B4-BE49-F238E27FC236}">
              <a16:creationId xmlns:a16="http://schemas.microsoft.com/office/drawing/2014/main" id="{B6C96D8F-C240-454A-BA51-4A0E689C911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7" name="AutoShape 2" descr="Story">
          <a:hlinkClick xmlns:r="http://schemas.openxmlformats.org/officeDocument/2006/relationships" r:id="rId13"/>
          <a:extLst>
            <a:ext uri="{FF2B5EF4-FFF2-40B4-BE49-F238E27FC236}">
              <a16:creationId xmlns:a16="http://schemas.microsoft.com/office/drawing/2014/main" id="{1CE34CB6-0156-4954-A495-C85FA3FA298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8" name="AutoShape 3" descr="Story">
          <a:hlinkClick xmlns:r="http://schemas.openxmlformats.org/officeDocument/2006/relationships" r:id="rId4"/>
          <a:extLst>
            <a:ext uri="{FF2B5EF4-FFF2-40B4-BE49-F238E27FC236}">
              <a16:creationId xmlns:a16="http://schemas.microsoft.com/office/drawing/2014/main" id="{88621173-53E5-464B-8C26-027B7D444B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19" name="AutoShape 4" descr="Story">
          <a:hlinkClick xmlns:r="http://schemas.openxmlformats.org/officeDocument/2006/relationships" r:id="rId5"/>
          <a:extLst>
            <a:ext uri="{FF2B5EF4-FFF2-40B4-BE49-F238E27FC236}">
              <a16:creationId xmlns:a16="http://schemas.microsoft.com/office/drawing/2014/main" id="{D57DE596-5B59-4696-96A6-01C409A8CF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0" name="AutoShape 5" descr="Story">
          <a:hlinkClick xmlns:r="http://schemas.openxmlformats.org/officeDocument/2006/relationships" r:id="rId6"/>
          <a:extLst>
            <a:ext uri="{FF2B5EF4-FFF2-40B4-BE49-F238E27FC236}">
              <a16:creationId xmlns:a16="http://schemas.microsoft.com/office/drawing/2014/main" id="{BF714E32-CB4F-4971-A6AB-AA78678C975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1" name="AutoShape 1" descr="Sub-task">
          <a:hlinkClick xmlns:r="http://schemas.openxmlformats.org/officeDocument/2006/relationships" r:id="rId14"/>
          <a:extLst>
            <a:ext uri="{FF2B5EF4-FFF2-40B4-BE49-F238E27FC236}">
              <a16:creationId xmlns:a16="http://schemas.microsoft.com/office/drawing/2014/main" id="{668A2130-558E-4D3C-810D-EF4C0F4C81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2" name="AutoShape 2" descr="Sub-task">
          <a:hlinkClick xmlns:r="http://schemas.openxmlformats.org/officeDocument/2006/relationships" r:id="rId15"/>
          <a:extLst>
            <a:ext uri="{FF2B5EF4-FFF2-40B4-BE49-F238E27FC236}">
              <a16:creationId xmlns:a16="http://schemas.microsoft.com/office/drawing/2014/main" id="{92DA5BF1-5362-4001-BBF6-C35194D2A10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3" name="AutoShape 7" descr="Story">
          <a:hlinkClick xmlns:r="http://schemas.openxmlformats.org/officeDocument/2006/relationships" r:id="rId3"/>
          <a:extLst>
            <a:ext uri="{FF2B5EF4-FFF2-40B4-BE49-F238E27FC236}">
              <a16:creationId xmlns:a16="http://schemas.microsoft.com/office/drawing/2014/main" id="{4BD93BED-6EF5-4E32-8B9A-E6DC51F0A4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4" name="AutoShape 3" descr="Story">
          <a:hlinkClick xmlns:r="http://schemas.openxmlformats.org/officeDocument/2006/relationships" r:id="rId9"/>
          <a:extLst>
            <a:ext uri="{FF2B5EF4-FFF2-40B4-BE49-F238E27FC236}">
              <a16:creationId xmlns:a16="http://schemas.microsoft.com/office/drawing/2014/main" id="{1C62E75E-2C15-4400-82A3-8858B2C3253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5" name="AutoShape 12" descr="Story">
          <a:hlinkClick xmlns:r="http://schemas.openxmlformats.org/officeDocument/2006/relationships" r:id="rId8"/>
          <a:extLst>
            <a:ext uri="{FF2B5EF4-FFF2-40B4-BE49-F238E27FC236}">
              <a16:creationId xmlns:a16="http://schemas.microsoft.com/office/drawing/2014/main" id="{994FA2B6-3E58-41E0-86C4-8B4E1700F7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6" name="AutoShape 1" descr="Story">
          <a:hlinkClick xmlns:r="http://schemas.openxmlformats.org/officeDocument/2006/relationships" r:id="rId7"/>
          <a:extLst>
            <a:ext uri="{FF2B5EF4-FFF2-40B4-BE49-F238E27FC236}">
              <a16:creationId xmlns:a16="http://schemas.microsoft.com/office/drawing/2014/main" id="{0842F634-6357-4951-A349-EF328102C01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7" name="AutoShape 1" descr="Story">
          <a:hlinkClick xmlns:r="http://schemas.openxmlformats.org/officeDocument/2006/relationships" r:id="rId7"/>
          <a:extLst>
            <a:ext uri="{FF2B5EF4-FFF2-40B4-BE49-F238E27FC236}">
              <a16:creationId xmlns:a16="http://schemas.microsoft.com/office/drawing/2014/main" id="{0722FCDC-C276-45C1-AF8D-929D77C9A75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8" name="AutoShape 3" descr="Story">
          <a:hlinkClick xmlns:r="http://schemas.openxmlformats.org/officeDocument/2006/relationships" r:id="rId4"/>
          <a:extLst>
            <a:ext uri="{FF2B5EF4-FFF2-40B4-BE49-F238E27FC236}">
              <a16:creationId xmlns:a16="http://schemas.microsoft.com/office/drawing/2014/main" id="{009F79A1-894F-4809-967F-9C67AE5CE7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29" name="AutoShape 4" descr="Story">
          <a:hlinkClick xmlns:r="http://schemas.openxmlformats.org/officeDocument/2006/relationships" r:id="rId5"/>
          <a:extLst>
            <a:ext uri="{FF2B5EF4-FFF2-40B4-BE49-F238E27FC236}">
              <a16:creationId xmlns:a16="http://schemas.microsoft.com/office/drawing/2014/main" id="{4401A001-69BD-4483-8703-F8BFF6EE419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30" name="AutoShape 7" descr="Story">
          <a:hlinkClick xmlns:r="http://schemas.openxmlformats.org/officeDocument/2006/relationships" r:id="rId3"/>
          <a:extLst>
            <a:ext uri="{FF2B5EF4-FFF2-40B4-BE49-F238E27FC236}">
              <a16:creationId xmlns:a16="http://schemas.microsoft.com/office/drawing/2014/main" id="{F7A6D5F5-87A0-478D-B231-3AEBBAF73D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31" name="AutoShape 8" descr="Story">
          <a:hlinkClick xmlns:r="http://schemas.openxmlformats.org/officeDocument/2006/relationships" r:id="rId4"/>
          <a:extLst>
            <a:ext uri="{FF2B5EF4-FFF2-40B4-BE49-F238E27FC236}">
              <a16:creationId xmlns:a16="http://schemas.microsoft.com/office/drawing/2014/main" id="{7B3B5354-056B-4481-ACA8-0DE1A4AF39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32" name="AutoShape 8" descr="Story">
          <a:hlinkClick xmlns:r="http://schemas.openxmlformats.org/officeDocument/2006/relationships" r:id="rId4"/>
          <a:extLst>
            <a:ext uri="{FF2B5EF4-FFF2-40B4-BE49-F238E27FC236}">
              <a16:creationId xmlns:a16="http://schemas.microsoft.com/office/drawing/2014/main" id="{A9C5A375-CABC-4FEF-A9B9-CAE9E08B7A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233" name="AutoShape 1" descr="Story">
          <a:hlinkClick xmlns:r="http://schemas.openxmlformats.org/officeDocument/2006/relationships" r:id="rId7"/>
          <a:extLst>
            <a:ext uri="{FF2B5EF4-FFF2-40B4-BE49-F238E27FC236}">
              <a16:creationId xmlns:a16="http://schemas.microsoft.com/office/drawing/2014/main" id="{995D5AE5-BF1A-4DDB-88EE-7390D616263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4" name="AutoShape 2" descr="Story">
          <a:hlinkClick xmlns:r="http://schemas.openxmlformats.org/officeDocument/2006/relationships" r:id="rId8"/>
          <a:extLst>
            <a:ext uri="{FF2B5EF4-FFF2-40B4-BE49-F238E27FC236}">
              <a16:creationId xmlns:a16="http://schemas.microsoft.com/office/drawing/2014/main" id="{3B6052CB-65B4-450F-92BB-F650E4B54A3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5" name="AutoShape 3" descr="Story">
          <a:hlinkClick xmlns:r="http://schemas.openxmlformats.org/officeDocument/2006/relationships" r:id="rId9"/>
          <a:extLst>
            <a:ext uri="{FF2B5EF4-FFF2-40B4-BE49-F238E27FC236}">
              <a16:creationId xmlns:a16="http://schemas.microsoft.com/office/drawing/2014/main" id="{186FA4B3-048B-474B-A9B3-7D56F1658C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6" name="AutoShape 4" descr="Bug">
          <a:hlinkClick xmlns:r="http://schemas.openxmlformats.org/officeDocument/2006/relationships" r:id="rId1"/>
          <a:extLst>
            <a:ext uri="{FF2B5EF4-FFF2-40B4-BE49-F238E27FC236}">
              <a16:creationId xmlns:a16="http://schemas.microsoft.com/office/drawing/2014/main" id="{E575DA54-AB88-41F3-A3FA-ED56A920DC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7" name="AutoShape 5" descr="Story">
          <a:hlinkClick xmlns:r="http://schemas.openxmlformats.org/officeDocument/2006/relationships" r:id="rId10"/>
          <a:extLst>
            <a:ext uri="{FF2B5EF4-FFF2-40B4-BE49-F238E27FC236}">
              <a16:creationId xmlns:a16="http://schemas.microsoft.com/office/drawing/2014/main" id="{1533A349-1FF3-4EBB-802B-D81EA6E7F63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8" name="AutoShape 6" descr="Bug">
          <a:hlinkClick xmlns:r="http://schemas.openxmlformats.org/officeDocument/2006/relationships" r:id="rId2"/>
          <a:extLst>
            <a:ext uri="{FF2B5EF4-FFF2-40B4-BE49-F238E27FC236}">
              <a16:creationId xmlns:a16="http://schemas.microsoft.com/office/drawing/2014/main" id="{2B46DB8A-31C8-4523-9064-1C410710C2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9" name="AutoShape 7" descr="Story">
          <a:hlinkClick xmlns:r="http://schemas.openxmlformats.org/officeDocument/2006/relationships" r:id="rId3"/>
          <a:extLst>
            <a:ext uri="{FF2B5EF4-FFF2-40B4-BE49-F238E27FC236}">
              <a16:creationId xmlns:a16="http://schemas.microsoft.com/office/drawing/2014/main" id="{99BE3F16-2641-480E-BE2F-C5FB3F3FC7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0" name="AutoShape 8" descr="Story">
          <a:hlinkClick xmlns:r="http://schemas.openxmlformats.org/officeDocument/2006/relationships" r:id="rId4"/>
          <a:extLst>
            <a:ext uri="{FF2B5EF4-FFF2-40B4-BE49-F238E27FC236}">
              <a16:creationId xmlns:a16="http://schemas.microsoft.com/office/drawing/2014/main" id="{B33E8B26-8C4E-4281-AEB5-60E989C607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1" name="AutoShape 9" descr="Story">
          <a:hlinkClick xmlns:r="http://schemas.openxmlformats.org/officeDocument/2006/relationships" r:id="rId5"/>
          <a:extLst>
            <a:ext uri="{FF2B5EF4-FFF2-40B4-BE49-F238E27FC236}">
              <a16:creationId xmlns:a16="http://schemas.microsoft.com/office/drawing/2014/main" id="{7805C81F-A6B9-49B5-B36B-DC1FE7A2A3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2" name="AutoShape 10" descr="Story">
          <a:hlinkClick xmlns:r="http://schemas.openxmlformats.org/officeDocument/2006/relationships" r:id="rId6"/>
          <a:extLst>
            <a:ext uri="{FF2B5EF4-FFF2-40B4-BE49-F238E27FC236}">
              <a16:creationId xmlns:a16="http://schemas.microsoft.com/office/drawing/2014/main" id="{05B094D2-D3E8-4904-AC12-BC1031ED92A8}"/>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3" name="AutoShape 11" descr="Story">
          <a:hlinkClick xmlns:r="http://schemas.openxmlformats.org/officeDocument/2006/relationships" r:id="rId11"/>
          <a:extLst>
            <a:ext uri="{FF2B5EF4-FFF2-40B4-BE49-F238E27FC236}">
              <a16:creationId xmlns:a16="http://schemas.microsoft.com/office/drawing/2014/main" id="{CF6FC4FA-AA1A-430C-9C20-3188A49394BB}"/>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4" name="AutoShape 12" descr="Story">
          <a:hlinkClick xmlns:r="http://schemas.openxmlformats.org/officeDocument/2006/relationships" r:id="rId8"/>
          <a:extLst>
            <a:ext uri="{FF2B5EF4-FFF2-40B4-BE49-F238E27FC236}">
              <a16:creationId xmlns:a16="http://schemas.microsoft.com/office/drawing/2014/main" id="{57F8FEB0-4104-4240-A281-5043F3CE014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5" name="AutoShape 13" descr="Story">
          <a:hlinkClick xmlns:r="http://schemas.openxmlformats.org/officeDocument/2006/relationships" r:id="rId4"/>
          <a:extLst>
            <a:ext uri="{FF2B5EF4-FFF2-40B4-BE49-F238E27FC236}">
              <a16:creationId xmlns:a16="http://schemas.microsoft.com/office/drawing/2014/main" id="{603848C6-6378-4016-A3FF-87641EB096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6" name="AutoShape 14" descr="Story">
          <a:hlinkClick xmlns:r="http://schemas.openxmlformats.org/officeDocument/2006/relationships" r:id="rId4"/>
          <a:extLst>
            <a:ext uri="{FF2B5EF4-FFF2-40B4-BE49-F238E27FC236}">
              <a16:creationId xmlns:a16="http://schemas.microsoft.com/office/drawing/2014/main" id="{0C70BBD3-B787-481E-92AB-D4599524185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7" name="AutoShape 15" descr="Story">
          <a:hlinkClick xmlns:r="http://schemas.openxmlformats.org/officeDocument/2006/relationships" r:id="rId4"/>
          <a:extLst>
            <a:ext uri="{FF2B5EF4-FFF2-40B4-BE49-F238E27FC236}">
              <a16:creationId xmlns:a16="http://schemas.microsoft.com/office/drawing/2014/main" id="{D89C8C33-B1D0-4F40-B1D5-A1E255F5272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248" name="AutoShape 1" descr="Story">
          <a:hlinkClick xmlns:r="http://schemas.openxmlformats.org/officeDocument/2006/relationships" r:id="rId12"/>
          <a:extLst>
            <a:ext uri="{FF2B5EF4-FFF2-40B4-BE49-F238E27FC236}">
              <a16:creationId xmlns:a16="http://schemas.microsoft.com/office/drawing/2014/main" id="{55CADF46-2BD3-4134-9FC5-577195F946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49" name="AutoShape 2" descr="Story">
          <a:hlinkClick xmlns:r="http://schemas.openxmlformats.org/officeDocument/2006/relationships" r:id="rId13"/>
          <a:extLst>
            <a:ext uri="{FF2B5EF4-FFF2-40B4-BE49-F238E27FC236}">
              <a16:creationId xmlns:a16="http://schemas.microsoft.com/office/drawing/2014/main" id="{CF63B501-604E-4493-B617-0AA6D1C92B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0" name="AutoShape 5" descr="Story">
          <a:hlinkClick xmlns:r="http://schemas.openxmlformats.org/officeDocument/2006/relationships" r:id="rId6"/>
          <a:extLst>
            <a:ext uri="{FF2B5EF4-FFF2-40B4-BE49-F238E27FC236}">
              <a16:creationId xmlns:a16="http://schemas.microsoft.com/office/drawing/2014/main" id="{EA9D3E7E-578C-40B2-B860-7C9B74F766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1" name="AutoShape 1" descr="Sub-task">
          <a:hlinkClick xmlns:r="http://schemas.openxmlformats.org/officeDocument/2006/relationships" r:id="rId14"/>
          <a:extLst>
            <a:ext uri="{FF2B5EF4-FFF2-40B4-BE49-F238E27FC236}">
              <a16:creationId xmlns:a16="http://schemas.microsoft.com/office/drawing/2014/main" id="{6FC6B5B6-441E-4156-94FE-8C874A52D6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2" name="AutoShape 2" descr="Sub-task">
          <a:hlinkClick xmlns:r="http://schemas.openxmlformats.org/officeDocument/2006/relationships" r:id="rId15"/>
          <a:extLst>
            <a:ext uri="{FF2B5EF4-FFF2-40B4-BE49-F238E27FC236}">
              <a16:creationId xmlns:a16="http://schemas.microsoft.com/office/drawing/2014/main" id="{B375855F-4CF3-4A45-973B-B2459544CA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3" name="AutoShape 3" descr="Story">
          <a:hlinkClick xmlns:r="http://schemas.openxmlformats.org/officeDocument/2006/relationships" r:id="rId9"/>
          <a:extLst>
            <a:ext uri="{FF2B5EF4-FFF2-40B4-BE49-F238E27FC236}">
              <a16:creationId xmlns:a16="http://schemas.microsoft.com/office/drawing/2014/main" id="{58470B44-1DD8-4142-A06D-B997F74A37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4" name="AutoShape 12" descr="Story">
          <a:hlinkClick xmlns:r="http://schemas.openxmlformats.org/officeDocument/2006/relationships" r:id="rId8"/>
          <a:extLst>
            <a:ext uri="{FF2B5EF4-FFF2-40B4-BE49-F238E27FC236}">
              <a16:creationId xmlns:a16="http://schemas.microsoft.com/office/drawing/2014/main" id="{E88CF5AF-7862-431E-8A83-FEFC62BBB6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5" name="AutoShape 1" descr="Story">
          <a:hlinkClick xmlns:r="http://schemas.openxmlformats.org/officeDocument/2006/relationships" r:id="rId7"/>
          <a:extLst>
            <a:ext uri="{FF2B5EF4-FFF2-40B4-BE49-F238E27FC236}">
              <a16:creationId xmlns:a16="http://schemas.microsoft.com/office/drawing/2014/main" id="{89D3F51D-FA95-48CF-8956-CDAF0684EA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6" name="AutoShape 1" descr="Story">
          <a:hlinkClick xmlns:r="http://schemas.openxmlformats.org/officeDocument/2006/relationships" r:id="rId7"/>
          <a:extLst>
            <a:ext uri="{FF2B5EF4-FFF2-40B4-BE49-F238E27FC236}">
              <a16:creationId xmlns:a16="http://schemas.microsoft.com/office/drawing/2014/main" id="{1C45933A-437D-4B4A-A5A2-9934D7AC83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7" name="AutoShape 3" descr="Story">
          <a:hlinkClick xmlns:r="http://schemas.openxmlformats.org/officeDocument/2006/relationships" r:id="rId4"/>
          <a:extLst>
            <a:ext uri="{FF2B5EF4-FFF2-40B4-BE49-F238E27FC236}">
              <a16:creationId xmlns:a16="http://schemas.microsoft.com/office/drawing/2014/main" id="{3107172D-C176-46AA-952E-42E424EE49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8" name="AutoShape 4" descr="Story">
          <a:hlinkClick xmlns:r="http://schemas.openxmlformats.org/officeDocument/2006/relationships" r:id="rId5"/>
          <a:extLst>
            <a:ext uri="{FF2B5EF4-FFF2-40B4-BE49-F238E27FC236}">
              <a16:creationId xmlns:a16="http://schemas.microsoft.com/office/drawing/2014/main" id="{9094D5A8-05C8-41D9-B939-7FD40148D1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59" name="AutoShape 1" descr="Story">
          <a:hlinkClick xmlns:r="http://schemas.openxmlformats.org/officeDocument/2006/relationships" r:id="rId12"/>
          <a:extLst>
            <a:ext uri="{FF2B5EF4-FFF2-40B4-BE49-F238E27FC236}">
              <a16:creationId xmlns:a16="http://schemas.microsoft.com/office/drawing/2014/main" id="{9F12686C-D499-4690-9009-EC7DFB37176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0" name="AutoShape 2" descr="Story">
          <a:hlinkClick xmlns:r="http://schemas.openxmlformats.org/officeDocument/2006/relationships" r:id="rId13"/>
          <a:extLst>
            <a:ext uri="{FF2B5EF4-FFF2-40B4-BE49-F238E27FC236}">
              <a16:creationId xmlns:a16="http://schemas.microsoft.com/office/drawing/2014/main" id="{6F5472E9-B3C0-4434-A5FC-E2DC57E7331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1" name="AutoShape 3" descr="Story">
          <a:hlinkClick xmlns:r="http://schemas.openxmlformats.org/officeDocument/2006/relationships" r:id="rId4"/>
          <a:extLst>
            <a:ext uri="{FF2B5EF4-FFF2-40B4-BE49-F238E27FC236}">
              <a16:creationId xmlns:a16="http://schemas.microsoft.com/office/drawing/2014/main" id="{2DC8AD67-5822-4FC8-85CC-C91E9D4B5F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2" name="AutoShape 4" descr="Story">
          <a:hlinkClick xmlns:r="http://schemas.openxmlformats.org/officeDocument/2006/relationships" r:id="rId5"/>
          <a:extLst>
            <a:ext uri="{FF2B5EF4-FFF2-40B4-BE49-F238E27FC236}">
              <a16:creationId xmlns:a16="http://schemas.microsoft.com/office/drawing/2014/main" id="{D57E2FCE-FACB-423B-9405-DA90101118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3" name="AutoShape 5" descr="Story">
          <a:hlinkClick xmlns:r="http://schemas.openxmlformats.org/officeDocument/2006/relationships" r:id="rId6"/>
          <a:extLst>
            <a:ext uri="{FF2B5EF4-FFF2-40B4-BE49-F238E27FC236}">
              <a16:creationId xmlns:a16="http://schemas.microsoft.com/office/drawing/2014/main" id="{38C464E2-8672-41D2-B2DA-B693280D091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4" name="AutoShape 1" descr="Sub-task">
          <a:hlinkClick xmlns:r="http://schemas.openxmlformats.org/officeDocument/2006/relationships" r:id="rId14"/>
          <a:extLst>
            <a:ext uri="{FF2B5EF4-FFF2-40B4-BE49-F238E27FC236}">
              <a16:creationId xmlns:a16="http://schemas.microsoft.com/office/drawing/2014/main" id="{DB384902-B4BF-4529-94ED-9B26EA1F36C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5" name="AutoShape 2" descr="Sub-task">
          <a:hlinkClick xmlns:r="http://schemas.openxmlformats.org/officeDocument/2006/relationships" r:id="rId15"/>
          <a:extLst>
            <a:ext uri="{FF2B5EF4-FFF2-40B4-BE49-F238E27FC236}">
              <a16:creationId xmlns:a16="http://schemas.microsoft.com/office/drawing/2014/main" id="{8AD6A055-A121-4C7A-8FEA-CD302C7790B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6" name="AutoShape 7" descr="Story">
          <a:hlinkClick xmlns:r="http://schemas.openxmlformats.org/officeDocument/2006/relationships" r:id="rId3"/>
          <a:extLst>
            <a:ext uri="{FF2B5EF4-FFF2-40B4-BE49-F238E27FC236}">
              <a16:creationId xmlns:a16="http://schemas.microsoft.com/office/drawing/2014/main" id="{8C4674AF-1F51-4513-A342-CC63362C97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7" name="AutoShape 3" descr="Story">
          <a:hlinkClick xmlns:r="http://schemas.openxmlformats.org/officeDocument/2006/relationships" r:id="rId9"/>
          <a:extLst>
            <a:ext uri="{FF2B5EF4-FFF2-40B4-BE49-F238E27FC236}">
              <a16:creationId xmlns:a16="http://schemas.microsoft.com/office/drawing/2014/main" id="{6D5DC3F9-409E-4E1B-8955-5A1FCECBB1B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8" name="AutoShape 12" descr="Story">
          <a:hlinkClick xmlns:r="http://schemas.openxmlformats.org/officeDocument/2006/relationships" r:id="rId8"/>
          <a:extLst>
            <a:ext uri="{FF2B5EF4-FFF2-40B4-BE49-F238E27FC236}">
              <a16:creationId xmlns:a16="http://schemas.microsoft.com/office/drawing/2014/main" id="{D8082F9E-EF68-4905-9449-A97E57767B5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69" name="AutoShape 1" descr="Story">
          <a:hlinkClick xmlns:r="http://schemas.openxmlformats.org/officeDocument/2006/relationships" r:id="rId7"/>
          <a:extLst>
            <a:ext uri="{FF2B5EF4-FFF2-40B4-BE49-F238E27FC236}">
              <a16:creationId xmlns:a16="http://schemas.microsoft.com/office/drawing/2014/main" id="{884F9E3B-8E12-4238-A0EA-BC999034AF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0" name="AutoShape 1" descr="Story">
          <a:hlinkClick xmlns:r="http://schemas.openxmlformats.org/officeDocument/2006/relationships" r:id="rId7"/>
          <a:extLst>
            <a:ext uri="{FF2B5EF4-FFF2-40B4-BE49-F238E27FC236}">
              <a16:creationId xmlns:a16="http://schemas.microsoft.com/office/drawing/2014/main" id="{6D3FA8A7-0E95-4F52-A0F4-862B41ECFFE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1" name="AutoShape 3" descr="Story">
          <a:hlinkClick xmlns:r="http://schemas.openxmlformats.org/officeDocument/2006/relationships" r:id="rId4"/>
          <a:extLst>
            <a:ext uri="{FF2B5EF4-FFF2-40B4-BE49-F238E27FC236}">
              <a16:creationId xmlns:a16="http://schemas.microsoft.com/office/drawing/2014/main" id="{9E67B1C2-28E8-4509-9271-D5D94CFBFE4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2" name="AutoShape 4" descr="Story">
          <a:hlinkClick xmlns:r="http://schemas.openxmlformats.org/officeDocument/2006/relationships" r:id="rId5"/>
          <a:extLst>
            <a:ext uri="{FF2B5EF4-FFF2-40B4-BE49-F238E27FC236}">
              <a16:creationId xmlns:a16="http://schemas.microsoft.com/office/drawing/2014/main" id="{3BBEBDF5-1987-4508-8F73-3C967606019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3" name="AutoShape 7" descr="Story">
          <a:hlinkClick xmlns:r="http://schemas.openxmlformats.org/officeDocument/2006/relationships" r:id="rId3"/>
          <a:extLst>
            <a:ext uri="{FF2B5EF4-FFF2-40B4-BE49-F238E27FC236}">
              <a16:creationId xmlns:a16="http://schemas.microsoft.com/office/drawing/2014/main" id="{4D6C5BC4-3310-4236-8914-1087D1A17A7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4" name="AutoShape 8" descr="Story">
          <a:hlinkClick xmlns:r="http://schemas.openxmlformats.org/officeDocument/2006/relationships" r:id="rId4"/>
          <a:extLst>
            <a:ext uri="{FF2B5EF4-FFF2-40B4-BE49-F238E27FC236}">
              <a16:creationId xmlns:a16="http://schemas.microsoft.com/office/drawing/2014/main" id="{2B17A26A-C918-441F-B4AA-768C0B2B38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75" name="AutoShape 8" descr="Story">
          <a:hlinkClick xmlns:r="http://schemas.openxmlformats.org/officeDocument/2006/relationships" r:id="rId4"/>
          <a:extLst>
            <a:ext uri="{FF2B5EF4-FFF2-40B4-BE49-F238E27FC236}">
              <a16:creationId xmlns:a16="http://schemas.microsoft.com/office/drawing/2014/main" id="{70B8916B-FE76-4E81-8B0F-B6B95886A3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276" name="AutoShape 1" descr="Story">
          <a:hlinkClick xmlns:r="http://schemas.openxmlformats.org/officeDocument/2006/relationships" r:id="rId7"/>
          <a:extLst>
            <a:ext uri="{FF2B5EF4-FFF2-40B4-BE49-F238E27FC236}">
              <a16:creationId xmlns:a16="http://schemas.microsoft.com/office/drawing/2014/main" id="{7D65F1B9-ABDB-444A-A5A7-8C8BE669B20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77" name="AutoShape 2" descr="Story">
          <a:hlinkClick xmlns:r="http://schemas.openxmlformats.org/officeDocument/2006/relationships" r:id="rId8"/>
          <a:extLst>
            <a:ext uri="{FF2B5EF4-FFF2-40B4-BE49-F238E27FC236}">
              <a16:creationId xmlns:a16="http://schemas.microsoft.com/office/drawing/2014/main" id="{E363A539-9DBF-4C65-B75F-B21F58A7CF1B}"/>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78" name="AutoShape 3" descr="Story">
          <a:hlinkClick xmlns:r="http://schemas.openxmlformats.org/officeDocument/2006/relationships" r:id="rId9"/>
          <a:extLst>
            <a:ext uri="{FF2B5EF4-FFF2-40B4-BE49-F238E27FC236}">
              <a16:creationId xmlns:a16="http://schemas.microsoft.com/office/drawing/2014/main" id="{8F58DEE1-AAC7-4383-BAE1-CCC574467B8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79" name="AutoShape 4" descr="Bug">
          <a:hlinkClick xmlns:r="http://schemas.openxmlformats.org/officeDocument/2006/relationships" r:id="rId1"/>
          <a:extLst>
            <a:ext uri="{FF2B5EF4-FFF2-40B4-BE49-F238E27FC236}">
              <a16:creationId xmlns:a16="http://schemas.microsoft.com/office/drawing/2014/main" id="{E0B99B55-C85F-4302-8207-C510485BDE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0" name="AutoShape 5" descr="Story">
          <a:hlinkClick xmlns:r="http://schemas.openxmlformats.org/officeDocument/2006/relationships" r:id="rId10"/>
          <a:extLst>
            <a:ext uri="{FF2B5EF4-FFF2-40B4-BE49-F238E27FC236}">
              <a16:creationId xmlns:a16="http://schemas.microsoft.com/office/drawing/2014/main" id="{374569E6-ABF0-4DF6-873E-583FAAAA1499}"/>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1" name="AutoShape 6" descr="Bug">
          <a:hlinkClick xmlns:r="http://schemas.openxmlformats.org/officeDocument/2006/relationships" r:id="rId2"/>
          <a:extLst>
            <a:ext uri="{FF2B5EF4-FFF2-40B4-BE49-F238E27FC236}">
              <a16:creationId xmlns:a16="http://schemas.microsoft.com/office/drawing/2014/main" id="{20BB8E2E-0866-4199-B404-16620E792E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2" name="AutoShape 7" descr="Story">
          <a:hlinkClick xmlns:r="http://schemas.openxmlformats.org/officeDocument/2006/relationships" r:id="rId3"/>
          <a:extLst>
            <a:ext uri="{FF2B5EF4-FFF2-40B4-BE49-F238E27FC236}">
              <a16:creationId xmlns:a16="http://schemas.microsoft.com/office/drawing/2014/main" id="{3E62F4BE-D04B-4671-904F-1CBBA33F0E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3" name="AutoShape 8" descr="Story">
          <a:hlinkClick xmlns:r="http://schemas.openxmlformats.org/officeDocument/2006/relationships" r:id="rId4"/>
          <a:extLst>
            <a:ext uri="{FF2B5EF4-FFF2-40B4-BE49-F238E27FC236}">
              <a16:creationId xmlns:a16="http://schemas.microsoft.com/office/drawing/2014/main" id="{10707A1E-6065-4C6F-A415-34AF439BA2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4" name="AutoShape 9" descr="Story">
          <a:hlinkClick xmlns:r="http://schemas.openxmlformats.org/officeDocument/2006/relationships" r:id="rId5"/>
          <a:extLst>
            <a:ext uri="{FF2B5EF4-FFF2-40B4-BE49-F238E27FC236}">
              <a16:creationId xmlns:a16="http://schemas.microsoft.com/office/drawing/2014/main" id="{AF2BB08A-774A-4257-A399-1EA237EFAE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5" name="AutoShape 10" descr="Story">
          <a:hlinkClick xmlns:r="http://schemas.openxmlformats.org/officeDocument/2006/relationships" r:id="rId6"/>
          <a:extLst>
            <a:ext uri="{FF2B5EF4-FFF2-40B4-BE49-F238E27FC236}">
              <a16:creationId xmlns:a16="http://schemas.microsoft.com/office/drawing/2014/main" id="{2A5D18F6-5E2E-49EB-9933-C2A9DEB1475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6" name="AutoShape 11" descr="Story">
          <a:hlinkClick xmlns:r="http://schemas.openxmlformats.org/officeDocument/2006/relationships" r:id="rId11"/>
          <a:extLst>
            <a:ext uri="{FF2B5EF4-FFF2-40B4-BE49-F238E27FC236}">
              <a16:creationId xmlns:a16="http://schemas.microsoft.com/office/drawing/2014/main" id="{6EDBA99B-D562-4922-997C-CB8DC8AAA47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7" name="AutoShape 12" descr="Story">
          <a:hlinkClick xmlns:r="http://schemas.openxmlformats.org/officeDocument/2006/relationships" r:id="rId8"/>
          <a:extLst>
            <a:ext uri="{FF2B5EF4-FFF2-40B4-BE49-F238E27FC236}">
              <a16:creationId xmlns:a16="http://schemas.microsoft.com/office/drawing/2014/main" id="{878C824F-0604-444D-923C-B317CFB6FB9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8" name="AutoShape 13" descr="Story">
          <a:hlinkClick xmlns:r="http://schemas.openxmlformats.org/officeDocument/2006/relationships" r:id="rId4"/>
          <a:extLst>
            <a:ext uri="{FF2B5EF4-FFF2-40B4-BE49-F238E27FC236}">
              <a16:creationId xmlns:a16="http://schemas.microsoft.com/office/drawing/2014/main" id="{F48E442F-DE93-4ACC-A996-B9C1A85D04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9" name="AutoShape 14" descr="Story">
          <a:hlinkClick xmlns:r="http://schemas.openxmlformats.org/officeDocument/2006/relationships" r:id="rId4"/>
          <a:extLst>
            <a:ext uri="{FF2B5EF4-FFF2-40B4-BE49-F238E27FC236}">
              <a16:creationId xmlns:a16="http://schemas.microsoft.com/office/drawing/2014/main" id="{7DFB3022-9D76-4BCA-A0A5-17AD352AF92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90" name="AutoShape 15" descr="Story">
          <a:hlinkClick xmlns:r="http://schemas.openxmlformats.org/officeDocument/2006/relationships" r:id="rId4"/>
          <a:extLst>
            <a:ext uri="{FF2B5EF4-FFF2-40B4-BE49-F238E27FC236}">
              <a16:creationId xmlns:a16="http://schemas.microsoft.com/office/drawing/2014/main" id="{48D030E3-C04F-44E9-8A5F-79F870F2B15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291" name="AutoShape 1" descr="Story">
          <a:hlinkClick xmlns:r="http://schemas.openxmlformats.org/officeDocument/2006/relationships" r:id="rId12"/>
          <a:extLst>
            <a:ext uri="{FF2B5EF4-FFF2-40B4-BE49-F238E27FC236}">
              <a16:creationId xmlns:a16="http://schemas.microsoft.com/office/drawing/2014/main" id="{9EEDD3BB-329B-44D2-81FD-F1209B69A7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2" name="AutoShape 2" descr="Story">
          <a:hlinkClick xmlns:r="http://schemas.openxmlformats.org/officeDocument/2006/relationships" r:id="rId13"/>
          <a:extLst>
            <a:ext uri="{FF2B5EF4-FFF2-40B4-BE49-F238E27FC236}">
              <a16:creationId xmlns:a16="http://schemas.microsoft.com/office/drawing/2014/main" id="{9E90F8DE-4626-44DA-96A8-DFB6497731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3" name="AutoShape 5" descr="Story">
          <a:hlinkClick xmlns:r="http://schemas.openxmlformats.org/officeDocument/2006/relationships" r:id="rId6"/>
          <a:extLst>
            <a:ext uri="{FF2B5EF4-FFF2-40B4-BE49-F238E27FC236}">
              <a16:creationId xmlns:a16="http://schemas.microsoft.com/office/drawing/2014/main" id="{7E9954D8-DE0B-4981-AEA0-7986B4144F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4" name="AutoShape 1" descr="Sub-task">
          <a:hlinkClick xmlns:r="http://schemas.openxmlformats.org/officeDocument/2006/relationships" r:id="rId14"/>
          <a:extLst>
            <a:ext uri="{FF2B5EF4-FFF2-40B4-BE49-F238E27FC236}">
              <a16:creationId xmlns:a16="http://schemas.microsoft.com/office/drawing/2014/main" id="{C7B9653A-FE12-4E56-9A9E-D24F437DAB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5" name="AutoShape 2" descr="Sub-task">
          <a:hlinkClick xmlns:r="http://schemas.openxmlformats.org/officeDocument/2006/relationships" r:id="rId15"/>
          <a:extLst>
            <a:ext uri="{FF2B5EF4-FFF2-40B4-BE49-F238E27FC236}">
              <a16:creationId xmlns:a16="http://schemas.microsoft.com/office/drawing/2014/main" id="{4B45914A-C2FB-4BDD-8C8F-103AC83C82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6" name="AutoShape 3" descr="Story">
          <a:hlinkClick xmlns:r="http://schemas.openxmlformats.org/officeDocument/2006/relationships" r:id="rId9"/>
          <a:extLst>
            <a:ext uri="{FF2B5EF4-FFF2-40B4-BE49-F238E27FC236}">
              <a16:creationId xmlns:a16="http://schemas.microsoft.com/office/drawing/2014/main" id="{8E66D39D-24C4-443F-BA09-F3F6E546AE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7" name="AutoShape 12" descr="Story">
          <a:hlinkClick xmlns:r="http://schemas.openxmlformats.org/officeDocument/2006/relationships" r:id="rId8"/>
          <a:extLst>
            <a:ext uri="{FF2B5EF4-FFF2-40B4-BE49-F238E27FC236}">
              <a16:creationId xmlns:a16="http://schemas.microsoft.com/office/drawing/2014/main" id="{3A7B2610-1F0F-4834-B2CC-B85026531F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8" name="AutoShape 1" descr="Story">
          <a:hlinkClick xmlns:r="http://schemas.openxmlformats.org/officeDocument/2006/relationships" r:id="rId7"/>
          <a:extLst>
            <a:ext uri="{FF2B5EF4-FFF2-40B4-BE49-F238E27FC236}">
              <a16:creationId xmlns:a16="http://schemas.microsoft.com/office/drawing/2014/main" id="{3567F7EC-AE85-424F-B1F4-BB5B152757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299" name="AutoShape 1" descr="Story">
          <a:hlinkClick xmlns:r="http://schemas.openxmlformats.org/officeDocument/2006/relationships" r:id="rId7"/>
          <a:extLst>
            <a:ext uri="{FF2B5EF4-FFF2-40B4-BE49-F238E27FC236}">
              <a16:creationId xmlns:a16="http://schemas.microsoft.com/office/drawing/2014/main" id="{60AFC3ED-ADDD-43CF-B913-E01E906CDC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0" name="AutoShape 3" descr="Story">
          <a:hlinkClick xmlns:r="http://schemas.openxmlformats.org/officeDocument/2006/relationships" r:id="rId4"/>
          <a:extLst>
            <a:ext uri="{FF2B5EF4-FFF2-40B4-BE49-F238E27FC236}">
              <a16:creationId xmlns:a16="http://schemas.microsoft.com/office/drawing/2014/main" id="{993B41FD-A12F-4386-8495-14CDFE936A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1" name="AutoShape 4" descr="Story">
          <a:hlinkClick xmlns:r="http://schemas.openxmlformats.org/officeDocument/2006/relationships" r:id="rId5"/>
          <a:extLst>
            <a:ext uri="{FF2B5EF4-FFF2-40B4-BE49-F238E27FC236}">
              <a16:creationId xmlns:a16="http://schemas.microsoft.com/office/drawing/2014/main" id="{1377F870-316F-4D62-8ABE-994BD0FD54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2" name="AutoShape 1" descr="Story">
          <a:hlinkClick xmlns:r="http://schemas.openxmlformats.org/officeDocument/2006/relationships" r:id="rId12"/>
          <a:extLst>
            <a:ext uri="{FF2B5EF4-FFF2-40B4-BE49-F238E27FC236}">
              <a16:creationId xmlns:a16="http://schemas.microsoft.com/office/drawing/2014/main" id="{35EE19BC-0985-46EC-A739-7EE5242976F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3" name="AutoShape 2" descr="Story">
          <a:hlinkClick xmlns:r="http://schemas.openxmlformats.org/officeDocument/2006/relationships" r:id="rId13"/>
          <a:extLst>
            <a:ext uri="{FF2B5EF4-FFF2-40B4-BE49-F238E27FC236}">
              <a16:creationId xmlns:a16="http://schemas.microsoft.com/office/drawing/2014/main" id="{9D9E7EAF-7CF7-43BE-9546-2E576B3BA4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4" name="AutoShape 3" descr="Story">
          <a:hlinkClick xmlns:r="http://schemas.openxmlformats.org/officeDocument/2006/relationships" r:id="rId4"/>
          <a:extLst>
            <a:ext uri="{FF2B5EF4-FFF2-40B4-BE49-F238E27FC236}">
              <a16:creationId xmlns:a16="http://schemas.microsoft.com/office/drawing/2014/main" id="{8B1147A2-BE80-461A-832C-FFC2EC192E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5" name="AutoShape 4" descr="Story">
          <a:hlinkClick xmlns:r="http://schemas.openxmlformats.org/officeDocument/2006/relationships" r:id="rId5"/>
          <a:extLst>
            <a:ext uri="{FF2B5EF4-FFF2-40B4-BE49-F238E27FC236}">
              <a16:creationId xmlns:a16="http://schemas.microsoft.com/office/drawing/2014/main" id="{CF526C87-1F16-47AE-9D68-3CAD93E10D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6" name="AutoShape 5" descr="Story">
          <a:hlinkClick xmlns:r="http://schemas.openxmlformats.org/officeDocument/2006/relationships" r:id="rId6"/>
          <a:extLst>
            <a:ext uri="{FF2B5EF4-FFF2-40B4-BE49-F238E27FC236}">
              <a16:creationId xmlns:a16="http://schemas.microsoft.com/office/drawing/2014/main" id="{684DD4DE-A6C0-4732-B862-D23AE0C197E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7" name="AutoShape 1" descr="Sub-task">
          <a:hlinkClick xmlns:r="http://schemas.openxmlformats.org/officeDocument/2006/relationships" r:id="rId14"/>
          <a:extLst>
            <a:ext uri="{FF2B5EF4-FFF2-40B4-BE49-F238E27FC236}">
              <a16:creationId xmlns:a16="http://schemas.microsoft.com/office/drawing/2014/main" id="{7969BB72-C482-42E2-A614-04FD00E82C5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8" name="AutoShape 2" descr="Sub-task">
          <a:hlinkClick xmlns:r="http://schemas.openxmlformats.org/officeDocument/2006/relationships" r:id="rId15"/>
          <a:extLst>
            <a:ext uri="{FF2B5EF4-FFF2-40B4-BE49-F238E27FC236}">
              <a16:creationId xmlns:a16="http://schemas.microsoft.com/office/drawing/2014/main" id="{2737AE7D-AD86-4305-AEA1-8C22C57E14E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09" name="AutoShape 7" descr="Story">
          <a:hlinkClick xmlns:r="http://schemas.openxmlformats.org/officeDocument/2006/relationships" r:id="rId3"/>
          <a:extLst>
            <a:ext uri="{FF2B5EF4-FFF2-40B4-BE49-F238E27FC236}">
              <a16:creationId xmlns:a16="http://schemas.microsoft.com/office/drawing/2014/main" id="{C3730952-4F9B-4555-8A2A-AC7CD9FCA1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0" name="AutoShape 3" descr="Story">
          <a:hlinkClick xmlns:r="http://schemas.openxmlformats.org/officeDocument/2006/relationships" r:id="rId9"/>
          <a:extLst>
            <a:ext uri="{FF2B5EF4-FFF2-40B4-BE49-F238E27FC236}">
              <a16:creationId xmlns:a16="http://schemas.microsoft.com/office/drawing/2014/main" id="{2CAB3A34-2774-4E50-854F-E442BCA3E35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1" name="AutoShape 12" descr="Story">
          <a:hlinkClick xmlns:r="http://schemas.openxmlformats.org/officeDocument/2006/relationships" r:id="rId8"/>
          <a:extLst>
            <a:ext uri="{FF2B5EF4-FFF2-40B4-BE49-F238E27FC236}">
              <a16:creationId xmlns:a16="http://schemas.microsoft.com/office/drawing/2014/main" id="{3618B819-04A1-4503-96DD-DBF8AE8A06D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2" name="AutoShape 1" descr="Story">
          <a:hlinkClick xmlns:r="http://schemas.openxmlformats.org/officeDocument/2006/relationships" r:id="rId7"/>
          <a:extLst>
            <a:ext uri="{FF2B5EF4-FFF2-40B4-BE49-F238E27FC236}">
              <a16:creationId xmlns:a16="http://schemas.microsoft.com/office/drawing/2014/main" id="{15601530-DE50-4398-BC8C-1CAB53104DA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3" name="AutoShape 1" descr="Story">
          <a:hlinkClick xmlns:r="http://schemas.openxmlformats.org/officeDocument/2006/relationships" r:id="rId7"/>
          <a:extLst>
            <a:ext uri="{FF2B5EF4-FFF2-40B4-BE49-F238E27FC236}">
              <a16:creationId xmlns:a16="http://schemas.microsoft.com/office/drawing/2014/main" id="{82202E6D-E5AB-47D4-95A1-937A00CC4CD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4" name="AutoShape 3" descr="Story">
          <a:hlinkClick xmlns:r="http://schemas.openxmlformats.org/officeDocument/2006/relationships" r:id="rId4"/>
          <a:extLst>
            <a:ext uri="{FF2B5EF4-FFF2-40B4-BE49-F238E27FC236}">
              <a16:creationId xmlns:a16="http://schemas.microsoft.com/office/drawing/2014/main" id="{FDE5D9B8-022B-4026-9045-32CC07DA887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5" name="AutoShape 4" descr="Story">
          <a:hlinkClick xmlns:r="http://schemas.openxmlformats.org/officeDocument/2006/relationships" r:id="rId5"/>
          <a:extLst>
            <a:ext uri="{FF2B5EF4-FFF2-40B4-BE49-F238E27FC236}">
              <a16:creationId xmlns:a16="http://schemas.microsoft.com/office/drawing/2014/main" id="{3C06AD07-70E5-492B-9722-7F39311B1A2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6" name="AutoShape 7" descr="Story">
          <a:hlinkClick xmlns:r="http://schemas.openxmlformats.org/officeDocument/2006/relationships" r:id="rId3"/>
          <a:extLst>
            <a:ext uri="{FF2B5EF4-FFF2-40B4-BE49-F238E27FC236}">
              <a16:creationId xmlns:a16="http://schemas.microsoft.com/office/drawing/2014/main" id="{C408FD7D-6652-4614-9428-DFC99C4C8F2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7" name="AutoShape 8" descr="Story">
          <a:hlinkClick xmlns:r="http://schemas.openxmlformats.org/officeDocument/2006/relationships" r:id="rId4"/>
          <a:extLst>
            <a:ext uri="{FF2B5EF4-FFF2-40B4-BE49-F238E27FC236}">
              <a16:creationId xmlns:a16="http://schemas.microsoft.com/office/drawing/2014/main" id="{5E2E11BE-AFBC-4F2D-9703-7697D57841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18" name="AutoShape 8" descr="Story">
          <a:hlinkClick xmlns:r="http://schemas.openxmlformats.org/officeDocument/2006/relationships" r:id="rId4"/>
          <a:extLst>
            <a:ext uri="{FF2B5EF4-FFF2-40B4-BE49-F238E27FC236}">
              <a16:creationId xmlns:a16="http://schemas.microsoft.com/office/drawing/2014/main" id="{F74F7DAB-E447-48BF-A793-0CE08D7170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319" name="AutoShape 10" descr="Story">
          <a:hlinkClick xmlns:r="http://schemas.openxmlformats.org/officeDocument/2006/relationships" r:id="rId6"/>
          <a:extLst>
            <a:ext uri="{FF2B5EF4-FFF2-40B4-BE49-F238E27FC236}">
              <a16:creationId xmlns:a16="http://schemas.microsoft.com/office/drawing/2014/main" id="{21893577-302A-4919-BFC0-C71930B533E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0" name="AutoShape 14" descr="Story">
          <a:hlinkClick xmlns:r="http://schemas.openxmlformats.org/officeDocument/2006/relationships" r:id="rId4"/>
          <a:extLst>
            <a:ext uri="{FF2B5EF4-FFF2-40B4-BE49-F238E27FC236}">
              <a16:creationId xmlns:a16="http://schemas.microsoft.com/office/drawing/2014/main" id="{76C51D9D-4364-4679-A2CB-1922909F6C0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1" name="AutoShape 10" descr="Story">
          <a:hlinkClick xmlns:r="http://schemas.openxmlformats.org/officeDocument/2006/relationships" r:id="rId6"/>
          <a:extLst>
            <a:ext uri="{FF2B5EF4-FFF2-40B4-BE49-F238E27FC236}">
              <a16:creationId xmlns:a16="http://schemas.microsoft.com/office/drawing/2014/main" id="{3B0AC454-1155-4363-B13D-AF9CD8323CB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2" name="AutoShape 14" descr="Story">
          <a:hlinkClick xmlns:r="http://schemas.openxmlformats.org/officeDocument/2006/relationships" r:id="rId4"/>
          <a:extLst>
            <a:ext uri="{FF2B5EF4-FFF2-40B4-BE49-F238E27FC236}">
              <a16:creationId xmlns:a16="http://schemas.microsoft.com/office/drawing/2014/main" id="{539E9348-4D1C-437D-A05D-1BF19CBA046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3" name="AutoShape 1" descr="Story">
          <a:hlinkClick xmlns:r="http://schemas.openxmlformats.org/officeDocument/2006/relationships" r:id="rId7"/>
          <a:extLst>
            <a:ext uri="{FF2B5EF4-FFF2-40B4-BE49-F238E27FC236}">
              <a16:creationId xmlns:a16="http://schemas.microsoft.com/office/drawing/2014/main" id="{832C6F8D-6360-43C0-8C05-7D881E68735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4" name="AutoShape 2" descr="Story">
          <a:hlinkClick xmlns:r="http://schemas.openxmlformats.org/officeDocument/2006/relationships" r:id="rId8"/>
          <a:extLst>
            <a:ext uri="{FF2B5EF4-FFF2-40B4-BE49-F238E27FC236}">
              <a16:creationId xmlns:a16="http://schemas.microsoft.com/office/drawing/2014/main" id="{E4B3B4D3-4448-48A5-9A53-E7583CE82E6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5" name="AutoShape 3" descr="Story">
          <a:hlinkClick xmlns:r="http://schemas.openxmlformats.org/officeDocument/2006/relationships" r:id="rId9"/>
          <a:extLst>
            <a:ext uri="{FF2B5EF4-FFF2-40B4-BE49-F238E27FC236}">
              <a16:creationId xmlns:a16="http://schemas.microsoft.com/office/drawing/2014/main" id="{A058C599-82D0-4F1E-B31A-70BF19E51AA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6" name="AutoShape 4" descr="Bug">
          <a:hlinkClick xmlns:r="http://schemas.openxmlformats.org/officeDocument/2006/relationships" r:id="rId1"/>
          <a:extLst>
            <a:ext uri="{FF2B5EF4-FFF2-40B4-BE49-F238E27FC236}">
              <a16:creationId xmlns:a16="http://schemas.microsoft.com/office/drawing/2014/main" id="{662A3FED-EAE2-4D55-AFD1-42FD38013C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7" name="AutoShape 5" descr="Story">
          <a:hlinkClick xmlns:r="http://schemas.openxmlformats.org/officeDocument/2006/relationships" r:id="rId10"/>
          <a:extLst>
            <a:ext uri="{FF2B5EF4-FFF2-40B4-BE49-F238E27FC236}">
              <a16:creationId xmlns:a16="http://schemas.microsoft.com/office/drawing/2014/main" id="{5BD3FD5E-0935-4EFA-BC25-37DEDE28A53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8" name="AutoShape 6" descr="Bug">
          <a:hlinkClick xmlns:r="http://schemas.openxmlformats.org/officeDocument/2006/relationships" r:id="rId2"/>
          <a:extLst>
            <a:ext uri="{FF2B5EF4-FFF2-40B4-BE49-F238E27FC236}">
              <a16:creationId xmlns:a16="http://schemas.microsoft.com/office/drawing/2014/main" id="{792CCC07-D0D0-4509-A59B-F96E35FFDF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9" name="AutoShape 7" descr="Story">
          <a:hlinkClick xmlns:r="http://schemas.openxmlformats.org/officeDocument/2006/relationships" r:id="rId3"/>
          <a:extLst>
            <a:ext uri="{FF2B5EF4-FFF2-40B4-BE49-F238E27FC236}">
              <a16:creationId xmlns:a16="http://schemas.microsoft.com/office/drawing/2014/main" id="{156D64E6-A1E5-4411-ABD0-1286AACE64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0" name="AutoShape 8" descr="Story">
          <a:hlinkClick xmlns:r="http://schemas.openxmlformats.org/officeDocument/2006/relationships" r:id="rId4"/>
          <a:extLst>
            <a:ext uri="{FF2B5EF4-FFF2-40B4-BE49-F238E27FC236}">
              <a16:creationId xmlns:a16="http://schemas.microsoft.com/office/drawing/2014/main" id="{F6382862-83C2-4B5C-B6A8-B071BE7F6A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1" name="AutoShape 9" descr="Story">
          <a:hlinkClick xmlns:r="http://schemas.openxmlformats.org/officeDocument/2006/relationships" r:id="rId5"/>
          <a:extLst>
            <a:ext uri="{FF2B5EF4-FFF2-40B4-BE49-F238E27FC236}">
              <a16:creationId xmlns:a16="http://schemas.microsoft.com/office/drawing/2014/main" id="{B295B7FC-DB9A-4DFB-A34E-DE3C52A307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2" name="AutoShape 10" descr="Story">
          <a:hlinkClick xmlns:r="http://schemas.openxmlformats.org/officeDocument/2006/relationships" r:id="rId6"/>
          <a:extLst>
            <a:ext uri="{FF2B5EF4-FFF2-40B4-BE49-F238E27FC236}">
              <a16:creationId xmlns:a16="http://schemas.microsoft.com/office/drawing/2014/main" id="{832C6E7E-005D-418A-B4F9-D8F6EF1D0459}"/>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3" name="AutoShape 11" descr="Story">
          <a:hlinkClick xmlns:r="http://schemas.openxmlformats.org/officeDocument/2006/relationships" r:id="rId11"/>
          <a:extLst>
            <a:ext uri="{FF2B5EF4-FFF2-40B4-BE49-F238E27FC236}">
              <a16:creationId xmlns:a16="http://schemas.microsoft.com/office/drawing/2014/main" id="{96687DED-E652-4FEF-ACEF-624DBB4DF106}"/>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4" name="AutoShape 12" descr="Story">
          <a:hlinkClick xmlns:r="http://schemas.openxmlformats.org/officeDocument/2006/relationships" r:id="rId8"/>
          <a:extLst>
            <a:ext uri="{FF2B5EF4-FFF2-40B4-BE49-F238E27FC236}">
              <a16:creationId xmlns:a16="http://schemas.microsoft.com/office/drawing/2014/main" id="{F02FCCA3-8CF1-430C-805D-60734B54EB0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5" name="AutoShape 13" descr="Story">
          <a:hlinkClick xmlns:r="http://schemas.openxmlformats.org/officeDocument/2006/relationships" r:id="rId4"/>
          <a:extLst>
            <a:ext uri="{FF2B5EF4-FFF2-40B4-BE49-F238E27FC236}">
              <a16:creationId xmlns:a16="http://schemas.microsoft.com/office/drawing/2014/main" id="{F74BDB0C-E7F8-4499-B424-B3FA3908DA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6" name="AutoShape 14" descr="Story">
          <a:hlinkClick xmlns:r="http://schemas.openxmlformats.org/officeDocument/2006/relationships" r:id="rId4"/>
          <a:extLst>
            <a:ext uri="{FF2B5EF4-FFF2-40B4-BE49-F238E27FC236}">
              <a16:creationId xmlns:a16="http://schemas.microsoft.com/office/drawing/2014/main" id="{7C33C5CF-A1CE-45C0-BD59-8E3C3B19C29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37" name="AutoShape 15" descr="Story">
          <a:hlinkClick xmlns:r="http://schemas.openxmlformats.org/officeDocument/2006/relationships" r:id="rId4"/>
          <a:extLst>
            <a:ext uri="{FF2B5EF4-FFF2-40B4-BE49-F238E27FC236}">
              <a16:creationId xmlns:a16="http://schemas.microsoft.com/office/drawing/2014/main" id="{12165147-6E7B-46AD-B652-62A1A5D8BB7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338" name="AutoShape 1" descr="Story">
          <a:hlinkClick xmlns:r="http://schemas.openxmlformats.org/officeDocument/2006/relationships" r:id="rId12"/>
          <a:extLst>
            <a:ext uri="{FF2B5EF4-FFF2-40B4-BE49-F238E27FC236}">
              <a16:creationId xmlns:a16="http://schemas.microsoft.com/office/drawing/2014/main" id="{DE29969E-68B9-48FC-9F67-4D769F5212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39" name="AutoShape 2" descr="Story">
          <a:hlinkClick xmlns:r="http://schemas.openxmlformats.org/officeDocument/2006/relationships" r:id="rId13"/>
          <a:extLst>
            <a:ext uri="{FF2B5EF4-FFF2-40B4-BE49-F238E27FC236}">
              <a16:creationId xmlns:a16="http://schemas.microsoft.com/office/drawing/2014/main" id="{07F0885C-C258-4BD0-9DCD-44FD809519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0" name="AutoShape 5" descr="Story">
          <a:hlinkClick xmlns:r="http://schemas.openxmlformats.org/officeDocument/2006/relationships" r:id="rId6"/>
          <a:extLst>
            <a:ext uri="{FF2B5EF4-FFF2-40B4-BE49-F238E27FC236}">
              <a16:creationId xmlns:a16="http://schemas.microsoft.com/office/drawing/2014/main" id="{ECEF1A75-3A4B-4C38-A25A-13C3A70C5D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1" name="AutoShape 1" descr="Sub-task">
          <a:hlinkClick xmlns:r="http://schemas.openxmlformats.org/officeDocument/2006/relationships" r:id="rId14"/>
          <a:extLst>
            <a:ext uri="{FF2B5EF4-FFF2-40B4-BE49-F238E27FC236}">
              <a16:creationId xmlns:a16="http://schemas.microsoft.com/office/drawing/2014/main" id="{24B62886-3CB9-42D3-AAB0-80DCF25B2E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2" name="AutoShape 2" descr="Sub-task">
          <a:hlinkClick xmlns:r="http://schemas.openxmlformats.org/officeDocument/2006/relationships" r:id="rId15"/>
          <a:extLst>
            <a:ext uri="{FF2B5EF4-FFF2-40B4-BE49-F238E27FC236}">
              <a16:creationId xmlns:a16="http://schemas.microsoft.com/office/drawing/2014/main" id="{23899AD9-C893-413E-810C-DCDA3A499B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3" name="AutoShape 3" descr="Story">
          <a:hlinkClick xmlns:r="http://schemas.openxmlformats.org/officeDocument/2006/relationships" r:id="rId9"/>
          <a:extLst>
            <a:ext uri="{FF2B5EF4-FFF2-40B4-BE49-F238E27FC236}">
              <a16:creationId xmlns:a16="http://schemas.microsoft.com/office/drawing/2014/main" id="{73388D14-A05A-49B9-8F7C-9DBE090F18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4" name="AutoShape 12" descr="Story">
          <a:hlinkClick xmlns:r="http://schemas.openxmlformats.org/officeDocument/2006/relationships" r:id="rId8"/>
          <a:extLst>
            <a:ext uri="{FF2B5EF4-FFF2-40B4-BE49-F238E27FC236}">
              <a16:creationId xmlns:a16="http://schemas.microsoft.com/office/drawing/2014/main" id="{33ACE3C8-5A13-4E57-BB10-4DAE3EAAA9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5" name="AutoShape 1" descr="Story">
          <a:hlinkClick xmlns:r="http://schemas.openxmlformats.org/officeDocument/2006/relationships" r:id="rId7"/>
          <a:extLst>
            <a:ext uri="{FF2B5EF4-FFF2-40B4-BE49-F238E27FC236}">
              <a16:creationId xmlns:a16="http://schemas.microsoft.com/office/drawing/2014/main" id="{A2705E0F-5B6D-415F-9DDD-24FC03BEBE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6" name="AutoShape 1" descr="Story">
          <a:hlinkClick xmlns:r="http://schemas.openxmlformats.org/officeDocument/2006/relationships" r:id="rId7"/>
          <a:extLst>
            <a:ext uri="{FF2B5EF4-FFF2-40B4-BE49-F238E27FC236}">
              <a16:creationId xmlns:a16="http://schemas.microsoft.com/office/drawing/2014/main" id="{A5561C50-E2E8-4461-8968-B7AD75F639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7" name="AutoShape 3" descr="Story">
          <a:hlinkClick xmlns:r="http://schemas.openxmlformats.org/officeDocument/2006/relationships" r:id="rId4"/>
          <a:extLst>
            <a:ext uri="{FF2B5EF4-FFF2-40B4-BE49-F238E27FC236}">
              <a16:creationId xmlns:a16="http://schemas.microsoft.com/office/drawing/2014/main" id="{9C71C757-0789-447C-B5A7-CA4F31A0AF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8" name="AutoShape 4" descr="Story">
          <a:hlinkClick xmlns:r="http://schemas.openxmlformats.org/officeDocument/2006/relationships" r:id="rId5"/>
          <a:extLst>
            <a:ext uri="{FF2B5EF4-FFF2-40B4-BE49-F238E27FC236}">
              <a16:creationId xmlns:a16="http://schemas.microsoft.com/office/drawing/2014/main" id="{CAE3CDCE-F85B-4B93-819E-D2D114137D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9" name="AutoShape 1" descr="Story">
          <a:hlinkClick xmlns:r="http://schemas.openxmlformats.org/officeDocument/2006/relationships" r:id="rId12"/>
          <a:extLst>
            <a:ext uri="{FF2B5EF4-FFF2-40B4-BE49-F238E27FC236}">
              <a16:creationId xmlns:a16="http://schemas.microsoft.com/office/drawing/2014/main" id="{C4888FF8-A748-43D1-AF91-F64A3E08966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0" name="AutoShape 2" descr="Story">
          <a:hlinkClick xmlns:r="http://schemas.openxmlformats.org/officeDocument/2006/relationships" r:id="rId13"/>
          <a:extLst>
            <a:ext uri="{FF2B5EF4-FFF2-40B4-BE49-F238E27FC236}">
              <a16:creationId xmlns:a16="http://schemas.microsoft.com/office/drawing/2014/main" id="{9A2A5456-A9D3-4C9C-9EBF-079268AE5AF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1" name="AutoShape 3" descr="Story">
          <a:hlinkClick xmlns:r="http://schemas.openxmlformats.org/officeDocument/2006/relationships" r:id="rId4"/>
          <a:extLst>
            <a:ext uri="{FF2B5EF4-FFF2-40B4-BE49-F238E27FC236}">
              <a16:creationId xmlns:a16="http://schemas.microsoft.com/office/drawing/2014/main" id="{D7CB594B-65F1-4D46-A587-61E6455CF6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2" name="AutoShape 4" descr="Story">
          <a:hlinkClick xmlns:r="http://schemas.openxmlformats.org/officeDocument/2006/relationships" r:id="rId5"/>
          <a:extLst>
            <a:ext uri="{FF2B5EF4-FFF2-40B4-BE49-F238E27FC236}">
              <a16:creationId xmlns:a16="http://schemas.microsoft.com/office/drawing/2014/main" id="{492D22BE-763B-4AEC-9A68-FFC121127D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3" name="AutoShape 5" descr="Story">
          <a:hlinkClick xmlns:r="http://schemas.openxmlformats.org/officeDocument/2006/relationships" r:id="rId6"/>
          <a:extLst>
            <a:ext uri="{FF2B5EF4-FFF2-40B4-BE49-F238E27FC236}">
              <a16:creationId xmlns:a16="http://schemas.microsoft.com/office/drawing/2014/main" id="{95FF31B9-2BEF-4331-A66A-82CA4B45D37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4" name="AutoShape 1" descr="Sub-task">
          <a:hlinkClick xmlns:r="http://schemas.openxmlformats.org/officeDocument/2006/relationships" r:id="rId14"/>
          <a:extLst>
            <a:ext uri="{FF2B5EF4-FFF2-40B4-BE49-F238E27FC236}">
              <a16:creationId xmlns:a16="http://schemas.microsoft.com/office/drawing/2014/main" id="{BD4B32D2-E555-4A23-8FEF-81C46A2AE7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5" name="AutoShape 2" descr="Sub-task">
          <a:hlinkClick xmlns:r="http://schemas.openxmlformats.org/officeDocument/2006/relationships" r:id="rId15"/>
          <a:extLst>
            <a:ext uri="{FF2B5EF4-FFF2-40B4-BE49-F238E27FC236}">
              <a16:creationId xmlns:a16="http://schemas.microsoft.com/office/drawing/2014/main" id="{72ACED8C-A9ED-4CAB-8DD7-4B6CC64613B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6" name="AutoShape 7" descr="Story">
          <a:hlinkClick xmlns:r="http://schemas.openxmlformats.org/officeDocument/2006/relationships" r:id="rId3"/>
          <a:extLst>
            <a:ext uri="{FF2B5EF4-FFF2-40B4-BE49-F238E27FC236}">
              <a16:creationId xmlns:a16="http://schemas.microsoft.com/office/drawing/2014/main" id="{9C58C635-4527-4CC2-8EAD-2FC2C91810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7" name="AutoShape 3" descr="Story">
          <a:hlinkClick xmlns:r="http://schemas.openxmlformats.org/officeDocument/2006/relationships" r:id="rId9"/>
          <a:extLst>
            <a:ext uri="{FF2B5EF4-FFF2-40B4-BE49-F238E27FC236}">
              <a16:creationId xmlns:a16="http://schemas.microsoft.com/office/drawing/2014/main" id="{9B12F781-F9B9-4640-92FE-2DA14F03ECF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8" name="AutoShape 12" descr="Story">
          <a:hlinkClick xmlns:r="http://schemas.openxmlformats.org/officeDocument/2006/relationships" r:id="rId8"/>
          <a:extLst>
            <a:ext uri="{FF2B5EF4-FFF2-40B4-BE49-F238E27FC236}">
              <a16:creationId xmlns:a16="http://schemas.microsoft.com/office/drawing/2014/main" id="{72D40269-539F-44FD-9240-9DA30EF29D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9" name="AutoShape 1" descr="Story">
          <a:hlinkClick xmlns:r="http://schemas.openxmlformats.org/officeDocument/2006/relationships" r:id="rId7"/>
          <a:extLst>
            <a:ext uri="{FF2B5EF4-FFF2-40B4-BE49-F238E27FC236}">
              <a16:creationId xmlns:a16="http://schemas.microsoft.com/office/drawing/2014/main" id="{7C5CF103-33B4-4FF9-9056-E962BC40E2F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0" name="AutoShape 1" descr="Story">
          <a:hlinkClick xmlns:r="http://schemas.openxmlformats.org/officeDocument/2006/relationships" r:id="rId7"/>
          <a:extLst>
            <a:ext uri="{FF2B5EF4-FFF2-40B4-BE49-F238E27FC236}">
              <a16:creationId xmlns:a16="http://schemas.microsoft.com/office/drawing/2014/main" id="{6E98ABEF-5B47-4C1C-BB86-F0117B67D97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1" name="AutoShape 3" descr="Story">
          <a:hlinkClick xmlns:r="http://schemas.openxmlformats.org/officeDocument/2006/relationships" r:id="rId4"/>
          <a:extLst>
            <a:ext uri="{FF2B5EF4-FFF2-40B4-BE49-F238E27FC236}">
              <a16:creationId xmlns:a16="http://schemas.microsoft.com/office/drawing/2014/main" id="{12D2F36A-A457-41B6-8364-4D7A50A32C0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2" name="AutoShape 4" descr="Story">
          <a:hlinkClick xmlns:r="http://schemas.openxmlformats.org/officeDocument/2006/relationships" r:id="rId5"/>
          <a:extLst>
            <a:ext uri="{FF2B5EF4-FFF2-40B4-BE49-F238E27FC236}">
              <a16:creationId xmlns:a16="http://schemas.microsoft.com/office/drawing/2014/main" id="{75B452F9-3522-4F6A-B545-7537F4ECAA6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3" name="AutoShape 7" descr="Story">
          <a:hlinkClick xmlns:r="http://schemas.openxmlformats.org/officeDocument/2006/relationships" r:id="rId3"/>
          <a:extLst>
            <a:ext uri="{FF2B5EF4-FFF2-40B4-BE49-F238E27FC236}">
              <a16:creationId xmlns:a16="http://schemas.microsoft.com/office/drawing/2014/main" id="{79A27B7F-2521-47F1-9618-FD43EC85749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4" name="AutoShape 8" descr="Story">
          <a:hlinkClick xmlns:r="http://schemas.openxmlformats.org/officeDocument/2006/relationships" r:id="rId4"/>
          <a:extLst>
            <a:ext uri="{FF2B5EF4-FFF2-40B4-BE49-F238E27FC236}">
              <a16:creationId xmlns:a16="http://schemas.microsoft.com/office/drawing/2014/main" id="{C5172479-4445-4CC7-ABD4-441C6C60B2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5" name="AutoShape 8" descr="Story">
          <a:hlinkClick xmlns:r="http://schemas.openxmlformats.org/officeDocument/2006/relationships" r:id="rId4"/>
          <a:extLst>
            <a:ext uri="{FF2B5EF4-FFF2-40B4-BE49-F238E27FC236}">
              <a16:creationId xmlns:a16="http://schemas.microsoft.com/office/drawing/2014/main" id="{5FF2DEAA-05C1-437B-943D-A996FEF899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366" name="AutoShape 10" descr="Story">
          <a:hlinkClick xmlns:r="http://schemas.openxmlformats.org/officeDocument/2006/relationships" r:id="rId6"/>
          <a:extLst>
            <a:ext uri="{FF2B5EF4-FFF2-40B4-BE49-F238E27FC236}">
              <a16:creationId xmlns:a16="http://schemas.microsoft.com/office/drawing/2014/main" id="{1BAEBBB5-557E-4AD5-8FAF-955AF0BCD82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67" name="AutoShape 14" descr="Story">
          <a:hlinkClick xmlns:r="http://schemas.openxmlformats.org/officeDocument/2006/relationships" r:id="rId4"/>
          <a:extLst>
            <a:ext uri="{FF2B5EF4-FFF2-40B4-BE49-F238E27FC236}">
              <a16:creationId xmlns:a16="http://schemas.microsoft.com/office/drawing/2014/main" id="{EB2B2301-2EEA-4C60-89AF-BAFA50CD841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68" name="AutoShape 10" descr="Story">
          <a:hlinkClick xmlns:r="http://schemas.openxmlformats.org/officeDocument/2006/relationships" r:id="rId6"/>
          <a:extLst>
            <a:ext uri="{FF2B5EF4-FFF2-40B4-BE49-F238E27FC236}">
              <a16:creationId xmlns:a16="http://schemas.microsoft.com/office/drawing/2014/main" id="{8A81A92C-A356-4156-9BFC-8752558E505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69" name="AutoShape 14" descr="Story">
          <a:hlinkClick xmlns:r="http://schemas.openxmlformats.org/officeDocument/2006/relationships" r:id="rId4"/>
          <a:extLst>
            <a:ext uri="{FF2B5EF4-FFF2-40B4-BE49-F238E27FC236}">
              <a16:creationId xmlns:a16="http://schemas.microsoft.com/office/drawing/2014/main" id="{AF46FA13-C891-4F94-948E-45025E921B8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370" name="AutoShape 1" descr="Story">
          <a:hlinkClick xmlns:r="http://schemas.openxmlformats.org/officeDocument/2006/relationships" r:id="rId7"/>
          <a:extLst>
            <a:ext uri="{FF2B5EF4-FFF2-40B4-BE49-F238E27FC236}">
              <a16:creationId xmlns:a16="http://schemas.microsoft.com/office/drawing/2014/main" id="{015AFC0C-BF2A-448F-A861-EBFA64437AA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371" name="AutoShape 2" descr="Story">
          <a:hlinkClick xmlns:r="http://schemas.openxmlformats.org/officeDocument/2006/relationships" r:id="rId8"/>
          <a:extLst>
            <a:ext uri="{FF2B5EF4-FFF2-40B4-BE49-F238E27FC236}">
              <a16:creationId xmlns:a16="http://schemas.microsoft.com/office/drawing/2014/main" id="{5674F7AC-54CE-4846-B30D-687C2C4EA45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372" name="AutoShape 3" descr="Story">
          <a:hlinkClick xmlns:r="http://schemas.openxmlformats.org/officeDocument/2006/relationships" r:id="rId9"/>
          <a:extLst>
            <a:ext uri="{FF2B5EF4-FFF2-40B4-BE49-F238E27FC236}">
              <a16:creationId xmlns:a16="http://schemas.microsoft.com/office/drawing/2014/main" id="{C6AA344A-B00F-44B5-AF97-9F00238DA67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73" name="AutoShape 4" descr="Bug">
          <a:hlinkClick xmlns:r="http://schemas.openxmlformats.org/officeDocument/2006/relationships" r:id="rId1"/>
          <a:extLst>
            <a:ext uri="{FF2B5EF4-FFF2-40B4-BE49-F238E27FC236}">
              <a16:creationId xmlns:a16="http://schemas.microsoft.com/office/drawing/2014/main" id="{4B01B420-0BE7-446D-8C64-1CD89ED1D8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374" name="AutoShape 5" descr="Story">
          <a:hlinkClick xmlns:r="http://schemas.openxmlformats.org/officeDocument/2006/relationships" r:id="rId10"/>
          <a:extLst>
            <a:ext uri="{FF2B5EF4-FFF2-40B4-BE49-F238E27FC236}">
              <a16:creationId xmlns:a16="http://schemas.microsoft.com/office/drawing/2014/main" id="{8DD69008-F198-4C2E-A7FD-6D7F2EAADF3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75" name="AutoShape 6" descr="Bug">
          <a:hlinkClick xmlns:r="http://schemas.openxmlformats.org/officeDocument/2006/relationships" r:id="rId2"/>
          <a:extLst>
            <a:ext uri="{FF2B5EF4-FFF2-40B4-BE49-F238E27FC236}">
              <a16:creationId xmlns:a16="http://schemas.microsoft.com/office/drawing/2014/main" id="{4FDC6A07-9ABB-4E76-9CBD-8A4B922E00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76" name="AutoShape 7" descr="Story">
          <a:hlinkClick xmlns:r="http://schemas.openxmlformats.org/officeDocument/2006/relationships" r:id="rId3"/>
          <a:extLst>
            <a:ext uri="{FF2B5EF4-FFF2-40B4-BE49-F238E27FC236}">
              <a16:creationId xmlns:a16="http://schemas.microsoft.com/office/drawing/2014/main" id="{90BAAE38-A2BE-46CB-9F92-ECA81E00A4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77" name="AutoShape 8" descr="Story">
          <a:hlinkClick xmlns:r="http://schemas.openxmlformats.org/officeDocument/2006/relationships" r:id="rId4"/>
          <a:extLst>
            <a:ext uri="{FF2B5EF4-FFF2-40B4-BE49-F238E27FC236}">
              <a16:creationId xmlns:a16="http://schemas.microsoft.com/office/drawing/2014/main" id="{D71F7609-BE8A-4EBC-A5D0-E0E249A8211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78" name="AutoShape 9" descr="Story">
          <a:hlinkClick xmlns:r="http://schemas.openxmlformats.org/officeDocument/2006/relationships" r:id="rId5"/>
          <a:extLst>
            <a:ext uri="{FF2B5EF4-FFF2-40B4-BE49-F238E27FC236}">
              <a16:creationId xmlns:a16="http://schemas.microsoft.com/office/drawing/2014/main" id="{72327645-5E5E-407C-BC69-DA3CB1D5093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379" name="AutoShape 10" descr="Story">
          <a:hlinkClick xmlns:r="http://schemas.openxmlformats.org/officeDocument/2006/relationships" r:id="rId6"/>
          <a:extLst>
            <a:ext uri="{FF2B5EF4-FFF2-40B4-BE49-F238E27FC236}">
              <a16:creationId xmlns:a16="http://schemas.microsoft.com/office/drawing/2014/main" id="{52FF22DF-BE5B-4B9F-A2E8-642C9AC066C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380" name="AutoShape 11" descr="Story">
          <a:hlinkClick xmlns:r="http://schemas.openxmlformats.org/officeDocument/2006/relationships" r:id="rId11"/>
          <a:extLst>
            <a:ext uri="{FF2B5EF4-FFF2-40B4-BE49-F238E27FC236}">
              <a16:creationId xmlns:a16="http://schemas.microsoft.com/office/drawing/2014/main" id="{530EF525-4DB0-4526-9DE7-85088A6F1CC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381" name="AutoShape 12" descr="Story">
          <a:hlinkClick xmlns:r="http://schemas.openxmlformats.org/officeDocument/2006/relationships" r:id="rId8"/>
          <a:extLst>
            <a:ext uri="{FF2B5EF4-FFF2-40B4-BE49-F238E27FC236}">
              <a16:creationId xmlns:a16="http://schemas.microsoft.com/office/drawing/2014/main" id="{C02F28FF-97D6-408B-BF5C-F818774495F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82" name="AutoShape 13" descr="Story">
          <a:hlinkClick xmlns:r="http://schemas.openxmlformats.org/officeDocument/2006/relationships" r:id="rId4"/>
          <a:extLst>
            <a:ext uri="{FF2B5EF4-FFF2-40B4-BE49-F238E27FC236}">
              <a16:creationId xmlns:a16="http://schemas.microsoft.com/office/drawing/2014/main" id="{044BA438-7B8F-496C-BE48-E50F62DEC8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383" name="AutoShape 14" descr="Story">
          <a:hlinkClick xmlns:r="http://schemas.openxmlformats.org/officeDocument/2006/relationships" r:id="rId4"/>
          <a:extLst>
            <a:ext uri="{FF2B5EF4-FFF2-40B4-BE49-F238E27FC236}">
              <a16:creationId xmlns:a16="http://schemas.microsoft.com/office/drawing/2014/main" id="{635FE44A-E9A6-4CBC-A10C-7D1157B5DCE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384" name="AutoShape 15" descr="Story">
          <a:hlinkClick xmlns:r="http://schemas.openxmlformats.org/officeDocument/2006/relationships" r:id="rId4"/>
          <a:extLst>
            <a:ext uri="{FF2B5EF4-FFF2-40B4-BE49-F238E27FC236}">
              <a16:creationId xmlns:a16="http://schemas.microsoft.com/office/drawing/2014/main" id="{E7A4956E-D8A8-41B8-9BF1-7A1E22DF3D7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385" name="AutoShape 1" descr="Story">
          <a:hlinkClick xmlns:r="http://schemas.openxmlformats.org/officeDocument/2006/relationships" r:id="rId12"/>
          <a:extLst>
            <a:ext uri="{FF2B5EF4-FFF2-40B4-BE49-F238E27FC236}">
              <a16:creationId xmlns:a16="http://schemas.microsoft.com/office/drawing/2014/main" id="{E5CFA606-71B3-4AF3-8A65-50B64A831D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6" name="AutoShape 2" descr="Story">
          <a:hlinkClick xmlns:r="http://schemas.openxmlformats.org/officeDocument/2006/relationships" r:id="rId13"/>
          <a:extLst>
            <a:ext uri="{FF2B5EF4-FFF2-40B4-BE49-F238E27FC236}">
              <a16:creationId xmlns:a16="http://schemas.microsoft.com/office/drawing/2014/main" id="{8DE30A9F-622A-47A7-AABE-26946B804A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7" name="AutoShape 5" descr="Story">
          <a:hlinkClick xmlns:r="http://schemas.openxmlformats.org/officeDocument/2006/relationships" r:id="rId6"/>
          <a:extLst>
            <a:ext uri="{FF2B5EF4-FFF2-40B4-BE49-F238E27FC236}">
              <a16:creationId xmlns:a16="http://schemas.microsoft.com/office/drawing/2014/main" id="{893837BE-966A-448E-9424-FD52C39876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8" name="AutoShape 1" descr="Sub-task">
          <a:hlinkClick xmlns:r="http://schemas.openxmlformats.org/officeDocument/2006/relationships" r:id="rId14"/>
          <a:extLst>
            <a:ext uri="{FF2B5EF4-FFF2-40B4-BE49-F238E27FC236}">
              <a16:creationId xmlns:a16="http://schemas.microsoft.com/office/drawing/2014/main" id="{BE2C304B-1FA7-4426-BF3C-47A6CBCE13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9" name="AutoShape 2" descr="Sub-task">
          <a:hlinkClick xmlns:r="http://schemas.openxmlformats.org/officeDocument/2006/relationships" r:id="rId15"/>
          <a:extLst>
            <a:ext uri="{FF2B5EF4-FFF2-40B4-BE49-F238E27FC236}">
              <a16:creationId xmlns:a16="http://schemas.microsoft.com/office/drawing/2014/main" id="{78C4EB6C-81DA-4507-936E-6057FBA01D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0" name="AutoShape 3" descr="Story">
          <a:hlinkClick xmlns:r="http://schemas.openxmlformats.org/officeDocument/2006/relationships" r:id="rId9"/>
          <a:extLst>
            <a:ext uri="{FF2B5EF4-FFF2-40B4-BE49-F238E27FC236}">
              <a16:creationId xmlns:a16="http://schemas.microsoft.com/office/drawing/2014/main" id="{1F83CEBF-2B07-4D27-8351-E04F8C086E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1" name="AutoShape 12" descr="Story">
          <a:hlinkClick xmlns:r="http://schemas.openxmlformats.org/officeDocument/2006/relationships" r:id="rId8"/>
          <a:extLst>
            <a:ext uri="{FF2B5EF4-FFF2-40B4-BE49-F238E27FC236}">
              <a16:creationId xmlns:a16="http://schemas.microsoft.com/office/drawing/2014/main" id="{E68028AC-EC43-446B-BF60-C79F88801AC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2" name="AutoShape 1" descr="Story">
          <a:hlinkClick xmlns:r="http://schemas.openxmlformats.org/officeDocument/2006/relationships" r:id="rId7"/>
          <a:extLst>
            <a:ext uri="{FF2B5EF4-FFF2-40B4-BE49-F238E27FC236}">
              <a16:creationId xmlns:a16="http://schemas.microsoft.com/office/drawing/2014/main" id="{68C5B60B-80BA-45F8-A732-CDA018AFC1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3" name="AutoShape 1" descr="Story">
          <a:hlinkClick xmlns:r="http://schemas.openxmlformats.org/officeDocument/2006/relationships" r:id="rId7"/>
          <a:extLst>
            <a:ext uri="{FF2B5EF4-FFF2-40B4-BE49-F238E27FC236}">
              <a16:creationId xmlns:a16="http://schemas.microsoft.com/office/drawing/2014/main" id="{3FD46A86-8E7C-42DF-B753-580DF425F6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4" name="AutoShape 3" descr="Story">
          <a:hlinkClick xmlns:r="http://schemas.openxmlformats.org/officeDocument/2006/relationships" r:id="rId4"/>
          <a:extLst>
            <a:ext uri="{FF2B5EF4-FFF2-40B4-BE49-F238E27FC236}">
              <a16:creationId xmlns:a16="http://schemas.microsoft.com/office/drawing/2014/main" id="{0D739AF6-09BA-44D0-B7A9-C929FE6A53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5" name="AutoShape 4" descr="Story">
          <a:hlinkClick xmlns:r="http://schemas.openxmlformats.org/officeDocument/2006/relationships" r:id="rId5"/>
          <a:extLst>
            <a:ext uri="{FF2B5EF4-FFF2-40B4-BE49-F238E27FC236}">
              <a16:creationId xmlns:a16="http://schemas.microsoft.com/office/drawing/2014/main" id="{FE9964E9-14E7-42F1-A6B4-F831E57F62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396" name="AutoShape 1" descr="Story">
          <a:hlinkClick xmlns:r="http://schemas.openxmlformats.org/officeDocument/2006/relationships" r:id="rId12"/>
          <a:extLst>
            <a:ext uri="{FF2B5EF4-FFF2-40B4-BE49-F238E27FC236}">
              <a16:creationId xmlns:a16="http://schemas.microsoft.com/office/drawing/2014/main" id="{FC056158-5BA1-4B13-992C-CBFF8AF6889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397" name="AutoShape 2" descr="Story">
          <a:hlinkClick xmlns:r="http://schemas.openxmlformats.org/officeDocument/2006/relationships" r:id="rId13"/>
          <a:extLst>
            <a:ext uri="{FF2B5EF4-FFF2-40B4-BE49-F238E27FC236}">
              <a16:creationId xmlns:a16="http://schemas.microsoft.com/office/drawing/2014/main" id="{7BF91536-B592-4EFD-94D0-D3034C556D4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8" name="AutoShape 3" descr="Story">
          <a:hlinkClick xmlns:r="http://schemas.openxmlformats.org/officeDocument/2006/relationships" r:id="rId4"/>
          <a:extLst>
            <a:ext uri="{FF2B5EF4-FFF2-40B4-BE49-F238E27FC236}">
              <a16:creationId xmlns:a16="http://schemas.microsoft.com/office/drawing/2014/main" id="{98890155-6EE1-42DB-8694-E91C5F3FBC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9" name="AutoShape 4" descr="Story">
          <a:hlinkClick xmlns:r="http://schemas.openxmlformats.org/officeDocument/2006/relationships" r:id="rId5"/>
          <a:extLst>
            <a:ext uri="{FF2B5EF4-FFF2-40B4-BE49-F238E27FC236}">
              <a16:creationId xmlns:a16="http://schemas.microsoft.com/office/drawing/2014/main" id="{67A9A88C-667E-416D-936F-4624F8CD37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0" name="AutoShape 5" descr="Story">
          <a:hlinkClick xmlns:r="http://schemas.openxmlformats.org/officeDocument/2006/relationships" r:id="rId6"/>
          <a:extLst>
            <a:ext uri="{FF2B5EF4-FFF2-40B4-BE49-F238E27FC236}">
              <a16:creationId xmlns:a16="http://schemas.microsoft.com/office/drawing/2014/main" id="{2E6C6398-6BE3-48E9-8A5D-8CE60039BD7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1" name="AutoShape 1" descr="Sub-task">
          <a:hlinkClick xmlns:r="http://schemas.openxmlformats.org/officeDocument/2006/relationships" r:id="rId14"/>
          <a:extLst>
            <a:ext uri="{FF2B5EF4-FFF2-40B4-BE49-F238E27FC236}">
              <a16:creationId xmlns:a16="http://schemas.microsoft.com/office/drawing/2014/main" id="{92223388-D220-4D39-BE79-6D6B8B3D329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2" name="AutoShape 2" descr="Sub-task">
          <a:hlinkClick xmlns:r="http://schemas.openxmlformats.org/officeDocument/2006/relationships" r:id="rId15"/>
          <a:extLst>
            <a:ext uri="{FF2B5EF4-FFF2-40B4-BE49-F238E27FC236}">
              <a16:creationId xmlns:a16="http://schemas.microsoft.com/office/drawing/2014/main" id="{6C8B7D05-664E-4C2B-91FB-16BE054DDCA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03" name="AutoShape 7" descr="Story">
          <a:hlinkClick xmlns:r="http://schemas.openxmlformats.org/officeDocument/2006/relationships" r:id="rId3"/>
          <a:extLst>
            <a:ext uri="{FF2B5EF4-FFF2-40B4-BE49-F238E27FC236}">
              <a16:creationId xmlns:a16="http://schemas.microsoft.com/office/drawing/2014/main" id="{A09E65FC-EEA9-4ED4-B762-D0C5D86D0D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4" name="AutoShape 3" descr="Story">
          <a:hlinkClick xmlns:r="http://schemas.openxmlformats.org/officeDocument/2006/relationships" r:id="rId9"/>
          <a:extLst>
            <a:ext uri="{FF2B5EF4-FFF2-40B4-BE49-F238E27FC236}">
              <a16:creationId xmlns:a16="http://schemas.microsoft.com/office/drawing/2014/main" id="{62ADEB75-3D3D-4596-84E9-9D8D7A5B03B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5" name="AutoShape 12" descr="Story">
          <a:hlinkClick xmlns:r="http://schemas.openxmlformats.org/officeDocument/2006/relationships" r:id="rId8"/>
          <a:extLst>
            <a:ext uri="{FF2B5EF4-FFF2-40B4-BE49-F238E27FC236}">
              <a16:creationId xmlns:a16="http://schemas.microsoft.com/office/drawing/2014/main" id="{B5C52F77-9CCC-4469-830F-7150C54ECF6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6" name="AutoShape 1" descr="Story">
          <a:hlinkClick xmlns:r="http://schemas.openxmlformats.org/officeDocument/2006/relationships" r:id="rId7"/>
          <a:extLst>
            <a:ext uri="{FF2B5EF4-FFF2-40B4-BE49-F238E27FC236}">
              <a16:creationId xmlns:a16="http://schemas.microsoft.com/office/drawing/2014/main" id="{4DCDA6F6-961C-4BB3-BE38-CE021AD82D9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7" name="AutoShape 1" descr="Story">
          <a:hlinkClick xmlns:r="http://schemas.openxmlformats.org/officeDocument/2006/relationships" r:id="rId7"/>
          <a:extLst>
            <a:ext uri="{FF2B5EF4-FFF2-40B4-BE49-F238E27FC236}">
              <a16:creationId xmlns:a16="http://schemas.microsoft.com/office/drawing/2014/main" id="{E6FE9C72-9E12-49FD-B295-143F47634C3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8" name="AutoShape 3" descr="Story">
          <a:hlinkClick xmlns:r="http://schemas.openxmlformats.org/officeDocument/2006/relationships" r:id="rId4"/>
          <a:extLst>
            <a:ext uri="{FF2B5EF4-FFF2-40B4-BE49-F238E27FC236}">
              <a16:creationId xmlns:a16="http://schemas.microsoft.com/office/drawing/2014/main" id="{33C2614C-8003-41BE-8C35-C6A37C28B8C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09" name="AutoShape 4" descr="Story">
          <a:hlinkClick xmlns:r="http://schemas.openxmlformats.org/officeDocument/2006/relationships" r:id="rId5"/>
          <a:extLst>
            <a:ext uri="{FF2B5EF4-FFF2-40B4-BE49-F238E27FC236}">
              <a16:creationId xmlns:a16="http://schemas.microsoft.com/office/drawing/2014/main" id="{896D2803-407C-4926-951C-38A4F9DC1B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10" name="AutoShape 7" descr="Story">
          <a:hlinkClick xmlns:r="http://schemas.openxmlformats.org/officeDocument/2006/relationships" r:id="rId3"/>
          <a:extLst>
            <a:ext uri="{FF2B5EF4-FFF2-40B4-BE49-F238E27FC236}">
              <a16:creationId xmlns:a16="http://schemas.microsoft.com/office/drawing/2014/main" id="{B0E57995-F3CE-4543-8331-888045A909A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11" name="AutoShape 8" descr="Story">
          <a:hlinkClick xmlns:r="http://schemas.openxmlformats.org/officeDocument/2006/relationships" r:id="rId4"/>
          <a:extLst>
            <a:ext uri="{FF2B5EF4-FFF2-40B4-BE49-F238E27FC236}">
              <a16:creationId xmlns:a16="http://schemas.microsoft.com/office/drawing/2014/main" id="{4633264E-6428-4C7A-8A93-9BDBC334BE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12" name="AutoShape 8" descr="Story">
          <a:hlinkClick xmlns:r="http://schemas.openxmlformats.org/officeDocument/2006/relationships" r:id="rId4"/>
          <a:extLst>
            <a:ext uri="{FF2B5EF4-FFF2-40B4-BE49-F238E27FC236}">
              <a16:creationId xmlns:a16="http://schemas.microsoft.com/office/drawing/2014/main" id="{10B27B96-8630-4BC8-85B0-5E1064A0010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6</xdr:row>
      <xdr:rowOff>0</xdr:rowOff>
    </xdr:from>
    <xdr:to>
      <xdr:col>0</xdr:col>
      <xdr:colOff>152400</xdr:colOff>
      <xdr:row>6</xdr:row>
      <xdr:rowOff>152400</xdr:rowOff>
    </xdr:to>
    <xdr:sp macro="" textlink="">
      <xdr:nvSpPr>
        <xdr:cNvPr id="413" name="AutoShape 1" descr="Story">
          <a:hlinkClick xmlns:r="http://schemas.openxmlformats.org/officeDocument/2006/relationships" r:id="rId7"/>
          <a:extLst>
            <a:ext uri="{FF2B5EF4-FFF2-40B4-BE49-F238E27FC236}">
              <a16:creationId xmlns:a16="http://schemas.microsoft.com/office/drawing/2014/main" id="{6EEE622A-64FC-469A-8E7D-59AFE6D9557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14" name="AutoShape 2" descr="Story">
          <a:hlinkClick xmlns:r="http://schemas.openxmlformats.org/officeDocument/2006/relationships" r:id="rId8"/>
          <a:extLst>
            <a:ext uri="{FF2B5EF4-FFF2-40B4-BE49-F238E27FC236}">
              <a16:creationId xmlns:a16="http://schemas.microsoft.com/office/drawing/2014/main" id="{DBB12700-F65C-478D-82E8-FF2DA9B5B0F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415" name="AutoShape 3" descr="Story">
          <a:hlinkClick xmlns:r="http://schemas.openxmlformats.org/officeDocument/2006/relationships" r:id="rId9"/>
          <a:extLst>
            <a:ext uri="{FF2B5EF4-FFF2-40B4-BE49-F238E27FC236}">
              <a16:creationId xmlns:a16="http://schemas.microsoft.com/office/drawing/2014/main" id="{B52F3B52-646D-4B48-A65C-A66CD609683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16" name="AutoShape 4" descr="Bug">
          <a:hlinkClick xmlns:r="http://schemas.openxmlformats.org/officeDocument/2006/relationships" r:id="rId1"/>
          <a:extLst>
            <a:ext uri="{FF2B5EF4-FFF2-40B4-BE49-F238E27FC236}">
              <a16:creationId xmlns:a16="http://schemas.microsoft.com/office/drawing/2014/main" id="{628BE35D-0D94-4BE5-8EC9-32B96067B3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17" name="AutoShape 5" descr="Story">
          <a:hlinkClick xmlns:r="http://schemas.openxmlformats.org/officeDocument/2006/relationships" r:id="rId10"/>
          <a:extLst>
            <a:ext uri="{FF2B5EF4-FFF2-40B4-BE49-F238E27FC236}">
              <a16:creationId xmlns:a16="http://schemas.microsoft.com/office/drawing/2014/main" id="{E5CEFC6B-6CB9-4AD5-AC71-849DF381E8CD}"/>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18" name="AutoShape 6" descr="Bug">
          <a:hlinkClick xmlns:r="http://schemas.openxmlformats.org/officeDocument/2006/relationships" r:id="rId2"/>
          <a:extLst>
            <a:ext uri="{FF2B5EF4-FFF2-40B4-BE49-F238E27FC236}">
              <a16:creationId xmlns:a16="http://schemas.microsoft.com/office/drawing/2014/main" id="{DAB080A1-B355-493C-AAB7-882B92B012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19" name="AutoShape 7" descr="Story">
          <a:hlinkClick xmlns:r="http://schemas.openxmlformats.org/officeDocument/2006/relationships" r:id="rId3"/>
          <a:extLst>
            <a:ext uri="{FF2B5EF4-FFF2-40B4-BE49-F238E27FC236}">
              <a16:creationId xmlns:a16="http://schemas.microsoft.com/office/drawing/2014/main" id="{CAA8B108-EEE7-4E7B-9BAA-DB94D75B52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20" name="AutoShape 8" descr="Story">
          <a:hlinkClick xmlns:r="http://schemas.openxmlformats.org/officeDocument/2006/relationships" r:id="rId4"/>
          <a:extLst>
            <a:ext uri="{FF2B5EF4-FFF2-40B4-BE49-F238E27FC236}">
              <a16:creationId xmlns:a16="http://schemas.microsoft.com/office/drawing/2014/main" id="{CE381B9C-FE6F-43DF-BA24-E073ABF6B7A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21" name="AutoShape 9" descr="Story">
          <a:hlinkClick xmlns:r="http://schemas.openxmlformats.org/officeDocument/2006/relationships" r:id="rId5"/>
          <a:extLst>
            <a:ext uri="{FF2B5EF4-FFF2-40B4-BE49-F238E27FC236}">
              <a16:creationId xmlns:a16="http://schemas.microsoft.com/office/drawing/2014/main" id="{5BAF70C8-B3FE-4077-9000-E4464EAE5B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422" name="AutoShape 10" descr="Story">
          <a:hlinkClick xmlns:r="http://schemas.openxmlformats.org/officeDocument/2006/relationships" r:id="rId6"/>
          <a:extLst>
            <a:ext uri="{FF2B5EF4-FFF2-40B4-BE49-F238E27FC236}">
              <a16:creationId xmlns:a16="http://schemas.microsoft.com/office/drawing/2014/main" id="{DEE6B805-CBA7-44D0-8FE0-4F0A82DF4F8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23" name="AutoShape 11" descr="Story">
          <a:hlinkClick xmlns:r="http://schemas.openxmlformats.org/officeDocument/2006/relationships" r:id="rId11"/>
          <a:extLst>
            <a:ext uri="{FF2B5EF4-FFF2-40B4-BE49-F238E27FC236}">
              <a16:creationId xmlns:a16="http://schemas.microsoft.com/office/drawing/2014/main" id="{12E65B5A-5FF1-4AA7-85AB-086B0B54B23A}"/>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424" name="AutoShape 12" descr="Story">
          <a:hlinkClick xmlns:r="http://schemas.openxmlformats.org/officeDocument/2006/relationships" r:id="rId8"/>
          <a:extLst>
            <a:ext uri="{FF2B5EF4-FFF2-40B4-BE49-F238E27FC236}">
              <a16:creationId xmlns:a16="http://schemas.microsoft.com/office/drawing/2014/main" id="{B22387CA-3E2F-4FCE-BB3A-2D155B22101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25" name="AutoShape 13" descr="Story">
          <a:hlinkClick xmlns:r="http://schemas.openxmlformats.org/officeDocument/2006/relationships" r:id="rId4"/>
          <a:extLst>
            <a:ext uri="{FF2B5EF4-FFF2-40B4-BE49-F238E27FC236}">
              <a16:creationId xmlns:a16="http://schemas.microsoft.com/office/drawing/2014/main" id="{3597D554-6555-456E-AB1C-34665A0BD8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426" name="AutoShape 14" descr="Story">
          <a:hlinkClick xmlns:r="http://schemas.openxmlformats.org/officeDocument/2006/relationships" r:id="rId4"/>
          <a:extLst>
            <a:ext uri="{FF2B5EF4-FFF2-40B4-BE49-F238E27FC236}">
              <a16:creationId xmlns:a16="http://schemas.microsoft.com/office/drawing/2014/main" id="{931E3BDD-4EC6-47BB-8F4A-5931395A1D2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27" name="AutoShape 15" descr="Story">
          <a:hlinkClick xmlns:r="http://schemas.openxmlformats.org/officeDocument/2006/relationships" r:id="rId4"/>
          <a:extLst>
            <a:ext uri="{FF2B5EF4-FFF2-40B4-BE49-F238E27FC236}">
              <a16:creationId xmlns:a16="http://schemas.microsoft.com/office/drawing/2014/main" id="{3C102A59-E6EA-4439-9D63-7278309BA46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428" name="AutoShape 1" descr="Story">
          <a:hlinkClick xmlns:r="http://schemas.openxmlformats.org/officeDocument/2006/relationships" r:id="rId12"/>
          <a:extLst>
            <a:ext uri="{FF2B5EF4-FFF2-40B4-BE49-F238E27FC236}">
              <a16:creationId xmlns:a16="http://schemas.microsoft.com/office/drawing/2014/main" id="{02B6B380-63B1-4DD2-A3A3-B9E190B620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29" name="AutoShape 2" descr="Story">
          <a:hlinkClick xmlns:r="http://schemas.openxmlformats.org/officeDocument/2006/relationships" r:id="rId13"/>
          <a:extLst>
            <a:ext uri="{FF2B5EF4-FFF2-40B4-BE49-F238E27FC236}">
              <a16:creationId xmlns:a16="http://schemas.microsoft.com/office/drawing/2014/main" id="{76E0AF92-0094-4C4C-A00A-FA259AC8F7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0" name="AutoShape 5" descr="Story">
          <a:hlinkClick xmlns:r="http://schemas.openxmlformats.org/officeDocument/2006/relationships" r:id="rId6"/>
          <a:extLst>
            <a:ext uri="{FF2B5EF4-FFF2-40B4-BE49-F238E27FC236}">
              <a16:creationId xmlns:a16="http://schemas.microsoft.com/office/drawing/2014/main" id="{74878F78-D19A-4236-908D-947A4F5F44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1" name="AutoShape 1" descr="Sub-task">
          <a:hlinkClick xmlns:r="http://schemas.openxmlformats.org/officeDocument/2006/relationships" r:id="rId14"/>
          <a:extLst>
            <a:ext uri="{FF2B5EF4-FFF2-40B4-BE49-F238E27FC236}">
              <a16:creationId xmlns:a16="http://schemas.microsoft.com/office/drawing/2014/main" id="{7A8C998D-ED20-41C5-B628-AC0A1819DE7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2" name="AutoShape 2" descr="Sub-task">
          <a:hlinkClick xmlns:r="http://schemas.openxmlformats.org/officeDocument/2006/relationships" r:id="rId15"/>
          <a:extLst>
            <a:ext uri="{FF2B5EF4-FFF2-40B4-BE49-F238E27FC236}">
              <a16:creationId xmlns:a16="http://schemas.microsoft.com/office/drawing/2014/main" id="{7CA7B155-9BD0-4849-B8DC-072E72B1A2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3" name="AutoShape 3" descr="Story">
          <a:hlinkClick xmlns:r="http://schemas.openxmlformats.org/officeDocument/2006/relationships" r:id="rId9"/>
          <a:extLst>
            <a:ext uri="{FF2B5EF4-FFF2-40B4-BE49-F238E27FC236}">
              <a16:creationId xmlns:a16="http://schemas.microsoft.com/office/drawing/2014/main" id="{FEA43880-5182-4D67-A55E-31A271D2BC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4" name="AutoShape 12" descr="Story">
          <a:hlinkClick xmlns:r="http://schemas.openxmlformats.org/officeDocument/2006/relationships" r:id="rId8"/>
          <a:extLst>
            <a:ext uri="{FF2B5EF4-FFF2-40B4-BE49-F238E27FC236}">
              <a16:creationId xmlns:a16="http://schemas.microsoft.com/office/drawing/2014/main" id="{CB4310CC-0E2C-4981-B6B4-9F5BA3638DB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5" name="AutoShape 1" descr="Story">
          <a:hlinkClick xmlns:r="http://schemas.openxmlformats.org/officeDocument/2006/relationships" r:id="rId7"/>
          <a:extLst>
            <a:ext uri="{FF2B5EF4-FFF2-40B4-BE49-F238E27FC236}">
              <a16:creationId xmlns:a16="http://schemas.microsoft.com/office/drawing/2014/main" id="{0550A76B-53CC-415B-A9F7-F8968431BF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6" name="AutoShape 1" descr="Story">
          <a:hlinkClick xmlns:r="http://schemas.openxmlformats.org/officeDocument/2006/relationships" r:id="rId7"/>
          <a:extLst>
            <a:ext uri="{FF2B5EF4-FFF2-40B4-BE49-F238E27FC236}">
              <a16:creationId xmlns:a16="http://schemas.microsoft.com/office/drawing/2014/main" id="{79DA1912-5618-4720-8DF6-042E9BEF885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7" name="AutoShape 3" descr="Story">
          <a:hlinkClick xmlns:r="http://schemas.openxmlformats.org/officeDocument/2006/relationships" r:id="rId4"/>
          <a:extLst>
            <a:ext uri="{FF2B5EF4-FFF2-40B4-BE49-F238E27FC236}">
              <a16:creationId xmlns:a16="http://schemas.microsoft.com/office/drawing/2014/main" id="{42D327A6-1118-4CF9-92ED-F576FEEDF4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8" name="AutoShape 4" descr="Story">
          <a:hlinkClick xmlns:r="http://schemas.openxmlformats.org/officeDocument/2006/relationships" r:id="rId5"/>
          <a:extLst>
            <a:ext uri="{FF2B5EF4-FFF2-40B4-BE49-F238E27FC236}">
              <a16:creationId xmlns:a16="http://schemas.microsoft.com/office/drawing/2014/main" id="{6387FE22-C214-473D-AA56-D07CC7404DF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39" name="AutoShape 1" descr="Story">
          <a:hlinkClick xmlns:r="http://schemas.openxmlformats.org/officeDocument/2006/relationships" r:id="rId12"/>
          <a:extLst>
            <a:ext uri="{FF2B5EF4-FFF2-40B4-BE49-F238E27FC236}">
              <a16:creationId xmlns:a16="http://schemas.microsoft.com/office/drawing/2014/main" id="{68489816-16AB-45B4-91CA-981A9CF73B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0" name="AutoShape 2" descr="Story">
          <a:hlinkClick xmlns:r="http://schemas.openxmlformats.org/officeDocument/2006/relationships" r:id="rId13"/>
          <a:extLst>
            <a:ext uri="{FF2B5EF4-FFF2-40B4-BE49-F238E27FC236}">
              <a16:creationId xmlns:a16="http://schemas.microsoft.com/office/drawing/2014/main" id="{101C6EF0-975F-468D-888D-39AFE49BE4A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41" name="AutoShape 3" descr="Story">
          <a:hlinkClick xmlns:r="http://schemas.openxmlformats.org/officeDocument/2006/relationships" r:id="rId4"/>
          <a:extLst>
            <a:ext uri="{FF2B5EF4-FFF2-40B4-BE49-F238E27FC236}">
              <a16:creationId xmlns:a16="http://schemas.microsoft.com/office/drawing/2014/main" id="{FE0E7966-6393-49AD-87C4-093D6322E3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42" name="AutoShape 4" descr="Story">
          <a:hlinkClick xmlns:r="http://schemas.openxmlformats.org/officeDocument/2006/relationships" r:id="rId5"/>
          <a:extLst>
            <a:ext uri="{FF2B5EF4-FFF2-40B4-BE49-F238E27FC236}">
              <a16:creationId xmlns:a16="http://schemas.microsoft.com/office/drawing/2014/main" id="{5DBC2F75-BB76-4C15-B789-C78E280A0C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3" name="AutoShape 5" descr="Story">
          <a:hlinkClick xmlns:r="http://schemas.openxmlformats.org/officeDocument/2006/relationships" r:id="rId6"/>
          <a:extLst>
            <a:ext uri="{FF2B5EF4-FFF2-40B4-BE49-F238E27FC236}">
              <a16:creationId xmlns:a16="http://schemas.microsoft.com/office/drawing/2014/main" id="{7190D4F0-EE4B-4FE1-8819-EFEE83B56B2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4" name="AutoShape 1" descr="Sub-task">
          <a:hlinkClick xmlns:r="http://schemas.openxmlformats.org/officeDocument/2006/relationships" r:id="rId14"/>
          <a:extLst>
            <a:ext uri="{FF2B5EF4-FFF2-40B4-BE49-F238E27FC236}">
              <a16:creationId xmlns:a16="http://schemas.microsoft.com/office/drawing/2014/main" id="{319AEE1D-1FB4-411E-B242-F0D2D635B94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5" name="AutoShape 2" descr="Sub-task">
          <a:hlinkClick xmlns:r="http://schemas.openxmlformats.org/officeDocument/2006/relationships" r:id="rId15"/>
          <a:extLst>
            <a:ext uri="{FF2B5EF4-FFF2-40B4-BE49-F238E27FC236}">
              <a16:creationId xmlns:a16="http://schemas.microsoft.com/office/drawing/2014/main" id="{B693A594-4D3F-4B91-9D65-9F38F17F4C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46" name="AutoShape 7" descr="Story">
          <a:hlinkClick xmlns:r="http://schemas.openxmlformats.org/officeDocument/2006/relationships" r:id="rId3"/>
          <a:extLst>
            <a:ext uri="{FF2B5EF4-FFF2-40B4-BE49-F238E27FC236}">
              <a16:creationId xmlns:a16="http://schemas.microsoft.com/office/drawing/2014/main" id="{8EE18F92-760E-486B-A7F4-F0458B400D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7" name="AutoShape 3" descr="Story">
          <a:hlinkClick xmlns:r="http://schemas.openxmlformats.org/officeDocument/2006/relationships" r:id="rId9"/>
          <a:extLst>
            <a:ext uri="{FF2B5EF4-FFF2-40B4-BE49-F238E27FC236}">
              <a16:creationId xmlns:a16="http://schemas.microsoft.com/office/drawing/2014/main" id="{8BD16736-BAFB-450F-BF78-5CF734048DE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8" name="AutoShape 12" descr="Story">
          <a:hlinkClick xmlns:r="http://schemas.openxmlformats.org/officeDocument/2006/relationships" r:id="rId8"/>
          <a:extLst>
            <a:ext uri="{FF2B5EF4-FFF2-40B4-BE49-F238E27FC236}">
              <a16:creationId xmlns:a16="http://schemas.microsoft.com/office/drawing/2014/main" id="{16D55993-9118-4019-ADBE-4C2ECA588B9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49" name="AutoShape 1" descr="Story">
          <a:hlinkClick xmlns:r="http://schemas.openxmlformats.org/officeDocument/2006/relationships" r:id="rId7"/>
          <a:extLst>
            <a:ext uri="{FF2B5EF4-FFF2-40B4-BE49-F238E27FC236}">
              <a16:creationId xmlns:a16="http://schemas.microsoft.com/office/drawing/2014/main" id="{7F4EA98C-D8F5-421A-8D89-84EDB6F391D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50" name="AutoShape 1" descr="Story">
          <a:hlinkClick xmlns:r="http://schemas.openxmlformats.org/officeDocument/2006/relationships" r:id="rId7"/>
          <a:extLst>
            <a:ext uri="{FF2B5EF4-FFF2-40B4-BE49-F238E27FC236}">
              <a16:creationId xmlns:a16="http://schemas.microsoft.com/office/drawing/2014/main" id="{C152D3C1-E277-49EE-BE55-B660DA181A2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51" name="AutoShape 3" descr="Story">
          <a:hlinkClick xmlns:r="http://schemas.openxmlformats.org/officeDocument/2006/relationships" r:id="rId4"/>
          <a:extLst>
            <a:ext uri="{FF2B5EF4-FFF2-40B4-BE49-F238E27FC236}">
              <a16:creationId xmlns:a16="http://schemas.microsoft.com/office/drawing/2014/main" id="{37B219B7-0AA5-475E-8610-238DD302650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52" name="AutoShape 4" descr="Story">
          <a:hlinkClick xmlns:r="http://schemas.openxmlformats.org/officeDocument/2006/relationships" r:id="rId5"/>
          <a:extLst>
            <a:ext uri="{FF2B5EF4-FFF2-40B4-BE49-F238E27FC236}">
              <a16:creationId xmlns:a16="http://schemas.microsoft.com/office/drawing/2014/main" id="{A70C6E05-80EF-464F-9319-EBBF21E14D2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53" name="AutoShape 7" descr="Story">
          <a:hlinkClick xmlns:r="http://schemas.openxmlformats.org/officeDocument/2006/relationships" r:id="rId3"/>
          <a:extLst>
            <a:ext uri="{FF2B5EF4-FFF2-40B4-BE49-F238E27FC236}">
              <a16:creationId xmlns:a16="http://schemas.microsoft.com/office/drawing/2014/main" id="{8067A3CB-012A-468A-A26F-142190E2340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54" name="AutoShape 8" descr="Story">
          <a:hlinkClick xmlns:r="http://schemas.openxmlformats.org/officeDocument/2006/relationships" r:id="rId4"/>
          <a:extLst>
            <a:ext uri="{FF2B5EF4-FFF2-40B4-BE49-F238E27FC236}">
              <a16:creationId xmlns:a16="http://schemas.microsoft.com/office/drawing/2014/main" id="{DDC455DA-C615-4449-A9AF-A35754E3FC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55" name="AutoShape 8" descr="Story">
          <a:hlinkClick xmlns:r="http://schemas.openxmlformats.org/officeDocument/2006/relationships" r:id="rId4"/>
          <a:extLst>
            <a:ext uri="{FF2B5EF4-FFF2-40B4-BE49-F238E27FC236}">
              <a16:creationId xmlns:a16="http://schemas.microsoft.com/office/drawing/2014/main" id="{4DD1DF8E-A61F-4484-8688-2A2220363C9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6</xdr:row>
      <xdr:rowOff>0</xdr:rowOff>
    </xdr:from>
    <xdr:to>
      <xdr:col>0</xdr:col>
      <xdr:colOff>152400</xdr:colOff>
      <xdr:row>6</xdr:row>
      <xdr:rowOff>152400</xdr:rowOff>
    </xdr:to>
    <xdr:sp macro="" textlink="">
      <xdr:nvSpPr>
        <xdr:cNvPr id="456" name="AutoShape 1" descr="Story">
          <a:hlinkClick xmlns:r="http://schemas.openxmlformats.org/officeDocument/2006/relationships" r:id="rId7"/>
          <a:extLst>
            <a:ext uri="{FF2B5EF4-FFF2-40B4-BE49-F238E27FC236}">
              <a16:creationId xmlns:a16="http://schemas.microsoft.com/office/drawing/2014/main" id="{8090319F-B637-4289-A4E9-BCBCB09DE99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57" name="AutoShape 2" descr="Story">
          <a:hlinkClick xmlns:r="http://schemas.openxmlformats.org/officeDocument/2006/relationships" r:id="rId8"/>
          <a:extLst>
            <a:ext uri="{FF2B5EF4-FFF2-40B4-BE49-F238E27FC236}">
              <a16:creationId xmlns:a16="http://schemas.microsoft.com/office/drawing/2014/main" id="{7DEDC79C-D526-4A34-B379-CCDDCE38552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458" name="AutoShape 3" descr="Story">
          <a:hlinkClick xmlns:r="http://schemas.openxmlformats.org/officeDocument/2006/relationships" r:id="rId9"/>
          <a:extLst>
            <a:ext uri="{FF2B5EF4-FFF2-40B4-BE49-F238E27FC236}">
              <a16:creationId xmlns:a16="http://schemas.microsoft.com/office/drawing/2014/main" id="{4426131A-54CA-4556-9AE5-84A93EB4982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59" name="AutoShape 4" descr="Bug">
          <a:hlinkClick xmlns:r="http://schemas.openxmlformats.org/officeDocument/2006/relationships" r:id="rId1"/>
          <a:extLst>
            <a:ext uri="{FF2B5EF4-FFF2-40B4-BE49-F238E27FC236}">
              <a16:creationId xmlns:a16="http://schemas.microsoft.com/office/drawing/2014/main" id="{52773986-EE2E-4C5B-B201-B943578B83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60" name="AutoShape 5" descr="Story">
          <a:hlinkClick xmlns:r="http://schemas.openxmlformats.org/officeDocument/2006/relationships" r:id="rId10"/>
          <a:extLst>
            <a:ext uri="{FF2B5EF4-FFF2-40B4-BE49-F238E27FC236}">
              <a16:creationId xmlns:a16="http://schemas.microsoft.com/office/drawing/2014/main" id="{4F543DF8-6B85-40EE-91FB-570F345AC8F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61" name="AutoShape 6" descr="Bug">
          <a:hlinkClick xmlns:r="http://schemas.openxmlformats.org/officeDocument/2006/relationships" r:id="rId2"/>
          <a:extLst>
            <a:ext uri="{FF2B5EF4-FFF2-40B4-BE49-F238E27FC236}">
              <a16:creationId xmlns:a16="http://schemas.microsoft.com/office/drawing/2014/main" id="{4EA87391-9B30-4490-9468-614F8B4611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62" name="AutoShape 7" descr="Story">
          <a:hlinkClick xmlns:r="http://schemas.openxmlformats.org/officeDocument/2006/relationships" r:id="rId3"/>
          <a:extLst>
            <a:ext uri="{FF2B5EF4-FFF2-40B4-BE49-F238E27FC236}">
              <a16:creationId xmlns:a16="http://schemas.microsoft.com/office/drawing/2014/main" id="{AF1CB543-BF0B-43B8-85AB-A921B68D14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63" name="AutoShape 8" descr="Story">
          <a:hlinkClick xmlns:r="http://schemas.openxmlformats.org/officeDocument/2006/relationships" r:id="rId4"/>
          <a:extLst>
            <a:ext uri="{FF2B5EF4-FFF2-40B4-BE49-F238E27FC236}">
              <a16:creationId xmlns:a16="http://schemas.microsoft.com/office/drawing/2014/main" id="{56A2D230-8D2A-4668-858F-BF711D41DC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64" name="AutoShape 9" descr="Story">
          <a:hlinkClick xmlns:r="http://schemas.openxmlformats.org/officeDocument/2006/relationships" r:id="rId5"/>
          <a:extLst>
            <a:ext uri="{FF2B5EF4-FFF2-40B4-BE49-F238E27FC236}">
              <a16:creationId xmlns:a16="http://schemas.microsoft.com/office/drawing/2014/main" id="{70B67F7D-A7F9-47FF-9F89-4B489CDC7F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465" name="AutoShape 10" descr="Story">
          <a:hlinkClick xmlns:r="http://schemas.openxmlformats.org/officeDocument/2006/relationships" r:id="rId6"/>
          <a:extLst>
            <a:ext uri="{FF2B5EF4-FFF2-40B4-BE49-F238E27FC236}">
              <a16:creationId xmlns:a16="http://schemas.microsoft.com/office/drawing/2014/main" id="{BE05EEDC-81B1-4F7B-8462-64C4E335082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66" name="AutoShape 11" descr="Story">
          <a:hlinkClick xmlns:r="http://schemas.openxmlformats.org/officeDocument/2006/relationships" r:id="rId11"/>
          <a:extLst>
            <a:ext uri="{FF2B5EF4-FFF2-40B4-BE49-F238E27FC236}">
              <a16:creationId xmlns:a16="http://schemas.microsoft.com/office/drawing/2014/main" id="{6EF19651-EEDD-4026-9060-DB8F4E54062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467" name="AutoShape 12" descr="Story">
          <a:hlinkClick xmlns:r="http://schemas.openxmlformats.org/officeDocument/2006/relationships" r:id="rId8"/>
          <a:extLst>
            <a:ext uri="{FF2B5EF4-FFF2-40B4-BE49-F238E27FC236}">
              <a16:creationId xmlns:a16="http://schemas.microsoft.com/office/drawing/2014/main" id="{D4A3AEFD-E0A3-4755-B90F-3768F2D0A5E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468" name="AutoShape 13" descr="Story">
          <a:hlinkClick xmlns:r="http://schemas.openxmlformats.org/officeDocument/2006/relationships" r:id="rId4"/>
          <a:extLst>
            <a:ext uri="{FF2B5EF4-FFF2-40B4-BE49-F238E27FC236}">
              <a16:creationId xmlns:a16="http://schemas.microsoft.com/office/drawing/2014/main" id="{25D4AD2A-7A25-4195-B4D2-5B9E048F3D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469" name="AutoShape 14" descr="Story">
          <a:hlinkClick xmlns:r="http://schemas.openxmlformats.org/officeDocument/2006/relationships" r:id="rId4"/>
          <a:extLst>
            <a:ext uri="{FF2B5EF4-FFF2-40B4-BE49-F238E27FC236}">
              <a16:creationId xmlns:a16="http://schemas.microsoft.com/office/drawing/2014/main" id="{577D9BFF-DC93-4EDD-8D1F-201A153A2E0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470" name="AutoShape 15" descr="Story">
          <a:hlinkClick xmlns:r="http://schemas.openxmlformats.org/officeDocument/2006/relationships" r:id="rId4"/>
          <a:extLst>
            <a:ext uri="{FF2B5EF4-FFF2-40B4-BE49-F238E27FC236}">
              <a16:creationId xmlns:a16="http://schemas.microsoft.com/office/drawing/2014/main" id="{6DA3BEF4-4BC6-4C7C-B5D3-B46946B3A1DD}"/>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471" name="AutoShape 1" descr="Story">
          <a:hlinkClick xmlns:r="http://schemas.openxmlformats.org/officeDocument/2006/relationships" r:id="rId12"/>
          <a:extLst>
            <a:ext uri="{FF2B5EF4-FFF2-40B4-BE49-F238E27FC236}">
              <a16:creationId xmlns:a16="http://schemas.microsoft.com/office/drawing/2014/main" id="{8C4BB774-5703-4AF7-BA07-0A4C3B7A39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2" name="AutoShape 2" descr="Story">
          <a:hlinkClick xmlns:r="http://schemas.openxmlformats.org/officeDocument/2006/relationships" r:id="rId13"/>
          <a:extLst>
            <a:ext uri="{FF2B5EF4-FFF2-40B4-BE49-F238E27FC236}">
              <a16:creationId xmlns:a16="http://schemas.microsoft.com/office/drawing/2014/main" id="{2029C9E7-7615-4CCA-AC33-69A24B2C8C2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3" name="AutoShape 5" descr="Story">
          <a:hlinkClick xmlns:r="http://schemas.openxmlformats.org/officeDocument/2006/relationships" r:id="rId6"/>
          <a:extLst>
            <a:ext uri="{FF2B5EF4-FFF2-40B4-BE49-F238E27FC236}">
              <a16:creationId xmlns:a16="http://schemas.microsoft.com/office/drawing/2014/main" id="{01A6BB98-B731-4681-A588-2BDED13500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4" name="AutoShape 1" descr="Sub-task">
          <a:hlinkClick xmlns:r="http://schemas.openxmlformats.org/officeDocument/2006/relationships" r:id="rId14"/>
          <a:extLst>
            <a:ext uri="{FF2B5EF4-FFF2-40B4-BE49-F238E27FC236}">
              <a16:creationId xmlns:a16="http://schemas.microsoft.com/office/drawing/2014/main" id="{AECDDACD-BFAC-47BC-A269-D7DB3AC2BC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5" name="AutoShape 2" descr="Sub-task">
          <a:hlinkClick xmlns:r="http://schemas.openxmlformats.org/officeDocument/2006/relationships" r:id="rId15"/>
          <a:extLst>
            <a:ext uri="{FF2B5EF4-FFF2-40B4-BE49-F238E27FC236}">
              <a16:creationId xmlns:a16="http://schemas.microsoft.com/office/drawing/2014/main" id="{5645CBF8-C540-4746-8764-F5F1BD5F2F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6" name="AutoShape 3" descr="Story">
          <a:hlinkClick xmlns:r="http://schemas.openxmlformats.org/officeDocument/2006/relationships" r:id="rId9"/>
          <a:extLst>
            <a:ext uri="{FF2B5EF4-FFF2-40B4-BE49-F238E27FC236}">
              <a16:creationId xmlns:a16="http://schemas.microsoft.com/office/drawing/2014/main" id="{B6009F87-D380-490D-93A9-687DEC088C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7" name="AutoShape 12" descr="Story">
          <a:hlinkClick xmlns:r="http://schemas.openxmlformats.org/officeDocument/2006/relationships" r:id="rId8"/>
          <a:extLst>
            <a:ext uri="{FF2B5EF4-FFF2-40B4-BE49-F238E27FC236}">
              <a16:creationId xmlns:a16="http://schemas.microsoft.com/office/drawing/2014/main" id="{0B8E337F-3845-40CB-BD34-4D1DC30221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8" name="AutoShape 1" descr="Story">
          <a:hlinkClick xmlns:r="http://schemas.openxmlformats.org/officeDocument/2006/relationships" r:id="rId7"/>
          <a:extLst>
            <a:ext uri="{FF2B5EF4-FFF2-40B4-BE49-F238E27FC236}">
              <a16:creationId xmlns:a16="http://schemas.microsoft.com/office/drawing/2014/main" id="{C13D837A-3FBC-4427-AAC2-AC12AB94F9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9" name="AutoShape 1" descr="Story">
          <a:hlinkClick xmlns:r="http://schemas.openxmlformats.org/officeDocument/2006/relationships" r:id="rId7"/>
          <a:extLst>
            <a:ext uri="{FF2B5EF4-FFF2-40B4-BE49-F238E27FC236}">
              <a16:creationId xmlns:a16="http://schemas.microsoft.com/office/drawing/2014/main" id="{FE6C4146-D7AF-4B94-AE53-8C0648AF8EC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0" name="AutoShape 3" descr="Story">
          <a:hlinkClick xmlns:r="http://schemas.openxmlformats.org/officeDocument/2006/relationships" r:id="rId4"/>
          <a:extLst>
            <a:ext uri="{FF2B5EF4-FFF2-40B4-BE49-F238E27FC236}">
              <a16:creationId xmlns:a16="http://schemas.microsoft.com/office/drawing/2014/main" id="{AE0A0042-F9BC-4467-A208-1E0CD570CC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1" name="AutoShape 4" descr="Story">
          <a:hlinkClick xmlns:r="http://schemas.openxmlformats.org/officeDocument/2006/relationships" r:id="rId5"/>
          <a:extLst>
            <a:ext uri="{FF2B5EF4-FFF2-40B4-BE49-F238E27FC236}">
              <a16:creationId xmlns:a16="http://schemas.microsoft.com/office/drawing/2014/main" id="{A9BC3E76-C8E3-49E4-8479-02A986EBCC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82" name="AutoShape 1" descr="Story">
          <a:hlinkClick xmlns:r="http://schemas.openxmlformats.org/officeDocument/2006/relationships" r:id="rId12"/>
          <a:extLst>
            <a:ext uri="{FF2B5EF4-FFF2-40B4-BE49-F238E27FC236}">
              <a16:creationId xmlns:a16="http://schemas.microsoft.com/office/drawing/2014/main" id="{551A9D4D-3C82-49F8-BDB5-C8913DFDC8F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83" name="AutoShape 2" descr="Story">
          <a:hlinkClick xmlns:r="http://schemas.openxmlformats.org/officeDocument/2006/relationships" r:id="rId13"/>
          <a:extLst>
            <a:ext uri="{FF2B5EF4-FFF2-40B4-BE49-F238E27FC236}">
              <a16:creationId xmlns:a16="http://schemas.microsoft.com/office/drawing/2014/main" id="{FCE46D1A-1A22-42E3-A98A-EFE0FB123B6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4" name="AutoShape 3" descr="Story">
          <a:hlinkClick xmlns:r="http://schemas.openxmlformats.org/officeDocument/2006/relationships" r:id="rId4"/>
          <a:extLst>
            <a:ext uri="{FF2B5EF4-FFF2-40B4-BE49-F238E27FC236}">
              <a16:creationId xmlns:a16="http://schemas.microsoft.com/office/drawing/2014/main" id="{352190FA-1056-487E-9573-ED27CD4902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5" name="AutoShape 4" descr="Story">
          <a:hlinkClick xmlns:r="http://schemas.openxmlformats.org/officeDocument/2006/relationships" r:id="rId5"/>
          <a:extLst>
            <a:ext uri="{FF2B5EF4-FFF2-40B4-BE49-F238E27FC236}">
              <a16:creationId xmlns:a16="http://schemas.microsoft.com/office/drawing/2014/main" id="{DF135C08-B741-48C6-910A-3B1805C0CE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86" name="AutoShape 5" descr="Story">
          <a:hlinkClick xmlns:r="http://schemas.openxmlformats.org/officeDocument/2006/relationships" r:id="rId6"/>
          <a:extLst>
            <a:ext uri="{FF2B5EF4-FFF2-40B4-BE49-F238E27FC236}">
              <a16:creationId xmlns:a16="http://schemas.microsoft.com/office/drawing/2014/main" id="{0F963FED-7FB0-478E-87F5-4A40AA25FCF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87" name="AutoShape 1" descr="Sub-task">
          <a:hlinkClick xmlns:r="http://schemas.openxmlformats.org/officeDocument/2006/relationships" r:id="rId14"/>
          <a:extLst>
            <a:ext uri="{FF2B5EF4-FFF2-40B4-BE49-F238E27FC236}">
              <a16:creationId xmlns:a16="http://schemas.microsoft.com/office/drawing/2014/main" id="{30C8CF7E-A3E4-43F0-A23E-B7B6FE92D3D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88" name="AutoShape 2" descr="Sub-task">
          <a:hlinkClick xmlns:r="http://schemas.openxmlformats.org/officeDocument/2006/relationships" r:id="rId15"/>
          <a:extLst>
            <a:ext uri="{FF2B5EF4-FFF2-40B4-BE49-F238E27FC236}">
              <a16:creationId xmlns:a16="http://schemas.microsoft.com/office/drawing/2014/main" id="{43996B0B-FD21-40AE-899D-4026D64FD5B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9" name="AutoShape 7" descr="Story">
          <a:hlinkClick xmlns:r="http://schemas.openxmlformats.org/officeDocument/2006/relationships" r:id="rId3"/>
          <a:extLst>
            <a:ext uri="{FF2B5EF4-FFF2-40B4-BE49-F238E27FC236}">
              <a16:creationId xmlns:a16="http://schemas.microsoft.com/office/drawing/2014/main" id="{D6958637-19DD-49C4-91B2-20E724EB354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0" name="AutoShape 3" descr="Story">
          <a:hlinkClick xmlns:r="http://schemas.openxmlformats.org/officeDocument/2006/relationships" r:id="rId9"/>
          <a:extLst>
            <a:ext uri="{FF2B5EF4-FFF2-40B4-BE49-F238E27FC236}">
              <a16:creationId xmlns:a16="http://schemas.microsoft.com/office/drawing/2014/main" id="{782DAA28-F9EB-4662-904B-AA45D65185A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1" name="AutoShape 12" descr="Story">
          <a:hlinkClick xmlns:r="http://schemas.openxmlformats.org/officeDocument/2006/relationships" r:id="rId8"/>
          <a:extLst>
            <a:ext uri="{FF2B5EF4-FFF2-40B4-BE49-F238E27FC236}">
              <a16:creationId xmlns:a16="http://schemas.microsoft.com/office/drawing/2014/main" id="{82D35EBB-08C3-4054-B286-9EA16BCCC5A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2" name="AutoShape 1" descr="Story">
          <a:hlinkClick xmlns:r="http://schemas.openxmlformats.org/officeDocument/2006/relationships" r:id="rId7"/>
          <a:extLst>
            <a:ext uri="{FF2B5EF4-FFF2-40B4-BE49-F238E27FC236}">
              <a16:creationId xmlns:a16="http://schemas.microsoft.com/office/drawing/2014/main" id="{68F8581F-04F2-4692-B6FE-5E7368246D8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3" name="AutoShape 1" descr="Story">
          <a:hlinkClick xmlns:r="http://schemas.openxmlformats.org/officeDocument/2006/relationships" r:id="rId7"/>
          <a:extLst>
            <a:ext uri="{FF2B5EF4-FFF2-40B4-BE49-F238E27FC236}">
              <a16:creationId xmlns:a16="http://schemas.microsoft.com/office/drawing/2014/main" id="{B92C2FC7-B86E-49B5-B7D3-06BE5B67349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4" name="AutoShape 3" descr="Story">
          <a:hlinkClick xmlns:r="http://schemas.openxmlformats.org/officeDocument/2006/relationships" r:id="rId4"/>
          <a:extLst>
            <a:ext uri="{FF2B5EF4-FFF2-40B4-BE49-F238E27FC236}">
              <a16:creationId xmlns:a16="http://schemas.microsoft.com/office/drawing/2014/main" id="{03EE0807-EE60-4083-AC7E-917EF0D6779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5" name="AutoShape 4" descr="Story">
          <a:hlinkClick xmlns:r="http://schemas.openxmlformats.org/officeDocument/2006/relationships" r:id="rId5"/>
          <a:extLst>
            <a:ext uri="{FF2B5EF4-FFF2-40B4-BE49-F238E27FC236}">
              <a16:creationId xmlns:a16="http://schemas.microsoft.com/office/drawing/2014/main" id="{CF41963B-21D6-4CD1-9DBD-E149210F715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496" name="AutoShape 7" descr="Story">
          <a:hlinkClick xmlns:r="http://schemas.openxmlformats.org/officeDocument/2006/relationships" r:id="rId3"/>
          <a:extLst>
            <a:ext uri="{FF2B5EF4-FFF2-40B4-BE49-F238E27FC236}">
              <a16:creationId xmlns:a16="http://schemas.microsoft.com/office/drawing/2014/main" id="{AADDDDAC-0198-4FDA-82A2-37A26135EC0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97" name="AutoShape 8" descr="Story">
          <a:hlinkClick xmlns:r="http://schemas.openxmlformats.org/officeDocument/2006/relationships" r:id="rId4"/>
          <a:extLst>
            <a:ext uri="{FF2B5EF4-FFF2-40B4-BE49-F238E27FC236}">
              <a16:creationId xmlns:a16="http://schemas.microsoft.com/office/drawing/2014/main" id="{50F224DE-71C5-4A06-8C4A-0A9E623FC8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98" name="AutoShape 8" descr="Story">
          <a:hlinkClick xmlns:r="http://schemas.openxmlformats.org/officeDocument/2006/relationships" r:id="rId4"/>
          <a:extLst>
            <a:ext uri="{FF2B5EF4-FFF2-40B4-BE49-F238E27FC236}">
              <a16:creationId xmlns:a16="http://schemas.microsoft.com/office/drawing/2014/main" id="{D07F71DC-67F5-4D81-934B-AA3F225411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152400</xdr:colOff>
      <xdr:row>2</xdr:row>
      <xdr:rowOff>152400</xdr:rowOff>
    </xdr:to>
    <xdr:sp macro="" textlink="">
      <xdr:nvSpPr>
        <xdr:cNvPr id="499" name="AutoShape 10" descr="Story">
          <a:hlinkClick xmlns:r="http://schemas.openxmlformats.org/officeDocument/2006/relationships" r:id="rId6"/>
          <a:extLst>
            <a:ext uri="{FF2B5EF4-FFF2-40B4-BE49-F238E27FC236}">
              <a16:creationId xmlns:a16="http://schemas.microsoft.com/office/drawing/2014/main" id="{3920938B-9027-4DEF-98E6-1D87922C6B3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00" name="AutoShape 14" descr="Story">
          <a:hlinkClick xmlns:r="http://schemas.openxmlformats.org/officeDocument/2006/relationships" r:id="rId4"/>
          <a:extLst>
            <a:ext uri="{FF2B5EF4-FFF2-40B4-BE49-F238E27FC236}">
              <a16:creationId xmlns:a16="http://schemas.microsoft.com/office/drawing/2014/main" id="{A55A3C1A-77C1-4DF0-B594-B109B773589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01" name="AutoShape 10" descr="Story">
          <a:hlinkClick xmlns:r="http://schemas.openxmlformats.org/officeDocument/2006/relationships" r:id="rId6"/>
          <a:extLst>
            <a:ext uri="{FF2B5EF4-FFF2-40B4-BE49-F238E27FC236}">
              <a16:creationId xmlns:a16="http://schemas.microsoft.com/office/drawing/2014/main" id="{A73E2EF3-B919-430A-9BBB-E1A3C15C9D3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02" name="AutoShape 14" descr="Story">
          <a:hlinkClick xmlns:r="http://schemas.openxmlformats.org/officeDocument/2006/relationships" r:id="rId4"/>
          <a:extLst>
            <a:ext uri="{FF2B5EF4-FFF2-40B4-BE49-F238E27FC236}">
              <a16:creationId xmlns:a16="http://schemas.microsoft.com/office/drawing/2014/main" id="{18EDE6EC-FFBF-4542-925A-9C3F2176E64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152400</xdr:colOff>
      <xdr:row>6</xdr:row>
      <xdr:rowOff>152400</xdr:rowOff>
    </xdr:to>
    <xdr:sp macro="" textlink="">
      <xdr:nvSpPr>
        <xdr:cNvPr id="503" name="AutoShape 1" descr="Story">
          <a:hlinkClick xmlns:r="http://schemas.openxmlformats.org/officeDocument/2006/relationships" r:id="rId7"/>
          <a:extLst>
            <a:ext uri="{FF2B5EF4-FFF2-40B4-BE49-F238E27FC236}">
              <a16:creationId xmlns:a16="http://schemas.microsoft.com/office/drawing/2014/main" id="{58658F5F-1F2A-4028-AD59-75196135356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04" name="AutoShape 2" descr="Story">
          <a:hlinkClick xmlns:r="http://schemas.openxmlformats.org/officeDocument/2006/relationships" r:id="rId8"/>
          <a:extLst>
            <a:ext uri="{FF2B5EF4-FFF2-40B4-BE49-F238E27FC236}">
              <a16:creationId xmlns:a16="http://schemas.microsoft.com/office/drawing/2014/main" id="{D6107702-9DFB-42FF-B6FC-5400F230CB7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505" name="AutoShape 3" descr="Story">
          <a:hlinkClick xmlns:r="http://schemas.openxmlformats.org/officeDocument/2006/relationships" r:id="rId9"/>
          <a:extLst>
            <a:ext uri="{FF2B5EF4-FFF2-40B4-BE49-F238E27FC236}">
              <a16:creationId xmlns:a16="http://schemas.microsoft.com/office/drawing/2014/main" id="{FD1CB627-92AA-4FBC-8748-AA68B76045E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06" name="AutoShape 4" descr="Bug">
          <a:hlinkClick xmlns:r="http://schemas.openxmlformats.org/officeDocument/2006/relationships" r:id="rId1"/>
          <a:extLst>
            <a:ext uri="{FF2B5EF4-FFF2-40B4-BE49-F238E27FC236}">
              <a16:creationId xmlns:a16="http://schemas.microsoft.com/office/drawing/2014/main" id="{102B23A4-BFCE-4B26-8745-F2BE7DB212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07" name="AutoShape 5" descr="Story">
          <a:hlinkClick xmlns:r="http://schemas.openxmlformats.org/officeDocument/2006/relationships" r:id="rId10"/>
          <a:extLst>
            <a:ext uri="{FF2B5EF4-FFF2-40B4-BE49-F238E27FC236}">
              <a16:creationId xmlns:a16="http://schemas.microsoft.com/office/drawing/2014/main" id="{D8C850D5-71A9-418E-8C0C-7F581DB6ED9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08" name="AutoShape 6" descr="Bug">
          <a:hlinkClick xmlns:r="http://schemas.openxmlformats.org/officeDocument/2006/relationships" r:id="rId2"/>
          <a:extLst>
            <a:ext uri="{FF2B5EF4-FFF2-40B4-BE49-F238E27FC236}">
              <a16:creationId xmlns:a16="http://schemas.microsoft.com/office/drawing/2014/main" id="{C9CF44F0-5668-474A-ACB4-11616D3CBD5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09" name="AutoShape 7" descr="Story">
          <a:hlinkClick xmlns:r="http://schemas.openxmlformats.org/officeDocument/2006/relationships" r:id="rId3"/>
          <a:extLst>
            <a:ext uri="{FF2B5EF4-FFF2-40B4-BE49-F238E27FC236}">
              <a16:creationId xmlns:a16="http://schemas.microsoft.com/office/drawing/2014/main" id="{6D341A83-9020-464F-971C-1E1495CD0B3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10" name="AutoShape 8" descr="Story">
          <a:hlinkClick xmlns:r="http://schemas.openxmlformats.org/officeDocument/2006/relationships" r:id="rId4"/>
          <a:extLst>
            <a:ext uri="{FF2B5EF4-FFF2-40B4-BE49-F238E27FC236}">
              <a16:creationId xmlns:a16="http://schemas.microsoft.com/office/drawing/2014/main" id="{1BCA1ED9-4A3B-4A16-8BAE-A775CDBC8A7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11" name="AutoShape 9" descr="Story">
          <a:hlinkClick xmlns:r="http://schemas.openxmlformats.org/officeDocument/2006/relationships" r:id="rId5"/>
          <a:extLst>
            <a:ext uri="{FF2B5EF4-FFF2-40B4-BE49-F238E27FC236}">
              <a16:creationId xmlns:a16="http://schemas.microsoft.com/office/drawing/2014/main" id="{45034FFA-022E-4194-92C4-18FA2C944B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12" name="AutoShape 10" descr="Story">
          <a:hlinkClick xmlns:r="http://schemas.openxmlformats.org/officeDocument/2006/relationships" r:id="rId6"/>
          <a:extLst>
            <a:ext uri="{FF2B5EF4-FFF2-40B4-BE49-F238E27FC236}">
              <a16:creationId xmlns:a16="http://schemas.microsoft.com/office/drawing/2014/main" id="{E2A4E981-EA85-4A2E-AA02-893BAA406FB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13" name="AutoShape 11" descr="Story">
          <a:hlinkClick xmlns:r="http://schemas.openxmlformats.org/officeDocument/2006/relationships" r:id="rId11"/>
          <a:extLst>
            <a:ext uri="{FF2B5EF4-FFF2-40B4-BE49-F238E27FC236}">
              <a16:creationId xmlns:a16="http://schemas.microsoft.com/office/drawing/2014/main" id="{6F3E821F-74AE-43B1-A06C-EB6D52AC1B9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514" name="AutoShape 12" descr="Story">
          <a:hlinkClick xmlns:r="http://schemas.openxmlformats.org/officeDocument/2006/relationships" r:id="rId8"/>
          <a:extLst>
            <a:ext uri="{FF2B5EF4-FFF2-40B4-BE49-F238E27FC236}">
              <a16:creationId xmlns:a16="http://schemas.microsoft.com/office/drawing/2014/main" id="{79D61E08-FE3B-437F-BD52-B55066994F4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15" name="AutoShape 13" descr="Story">
          <a:hlinkClick xmlns:r="http://schemas.openxmlformats.org/officeDocument/2006/relationships" r:id="rId4"/>
          <a:extLst>
            <a:ext uri="{FF2B5EF4-FFF2-40B4-BE49-F238E27FC236}">
              <a16:creationId xmlns:a16="http://schemas.microsoft.com/office/drawing/2014/main" id="{4837412D-6184-4806-8C27-50FDA53771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16" name="AutoShape 14" descr="Story">
          <a:hlinkClick xmlns:r="http://schemas.openxmlformats.org/officeDocument/2006/relationships" r:id="rId4"/>
          <a:extLst>
            <a:ext uri="{FF2B5EF4-FFF2-40B4-BE49-F238E27FC236}">
              <a16:creationId xmlns:a16="http://schemas.microsoft.com/office/drawing/2014/main" id="{F1E4DE22-F7BD-4BCB-91B1-E16ED1A5A15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17" name="AutoShape 15" descr="Story">
          <a:hlinkClick xmlns:r="http://schemas.openxmlformats.org/officeDocument/2006/relationships" r:id="rId4"/>
          <a:extLst>
            <a:ext uri="{FF2B5EF4-FFF2-40B4-BE49-F238E27FC236}">
              <a16:creationId xmlns:a16="http://schemas.microsoft.com/office/drawing/2014/main" id="{25318EF5-E03F-49D6-A1E6-1B0556FFE88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518" name="AutoShape 1" descr="Story">
          <a:hlinkClick xmlns:r="http://schemas.openxmlformats.org/officeDocument/2006/relationships" r:id="rId12"/>
          <a:extLst>
            <a:ext uri="{FF2B5EF4-FFF2-40B4-BE49-F238E27FC236}">
              <a16:creationId xmlns:a16="http://schemas.microsoft.com/office/drawing/2014/main" id="{E03E4C6A-B3A9-43C0-AD4F-574D04065E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19" name="AutoShape 2" descr="Story">
          <a:hlinkClick xmlns:r="http://schemas.openxmlformats.org/officeDocument/2006/relationships" r:id="rId13"/>
          <a:extLst>
            <a:ext uri="{FF2B5EF4-FFF2-40B4-BE49-F238E27FC236}">
              <a16:creationId xmlns:a16="http://schemas.microsoft.com/office/drawing/2014/main" id="{F9E36D5D-13BD-4640-9D2F-BA86800384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0" name="AutoShape 5" descr="Story">
          <a:hlinkClick xmlns:r="http://schemas.openxmlformats.org/officeDocument/2006/relationships" r:id="rId6"/>
          <a:extLst>
            <a:ext uri="{FF2B5EF4-FFF2-40B4-BE49-F238E27FC236}">
              <a16:creationId xmlns:a16="http://schemas.microsoft.com/office/drawing/2014/main" id="{4126FA36-D02F-4786-83BC-803914B348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1" name="AutoShape 1" descr="Sub-task">
          <a:hlinkClick xmlns:r="http://schemas.openxmlformats.org/officeDocument/2006/relationships" r:id="rId14"/>
          <a:extLst>
            <a:ext uri="{FF2B5EF4-FFF2-40B4-BE49-F238E27FC236}">
              <a16:creationId xmlns:a16="http://schemas.microsoft.com/office/drawing/2014/main" id="{45A2D091-69CE-4481-A0D1-19AF1E33C7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2" name="AutoShape 2" descr="Sub-task">
          <a:hlinkClick xmlns:r="http://schemas.openxmlformats.org/officeDocument/2006/relationships" r:id="rId15"/>
          <a:extLst>
            <a:ext uri="{FF2B5EF4-FFF2-40B4-BE49-F238E27FC236}">
              <a16:creationId xmlns:a16="http://schemas.microsoft.com/office/drawing/2014/main" id="{20597AC2-8D23-46A7-87B5-7AC66FFA8A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3" name="AutoShape 3" descr="Story">
          <a:hlinkClick xmlns:r="http://schemas.openxmlformats.org/officeDocument/2006/relationships" r:id="rId9"/>
          <a:extLst>
            <a:ext uri="{FF2B5EF4-FFF2-40B4-BE49-F238E27FC236}">
              <a16:creationId xmlns:a16="http://schemas.microsoft.com/office/drawing/2014/main" id="{763A921F-45E8-40A4-9720-23EDE9073B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4" name="AutoShape 12" descr="Story">
          <a:hlinkClick xmlns:r="http://schemas.openxmlformats.org/officeDocument/2006/relationships" r:id="rId8"/>
          <a:extLst>
            <a:ext uri="{FF2B5EF4-FFF2-40B4-BE49-F238E27FC236}">
              <a16:creationId xmlns:a16="http://schemas.microsoft.com/office/drawing/2014/main" id="{A366EF5B-79E1-4ECA-86B6-3AECD290DC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5" name="AutoShape 1" descr="Story">
          <a:hlinkClick xmlns:r="http://schemas.openxmlformats.org/officeDocument/2006/relationships" r:id="rId7"/>
          <a:extLst>
            <a:ext uri="{FF2B5EF4-FFF2-40B4-BE49-F238E27FC236}">
              <a16:creationId xmlns:a16="http://schemas.microsoft.com/office/drawing/2014/main" id="{2488454E-E8EA-49B3-B924-B510F655F6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6" name="AutoShape 1" descr="Story">
          <a:hlinkClick xmlns:r="http://schemas.openxmlformats.org/officeDocument/2006/relationships" r:id="rId7"/>
          <a:extLst>
            <a:ext uri="{FF2B5EF4-FFF2-40B4-BE49-F238E27FC236}">
              <a16:creationId xmlns:a16="http://schemas.microsoft.com/office/drawing/2014/main" id="{08DDA250-53EE-4706-B927-7B257A72DF8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7" name="AutoShape 3" descr="Story">
          <a:hlinkClick xmlns:r="http://schemas.openxmlformats.org/officeDocument/2006/relationships" r:id="rId4"/>
          <a:extLst>
            <a:ext uri="{FF2B5EF4-FFF2-40B4-BE49-F238E27FC236}">
              <a16:creationId xmlns:a16="http://schemas.microsoft.com/office/drawing/2014/main" id="{E3330D4C-364F-4CB7-8BEE-D6EFB6BE15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8" name="AutoShape 4" descr="Story">
          <a:hlinkClick xmlns:r="http://schemas.openxmlformats.org/officeDocument/2006/relationships" r:id="rId5"/>
          <a:extLst>
            <a:ext uri="{FF2B5EF4-FFF2-40B4-BE49-F238E27FC236}">
              <a16:creationId xmlns:a16="http://schemas.microsoft.com/office/drawing/2014/main" id="{9FFBA98C-B034-4452-8CFA-1AD8E5A8E2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29" name="AutoShape 1" descr="Story">
          <a:hlinkClick xmlns:r="http://schemas.openxmlformats.org/officeDocument/2006/relationships" r:id="rId12"/>
          <a:extLst>
            <a:ext uri="{FF2B5EF4-FFF2-40B4-BE49-F238E27FC236}">
              <a16:creationId xmlns:a16="http://schemas.microsoft.com/office/drawing/2014/main" id="{906F94F9-A995-4F6C-BE35-10472759650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0" name="AutoShape 2" descr="Story">
          <a:hlinkClick xmlns:r="http://schemas.openxmlformats.org/officeDocument/2006/relationships" r:id="rId13"/>
          <a:extLst>
            <a:ext uri="{FF2B5EF4-FFF2-40B4-BE49-F238E27FC236}">
              <a16:creationId xmlns:a16="http://schemas.microsoft.com/office/drawing/2014/main" id="{1354DC01-BA8F-4DCE-A26C-76FAE894483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31" name="AutoShape 3" descr="Story">
          <a:hlinkClick xmlns:r="http://schemas.openxmlformats.org/officeDocument/2006/relationships" r:id="rId4"/>
          <a:extLst>
            <a:ext uri="{FF2B5EF4-FFF2-40B4-BE49-F238E27FC236}">
              <a16:creationId xmlns:a16="http://schemas.microsoft.com/office/drawing/2014/main" id="{49F6DED6-12B7-4CF9-9C7B-56AE80C573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32" name="AutoShape 4" descr="Story">
          <a:hlinkClick xmlns:r="http://schemas.openxmlformats.org/officeDocument/2006/relationships" r:id="rId5"/>
          <a:extLst>
            <a:ext uri="{FF2B5EF4-FFF2-40B4-BE49-F238E27FC236}">
              <a16:creationId xmlns:a16="http://schemas.microsoft.com/office/drawing/2014/main" id="{D1735846-72B3-4A27-A805-63DBF99F668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3" name="AutoShape 5" descr="Story">
          <a:hlinkClick xmlns:r="http://schemas.openxmlformats.org/officeDocument/2006/relationships" r:id="rId6"/>
          <a:extLst>
            <a:ext uri="{FF2B5EF4-FFF2-40B4-BE49-F238E27FC236}">
              <a16:creationId xmlns:a16="http://schemas.microsoft.com/office/drawing/2014/main" id="{16176AF8-63BC-402F-968E-7B9B616C667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4" name="AutoShape 1" descr="Sub-task">
          <a:hlinkClick xmlns:r="http://schemas.openxmlformats.org/officeDocument/2006/relationships" r:id="rId14"/>
          <a:extLst>
            <a:ext uri="{FF2B5EF4-FFF2-40B4-BE49-F238E27FC236}">
              <a16:creationId xmlns:a16="http://schemas.microsoft.com/office/drawing/2014/main" id="{92D2BBCC-9099-4B25-B968-3B9B7C7A45A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5" name="AutoShape 2" descr="Sub-task">
          <a:hlinkClick xmlns:r="http://schemas.openxmlformats.org/officeDocument/2006/relationships" r:id="rId15"/>
          <a:extLst>
            <a:ext uri="{FF2B5EF4-FFF2-40B4-BE49-F238E27FC236}">
              <a16:creationId xmlns:a16="http://schemas.microsoft.com/office/drawing/2014/main" id="{B0F7397D-3F89-4A38-B98F-31ECB360819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36" name="AutoShape 7" descr="Story">
          <a:hlinkClick xmlns:r="http://schemas.openxmlformats.org/officeDocument/2006/relationships" r:id="rId3"/>
          <a:extLst>
            <a:ext uri="{FF2B5EF4-FFF2-40B4-BE49-F238E27FC236}">
              <a16:creationId xmlns:a16="http://schemas.microsoft.com/office/drawing/2014/main" id="{EA0824F3-452F-43BF-86BE-CF2E73962CB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7" name="AutoShape 3" descr="Story">
          <a:hlinkClick xmlns:r="http://schemas.openxmlformats.org/officeDocument/2006/relationships" r:id="rId9"/>
          <a:extLst>
            <a:ext uri="{FF2B5EF4-FFF2-40B4-BE49-F238E27FC236}">
              <a16:creationId xmlns:a16="http://schemas.microsoft.com/office/drawing/2014/main" id="{2CD6784E-65B9-4AC4-8320-679208FEAB9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8" name="AutoShape 12" descr="Story">
          <a:hlinkClick xmlns:r="http://schemas.openxmlformats.org/officeDocument/2006/relationships" r:id="rId8"/>
          <a:extLst>
            <a:ext uri="{FF2B5EF4-FFF2-40B4-BE49-F238E27FC236}">
              <a16:creationId xmlns:a16="http://schemas.microsoft.com/office/drawing/2014/main" id="{3205DCEF-7DF3-461F-9BB4-4EE3641EF79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39" name="AutoShape 1" descr="Story">
          <a:hlinkClick xmlns:r="http://schemas.openxmlformats.org/officeDocument/2006/relationships" r:id="rId7"/>
          <a:extLst>
            <a:ext uri="{FF2B5EF4-FFF2-40B4-BE49-F238E27FC236}">
              <a16:creationId xmlns:a16="http://schemas.microsoft.com/office/drawing/2014/main" id="{D7D8E580-5456-436B-9C37-C90E5FB0A7B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40" name="AutoShape 1" descr="Story">
          <a:hlinkClick xmlns:r="http://schemas.openxmlformats.org/officeDocument/2006/relationships" r:id="rId7"/>
          <a:extLst>
            <a:ext uri="{FF2B5EF4-FFF2-40B4-BE49-F238E27FC236}">
              <a16:creationId xmlns:a16="http://schemas.microsoft.com/office/drawing/2014/main" id="{A8309F33-A854-4BDC-8B13-435C97BE341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41" name="AutoShape 3" descr="Story">
          <a:hlinkClick xmlns:r="http://schemas.openxmlformats.org/officeDocument/2006/relationships" r:id="rId4"/>
          <a:extLst>
            <a:ext uri="{FF2B5EF4-FFF2-40B4-BE49-F238E27FC236}">
              <a16:creationId xmlns:a16="http://schemas.microsoft.com/office/drawing/2014/main" id="{C477C151-58C3-4C46-9D70-D73D96B8C3F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42" name="AutoShape 4" descr="Story">
          <a:hlinkClick xmlns:r="http://schemas.openxmlformats.org/officeDocument/2006/relationships" r:id="rId5"/>
          <a:extLst>
            <a:ext uri="{FF2B5EF4-FFF2-40B4-BE49-F238E27FC236}">
              <a16:creationId xmlns:a16="http://schemas.microsoft.com/office/drawing/2014/main" id="{3EAFD9F0-FA37-4A1B-9EE6-F59528D5CC3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43" name="AutoShape 7" descr="Story">
          <a:hlinkClick xmlns:r="http://schemas.openxmlformats.org/officeDocument/2006/relationships" r:id="rId3"/>
          <a:extLst>
            <a:ext uri="{FF2B5EF4-FFF2-40B4-BE49-F238E27FC236}">
              <a16:creationId xmlns:a16="http://schemas.microsoft.com/office/drawing/2014/main" id="{9B758D73-D0BD-4CBE-A858-467734A7947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44" name="AutoShape 8" descr="Story">
          <a:hlinkClick xmlns:r="http://schemas.openxmlformats.org/officeDocument/2006/relationships" r:id="rId4"/>
          <a:extLst>
            <a:ext uri="{FF2B5EF4-FFF2-40B4-BE49-F238E27FC236}">
              <a16:creationId xmlns:a16="http://schemas.microsoft.com/office/drawing/2014/main" id="{6ED6F650-9936-413C-ABF7-77B61E964E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45" name="AutoShape 8" descr="Story">
          <a:hlinkClick xmlns:r="http://schemas.openxmlformats.org/officeDocument/2006/relationships" r:id="rId4"/>
          <a:extLst>
            <a:ext uri="{FF2B5EF4-FFF2-40B4-BE49-F238E27FC236}">
              <a16:creationId xmlns:a16="http://schemas.microsoft.com/office/drawing/2014/main" id="{D9B04BA3-7352-4DE0-AE9D-19177A3B9E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152400</xdr:colOff>
      <xdr:row>2</xdr:row>
      <xdr:rowOff>152400</xdr:rowOff>
    </xdr:to>
    <xdr:sp macro="" textlink="">
      <xdr:nvSpPr>
        <xdr:cNvPr id="546" name="AutoShape 10" descr="Story">
          <a:hlinkClick xmlns:r="http://schemas.openxmlformats.org/officeDocument/2006/relationships" r:id="rId6"/>
          <a:extLst>
            <a:ext uri="{FF2B5EF4-FFF2-40B4-BE49-F238E27FC236}">
              <a16:creationId xmlns:a16="http://schemas.microsoft.com/office/drawing/2014/main" id="{D3364409-15C3-4D7E-B235-03188C7060D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47" name="AutoShape 14" descr="Story">
          <a:hlinkClick xmlns:r="http://schemas.openxmlformats.org/officeDocument/2006/relationships" r:id="rId4"/>
          <a:extLst>
            <a:ext uri="{FF2B5EF4-FFF2-40B4-BE49-F238E27FC236}">
              <a16:creationId xmlns:a16="http://schemas.microsoft.com/office/drawing/2014/main" id="{719BF367-2627-4E37-AB94-B86512243CC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48" name="AutoShape 10" descr="Story">
          <a:hlinkClick xmlns:r="http://schemas.openxmlformats.org/officeDocument/2006/relationships" r:id="rId6"/>
          <a:extLst>
            <a:ext uri="{FF2B5EF4-FFF2-40B4-BE49-F238E27FC236}">
              <a16:creationId xmlns:a16="http://schemas.microsoft.com/office/drawing/2014/main" id="{165C5BA7-D0C2-4677-9658-7E08C07986B8}"/>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49" name="AutoShape 14" descr="Story">
          <a:hlinkClick xmlns:r="http://schemas.openxmlformats.org/officeDocument/2006/relationships" r:id="rId4"/>
          <a:extLst>
            <a:ext uri="{FF2B5EF4-FFF2-40B4-BE49-F238E27FC236}">
              <a16:creationId xmlns:a16="http://schemas.microsoft.com/office/drawing/2014/main" id="{B6582F4E-2A80-43D4-AF28-5881A326580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152400</xdr:colOff>
      <xdr:row>6</xdr:row>
      <xdr:rowOff>152400</xdr:rowOff>
    </xdr:to>
    <xdr:sp macro="" textlink="">
      <xdr:nvSpPr>
        <xdr:cNvPr id="550" name="AutoShape 1" descr="Story">
          <a:hlinkClick xmlns:r="http://schemas.openxmlformats.org/officeDocument/2006/relationships" r:id="rId7"/>
          <a:extLst>
            <a:ext uri="{FF2B5EF4-FFF2-40B4-BE49-F238E27FC236}">
              <a16:creationId xmlns:a16="http://schemas.microsoft.com/office/drawing/2014/main" id="{CB42C102-D3AD-4963-8B95-078FE122CEC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51" name="AutoShape 2" descr="Story">
          <a:hlinkClick xmlns:r="http://schemas.openxmlformats.org/officeDocument/2006/relationships" r:id="rId8"/>
          <a:extLst>
            <a:ext uri="{FF2B5EF4-FFF2-40B4-BE49-F238E27FC236}">
              <a16:creationId xmlns:a16="http://schemas.microsoft.com/office/drawing/2014/main" id="{FA6AAC07-3D32-4F88-B47F-4D3ECB8CC9C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552" name="AutoShape 3" descr="Story">
          <a:hlinkClick xmlns:r="http://schemas.openxmlformats.org/officeDocument/2006/relationships" r:id="rId9"/>
          <a:extLst>
            <a:ext uri="{FF2B5EF4-FFF2-40B4-BE49-F238E27FC236}">
              <a16:creationId xmlns:a16="http://schemas.microsoft.com/office/drawing/2014/main" id="{50207938-E134-4C90-9076-D007AA855A0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53" name="AutoShape 4" descr="Bug">
          <a:hlinkClick xmlns:r="http://schemas.openxmlformats.org/officeDocument/2006/relationships" r:id="rId1"/>
          <a:extLst>
            <a:ext uri="{FF2B5EF4-FFF2-40B4-BE49-F238E27FC236}">
              <a16:creationId xmlns:a16="http://schemas.microsoft.com/office/drawing/2014/main" id="{602AF4CC-19F5-402F-863D-5E7651BF07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54" name="AutoShape 5" descr="Story">
          <a:hlinkClick xmlns:r="http://schemas.openxmlformats.org/officeDocument/2006/relationships" r:id="rId10"/>
          <a:extLst>
            <a:ext uri="{FF2B5EF4-FFF2-40B4-BE49-F238E27FC236}">
              <a16:creationId xmlns:a16="http://schemas.microsoft.com/office/drawing/2014/main" id="{6CE462D3-055C-4A24-8C2D-41B2C27AD85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55" name="AutoShape 6" descr="Bug">
          <a:hlinkClick xmlns:r="http://schemas.openxmlformats.org/officeDocument/2006/relationships" r:id="rId2"/>
          <a:extLst>
            <a:ext uri="{FF2B5EF4-FFF2-40B4-BE49-F238E27FC236}">
              <a16:creationId xmlns:a16="http://schemas.microsoft.com/office/drawing/2014/main" id="{FC05E7F3-8493-436D-8765-6A67031A5A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56" name="AutoShape 7" descr="Story">
          <a:hlinkClick xmlns:r="http://schemas.openxmlformats.org/officeDocument/2006/relationships" r:id="rId3"/>
          <a:extLst>
            <a:ext uri="{FF2B5EF4-FFF2-40B4-BE49-F238E27FC236}">
              <a16:creationId xmlns:a16="http://schemas.microsoft.com/office/drawing/2014/main" id="{3744772E-93A6-49BC-AAA3-E9613067EA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57" name="AutoShape 8" descr="Story">
          <a:hlinkClick xmlns:r="http://schemas.openxmlformats.org/officeDocument/2006/relationships" r:id="rId4"/>
          <a:extLst>
            <a:ext uri="{FF2B5EF4-FFF2-40B4-BE49-F238E27FC236}">
              <a16:creationId xmlns:a16="http://schemas.microsoft.com/office/drawing/2014/main" id="{751CEBF5-1753-4D0B-90E4-CCA7AACA24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58" name="AutoShape 9" descr="Story">
          <a:hlinkClick xmlns:r="http://schemas.openxmlformats.org/officeDocument/2006/relationships" r:id="rId5"/>
          <a:extLst>
            <a:ext uri="{FF2B5EF4-FFF2-40B4-BE49-F238E27FC236}">
              <a16:creationId xmlns:a16="http://schemas.microsoft.com/office/drawing/2014/main" id="{8C48346E-8C43-4669-A806-40D957B9D95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59" name="AutoShape 10" descr="Story">
          <a:hlinkClick xmlns:r="http://schemas.openxmlformats.org/officeDocument/2006/relationships" r:id="rId6"/>
          <a:extLst>
            <a:ext uri="{FF2B5EF4-FFF2-40B4-BE49-F238E27FC236}">
              <a16:creationId xmlns:a16="http://schemas.microsoft.com/office/drawing/2014/main" id="{5DF3F313-2AD2-43BA-BFA4-F3BB825D21A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60" name="AutoShape 11" descr="Story">
          <a:hlinkClick xmlns:r="http://schemas.openxmlformats.org/officeDocument/2006/relationships" r:id="rId11"/>
          <a:extLst>
            <a:ext uri="{FF2B5EF4-FFF2-40B4-BE49-F238E27FC236}">
              <a16:creationId xmlns:a16="http://schemas.microsoft.com/office/drawing/2014/main" id="{4B22630D-5D46-4037-8FD7-A849A047D85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561" name="AutoShape 12" descr="Story">
          <a:hlinkClick xmlns:r="http://schemas.openxmlformats.org/officeDocument/2006/relationships" r:id="rId8"/>
          <a:extLst>
            <a:ext uri="{FF2B5EF4-FFF2-40B4-BE49-F238E27FC236}">
              <a16:creationId xmlns:a16="http://schemas.microsoft.com/office/drawing/2014/main" id="{AA427BFE-0375-4685-A9E4-BBD51CB6426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562" name="AutoShape 13" descr="Story">
          <a:hlinkClick xmlns:r="http://schemas.openxmlformats.org/officeDocument/2006/relationships" r:id="rId4"/>
          <a:extLst>
            <a:ext uri="{FF2B5EF4-FFF2-40B4-BE49-F238E27FC236}">
              <a16:creationId xmlns:a16="http://schemas.microsoft.com/office/drawing/2014/main" id="{C3D01F77-BFDC-465C-ADE8-E4678A5DF2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63" name="AutoShape 14" descr="Story">
          <a:hlinkClick xmlns:r="http://schemas.openxmlformats.org/officeDocument/2006/relationships" r:id="rId4"/>
          <a:extLst>
            <a:ext uri="{FF2B5EF4-FFF2-40B4-BE49-F238E27FC236}">
              <a16:creationId xmlns:a16="http://schemas.microsoft.com/office/drawing/2014/main" id="{FDAB13B9-6C5F-4929-B0FA-C49217B64DD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564" name="AutoShape 15" descr="Story">
          <a:hlinkClick xmlns:r="http://schemas.openxmlformats.org/officeDocument/2006/relationships" r:id="rId4"/>
          <a:extLst>
            <a:ext uri="{FF2B5EF4-FFF2-40B4-BE49-F238E27FC236}">
              <a16:creationId xmlns:a16="http://schemas.microsoft.com/office/drawing/2014/main" id="{DD667BD1-2838-4DBA-ADE2-3B8CB6C781CB}"/>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565" name="AutoShape 1" descr="Story">
          <a:hlinkClick xmlns:r="http://schemas.openxmlformats.org/officeDocument/2006/relationships" r:id="rId12"/>
          <a:extLst>
            <a:ext uri="{FF2B5EF4-FFF2-40B4-BE49-F238E27FC236}">
              <a16:creationId xmlns:a16="http://schemas.microsoft.com/office/drawing/2014/main" id="{9C4D9FFB-8F8E-49FB-BEDE-6F003BF833F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66" name="AutoShape 2" descr="Story">
          <a:hlinkClick xmlns:r="http://schemas.openxmlformats.org/officeDocument/2006/relationships" r:id="rId13"/>
          <a:extLst>
            <a:ext uri="{FF2B5EF4-FFF2-40B4-BE49-F238E27FC236}">
              <a16:creationId xmlns:a16="http://schemas.microsoft.com/office/drawing/2014/main" id="{0078EB06-4BB9-4CF3-BCF6-6CD5063151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67" name="AutoShape 5" descr="Story">
          <a:hlinkClick xmlns:r="http://schemas.openxmlformats.org/officeDocument/2006/relationships" r:id="rId6"/>
          <a:extLst>
            <a:ext uri="{FF2B5EF4-FFF2-40B4-BE49-F238E27FC236}">
              <a16:creationId xmlns:a16="http://schemas.microsoft.com/office/drawing/2014/main" id="{1CC750B2-CC74-4BDA-BA6A-9E1ECA75A3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68" name="AutoShape 1" descr="Sub-task">
          <a:hlinkClick xmlns:r="http://schemas.openxmlformats.org/officeDocument/2006/relationships" r:id="rId14"/>
          <a:extLst>
            <a:ext uri="{FF2B5EF4-FFF2-40B4-BE49-F238E27FC236}">
              <a16:creationId xmlns:a16="http://schemas.microsoft.com/office/drawing/2014/main" id="{8DF552BD-4013-4181-B824-7579B7310FE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69" name="AutoShape 2" descr="Sub-task">
          <a:hlinkClick xmlns:r="http://schemas.openxmlformats.org/officeDocument/2006/relationships" r:id="rId15"/>
          <a:extLst>
            <a:ext uri="{FF2B5EF4-FFF2-40B4-BE49-F238E27FC236}">
              <a16:creationId xmlns:a16="http://schemas.microsoft.com/office/drawing/2014/main" id="{217391BD-E99A-4D10-83FB-C6E5A93320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0" name="AutoShape 3" descr="Story">
          <a:hlinkClick xmlns:r="http://schemas.openxmlformats.org/officeDocument/2006/relationships" r:id="rId9"/>
          <a:extLst>
            <a:ext uri="{FF2B5EF4-FFF2-40B4-BE49-F238E27FC236}">
              <a16:creationId xmlns:a16="http://schemas.microsoft.com/office/drawing/2014/main" id="{713578D6-46AA-4810-A896-9E22D4E62A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1" name="AutoShape 12" descr="Story">
          <a:hlinkClick xmlns:r="http://schemas.openxmlformats.org/officeDocument/2006/relationships" r:id="rId8"/>
          <a:extLst>
            <a:ext uri="{FF2B5EF4-FFF2-40B4-BE49-F238E27FC236}">
              <a16:creationId xmlns:a16="http://schemas.microsoft.com/office/drawing/2014/main" id="{620AA198-8960-4C2E-9CD0-47380D4D47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2" name="AutoShape 1" descr="Story">
          <a:hlinkClick xmlns:r="http://schemas.openxmlformats.org/officeDocument/2006/relationships" r:id="rId7"/>
          <a:extLst>
            <a:ext uri="{FF2B5EF4-FFF2-40B4-BE49-F238E27FC236}">
              <a16:creationId xmlns:a16="http://schemas.microsoft.com/office/drawing/2014/main" id="{5F3804BC-F004-4CFD-A447-AE1F4B39C2A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3" name="AutoShape 1" descr="Story">
          <a:hlinkClick xmlns:r="http://schemas.openxmlformats.org/officeDocument/2006/relationships" r:id="rId7"/>
          <a:extLst>
            <a:ext uri="{FF2B5EF4-FFF2-40B4-BE49-F238E27FC236}">
              <a16:creationId xmlns:a16="http://schemas.microsoft.com/office/drawing/2014/main" id="{778A59F1-E628-4E79-AFAF-39CDF1BAC3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4" name="AutoShape 3" descr="Story">
          <a:hlinkClick xmlns:r="http://schemas.openxmlformats.org/officeDocument/2006/relationships" r:id="rId4"/>
          <a:extLst>
            <a:ext uri="{FF2B5EF4-FFF2-40B4-BE49-F238E27FC236}">
              <a16:creationId xmlns:a16="http://schemas.microsoft.com/office/drawing/2014/main" id="{DDD31DA1-4800-4E0F-BC56-E5D23DA2FE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5" name="AutoShape 4" descr="Story">
          <a:hlinkClick xmlns:r="http://schemas.openxmlformats.org/officeDocument/2006/relationships" r:id="rId5"/>
          <a:extLst>
            <a:ext uri="{FF2B5EF4-FFF2-40B4-BE49-F238E27FC236}">
              <a16:creationId xmlns:a16="http://schemas.microsoft.com/office/drawing/2014/main" id="{3CDC1998-75AD-4B6C-B934-DEFC0ECCC8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76" name="AutoShape 1" descr="Story">
          <a:hlinkClick xmlns:r="http://schemas.openxmlformats.org/officeDocument/2006/relationships" r:id="rId12"/>
          <a:extLst>
            <a:ext uri="{FF2B5EF4-FFF2-40B4-BE49-F238E27FC236}">
              <a16:creationId xmlns:a16="http://schemas.microsoft.com/office/drawing/2014/main" id="{E635AFA9-8E3C-442F-9E40-D00C0EFCA4C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77" name="AutoShape 2" descr="Story">
          <a:hlinkClick xmlns:r="http://schemas.openxmlformats.org/officeDocument/2006/relationships" r:id="rId13"/>
          <a:extLst>
            <a:ext uri="{FF2B5EF4-FFF2-40B4-BE49-F238E27FC236}">
              <a16:creationId xmlns:a16="http://schemas.microsoft.com/office/drawing/2014/main" id="{36387C3E-5661-4D2D-A7B3-210DF0D9846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8" name="AutoShape 3" descr="Story">
          <a:hlinkClick xmlns:r="http://schemas.openxmlformats.org/officeDocument/2006/relationships" r:id="rId4"/>
          <a:extLst>
            <a:ext uri="{FF2B5EF4-FFF2-40B4-BE49-F238E27FC236}">
              <a16:creationId xmlns:a16="http://schemas.microsoft.com/office/drawing/2014/main" id="{064F2C1B-34CF-4D4B-9CDD-B78FD6C8B3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9" name="AutoShape 4" descr="Story">
          <a:hlinkClick xmlns:r="http://schemas.openxmlformats.org/officeDocument/2006/relationships" r:id="rId5"/>
          <a:extLst>
            <a:ext uri="{FF2B5EF4-FFF2-40B4-BE49-F238E27FC236}">
              <a16:creationId xmlns:a16="http://schemas.microsoft.com/office/drawing/2014/main" id="{8E058691-544A-4E1B-A1D2-36F3B52B8F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0" name="AutoShape 5" descr="Story">
          <a:hlinkClick xmlns:r="http://schemas.openxmlformats.org/officeDocument/2006/relationships" r:id="rId6"/>
          <a:extLst>
            <a:ext uri="{FF2B5EF4-FFF2-40B4-BE49-F238E27FC236}">
              <a16:creationId xmlns:a16="http://schemas.microsoft.com/office/drawing/2014/main" id="{1996EB9C-75B9-472C-AAA6-FE70D859BA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1" name="AutoShape 1" descr="Sub-task">
          <a:hlinkClick xmlns:r="http://schemas.openxmlformats.org/officeDocument/2006/relationships" r:id="rId14"/>
          <a:extLst>
            <a:ext uri="{FF2B5EF4-FFF2-40B4-BE49-F238E27FC236}">
              <a16:creationId xmlns:a16="http://schemas.microsoft.com/office/drawing/2014/main" id="{5948198B-16E7-4766-8149-A22FDEDAF01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2" name="AutoShape 2" descr="Sub-task">
          <a:hlinkClick xmlns:r="http://schemas.openxmlformats.org/officeDocument/2006/relationships" r:id="rId15"/>
          <a:extLst>
            <a:ext uri="{FF2B5EF4-FFF2-40B4-BE49-F238E27FC236}">
              <a16:creationId xmlns:a16="http://schemas.microsoft.com/office/drawing/2014/main" id="{5219A454-CA3E-4F31-8307-07C2A81654E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83" name="AutoShape 7" descr="Story">
          <a:hlinkClick xmlns:r="http://schemas.openxmlformats.org/officeDocument/2006/relationships" r:id="rId3"/>
          <a:extLst>
            <a:ext uri="{FF2B5EF4-FFF2-40B4-BE49-F238E27FC236}">
              <a16:creationId xmlns:a16="http://schemas.microsoft.com/office/drawing/2014/main" id="{4C563619-0AF7-481A-AFEC-715EFD3190C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4" name="AutoShape 3" descr="Story">
          <a:hlinkClick xmlns:r="http://schemas.openxmlformats.org/officeDocument/2006/relationships" r:id="rId9"/>
          <a:extLst>
            <a:ext uri="{FF2B5EF4-FFF2-40B4-BE49-F238E27FC236}">
              <a16:creationId xmlns:a16="http://schemas.microsoft.com/office/drawing/2014/main" id="{3FACE82E-104F-4C58-8215-FE85308072F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5" name="AutoShape 12" descr="Story">
          <a:hlinkClick xmlns:r="http://schemas.openxmlformats.org/officeDocument/2006/relationships" r:id="rId8"/>
          <a:extLst>
            <a:ext uri="{FF2B5EF4-FFF2-40B4-BE49-F238E27FC236}">
              <a16:creationId xmlns:a16="http://schemas.microsoft.com/office/drawing/2014/main" id="{BC544F1F-6073-4807-961B-98DA55A542D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6" name="AutoShape 1" descr="Story">
          <a:hlinkClick xmlns:r="http://schemas.openxmlformats.org/officeDocument/2006/relationships" r:id="rId7"/>
          <a:extLst>
            <a:ext uri="{FF2B5EF4-FFF2-40B4-BE49-F238E27FC236}">
              <a16:creationId xmlns:a16="http://schemas.microsoft.com/office/drawing/2014/main" id="{66DEEFBE-1E60-4F50-91B8-98B0A8BA991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7" name="AutoShape 1" descr="Story">
          <a:hlinkClick xmlns:r="http://schemas.openxmlformats.org/officeDocument/2006/relationships" r:id="rId7"/>
          <a:extLst>
            <a:ext uri="{FF2B5EF4-FFF2-40B4-BE49-F238E27FC236}">
              <a16:creationId xmlns:a16="http://schemas.microsoft.com/office/drawing/2014/main" id="{4CA23BB5-D25F-43AB-A0FF-1CD8E49BD22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8" name="AutoShape 3" descr="Story">
          <a:hlinkClick xmlns:r="http://schemas.openxmlformats.org/officeDocument/2006/relationships" r:id="rId4"/>
          <a:extLst>
            <a:ext uri="{FF2B5EF4-FFF2-40B4-BE49-F238E27FC236}">
              <a16:creationId xmlns:a16="http://schemas.microsoft.com/office/drawing/2014/main" id="{B178688F-62AA-4739-B516-2D1FFA90EE4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89" name="AutoShape 4" descr="Story">
          <a:hlinkClick xmlns:r="http://schemas.openxmlformats.org/officeDocument/2006/relationships" r:id="rId5"/>
          <a:extLst>
            <a:ext uri="{FF2B5EF4-FFF2-40B4-BE49-F238E27FC236}">
              <a16:creationId xmlns:a16="http://schemas.microsoft.com/office/drawing/2014/main" id="{DA0CD6F0-23A5-49A8-948B-645A85D86C9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590" name="AutoShape 7" descr="Story">
          <a:hlinkClick xmlns:r="http://schemas.openxmlformats.org/officeDocument/2006/relationships" r:id="rId3"/>
          <a:extLst>
            <a:ext uri="{FF2B5EF4-FFF2-40B4-BE49-F238E27FC236}">
              <a16:creationId xmlns:a16="http://schemas.microsoft.com/office/drawing/2014/main" id="{21FD8107-39F1-45DF-8868-44ED2938E6A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91" name="AutoShape 8" descr="Story">
          <a:hlinkClick xmlns:r="http://schemas.openxmlformats.org/officeDocument/2006/relationships" r:id="rId4"/>
          <a:extLst>
            <a:ext uri="{FF2B5EF4-FFF2-40B4-BE49-F238E27FC236}">
              <a16:creationId xmlns:a16="http://schemas.microsoft.com/office/drawing/2014/main" id="{43782F39-1CFC-4BC7-8929-3D65B81805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92" name="AutoShape 8" descr="Story">
          <a:hlinkClick xmlns:r="http://schemas.openxmlformats.org/officeDocument/2006/relationships" r:id="rId4"/>
          <a:extLst>
            <a:ext uri="{FF2B5EF4-FFF2-40B4-BE49-F238E27FC236}">
              <a16:creationId xmlns:a16="http://schemas.microsoft.com/office/drawing/2014/main" id="{5CB25EC9-F2FE-4FA1-99B1-8B60889E6C6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152400</xdr:colOff>
      <xdr:row>2</xdr:row>
      <xdr:rowOff>152400</xdr:rowOff>
    </xdr:to>
    <xdr:sp macro="" textlink="">
      <xdr:nvSpPr>
        <xdr:cNvPr id="593" name="AutoShape 10" descr="Story">
          <a:hlinkClick xmlns:r="http://schemas.openxmlformats.org/officeDocument/2006/relationships" r:id="rId6"/>
          <a:extLst>
            <a:ext uri="{FF2B5EF4-FFF2-40B4-BE49-F238E27FC236}">
              <a16:creationId xmlns:a16="http://schemas.microsoft.com/office/drawing/2014/main" id="{AD567010-1CB1-46BE-958A-BD011D5AF49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94" name="AutoShape 14" descr="Story">
          <a:hlinkClick xmlns:r="http://schemas.openxmlformats.org/officeDocument/2006/relationships" r:id="rId4"/>
          <a:extLst>
            <a:ext uri="{FF2B5EF4-FFF2-40B4-BE49-F238E27FC236}">
              <a16:creationId xmlns:a16="http://schemas.microsoft.com/office/drawing/2014/main" id="{CA3FD041-65C3-4C4B-A00A-DF830C56990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95" name="AutoShape 10" descr="Story">
          <a:hlinkClick xmlns:r="http://schemas.openxmlformats.org/officeDocument/2006/relationships" r:id="rId6"/>
          <a:extLst>
            <a:ext uri="{FF2B5EF4-FFF2-40B4-BE49-F238E27FC236}">
              <a16:creationId xmlns:a16="http://schemas.microsoft.com/office/drawing/2014/main" id="{2B35CD62-F2C7-4D72-8738-16E45DE9E4E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596" name="AutoShape 14" descr="Story">
          <a:hlinkClick xmlns:r="http://schemas.openxmlformats.org/officeDocument/2006/relationships" r:id="rId4"/>
          <a:extLst>
            <a:ext uri="{FF2B5EF4-FFF2-40B4-BE49-F238E27FC236}">
              <a16:creationId xmlns:a16="http://schemas.microsoft.com/office/drawing/2014/main" id="{AC40A6F2-E2BD-403F-A09A-A014855D072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597" name="AutoShape 4" descr="Bug">
          <a:hlinkClick xmlns:r="http://schemas.openxmlformats.org/officeDocument/2006/relationships" r:id="rId1"/>
          <a:extLst>
            <a:ext uri="{FF2B5EF4-FFF2-40B4-BE49-F238E27FC236}">
              <a16:creationId xmlns:a16="http://schemas.microsoft.com/office/drawing/2014/main" id="{B013E7FF-A65B-4611-ACF4-137967EF406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598" name="AutoShape 6" descr="Bug">
          <a:hlinkClick xmlns:r="http://schemas.openxmlformats.org/officeDocument/2006/relationships" r:id="rId2"/>
          <a:extLst>
            <a:ext uri="{FF2B5EF4-FFF2-40B4-BE49-F238E27FC236}">
              <a16:creationId xmlns:a16="http://schemas.microsoft.com/office/drawing/2014/main" id="{ADC196C5-599B-46CB-A3D2-075EEF1DFF1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599" name="AutoShape 7" descr="Story">
          <a:hlinkClick xmlns:r="http://schemas.openxmlformats.org/officeDocument/2006/relationships" r:id="rId3"/>
          <a:extLst>
            <a:ext uri="{FF2B5EF4-FFF2-40B4-BE49-F238E27FC236}">
              <a16:creationId xmlns:a16="http://schemas.microsoft.com/office/drawing/2014/main" id="{D1813E7C-1EA5-4BE7-A87D-F3AF692611D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00" name="AutoShape 8" descr="Story">
          <a:hlinkClick xmlns:r="http://schemas.openxmlformats.org/officeDocument/2006/relationships" r:id="rId4"/>
          <a:extLst>
            <a:ext uri="{FF2B5EF4-FFF2-40B4-BE49-F238E27FC236}">
              <a16:creationId xmlns:a16="http://schemas.microsoft.com/office/drawing/2014/main" id="{F25439C4-A038-46E4-AC44-0CA418E10BC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01" name="AutoShape 9" descr="Story">
          <a:hlinkClick xmlns:r="http://schemas.openxmlformats.org/officeDocument/2006/relationships" r:id="rId5"/>
          <a:extLst>
            <a:ext uri="{FF2B5EF4-FFF2-40B4-BE49-F238E27FC236}">
              <a16:creationId xmlns:a16="http://schemas.microsoft.com/office/drawing/2014/main" id="{9D10FCCC-DCF8-4386-9434-6AF1C03465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02" name="AutoShape 13" descr="Story">
          <a:hlinkClick xmlns:r="http://schemas.openxmlformats.org/officeDocument/2006/relationships" r:id="rId4"/>
          <a:extLst>
            <a:ext uri="{FF2B5EF4-FFF2-40B4-BE49-F238E27FC236}">
              <a16:creationId xmlns:a16="http://schemas.microsoft.com/office/drawing/2014/main" id="{5BDADD50-483B-4B24-9288-D47AC587120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603" name="AutoShape 1" descr="Story">
          <a:hlinkClick xmlns:r="http://schemas.openxmlformats.org/officeDocument/2006/relationships" r:id="rId12"/>
          <a:extLst>
            <a:ext uri="{FF2B5EF4-FFF2-40B4-BE49-F238E27FC236}">
              <a16:creationId xmlns:a16="http://schemas.microsoft.com/office/drawing/2014/main" id="{08762FDC-AD3D-4D56-A398-710F56EE6CE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4" name="AutoShape 2" descr="Story">
          <a:hlinkClick xmlns:r="http://schemas.openxmlformats.org/officeDocument/2006/relationships" r:id="rId13"/>
          <a:extLst>
            <a:ext uri="{FF2B5EF4-FFF2-40B4-BE49-F238E27FC236}">
              <a16:creationId xmlns:a16="http://schemas.microsoft.com/office/drawing/2014/main" id="{FE8F43DC-E899-49A6-8CA6-B12AE772B46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5" name="AutoShape 5" descr="Story">
          <a:hlinkClick xmlns:r="http://schemas.openxmlformats.org/officeDocument/2006/relationships" r:id="rId6"/>
          <a:extLst>
            <a:ext uri="{FF2B5EF4-FFF2-40B4-BE49-F238E27FC236}">
              <a16:creationId xmlns:a16="http://schemas.microsoft.com/office/drawing/2014/main" id="{36A2AA7A-AACD-47FC-A7D0-396AD91473D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6" name="AutoShape 1" descr="Sub-task">
          <a:hlinkClick xmlns:r="http://schemas.openxmlformats.org/officeDocument/2006/relationships" r:id="rId14"/>
          <a:extLst>
            <a:ext uri="{FF2B5EF4-FFF2-40B4-BE49-F238E27FC236}">
              <a16:creationId xmlns:a16="http://schemas.microsoft.com/office/drawing/2014/main" id="{50C62FAD-66EE-47C7-B358-4FB6750617F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7" name="AutoShape 2" descr="Sub-task">
          <a:hlinkClick xmlns:r="http://schemas.openxmlformats.org/officeDocument/2006/relationships" r:id="rId15"/>
          <a:extLst>
            <a:ext uri="{FF2B5EF4-FFF2-40B4-BE49-F238E27FC236}">
              <a16:creationId xmlns:a16="http://schemas.microsoft.com/office/drawing/2014/main" id="{9363B820-CD5E-44EF-B374-4B6B401DD9B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8" name="AutoShape 3" descr="Story">
          <a:hlinkClick xmlns:r="http://schemas.openxmlformats.org/officeDocument/2006/relationships" r:id="rId9"/>
          <a:extLst>
            <a:ext uri="{FF2B5EF4-FFF2-40B4-BE49-F238E27FC236}">
              <a16:creationId xmlns:a16="http://schemas.microsoft.com/office/drawing/2014/main" id="{8D799A7C-8F46-451D-8E2A-ACF7CD3C03D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09" name="AutoShape 12" descr="Story">
          <a:hlinkClick xmlns:r="http://schemas.openxmlformats.org/officeDocument/2006/relationships" r:id="rId8"/>
          <a:extLst>
            <a:ext uri="{FF2B5EF4-FFF2-40B4-BE49-F238E27FC236}">
              <a16:creationId xmlns:a16="http://schemas.microsoft.com/office/drawing/2014/main" id="{EF68091E-53D3-42A2-A639-BF9EF7B7DEE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0" name="AutoShape 1" descr="Story">
          <a:hlinkClick xmlns:r="http://schemas.openxmlformats.org/officeDocument/2006/relationships" r:id="rId7"/>
          <a:extLst>
            <a:ext uri="{FF2B5EF4-FFF2-40B4-BE49-F238E27FC236}">
              <a16:creationId xmlns:a16="http://schemas.microsoft.com/office/drawing/2014/main" id="{2028FE69-BFB9-4C08-B452-94724AEC305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1" name="AutoShape 1" descr="Story">
          <a:hlinkClick xmlns:r="http://schemas.openxmlformats.org/officeDocument/2006/relationships" r:id="rId7"/>
          <a:extLst>
            <a:ext uri="{FF2B5EF4-FFF2-40B4-BE49-F238E27FC236}">
              <a16:creationId xmlns:a16="http://schemas.microsoft.com/office/drawing/2014/main" id="{EF6ED0EF-6527-41B2-B67F-A42B1F51116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2" name="AutoShape 3" descr="Story">
          <a:hlinkClick xmlns:r="http://schemas.openxmlformats.org/officeDocument/2006/relationships" r:id="rId4"/>
          <a:extLst>
            <a:ext uri="{FF2B5EF4-FFF2-40B4-BE49-F238E27FC236}">
              <a16:creationId xmlns:a16="http://schemas.microsoft.com/office/drawing/2014/main" id="{ABE1BEEE-5753-4BDF-9DDB-840B6C6B1C2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3" name="AutoShape 4" descr="Story">
          <a:hlinkClick xmlns:r="http://schemas.openxmlformats.org/officeDocument/2006/relationships" r:id="rId5"/>
          <a:extLst>
            <a:ext uri="{FF2B5EF4-FFF2-40B4-BE49-F238E27FC236}">
              <a16:creationId xmlns:a16="http://schemas.microsoft.com/office/drawing/2014/main" id="{D7316F0D-1C58-462A-89C4-C0864D79040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4" name="AutoShape 3" descr="Story">
          <a:hlinkClick xmlns:r="http://schemas.openxmlformats.org/officeDocument/2006/relationships" r:id="rId4"/>
          <a:extLst>
            <a:ext uri="{FF2B5EF4-FFF2-40B4-BE49-F238E27FC236}">
              <a16:creationId xmlns:a16="http://schemas.microsoft.com/office/drawing/2014/main" id="{3756425C-30B6-4182-BCAB-F9A537E3AA2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5" name="AutoShape 4" descr="Story">
          <a:hlinkClick xmlns:r="http://schemas.openxmlformats.org/officeDocument/2006/relationships" r:id="rId5"/>
          <a:extLst>
            <a:ext uri="{FF2B5EF4-FFF2-40B4-BE49-F238E27FC236}">
              <a16:creationId xmlns:a16="http://schemas.microsoft.com/office/drawing/2014/main" id="{8A1CF80D-025D-4CE4-A80D-9A575AB2345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6" name="AutoShape 7" descr="Story">
          <a:hlinkClick xmlns:r="http://schemas.openxmlformats.org/officeDocument/2006/relationships" r:id="rId3"/>
          <a:extLst>
            <a:ext uri="{FF2B5EF4-FFF2-40B4-BE49-F238E27FC236}">
              <a16:creationId xmlns:a16="http://schemas.microsoft.com/office/drawing/2014/main" id="{6EA22B24-63F8-452C-9AB8-B7718A1EE56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7" name="AutoShape 8" descr="Story">
          <a:hlinkClick xmlns:r="http://schemas.openxmlformats.org/officeDocument/2006/relationships" r:id="rId4"/>
          <a:extLst>
            <a:ext uri="{FF2B5EF4-FFF2-40B4-BE49-F238E27FC236}">
              <a16:creationId xmlns:a16="http://schemas.microsoft.com/office/drawing/2014/main" id="{B9ECEF99-F617-49B9-9F49-574D35B614C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18" name="AutoShape 8" descr="Story">
          <a:hlinkClick xmlns:r="http://schemas.openxmlformats.org/officeDocument/2006/relationships" r:id="rId4"/>
          <a:extLst>
            <a:ext uri="{FF2B5EF4-FFF2-40B4-BE49-F238E27FC236}">
              <a16:creationId xmlns:a16="http://schemas.microsoft.com/office/drawing/2014/main" id="{4D9794C8-8C1E-4CB7-95E5-5D7730C6B2B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619" name="AutoShape 4" descr="Bug">
          <a:hlinkClick xmlns:r="http://schemas.openxmlformats.org/officeDocument/2006/relationships" r:id="rId1"/>
          <a:extLst>
            <a:ext uri="{FF2B5EF4-FFF2-40B4-BE49-F238E27FC236}">
              <a16:creationId xmlns:a16="http://schemas.microsoft.com/office/drawing/2014/main" id="{675F7BD4-394A-43F5-B747-8DEB735F1FE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20" name="AutoShape 6" descr="Bug">
          <a:hlinkClick xmlns:r="http://schemas.openxmlformats.org/officeDocument/2006/relationships" r:id="rId2"/>
          <a:extLst>
            <a:ext uri="{FF2B5EF4-FFF2-40B4-BE49-F238E27FC236}">
              <a16:creationId xmlns:a16="http://schemas.microsoft.com/office/drawing/2014/main" id="{BDC9353E-C366-42C0-852A-AA110506FF6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21" name="AutoShape 7" descr="Story">
          <a:hlinkClick xmlns:r="http://schemas.openxmlformats.org/officeDocument/2006/relationships" r:id="rId3"/>
          <a:extLst>
            <a:ext uri="{FF2B5EF4-FFF2-40B4-BE49-F238E27FC236}">
              <a16:creationId xmlns:a16="http://schemas.microsoft.com/office/drawing/2014/main" id="{1380BF3F-D1FB-49A3-B066-284FF0DABBF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22" name="AutoShape 8" descr="Story">
          <a:hlinkClick xmlns:r="http://schemas.openxmlformats.org/officeDocument/2006/relationships" r:id="rId4"/>
          <a:extLst>
            <a:ext uri="{FF2B5EF4-FFF2-40B4-BE49-F238E27FC236}">
              <a16:creationId xmlns:a16="http://schemas.microsoft.com/office/drawing/2014/main" id="{251687D3-C7B2-4861-9085-66C9CD12564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23" name="AutoShape 9" descr="Story">
          <a:hlinkClick xmlns:r="http://schemas.openxmlformats.org/officeDocument/2006/relationships" r:id="rId5"/>
          <a:extLst>
            <a:ext uri="{FF2B5EF4-FFF2-40B4-BE49-F238E27FC236}">
              <a16:creationId xmlns:a16="http://schemas.microsoft.com/office/drawing/2014/main" id="{3C76E0F1-F911-48C2-BBE4-3D885964B8C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24" name="AutoShape 13" descr="Story">
          <a:hlinkClick xmlns:r="http://schemas.openxmlformats.org/officeDocument/2006/relationships" r:id="rId4"/>
          <a:extLst>
            <a:ext uri="{FF2B5EF4-FFF2-40B4-BE49-F238E27FC236}">
              <a16:creationId xmlns:a16="http://schemas.microsoft.com/office/drawing/2014/main" id="{4861E71D-299F-4A6B-80A5-5CEF61E3237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625" name="AutoShape 1" descr="Story">
          <a:hlinkClick xmlns:r="http://schemas.openxmlformats.org/officeDocument/2006/relationships" r:id="rId12"/>
          <a:extLst>
            <a:ext uri="{FF2B5EF4-FFF2-40B4-BE49-F238E27FC236}">
              <a16:creationId xmlns:a16="http://schemas.microsoft.com/office/drawing/2014/main" id="{DFA5D74F-DF98-4B6E-8574-FB979E96FD4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26" name="AutoShape 2" descr="Story">
          <a:hlinkClick xmlns:r="http://schemas.openxmlformats.org/officeDocument/2006/relationships" r:id="rId13"/>
          <a:extLst>
            <a:ext uri="{FF2B5EF4-FFF2-40B4-BE49-F238E27FC236}">
              <a16:creationId xmlns:a16="http://schemas.microsoft.com/office/drawing/2014/main" id="{BCA4DBF2-446E-4443-89D7-C519B44BC24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27" name="AutoShape 5" descr="Story">
          <a:hlinkClick xmlns:r="http://schemas.openxmlformats.org/officeDocument/2006/relationships" r:id="rId6"/>
          <a:extLst>
            <a:ext uri="{FF2B5EF4-FFF2-40B4-BE49-F238E27FC236}">
              <a16:creationId xmlns:a16="http://schemas.microsoft.com/office/drawing/2014/main" id="{46D5E279-F16E-496E-8868-33A0DA62406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28" name="AutoShape 1" descr="Sub-task">
          <a:hlinkClick xmlns:r="http://schemas.openxmlformats.org/officeDocument/2006/relationships" r:id="rId14"/>
          <a:extLst>
            <a:ext uri="{FF2B5EF4-FFF2-40B4-BE49-F238E27FC236}">
              <a16:creationId xmlns:a16="http://schemas.microsoft.com/office/drawing/2014/main" id="{34DC84CA-2FCA-464A-9B2C-48C0D5786E9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29" name="AutoShape 2" descr="Sub-task">
          <a:hlinkClick xmlns:r="http://schemas.openxmlformats.org/officeDocument/2006/relationships" r:id="rId15"/>
          <a:extLst>
            <a:ext uri="{FF2B5EF4-FFF2-40B4-BE49-F238E27FC236}">
              <a16:creationId xmlns:a16="http://schemas.microsoft.com/office/drawing/2014/main" id="{E487CBC4-4C3C-454B-89DA-E0022577668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0" name="AutoShape 3" descr="Story">
          <a:hlinkClick xmlns:r="http://schemas.openxmlformats.org/officeDocument/2006/relationships" r:id="rId9"/>
          <a:extLst>
            <a:ext uri="{FF2B5EF4-FFF2-40B4-BE49-F238E27FC236}">
              <a16:creationId xmlns:a16="http://schemas.microsoft.com/office/drawing/2014/main" id="{DA08B5D9-447F-4829-941F-83FF3DB099C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1" name="AutoShape 12" descr="Story">
          <a:hlinkClick xmlns:r="http://schemas.openxmlformats.org/officeDocument/2006/relationships" r:id="rId8"/>
          <a:extLst>
            <a:ext uri="{FF2B5EF4-FFF2-40B4-BE49-F238E27FC236}">
              <a16:creationId xmlns:a16="http://schemas.microsoft.com/office/drawing/2014/main" id="{9827684D-B293-47E6-945B-457ED1C61A6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2" name="AutoShape 1" descr="Story">
          <a:hlinkClick xmlns:r="http://schemas.openxmlformats.org/officeDocument/2006/relationships" r:id="rId7"/>
          <a:extLst>
            <a:ext uri="{FF2B5EF4-FFF2-40B4-BE49-F238E27FC236}">
              <a16:creationId xmlns:a16="http://schemas.microsoft.com/office/drawing/2014/main" id="{E8070DED-9D1F-47CC-A527-206F56B3E89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3" name="AutoShape 1" descr="Story">
          <a:hlinkClick xmlns:r="http://schemas.openxmlformats.org/officeDocument/2006/relationships" r:id="rId7"/>
          <a:extLst>
            <a:ext uri="{FF2B5EF4-FFF2-40B4-BE49-F238E27FC236}">
              <a16:creationId xmlns:a16="http://schemas.microsoft.com/office/drawing/2014/main" id="{82C0E61A-B2B2-4EC1-8717-50240EDD4E9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4" name="AutoShape 3" descr="Story">
          <a:hlinkClick xmlns:r="http://schemas.openxmlformats.org/officeDocument/2006/relationships" r:id="rId4"/>
          <a:extLst>
            <a:ext uri="{FF2B5EF4-FFF2-40B4-BE49-F238E27FC236}">
              <a16:creationId xmlns:a16="http://schemas.microsoft.com/office/drawing/2014/main" id="{4B645DEF-E9C5-4412-A1EE-858A7EF0889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5" name="AutoShape 4" descr="Story">
          <a:hlinkClick xmlns:r="http://schemas.openxmlformats.org/officeDocument/2006/relationships" r:id="rId5"/>
          <a:extLst>
            <a:ext uri="{FF2B5EF4-FFF2-40B4-BE49-F238E27FC236}">
              <a16:creationId xmlns:a16="http://schemas.microsoft.com/office/drawing/2014/main" id="{F69425BD-B672-47A8-9032-0074218FDDC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6" name="AutoShape 3" descr="Story">
          <a:hlinkClick xmlns:r="http://schemas.openxmlformats.org/officeDocument/2006/relationships" r:id="rId4"/>
          <a:extLst>
            <a:ext uri="{FF2B5EF4-FFF2-40B4-BE49-F238E27FC236}">
              <a16:creationId xmlns:a16="http://schemas.microsoft.com/office/drawing/2014/main" id="{29FA592B-4A47-4105-8273-49E13731239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7" name="AutoShape 4" descr="Story">
          <a:hlinkClick xmlns:r="http://schemas.openxmlformats.org/officeDocument/2006/relationships" r:id="rId5"/>
          <a:extLst>
            <a:ext uri="{FF2B5EF4-FFF2-40B4-BE49-F238E27FC236}">
              <a16:creationId xmlns:a16="http://schemas.microsoft.com/office/drawing/2014/main" id="{0E482F52-81AE-4A8D-A4A7-028A06FEF2A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8" name="AutoShape 7" descr="Story">
          <a:hlinkClick xmlns:r="http://schemas.openxmlformats.org/officeDocument/2006/relationships" r:id="rId3"/>
          <a:extLst>
            <a:ext uri="{FF2B5EF4-FFF2-40B4-BE49-F238E27FC236}">
              <a16:creationId xmlns:a16="http://schemas.microsoft.com/office/drawing/2014/main" id="{A761BA47-8E92-4B33-8EC2-F27DA9AEFA6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39" name="AutoShape 8" descr="Story">
          <a:hlinkClick xmlns:r="http://schemas.openxmlformats.org/officeDocument/2006/relationships" r:id="rId4"/>
          <a:extLst>
            <a:ext uri="{FF2B5EF4-FFF2-40B4-BE49-F238E27FC236}">
              <a16:creationId xmlns:a16="http://schemas.microsoft.com/office/drawing/2014/main" id="{2186D3E9-B1D6-4C34-915B-289D0989A8D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40" name="AutoShape 8" descr="Story">
          <a:hlinkClick xmlns:r="http://schemas.openxmlformats.org/officeDocument/2006/relationships" r:id="rId4"/>
          <a:extLst>
            <a:ext uri="{FF2B5EF4-FFF2-40B4-BE49-F238E27FC236}">
              <a16:creationId xmlns:a16="http://schemas.microsoft.com/office/drawing/2014/main" id="{7E832BDF-68EA-465A-BBF1-2EBA8123413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641" name="AutoShape 4" descr="Bug">
          <a:hlinkClick xmlns:r="http://schemas.openxmlformats.org/officeDocument/2006/relationships" r:id="rId1"/>
          <a:extLst>
            <a:ext uri="{FF2B5EF4-FFF2-40B4-BE49-F238E27FC236}">
              <a16:creationId xmlns:a16="http://schemas.microsoft.com/office/drawing/2014/main" id="{84C1B13D-F9EF-4712-B5E5-099825D37A0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42" name="AutoShape 6" descr="Bug">
          <a:hlinkClick xmlns:r="http://schemas.openxmlformats.org/officeDocument/2006/relationships" r:id="rId2"/>
          <a:extLst>
            <a:ext uri="{FF2B5EF4-FFF2-40B4-BE49-F238E27FC236}">
              <a16:creationId xmlns:a16="http://schemas.microsoft.com/office/drawing/2014/main" id="{ECE3617C-5294-466A-A51D-D231FF59D3A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43" name="AutoShape 7" descr="Story">
          <a:hlinkClick xmlns:r="http://schemas.openxmlformats.org/officeDocument/2006/relationships" r:id="rId3"/>
          <a:extLst>
            <a:ext uri="{FF2B5EF4-FFF2-40B4-BE49-F238E27FC236}">
              <a16:creationId xmlns:a16="http://schemas.microsoft.com/office/drawing/2014/main" id="{15533035-1BCD-49E7-AEE2-5636611B4A3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44" name="AutoShape 8" descr="Story">
          <a:hlinkClick xmlns:r="http://schemas.openxmlformats.org/officeDocument/2006/relationships" r:id="rId4"/>
          <a:extLst>
            <a:ext uri="{FF2B5EF4-FFF2-40B4-BE49-F238E27FC236}">
              <a16:creationId xmlns:a16="http://schemas.microsoft.com/office/drawing/2014/main" id="{488C82C8-29B6-4B0A-A7BB-64801946958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45" name="AutoShape 9" descr="Story">
          <a:hlinkClick xmlns:r="http://schemas.openxmlformats.org/officeDocument/2006/relationships" r:id="rId5"/>
          <a:extLst>
            <a:ext uri="{FF2B5EF4-FFF2-40B4-BE49-F238E27FC236}">
              <a16:creationId xmlns:a16="http://schemas.microsoft.com/office/drawing/2014/main" id="{91D1D314-6F55-4008-93C3-217466DCD24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46" name="AutoShape 13" descr="Story">
          <a:hlinkClick xmlns:r="http://schemas.openxmlformats.org/officeDocument/2006/relationships" r:id="rId4"/>
          <a:extLst>
            <a:ext uri="{FF2B5EF4-FFF2-40B4-BE49-F238E27FC236}">
              <a16:creationId xmlns:a16="http://schemas.microsoft.com/office/drawing/2014/main" id="{F2A19894-550B-4B79-8008-FD06C83DB2B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647" name="AutoShape 1" descr="Story">
          <a:hlinkClick xmlns:r="http://schemas.openxmlformats.org/officeDocument/2006/relationships" r:id="rId12"/>
          <a:extLst>
            <a:ext uri="{FF2B5EF4-FFF2-40B4-BE49-F238E27FC236}">
              <a16:creationId xmlns:a16="http://schemas.microsoft.com/office/drawing/2014/main" id="{6A376A52-C591-4438-B8FE-17B595305CE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48" name="AutoShape 2" descr="Story">
          <a:hlinkClick xmlns:r="http://schemas.openxmlformats.org/officeDocument/2006/relationships" r:id="rId13"/>
          <a:extLst>
            <a:ext uri="{FF2B5EF4-FFF2-40B4-BE49-F238E27FC236}">
              <a16:creationId xmlns:a16="http://schemas.microsoft.com/office/drawing/2014/main" id="{E344813F-D5B9-4041-B7A5-BEC887E86EA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49" name="AutoShape 5" descr="Story">
          <a:hlinkClick xmlns:r="http://schemas.openxmlformats.org/officeDocument/2006/relationships" r:id="rId6"/>
          <a:extLst>
            <a:ext uri="{FF2B5EF4-FFF2-40B4-BE49-F238E27FC236}">
              <a16:creationId xmlns:a16="http://schemas.microsoft.com/office/drawing/2014/main" id="{673F6300-E178-4002-B5B7-B285A25CA14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0" name="AutoShape 1" descr="Sub-task">
          <a:hlinkClick xmlns:r="http://schemas.openxmlformats.org/officeDocument/2006/relationships" r:id="rId14"/>
          <a:extLst>
            <a:ext uri="{FF2B5EF4-FFF2-40B4-BE49-F238E27FC236}">
              <a16:creationId xmlns:a16="http://schemas.microsoft.com/office/drawing/2014/main" id="{16E89611-43B8-424C-A590-272F942E71F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1" name="AutoShape 2" descr="Sub-task">
          <a:hlinkClick xmlns:r="http://schemas.openxmlformats.org/officeDocument/2006/relationships" r:id="rId15"/>
          <a:extLst>
            <a:ext uri="{FF2B5EF4-FFF2-40B4-BE49-F238E27FC236}">
              <a16:creationId xmlns:a16="http://schemas.microsoft.com/office/drawing/2014/main" id="{AA348EA7-29DF-43FA-AF4B-4DA791DEB98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2" name="AutoShape 3" descr="Story">
          <a:hlinkClick xmlns:r="http://schemas.openxmlformats.org/officeDocument/2006/relationships" r:id="rId9"/>
          <a:extLst>
            <a:ext uri="{FF2B5EF4-FFF2-40B4-BE49-F238E27FC236}">
              <a16:creationId xmlns:a16="http://schemas.microsoft.com/office/drawing/2014/main" id="{727F1C21-3D92-40C5-8645-2C80A32D674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3" name="AutoShape 12" descr="Story">
          <a:hlinkClick xmlns:r="http://schemas.openxmlformats.org/officeDocument/2006/relationships" r:id="rId8"/>
          <a:extLst>
            <a:ext uri="{FF2B5EF4-FFF2-40B4-BE49-F238E27FC236}">
              <a16:creationId xmlns:a16="http://schemas.microsoft.com/office/drawing/2014/main" id="{8D140DEE-3D4F-4836-AB47-EB597841A66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4" name="AutoShape 1" descr="Story">
          <a:hlinkClick xmlns:r="http://schemas.openxmlformats.org/officeDocument/2006/relationships" r:id="rId7"/>
          <a:extLst>
            <a:ext uri="{FF2B5EF4-FFF2-40B4-BE49-F238E27FC236}">
              <a16:creationId xmlns:a16="http://schemas.microsoft.com/office/drawing/2014/main" id="{EF9825EC-FB8C-406D-8388-2384FEDD65C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5" name="AutoShape 1" descr="Story">
          <a:hlinkClick xmlns:r="http://schemas.openxmlformats.org/officeDocument/2006/relationships" r:id="rId7"/>
          <a:extLst>
            <a:ext uri="{FF2B5EF4-FFF2-40B4-BE49-F238E27FC236}">
              <a16:creationId xmlns:a16="http://schemas.microsoft.com/office/drawing/2014/main" id="{B03A8C3A-BD66-49E2-8A52-B42C068EC04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6" name="AutoShape 3" descr="Story">
          <a:hlinkClick xmlns:r="http://schemas.openxmlformats.org/officeDocument/2006/relationships" r:id="rId4"/>
          <a:extLst>
            <a:ext uri="{FF2B5EF4-FFF2-40B4-BE49-F238E27FC236}">
              <a16:creationId xmlns:a16="http://schemas.microsoft.com/office/drawing/2014/main" id="{488F8092-8804-44F2-BB32-D45A60E8F09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7" name="AutoShape 4" descr="Story">
          <a:hlinkClick xmlns:r="http://schemas.openxmlformats.org/officeDocument/2006/relationships" r:id="rId5"/>
          <a:extLst>
            <a:ext uri="{FF2B5EF4-FFF2-40B4-BE49-F238E27FC236}">
              <a16:creationId xmlns:a16="http://schemas.microsoft.com/office/drawing/2014/main" id="{BCAA52D9-ECD9-455F-92C7-43A1133CB23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8" name="AutoShape 3" descr="Story">
          <a:hlinkClick xmlns:r="http://schemas.openxmlformats.org/officeDocument/2006/relationships" r:id="rId4"/>
          <a:extLst>
            <a:ext uri="{FF2B5EF4-FFF2-40B4-BE49-F238E27FC236}">
              <a16:creationId xmlns:a16="http://schemas.microsoft.com/office/drawing/2014/main" id="{E74B9304-7F4A-4C54-8EB8-184F07CC897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59" name="AutoShape 4" descr="Story">
          <a:hlinkClick xmlns:r="http://schemas.openxmlformats.org/officeDocument/2006/relationships" r:id="rId5"/>
          <a:extLst>
            <a:ext uri="{FF2B5EF4-FFF2-40B4-BE49-F238E27FC236}">
              <a16:creationId xmlns:a16="http://schemas.microsoft.com/office/drawing/2014/main" id="{29F1878B-2857-4932-A344-1A8AA0AC69F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60" name="AutoShape 7" descr="Story">
          <a:hlinkClick xmlns:r="http://schemas.openxmlformats.org/officeDocument/2006/relationships" r:id="rId3"/>
          <a:extLst>
            <a:ext uri="{FF2B5EF4-FFF2-40B4-BE49-F238E27FC236}">
              <a16:creationId xmlns:a16="http://schemas.microsoft.com/office/drawing/2014/main" id="{F9AA47CE-CFC4-4AC8-A27E-6DDB46CAA50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61" name="AutoShape 8" descr="Story">
          <a:hlinkClick xmlns:r="http://schemas.openxmlformats.org/officeDocument/2006/relationships" r:id="rId4"/>
          <a:extLst>
            <a:ext uri="{FF2B5EF4-FFF2-40B4-BE49-F238E27FC236}">
              <a16:creationId xmlns:a16="http://schemas.microsoft.com/office/drawing/2014/main" id="{00D750F4-1D9D-4E18-9AE7-6A753648A6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62" name="AutoShape 8" descr="Story">
          <a:hlinkClick xmlns:r="http://schemas.openxmlformats.org/officeDocument/2006/relationships" r:id="rId4"/>
          <a:extLst>
            <a:ext uri="{FF2B5EF4-FFF2-40B4-BE49-F238E27FC236}">
              <a16:creationId xmlns:a16="http://schemas.microsoft.com/office/drawing/2014/main" id="{A5194D77-6098-4D37-B713-5D748A33325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663" name="AutoShape 4" descr="Bug">
          <a:hlinkClick xmlns:r="http://schemas.openxmlformats.org/officeDocument/2006/relationships" r:id="rId1"/>
          <a:extLst>
            <a:ext uri="{FF2B5EF4-FFF2-40B4-BE49-F238E27FC236}">
              <a16:creationId xmlns:a16="http://schemas.microsoft.com/office/drawing/2014/main" id="{7C87C5F8-958D-4E8E-9CBF-C107B57AFEC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64" name="AutoShape 6" descr="Bug">
          <a:hlinkClick xmlns:r="http://schemas.openxmlformats.org/officeDocument/2006/relationships" r:id="rId2"/>
          <a:extLst>
            <a:ext uri="{FF2B5EF4-FFF2-40B4-BE49-F238E27FC236}">
              <a16:creationId xmlns:a16="http://schemas.microsoft.com/office/drawing/2014/main" id="{B302EEF3-EC84-4938-9087-92F1EAC70D3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65" name="AutoShape 7" descr="Story">
          <a:hlinkClick xmlns:r="http://schemas.openxmlformats.org/officeDocument/2006/relationships" r:id="rId3"/>
          <a:extLst>
            <a:ext uri="{FF2B5EF4-FFF2-40B4-BE49-F238E27FC236}">
              <a16:creationId xmlns:a16="http://schemas.microsoft.com/office/drawing/2014/main" id="{FED6A25B-9289-4E4E-A660-E8F9DC607B4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66" name="AutoShape 8" descr="Story">
          <a:hlinkClick xmlns:r="http://schemas.openxmlformats.org/officeDocument/2006/relationships" r:id="rId4"/>
          <a:extLst>
            <a:ext uri="{FF2B5EF4-FFF2-40B4-BE49-F238E27FC236}">
              <a16:creationId xmlns:a16="http://schemas.microsoft.com/office/drawing/2014/main" id="{3CE1842D-8F5C-4E03-A720-40740449C1D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67" name="AutoShape 9" descr="Story">
          <a:hlinkClick xmlns:r="http://schemas.openxmlformats.org/officeDocument/2006/relationships" r:id="rId5"/>
          <a:extLst>
            <a:ext uri="{FF2B5EF4-FFF2-40B4-BE49-F238E27FC236}">
              <a16:creationId xmlns:a16="http://schemas.microsoft.com/office/drawing/2014/main" id="{ADD2F6EF-A065-4296-985B-7048B2C98EA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668" name="AutoShape 13" descr="Story">
          <a:hlinkClick xmlns:r="http://schemas.openxmlformats.org/officeDocument/2006/relationships" r:id="rId4"/>
          <a:extLst>
            <a:ext uri="{FF2B5EF4-FFF2-40B4-BE49-F238E27FC236}">
              <a16:creationId xmlns:a16="http://schemas.microsoft.com/office/drawing/2014/main" id="{E4A5961D-CE82-4AE4-86F6-F4F9C6A9ECC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669" name="AutoShape 1" descr="Story">
          <a:hlinkClick xmlns:r="http://schemas.openxmlformats.org/officeDocument/2006/relationships" r:id="rId12"/>
          <a:extLst>
            <a:ext uri="{FF2B5EF4-FFF2-40B4-BE49-F238E27FC236}">
              <a16:creationId xmlns:a16="http://schemas.microsoft.com/office/drawing/2014/main" id="{BEAF0F66-4C61-49EE-82FC-1F80D24F2AC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0" name="AutoShape 2" descr="Story">
          <a:hlinkClick xmlns:r="http://schemas.openxmlformats.org/officeDocument/2006/relationships" r:id="rId13"/>
          <a:extLst>
            <a:ext uri="{FF2B5EF4-FFF2-40B4-BE49-F238E27FC236}">
              <a16:creationId xmlns:a16="http://schemas.microsoft.com/office/drawing/2014/main" id="{F637A4C7-4C48-4FC4-8B16-D6207B26363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1" name="AutoShape 5" descr="Story">
          <a:hlinkClick xmlns:r="http://schemas.openxmlformats.org/officeDocument/2006/relationships" r:id="rId6"/>
          <a:extLst>
            <a:ext uri="{FF2B5EF4-FFF2-40B4-BE49-F238E27FC236}">
              <a16:creationId xmlns:a16="http://schemas.microsoft.com/office/drawing/2014/main" id="{8065B996-80A4-45C8-B2FD-75286135A3D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2" name="AutoShape 1" descr="Sub-task">
          <a:hlinkClick xmlns:r="http://schemas.openxmlformats.org/officeDocument/2006/relationships" r:id="rId14"/>
          <a:extLst>
            <a:ext uri="{FF2B5EF4-FFF2-40B4-BE49-F238E27FC236}">
              <a16:creationId xmlns:a16="http://schemas.microsoft.com/office/drawing/2014/main" id="{2B19B069-E347-4F0E-BC52-C3C13889806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3" name="AutoShape 2" descr="Sub-task">
          <a:hlinkClick xmlns:r="http://schemas.openxmlformats.org/officeDocument/2006/relationships" r:id="rId15"/>
          <a:extLst>
            <a:ext uri="{FF2B5EF4-FFF2-40B4-BE49-F238E27FC236}">
              <a16:creationId xmlns:a16="http://schemas.microsoft.com/office/drawing/2014/main" id="{3FB7030D-B9F9-4FDD-9131-5E736260C7B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4" name="AutoShape 3" descr="Story">
          <a:hlinkClick xmlns:r="http://schemas.openxmlformats.org/officeDocument/2006/relationships" r:id="rId9"/>
          <a:extLst>
            <a:ext uri="{FF2B5EF4-FFF2-40B4-BE49-F238E27FC236}">
              <a16:creationId xmlns:a16="http://schemas.microsoft.com/office/drawing/2014/main" id="{CEA25957-CAFE-4C51-8B37-A391FD43380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5" name="AutoShape 12" descr="Story">
          <a:hlinkClick xmlns:r="http://schemas.openxmlformats.org/officeDocument/2006/relationships" r:id="rId8"/>
          <a:extLst>
            <a:ext uri="{FF2B5EF4-FFF2-40B4-BE49-F238E27FC236}">
              <a16:creationId xmlns:a16="http://schemas.microsoft.com/office/drawing/2014/main" id="{500FE279-BE48-429A-A9A9-719CF2B72A7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6" name="AutoShape 1" descr="Story">
          <a:hlinkClick xmlns:r="http://schemas.openxmlformats.org/officeDocument/2006/relationships" r:id="rId7"/>
          <a:extLst>
            <a:ext uri="{FF2B5EF4-FFF2-40B4-BE49-F238E27FC236}">
              <a16:creationId xmlns:a16="http://schemas.microsoft.com/office/drawing/2014/main" id="{656251E8-766B-46B8-B7D3-CD8BEC212C8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7" name="AutoShape 1" descr="Story">
          <a:hlinkClick xmlns:r="http://schemas.openxmlformats.org/officeDocument/2006/relationships" r:id="rId7"/>
          <a:extLst>
            <a:ext uri="{FF2B5EF4-FFF2-40B4-BE49-F238E27FC236}">
              <a16:creationId xmlns:a16="http://schemas.microsoft.com/office/drawing/2014/main" id="{058BB448-9713-42C8-8A6E-0C266998C65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8" name="AutoShape 3" descr="Story">
          <a:hlinkClick xmlns:r="http://schemas.openxmlformats.org/officeDocument/2006/relationships" r:id="rId4"/>
          <a:extLst>
            <a:ext uri="{FF2B5EF4-FFF2-40B4-BE49-F238E27FC236}">
              <a16:creationId xmlns:a16="http://schemas.microsoft.com/office/drawing/2014/main" id="{B30AB255-7F90-4CB3-BEA0-19898D797CF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79" name="AutoShape 4" descr="Story">
          <a:hlinkClick xmlns:r="http://schemas.openxmlformats.org/officeDocument/2006/relationships" r:id="rId5"/>
          <a:extLst>
            <a:ext uri="{FF2B5EF4-FFF2-40B4-BE49-F238E27FC236}">
              <a16:creationId xmlns:a16="http://schemas.microsoft.com/office/drawing/2014/main" id="{13BC3CDA-B791-4DE6-9014-9FD74B55018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80" name="AutoShape 3" descr="Story">
          <a:hlinkClick xmlns:r="http://schemas.openxmlformats.org/officeDocument/2006/relationships" r:id="rId4"/>
          <a:extLst>
            <a:ext uri="{FF2B5EF4-FFF2-40B4-BE49-F238E27FC236}">
              <a16:creationId xmlns:a16="http://schemas.microsoft.com/office/drawing/2014/main" id="{E890A600-1187-49B2-A502-94F16A481A8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81" name="AutoShape 4" descr="Story">
          <a:hlinkClick xmlns:r="http://schemas.openxmlformats.org/officeDocument/2006/relationships" r:id="rId5"/>
          <a:extLst>
            <a:ext uri="{FF2B5EF4-FFF2-40B4-BE49-F238E27FC236}">
              <a16:creationId xmlns:a16="http://schemas.microsoft.com/office/drawing/2014/main" id="{2BB366BF-7A67-4546-B606-BB6E412A22A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82" name="AutoShape 7" descr="Story">
          <a:hlinkClick xmlns:r="http://schemas.openxmlformats.org/officeDocument/2006/relationships" r:id="rId3"/>
          <a:extLst>
            <a:ext uri="{FF2B5EF4-FFF2-40B4-BE49-F238E27FC236}">
              <a16:creationId xmlns:a16="http://schemas.microsoft.com/office/drawing/2014/main" id="{D46E425D-CFC5-41C3-A0E2-9801660E1A3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83" name="AutoShape 8" descr="Story">
          <a:hlinkClick xmlns:r="http://schemas.openxmlformats.org/officeDocument/2006/relationships" r:id="rId4"/>
          <a:extLst>
            <a:ext uri="{FF2B5EF4-FFF2-40B4-BE49-F238E27FC236}">
              <a16:creationId xmlns:a16="http://schemas.microsoft.com/office/drawing/2014/main" id="{B0867A8F-F19B-42C7-8547-967C3A13F48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684" name="AutoShape 8" descr="Story">
          <a:hlinkClick xmlns:r="http://schemas.openxmlformats.org/officeDocument/2006/relationships" r:id="rId4"/>
          <a:extLst>
            <a:ext uri="{FF2B5EF4-FFF2-40B4-BE49-F238E27FC236}">
              <a16:creationId xmlns:a16="http://schemas.microsoft.com/office/drawing/2014/main" id="{719B955F-8782-47E9-B169-81701830494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xdr:row>
      <xdr:rowOff>0</xdr:rowOff>
    </xdr:from>
    <xdr:to>
      <xdr:col>0</xdr:col>
      <xdr:colOff>152400</xdr:colOff>
      <xdr:row>11</xdr:row>
      <xdr:rowOff>152400</xdr:rowOff>
    </xdr:to>
    <xdr:sp macro="" textlink="">
      <xdr:nvSpPr>
        <xdr:cNvPr id="685" name="AutoShape 4" descr="Bug">
          <a:hlinkClick xmlns:r="http://schemas.openxmlformats.org/officeDocument/2006/relationships" r:id="rId1"/>
          <a:extLst>
            <a:ext uri="{FF2B5EF4-FFF2-40B4-BE49-F238E27FC236}">
              <a16:creationId xmlns:a16="http://schemas.microsoft.com/office/drawing/2014/main" id="{AFA9D8C5-02B8-4B8D-9812-D16682E5EE2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686" name="AutoShape 6" descr="Bug">
          <a:hlinkClick xmlns:r="http://schemas.openxmlformats.org/officeDocument/2006/relationships" r:id="rId2"/>
          <a:extLst>
            <a:ext uri="{FF2B5EF4-FFF2-40B4-BE49-F238E27FC236}">
              <a16:creationId xmlns:a16="http://schemas.microsoft.com/office/drawing/2014/main" id="{9D5DCC14-819E-4267-B1DB-A4AEB63A4D4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687" name="AutoShape 7" descr="Story">
          <a:hlinkClick xmlns:r="http://schemas.openxmlformats.org/officeDocument/2006/relationships" r:id="rId3"/>
          <a:extLst>
            <a:ext uri="{FF2B5EF4-FFF2-40B4-BE49-F238E27FC236}">
              <a16:creationId xmlns:a16="http://schemas.microsoft.com/office/drawing/2014/main" id="{C0A47283-2ED6-46D0-A2F5-EB2CF06CC6C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688" name="AutoShape 8" descr="Story">
          <a:hlinkClick xmlns:r="http://schemas.openxmlformats.org/officeDocument/2006/relationships" r:id="rId4"/>
          <a:extLst>
            <a:ext uri="{FF2B5EF4-FFF2-40B4-BE49-F238E27FC236}">
              <a16:creationId xmlns:a16="http://schemas.microsoft.com/office/drawing/2014/main" id="{0B43D81B-2C34-44BC-9FC4-B093E7FBD05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689" name="AutoShape 9" descr="Story">
          <a:hlinkClick xmlns:r="http://schemas.openxmlformats.org/officeDocument/2006/relationships" r:id="rId5"/>
          <a:extLst>
            <a:ext uri="{FF2B5EF4-FFF2-40B4-BE49-F238E27FC236}">
              <a16:creationId xmlns:a16="http://schemas.microsoft.com/office/drawing/2014/main" id="{9595EA75-E655-4968-9399-859975E1104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690" name="AutoShape 13" descr="Story">
          <a:hlinkClick xmlns:r="http://schemas.openxmlformats.org/officeDocument/2006/relationships" r:id="rId4"/>
          <a:extLst>
            <a:ext uri="{FF2B5EF4-FFF2-40B4-BE49-F238E27FC236}">
              <a16:creationId xmlns:a16="http://schemas.microsoft.com/office/drawing/2014/main" id="{950E9351-31FD-41C5-BBA4-9B09B8FE2C6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xdr:row>
      <xdr:rowOff>0</xdr:rowOff>
    </xdr:from>
    <xdr:ext cx="152400" cy="152400"/>
    <xdr:sp macro="" textlink="">
      <xdr:nvSpPr>
        <xdr:cNvPr id="691" name="AutoShape 1" descr="Story">
          <a:hlinkClick xmlns:r="http://schemas.openxmlformats.org/officeDocument/2006/relationships" r:id="rId12"/>
          <a:extLst>
            <a:ext uri="{FF2B5EF4-FFF2-40B4-BE49-F238E27FC236}">
              <a16:creationId xmlns:a16="http://schemas.microsoft.com/office/drawing/2014/main" id="{2BA0E865-65A8-41B7-9CC2-88A5EEBD0AF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2" name="AutoShape 2" descr="Story">
          <a:hlinkClick xmlns:r="http://schemas.openxmlformats.org/officeDocument/2006/relationships" r:id="rId13"/>
          <a:extLst>
            <a:ext uri="{FF2B5EF4-FFF2-40B4-BE49-F238E27FC236}">
              <a16:creationId xmlns:a16="http://schemas.microsoft.com/office/drawing/2014/main" id="{AC702F38-F314-4DB1-A853-8F1A10F230F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3" name="AutoShape 5" descr="Story">
          <a:hlinkClick xmlns:r="http://schemas.openxmlformats.org/officeDocument/2006/relationships" r:id="rId6"/>
          <a:extLst>
            <a:ext uri="{FF2B5EF4-FFF2-40B4-BE49-F238E27FC236}">
              <a16:creationId xmlns:a16="http://schemas.microsoft.com/office/drawing/2014/main" id="{129285CD-19EF-463D-8EE1-25FDB7208DA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4" name="AutoShape 1" descr="Sub-task">
          <a:hlinkClick xmlns:r="http://schemas.openxmlformats.org/officeDocument/2006/relationships" r:id="rId14"/>
          <a:extLst>
            <a:ext uri="{FF2B5EF4-FFF2-40B4-BE49-F238E27FC236}">
              <a16:creationId xmlns:a16="http://schemas.microsoft.com/office/drawing/2014/main" id="{EA9B8251-471C-479B-B9B3-6C7DA99C243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5" name="AutoShape 2" descr="Sub-task">
          <a:hlinkClick xmlns:r="http://schemas.openxmlformats.org/officeDocument/2006/relationships" r:id="rId15"/>
          <a:extLst>
            <a:ext uri="{FF2B5EF4-FFF2-40B4-BE49-F238E27FC236}">
              <a16:creationId xmlns:a16="http://schemas.microsoft.com/office/drawing/2014/main" id="{59A54AE4-362C-4ED8-91A5-57204099FA3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6" name="AutoShape 3" descr="Story">
          <a:hlinkClick xmlns:r="http://schemas.openxmlformats.org/officeDocument/2006/relationships" r:id="rId9"/>
          <a:extLst>
            <a:ext uri="{FF2B5EF4-FFF2-40B4-BE49-F238E27FC236}">
              <a16:creationId xmlns:a16="http://schemas.microsoft.com/office/drawing/2014/main" id="{813B3065-9F05-4560-B857-48F92E2A8BA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7" name="AutoShape 12" descr="Story">
          <a:hlinkClick xmlns:r="http://schemas.openxmlformats.org/officeDocument/2006/relationships" r:id="rId8"/>
          <a:extLst>
            <a:ext uri="{FF2B5EF4-FFF2-40B4-BE49-F238E27FC236}">
              <a16:creationId xmlns:a16="http://schemas.microsoft.com/office/drawing/2014/main" id="{9FDA4D70-8FEE-4B8D-8CF4-3076B2B625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8" name="AutoShape 1" descr="Story">
          <a:hlinkClick xmlns:r="http://schemas.openxmlformats.org/officeDocument/2006/relationships" r:id="rId7"/>
          <a:extLst>
            <a:ext uri="{FF2B5EF4-FFF2-40B4-BE49-F238E27FC236}">
              <a16:creationId xmlns:a16="http://schemas.microsoft.com/office/drawing/2014/main" id="{58F256C6-3819-43FC-B85E-ED0E05FE69F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699" name="AutoShape 1" descr="Story">
          <a:hlinkClick xmlns:r="http://schemas.openxmlformats.org/officeDocument/2006/relationships" r:id="rId7"/>
          <a:extLst>
            <a:ext uri="{FF2B5EF4-FFF2-40B4-BE49-F238E27FC236}">
              <a16:creationId xmlns:a16="http://schemas.microsoft.com/office/drawing/2014/main" id="{BBB7C722-1DD6-435A-9DB9-86A680BCBC0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0" name="AutoShape 3" descr="Story">
          <a:hlinkClick xmlns:r="http://schemas.openxmlformats.org/officeDocument/2006/relationships" r:id="rId4"/>
          <a:extLst>
            <a:ext uri="{FF2B5EF4-FFF2-40B4-BE49-F238E27FC236}">
              <a16:creationId xmlns:a16="http://schemas.microsoft.com/office/drawing/2014/main" id="{4C82122D-DD13-486B-8B5E-5D4C458606C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1" name="AutoShape 4" descr="Story">
          <a:hlinkClick xmlns:r="http://schemas.openxmlformats.org/officeDocument/2006/relationships" r:id="rId5"/>
          <a:extLst>
            <a:ext uri="{FF2B5EF4-FFF2-40B4-BE49-F238E27FC236}">
              <a16:creationId xmlns:a16="http://schemas.microsoft.com/office/drawing/2014/main" id="{E82E237A-8C7D-4420-A640-4F21DE10CB0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2" name="AutoShape 3" descr="Story">
          <a:hlinkClick xmlns:r="http://schemas.openxmlformats.org/officeDocument/2006/relationships" r:id="rId4"/>
          <a:extLst>
            <a:ext uri="{FF2B5EF4-FFF2-40B4-BE49-F238E27FC236}">
              <a16:creationId xmlns:a16="http://schemas.microsoft.com/office/drawing/2014/main" id="{5420DF59-2226-44A6-87C4-ABC86EC2D09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3" name="AutoShape 4" descr="Story">
          <a:hlinkClick xmlns:r="http://schemas.openxmlformats.org/officeDocument/2006/relationships" r:id="rId5"/>
          <a:extLst>
            <a:ext uri="{FF2B5EF4-FFF2-40B4-BE49-F238E27FC236}">
              <a16:creationId xmlns:a16="http://schemas.microsoft.com/office/drawing/2014/main" id="{1A87AB98-1E9E-4B8A-BAA6-339F7F9A51D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4" name="AutoShape 7" descr="Story">
          <a:hlinkClick xmlns:r="http://schemas.openxmlformats.org/officeDocument/2006/relationships" r:id="rId3"/>
          <a:extLst>
            <a:ext uri="{FF2B5EF4-FFF2-40B4-BE49-F238E27FC236}">
              <a16:creationId xmlns:a16="http://schemas.microsoft.com/office/drawing/2014/main" id="{81DCC719-B47F-4DC5-97D6-D9EA7ABD3FB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5" name="AutoShape 8" descr="Story">
          <a:hlinkClick xmlns:r="http://schemas.openxmlformats.org/officeDocument/2006/relationships" r:id="rId4"/>
          <a:extLst>
            <a:ext uri="{FF2B5EF4-FFF2-40B4-BE49-F238E27FC236}">
              <a16:creationId xmlns:a16="http://schemas.microsoft.com/office/drawing/2014/main" id="{14E6B2DB-B828-4D6F-AD6C-A5D067E099C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06" name="AutoShape 8" descr="Story">
          <a:hlinkClick xmlns:r="http://schemas.openxmlformats.org/officeDocument/2006/relationships" r:id="rId4"/>
          <a:extLst>
            <a:ext uri="{FF2B5EF4-FFF2-40B4-BE49-F238E27FC236}">
              <a16:creationId xmlns:a16="http://schemas.microsoft.com/office/drawing/2014/main" id="{8DBA64D0-1A96-41E5-B340-A3EF0D764A8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xdr:row>
      <xdr:rowOff>0</xdr:rowOff>
    </xdr:from>
    <xdr:to>
      <xdr:col>0</xdr:col>
      <xdr:colOff>152400</xdr:colOff>
      <xdr:row>11</xdr:row>
      <xdr:rowOff>152400</xdr:rowOff>
    </xdr:to>
    <xdr:sp macro="" textlink="">
      <xdr:nvSpPr>
        <xdr:cNvPr id="707" name="AutoShape 4" descr="Bug">
          <a:hlinkClick xmlns:r="http://schemas.openxmlformats.org/officeDocument/2006/relationships" r:id="rId1"/>
          <a:extLst>
            <a:ext uri="{FF2B5EF4-FFF2-40B4-BE49-F238E27FC236}">
              <a16:creationId xmlns:a16="http://schemas.microsoft.com/office/drawing/2014/main" id="{A931F7B9-E706-4AB3-BC41-67F113EC5AD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08" name="AutoShape 6" descr="Bug">
          <a:hlinkClick xmlns:r="http://schemas.openxmlformats.org/officeDocument/2006/relationships" r:id="rId2"/>
          <a:extLst>
            <a:ext uri="{FF2B5EF4-FFF2-40B4-BE49-F238E27FC236}">
              <a16:creationId xmlns:a16="http://schemas.microsoft.com/office/drawing/2014/main" id="{45238618-D353-4882-989D-0CFA60181CD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09" name="AutoShape 7" descr="Story">
          <a:hlinkClick xmlns:r="http://schemas.openxmlformats.org/officeDocument/2006/relationships" r:id="rId3"/>
          <a:extLst>
            <a:ext uri="{FF2B5EF4-FFF2-40B4-BE49-F238E27FC236}">
              <a16:creationId xmlns:a16="http://schemas.microsoft.com/office/drawing/2014/main" id="{81FBEBE2-E2EF-4E31-A8EB-855C9AFFD5C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10" name="AutoShape 8" descr="Story">
          <a:hlinkClick xmlns:r="http://schemas.openxmlformats.org/officeDocument/2006/relationships" r:id="rId4"/>
          <a:extLst>
            <a:ext uri="{FF2B5EF4-FFF2-40B4-BE49-F238E27FC236}">
              <a16:creationId xmlns:a16="http://schemas.microsoft.com/office/drawing/2014/main" id="{8AC8A563-1BEA-46BD-81EB-B6DC1659488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11" name="AutoShape 9" descr="Story">
          <a:hlinkClick xmlns:r="http://schemas.openxmlformats.org/officeDocument/2006/relationships" r:id="rId5"/>
          <a:extLst>
            <a:ext uri="{FF2B5EF4-FFF2-40B4-BE49-F238E27FC236}">
              <a16:creationId xmlns:a16="http://schemas.microsoft.com/office/drawing/2014/main" id="{BDFB8BEA-9DBE-4798-B1FE-6A7C1E7A4F6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12" name="AutoShape 13" descr="Story">
          <a:hlinkClick xmlns:r="http://schemas.openxmlformats.org/officeDocument/2006/relationships" r:id="rId4"/>
          <a:extLst>
            <a:ext uri="{FF2B5EF4-FFF2-40B4-BE49-F238E27FC236}">
              <a16:creationId xmlns:a16="http://schemas.microsoft.com/office/drawing/2014/main" id="{57C9325B-18CD-415C-931C-34CA05C861D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xdr:row>
      <xdr:rowOff>0</xdr:rowOff>
    </xdr:from>
    <xdr:ext cx="152400" cy="152400"/>
    <xdr:sp macro="" textlink="">
      <xdr:nvSpPr>
        <xdr:cNvPr id="713" name="AutoShape 1" descr="Story">
          <a:hlinkClick xmlns:r="http://schemas.openxmlformats.org/officeDocument/2006/relationships" r:id="rId12"/>
          <a:extLst>
            <a:ext uri="{FF2B5EF4-FFF2-40B4-BE49-F238E27FC236}">
              <a16:creationId xmlns:a16="http://schemas.microsoft.com/office/drawing/2014/main" id="{02AE69B4-F0EC-47BE-B87A-0EC93555488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4" name="AutoShape 2" descr="Story">
          <a:hlinkClick xmlns:r="http://schemas.openxmlformats.org/officeDocument/2006/relationships" r:id="rId13"/>
          <a:extLst>
            <a:ext uri="{FF2B5EF4-FFF2-40B4-BE49-F238E27FC236}">
              <a16:creationId xmlns:a16="http://schemas.microsoft.com/office/drawing/2014/main" id="{A5B288C1-53A0-41B2-8DCE-6E9A0278C45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5" name="AutoShape 5" descr="Story">
          <a:hlinkClick xmlns:r="http://schemas.openxmlformats.org/officeDocument/2006/relationships" r:id="rId6"/>
          <a:extLst>
            <a:ext uri="{FF2B5EF4-FFF2-40B4-BE49-F238E27FC236}">
              <a16:creationId xmlns:a16="http://schemas.microsoft.com/office/drawing/2014/main" id="{C8BC0438-6002-4007-81BD-5A38F8B3D7B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6" name="AutoShape 1" descr="Sub-task">
          <a:hlinkClick xmlns:r="http://schemas.openxmlformats.org/officeDocument/2006/relationships" r:id="rId14"/>
          <a:extLst>
            <a:ext uri="{FF2B5EF4-FFF2-40B4-BE49-F238E27FC236}">
              <a16:creationId xmlns:a16="http://schemas.microsoft.com/office/drawing/2014/main" id="{A5891B7C-15E4-4BA2-8B4C-0E45CA91718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7" name="AutoShape 2" descr="Sub-task">
          <a:hlinkClick xmlns:r="http://schemas.openxmlformats.org/officeDocument/2006/relationships" r:id="rId15"/>
          <a:extLst>
            <a:ext uri="{FF2B5EF4-FFF2-40B4-BE49-F238E27FC236}">
              <a16:creationId xmlns:a16="http://schemas.microsoft.com/office/drawing/2014/main" id="{1D5A3194-6C3E-46AD-8C9F-D4E38BE62EE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8" name="AutoShape 3" descr="Story">
          <a:hlinkClick xmlns:r="http://schemas.openxmlformats.org/officeDocument/2006/relationships" r:id="rId9"/>
          <a:extLst>
            <a:ext uri="{FF2B5EF4-FFF2-40B4-BE49-F238E27FC236}">
              <a16:creationId xmlns:a16="http://schemas.microsoft.com/office/drawing/2014/main" id="{1A47B4AD-F7F2-4F70-A0E2-54FB76A98A2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19" name="AutoShape 12" descr="Story">
          <a:hlinkClick xmlns:r="http://schemas.openxmlformats.org/officeDocument/2006/relationships" r:id="rId8"/>
          <a:extLst>
            <a:ext uri="{FF2B5EF4-FFF2-40B4-BE49-F238E27FC236}">
              <a16:creationId xmlns:a16="http://schemas.microsoft.com/office/drawing/2014/main" id="{1720586F-1923-485F-AA89-8E7F53B3CC3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0" name="AutoShape 1" descr="Story">
          <a:hlinkClick xmlns:r="http://schemas.openxmlformats.org/officeDocument/2006/relationships" r:id="rId7"/>
          <a:extLst>
            <a:ext uri="{FF2B5EF4-FFF2-40B4-BE49-F238E27FC236}">
              <a16:creationId xmlns:a16="http://schemas.microsoft.com/office/drawing/2014/main" id="{9195B664-A412-4594-B29A-6594E4C8FC7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1" name="AutoShape 1" descr="Story">
          <a:hlinkClick xmlns:r="http://schemas.openxmlformats.org/officeDocument/2006/relationships" r:id="rId7"/>
          <a:extLst>
            <a:ext uri="{FF2B5EF4-FFF2-40B4-BE49-F238E27FC236}">
              <a16:creationId xmlns:a16="http://schemas.microsoft.com/office/drawing/2014/main" id="{384EBEBB-424B-48B2-A60A-831E903850C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2" name="AutoShape 3" descr="Story">
          <a:hlinkClick xmlns:r="http://schemas.openxmlformats.org/officeDocument/2006/relationships" r:id="rId4"/>
          <a:extLst>
            <a:ext uri="{FF2B5EF4-FFF2-40B4-BE49-F238E27FC236}">
              <a16:creationId xmlns:a16="http://schemas.microsoft.com/office/drawing/2014/main" id="{102FCBD5-D49B-46B8-8903-9CBF4CE8D78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3" name="AutoShape 4" descr="Story">
          <a:hlinkClick xmlns:r="http://schemas.openxmlformats.org/officeDocument/2006/relationships" r:id="rId5"/>
          <a:extLst>
            <a:ext uri="{FF2B5EF4-FFF2-40B4-BE49-F238E27FC236}">
              <a16:creationId xmlns:a16="http://schemas.microsoft.com/office/drawing/2014/main" id="{5F425A1B-05F4-431A-8952-11B6EBC1315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4" name="AutoShape 3" descr="Story">
          <a:hlinkClick xmlns:r="http://schemas.openxmlformats.org/officeDocument/2006/relationships" r:id="rId4"/>
          <a:extLst>
            <a:ext uri="{FF2B5EF4-FFF2-40B4-BE49-F238E27FC236}">
              <a16:creationId xmlns:a16="http://schemas.microsoft.com/office/drawing/2014/main" id="{CDBB4A57-8BD5-4C5E-A073-A4D88B01A46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5" name="AutoShape 4" descr="Story">
          <a:hlinkClick xmlns:r="http://schemas.openxmlformats.org/officeDocument/2006/relationships" r:id="rId5"/>
          <a:extLst>
            <a:ext uri="{FF2B5EF4-FFF2-40B4-BE49-F238E27FC236}">
              <a16:creationId xmlns:a16="http://schemas.microsoft.com/office/drawing/2014/main" id="{DC0683E2-1052-4B14-8B73-5C740DD6964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6" name="AutoShape 7" descr="Story">
          <a:hlinkClick xmlns:r="http://schemas.openxmlformats.org/officeDocument/2006/relationships" r:id="rId3"/>
          <a:extLst>
            <a:ext uri="{FF2B5EF4-FFF2-40B4-BE49-F238E27FC236}">
              <a16:creationId xmlns:a16="http://schemas.microsoft.com/office/drawing/2014/main" id="{84C1C064-5F02-4C94-8965-1204AD1AE4F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7" name="AutoShape 8" descr="Story">
          <a:hlinkClick xmlns:r="http://schemas.openxmlformats.org/officeDocument/2006/relationships" r:id="rId4"/>
          <a:extLst>
            <a:ext uri="{FF2B5EF4-FFF2-40B4-BE49-F238E27FC236}">
              <a16:creationId xmlns:a16="http://schemas.microsoft.com/office/drawing/2014/main" id="{AF76A4C6-6DD3-44BA-A010-5042AB24EB6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28" name="AutoShape 8" descr="Story">
          <a:hlinkClick xmlns:r="http://schemas.openxmlformats.org/officeDocument/2006/relationships" r:id="rId4"/>
          <a:extLst>
            <a:ext uri="{FF2B5EF4-FFF2-40B4-BE49-F238E27FC236}">
              <a16:creationId xmlns:a16="http://schemas.microsoft.com/office/drawing/2014/main" id="{15701F46-8817-472D-8A27-38465BAE15D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xdr:row>
      <xdr:rowOff>0</xdr:rowOff>
    </xdr:from>
    <xdr:to>
      <xdr:col>0</xdr:col>
      <xdr:colOff>152400</xdr:colOff>
      <xdr:row>11</xdr:row>
      <xdr:rowOff>152400</xdr:rowOff>
    </xdr:to>
    <xdr:sp macro="" textlink="">
      <xdr:nvSpPr>
        <xdr:cNvPr id="729" name="AutoShape 4" descr="Bug">
          <a:hlinkClick xmlns:r="http://schemas.openxmlformats.org/officeDocument/2006/relationships" r:id="rId1"/>
          <a:extLst>
            <a:ext uri="{FF2B5EF4-FFF2-40B4-BE49-F238E27FC236}">
              <a16:creationId xmlns:a16="http://schemas.microsoft.com/office/drawing/2014/main" id="{4F47EC3B-27F1-46E9-96DA-E1D8EF98F1E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30" name="AutoShape 6" descr="Bug">
          <a:hlinkClick xmlns:r="http://schemas.openxmlformats.org/officeDocument/2006/relationships" r:id="rId2"/>
          <a:extLst>
            <a:ext uri="{FF2B5EF4-FFF2-40B4-BE49-F238E27FC236}">
              <a16:creationId xmlns:a16="http://schemas.microsoft.com/office/drawing/2014/main" id="{60579E85-58F2-4AB9-B72F-89F31640B52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31" name="AutoShape 7" descr="Story">
          <a:hlinkClick xmlns:r="http://schemas.openxmlformats.org/officeDocument/2006/relationships" r:id="rId3"/>
          <a:extLst>
            <a:ext uri="{FF2B5EF4-FFF2-40B4-BE49-F238E27FC236}">
              <a16:creationId xmlns:a16="http://schemas.microsoft.com/office/drawing/2014/main" id="{69A8509A-463D-479E-B74A-356697BFBCA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32" name="AutoShape 8" descr="Story">
          <a:hlinkClick xmlns:r="http://schemas.openxmlformats.org/officeDocument/2006/relationships" r:id="rId4"/>
          <a:extLst>
            <a:ext uri="{FF2B5EF4-FFF2-40B4-BE49-F238E27FC236}">
              <a16:creationId xmlns:a16="http://schemas.microsoft.com/office/drawing/2014/main" id="{A54CE1D8-F772-4BE4-80E4-AF2A62F7870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33" name="AutoShape 9" descr="Story">
          <a:hlinkClick xmlns:r="http://schemas.openxmlformats.org/officeDocument/2006/relationships" r:id="rId5"/>
          <a:extLst>
            <a:ext uri="{FF2B5EF4-FFF2-40B4-BE49-F238E27FC236}">
              <a16:creationId xmlns:a16="http://schemas.microsoft.com/office/drawing/2014/main" id="{C00EE7B0-A362-4C84-A224-9BBBEF8D77F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34" name="AutoShape 13" descr="Story">
          <a:hlinkClick xmlns:r="http://schemas.openxmlformats.org/officeDocument/2006/relationships" r:id="rId4"/>
          <a:extLst>
            <a:ext uri="{FF2B5EF4-FFF2-40B4-BE49-F238E27FC236}">
              <a16:creationId xmlns:a16="http://schemas.microsoft.com/office/drawing/2014/main" id="{CF98AF84-6754-4181-8443-B257ABB521A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xdr:row>
      <xdr:rowOff>0</xdr:rowOff>
    </xdr:from>
    <xdr:ext cx="152400" cy="152400"/>
    <xdr:sp macro="" textlink="">
      <xdr:nvSpPr>
        <xdr:cNvPr id="735" name="AutoShape 1" descr="Story">
          <a:hlinkClick xmlns:r="http://schemas.openxmlformats.org/officeDocument/2006/relationships" r:id="rId12"/>
          <a:extLst>
            <a:ext uri="{FF2B5EF4-FFF2-40B4-BE49-F238E27FC236}">
              <a16:creationId xmlns:a16="http://schemas.microsoft.com/office/drawing/2014/main" id="{3F210D4C-AF38-44E4-80BC-6AA185CABB1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36" name="AutoShape 2" descr="Story">
          <a:hlinkClick xmlns:r="http://schemas.openxmlformats.org/officeDocument/2006/relationships" r:id="rId13"/>
          <a:extLst>
            <a:ext uri="{FF2B5EF4-FFF2-40B4-BE49-F238E27FC236}">
              <a16:creationId xmlns:a16="http://schemas.microsoft.com/office/drawing/2014/main" id="{9E1E3EA2-0B4B-45D0-A778-E0D72F80254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37" name="AutoShape 5" descr="Story">
          <a:hlinkClick xmlns:r="http://schemas.openxmlformats.org/officeDocument/2006/relationships" r:id="rId6"/>
          <a:extLst>
            <a:ext uri="{FF2B5EF4-FFF2-40B4-BE49-F238E27FC236}">
              <a16:creationId xmlns:a16="http://schemas.microsoft.com/office/drawing/2014/main" id="{7A722953-BDCD-4BF8-971E-3D42CA50FEB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38" name="AutoShape 1" descr="Sub-task">
          <a:hlinkClick xmlns:r="http://schemas.openxmlformats.org/officeDocument/2006/relationships" r:id="rId14"/>
          <a:extLst>
            <a:ext uri="{FF2B5EF4-FFF2-40B4-BE49-F238E27FC236}">
              <a16:creationId xmlns:a16="http://schemas.microsoft.com/office/drawing/2014/main" id="{B55EAAD3-DF38-4E08-990A-75E0579315B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39" name="AutoShape 2" descr="Sub-task">
          <a:hlinkClick xmlns:r="http://schemas.openxmlformats.org/officeDocument/2006/relationships" r:id="rId15"/>
          <a:extLst>
            <a:ext uri="{FF2B5EF4-FFF2-40B4-BE49-F238E27FC236}">
              <a16:creationId xmlns:a16="http://schemas.microsoft.com/office/drawing/2014/main" id="{BCC6CBBD-EE2D-4300-A32A-A14EF219F7E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0" name="AutoShape 3" descr="Story">
          <a:hlinkClick xmlns:r="http://schemas.openxmlformats.org/officeDocument/2006/relationships" r:id="rId9"/>
          <a:extLst>
            <a:ext uri="{FF2B5EF4-FFF2-40B4-BE49-F238E27FC236}">
              <a16:creationId xmlns:a16="http://schemas.microsoft.com/office/drawing/2014/main" id="{162966B4-04B4-4776-B8A5-629DAEC33D7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1" name="AutoShape 12" descr="Story">
          <a:hlinkClick xmlns:r="http://schemas.openxmlformats.org/officeDocument/2006/relationships" r:id="rId8"/>
          <a:extLst>
            <a:ext uri="{FF2B5EF4-FFF2-40B4-BE49-F238E27FC236}">
              <a16:creationId xmlns:a16="http://schemas.microsoft.com/office/drawing/2014/main" id="{4D3F08A1-F707-41E9-A9D3-94D8D60912E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2" name="AutoShape 1" descr="Story">
          <a:hlinkClick xmlns:r="http://schemas.openxmlformats.org/officeDocument/2006/relationships" r:id="rId7"/>
          <a:extLst>
            <a:ext uri="{FF2B5EF4-FFF2-40B4-BE49-F238E27FC236}">
              <a16:creationId xmlns:a16="http://schemas.microsoft.com/office/drawing/2014/main" id="{6B0C06D4-7CCF-4A05-B3C9-D1B2E655C58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3" name="AutoShape 1" descr="Story">
          <a:hlinkClick xmlns:r="http://schemas.openxmlformats.org/officeDocument/2006/relationships" r:id="rId7"/>
          <a:extLst>
            <a:ext uri="{FF2B5EF4-FFF2-40B4-BE49-F238E27FC236}">
              <a16:creationId xmlns:a16="http://schemas.microsoft.com/office/drawing/2014/main" id="{A6A93929-C9A6-440E-B9AE-D131AA480EE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4" name="AutoShape 3" descr="Story">
          <a:hlinkClick xmlns:r="http://schemas.openxmlformats.org/officeDocument/2006/relationships" r:id="rId4"/>
          <a:extLst>
            <a:ext uri="{FF2B5EF4-FFF2-40B4-BE49-F238E27FC236}">
              <a16:creationId xmlns:a16="http://schemas.microsoft.com/office/drawing/2014/main" id="{33C02C68-9FA7-43C4-9E99-B4FB57453B2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5" name="AutoShape 4" descr="Story">
          <a:hlinkClick xmlns:r="http://schemas.openxmlformats.org/officeDocument/2006/relationships" r:id="rId5"/>
          <a:extLst>
            <a:ext uri="{FF2B5EF4-FFF2-40B4-BE49-F238E27FC236}">
              <a16:creationId xmlns:a16="http://schemas.microsoft.com/office/drawing/2014/main" id="{4C62B05C-8B89-46CE-8A13-C4939D9564E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6" name="AutoShape 3" descr="Story">
          <a:hlinkClick xmlns:r="http://schemas.openxmlformats.org/officeDocument/2006/relationships" r:id="rId4"/>
          <a:extLst>
            <a:ext uri="{FF2B5EF4-FFF2-40B4-BE49-F238E27FC236}">
              <a16:creationId xmlns:a16="http://schemas.microsoft.com/office/drawing/2014/main" id="{D8A8E79A-5F11-4A24-B20A-9AAC7F6FD9E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7" name="AutoShape 4" descr="Story">
          <a:hlinkClick xmlns:r="http://schemas.openxmlformats.org/officeDocument/2006/relationships" r:id="rId5"/>
          <a:extLst>
            <a:ext uri="{FF2B5EF4-FFF2-40B4-BE49-F238E27FC236}">
              <a16:creationId xmlns:a16="http://schemas.microsoft.com/office/drawing/2014/main" id="{BFE94485-D4A5-4423-942C-08E1DE69521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8" name="AutoShape 7" descr="Story">
          <a:hlinkClick xmlns:r="http://schemas.openxmlformats.org/officeDocument/2006/relationships" r:id="rId3"/>
          <a:extLst>
            <a:ext uri="{FF2B5EF4-FFF2-40B4-BE49-F238E27FC236}">
              <a16:creationId xmlns:a16="http://schemas.microsoft.com/office/drawing/2014/main" id="{63DBE1CB-3A6B-4CD5-9369-3A91EA247B8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49" name="AutoShape 8" descr="Story">
          <a:hlinkClick xmlns:r="http://schemas.openxmlformats.org/officeDocument/2006/relationships" r:id="rId4"/>
          <a:extLst>
            <a:ext uri="{FF2B5EF4-FFF2-40B4-BE49-F238E27FC236}">
              <a16:creationId xmlns:a16="http://schemas.microsoft.com/office/drawing/2014/main" id="{9028C8CE-8844-496A-9615-57C8571B69B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50" name="AutoShape 8" descr="Story">
          <a:hlinkClick xmlns:r="http://schemas.openxmlformats.org/officeDocument/2006/relationships" r:id="rId4"/>
          <a:extLst>
            <a:ext uri="{FF2B5EF4-FFF2-40B4-BE49-F238E27FC236}">
              <a16:creationId xmlns:a16="http://schemas.microsoft.com/office/drawing/2014/main" id="{B45A4323-D553-431D-96C9-F13D35D7E2A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xdr:row>
      <xdr:rowOff>0</xdr:rowOff>
    </xdr:from>
    <xdr:to>
      <xdr:col>0</xdr:col>
      <xdr:colOff>152400</xdr:colOff>
      <xdr:row>11</xdr:row>
      <xdr:rowOff>152400</xdr:rowOff>
    </xdr:to>
    <xdr:sp macro="" textlink="">
      <xdr:nvSpPr>
        <xdr:cNvPr id="751" name="AutoShape 4" descr="Bug">
          <a:hlinkClick xmlns:r="http://schemas.openxmlformats.org/officeDocument/2006/relationships" r:id="rId1"/>
          <a:extLst>
            <a:ext uri="{FF2B5EF4-FFF2-40B4-BE49-F238E27FC236}">
              <a16:creationId xmlns:a16="http://schemas.microsoft.com/office/drawing/2014/main" id="{8B63DD7E-1E16-4538-AAAE-FE91FD50A3E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52" name="AutoShape 6" descr="Bug">
          <a:hlinkClick xmlns:r="http://schemas.openxmlformats.org/officeDocument/2006/relationships" r:id="rId2"/>
          <a:extLst>
            <a:ext uri="{FF2B5EF4-FFF2-40B4-BE49-F238E27FC236}">
              <a16:creationId xmlns:a16="http://schemas.microsoft.com/office/drawing/2014/main" id="{8E084EEB-0919-43E9-8A1A-DB9C4FAA03D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53" name="AutoShape 7" descr="Story">
          <a:hlinkClick xmlns:r="http://schemas.openxmlformats.org/officeDocument/2006/relationships" r:id="rId3"/>
          <a:extLst>
            <a:ext uri="{FF2B5EF4-FFF2-40B4-BE49-F238E27FC236}">
              <a16:creationId xmlns:a16="http://schemas.microsoft.com/office/drawing/2014/main" id="{9AF00107-4964-4A89-8793-A9D31065014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54" name="AutoShape 8" descr="Story">
          <a:hlinkClick xmlns:r="http://schemas.openxmlformats.org/officeDocument/2006/relationships" r:id="rId4"/>
          <a:extLst>
            <a:ext uri="{FF2B5EF4-FFF2-40B4-BE49-F238E27FC236}">
              <a16:creationId xmlns:a16="http://schemas.microsoft.com/office/drawing/2014/main" id="{12B0DD6B-CB74-471F-BFAA-9502828FED4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55" name="AutoShape 9" descr="Story">
          <a:hlinkClick xmlns:r="http://schemas.openxmlformats.org/officeDocument/2006/relationships" r:id="rId5"/>
          <a:extLst>
            <a:ext uri="{FF2B5EF4-FFF2-40B4-BE49-F238E27FC236}">
              <a16:creationId xmlns:a16="http://schemas.microsoft.com/office/drawing/2014/main" id="{D1A7C947-3E1C-4E33-BC5A-03C30DE24CF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152400</xdr:colOff>
      <xdr:row>11</xdr:row>
      <xdr:rowOff>152400</xdr:rowOff>
    </xdr:to>
    <xdr:sp macro="" textlink="">
      <xdr:nvSpPr>
        <xdr:cNvPr id="756" name="AutoShape 13" descr="Story">
          <a:hlinkClick xmlns:r="http://schemas.openxmlformats.org/officeDocument/2006/relationships" r:id="rId4"/>
          <a:extLst>
            <a:ext uri="{FF2B5EF4-FFF2-40B4-BE49-F238E27FC236}">
              <a16:creationId xmlns:a16="http://schemas.microsoft.com/office/drawing/2014/main" id="{54805796-FE88-41AA-9EFA-3DB017E207C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xdr:row>
      <xdr:rowOff>0</xdr:rowOff>
    </xdr:from>
    <xdr:ext cx="152400" cy="152400"/>
    <xdr:sp macro="" textlink="">
      <xdr:nvSpPr>
        <xdr:cNvPr id="757" name="AutoShape 1" descr="Story">
          <a:hlinkClick xmlns:r="http://schemas.openxmlformats.org/officeDocument/2006/relationships" r:id="rId12"/>
          <a:extLst>
            <a:ext uri="{FF2B5EF4-FFF2-40B4-BE49-F238E27FC236}">
              <a16:creationId xmlns:a16="http://schemas.microsoft.com/office/drawing/2014/main" id="{F65121BA-0CCA-4060-B277-E49539E97CE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58" name="AutoShape 2" descr="Story">
          <a:hlinkClick xmlns:r="http://schemas.openxmlformats.org/officeDocument/2006/relationships" r:id="rId13"/>
          <a:extLst>
            <a:ext uri="{FF2B5EF4-FFF2-40B4-BE49-F238E27FC236}">
              <a16:creationId xmlns:a16="http://schemas.microsoft.com/office/drawing/2014/main" id="{8F11F0A9-344D-4CE0-9E10-E5C27B5863A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59" name="AutoShape 5" descr="Story">
          <a:hlinkClick xmlns:r="http://schemas.openxmlformats.org/officeDocument/2006/relationships" r:id="rId6"/>
          <a:extLst>
            <a:ext uri="{FF2B5EF4-FFF2-40B4-BE49-F238E27FC236}">
              <a16:creationId xmlns:a16="http://schemas.microsoft.com/office/drawing/2014/main" id="{F9DF7915-11D0-46B7-9A6E-676E65677B0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0" name="AutoShape 1" descr="Sub-task">
          <a:hlinkClick xmlns:r="http://schemas.openxmlformats.org/officeDocument/2006/relationships" r:id="rId14"/>
          <a:extLst>
            <a:ext uri="{FF2B5EF4-FFF2-40B4-BE49-F238E27FC236}">
              <a16:creationId xmlns:a16="http://schemas.microsoft.com/office/drawing/2014/main" id="{01E38C90-495F-410D-8407-69C72B9B2BF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1" name="AutoShape 2" descr="Sub-task">
          <a:hlinkClick xmlns:r="http://schemas.openxmlformats.org/officeDocument/2006/relationships" r:id="rId15"/>
          <a:extLst>
            <a:ext uri="{FF2B5EF4-FFF2-40B4-BE49-F238E27FC236}">
              <a16:creationId xmlns:a16="http://schemas.microsoft.com/office/drawing/2014/main" id="{1BD512A3-21CD-4F35-A9A7-CA474A1C2C7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2" name="AutoShape 3" descr="Story">
          <a:hlinkClick xmlns:r="http://schemas.openxmlformats.org/officeDocument/2006/relationships" r:id="rId9"/>
          <a:extLst>
            <a:ext uri="{FF2B5EF4-FFF2-40B4-BE49-F238E27FC236}">
              <a16:creationId xmlns:a16="http://schemas.microsoft.com/office/drawing/2014/main" id="{93A5400B-64DA-411D-9804-2B1DDADE5DC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3" name="AutoShape 12" descr="Story">
          <a:hlinkClick xmlns:r="http://schemas.openxmlformats.org/officeDocument/2006/relationships" r:id="rId8"/>
          <a:extLst>
            <a:ext uri="{FF2B5EF4-FFF2-40B4-BE49-F238E27FC236}">
              <a16:creationId xmlns:a16="http://schemas.microsoft.com/office/drawing/2014/main" id="{18D72689-6B11-4F29-B7D2-8D370207B42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4" name="AutoShape 1" descr="Story">
          <a:hlinkClick xmlns:r="http://schemas.openxmlformats.org/officeDocument/2006/relationships" r:id="rId7"/>
          <a:extLst>
            <a:ext uri="{FF2B5EF4-FFF2-40B4-BE49-F238E27FC236}">
              <a16:creationId xmlns:a16="http://schemas.microsoft.com/office/drawing/2014/main" id="{DE64B425-86F1-4461-AF07-224FD8FB692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5" name="AutoShape 1" descr="Story">
          <a:hlinkClick xmlns:r="http://schemas.openxmlformats.org/officeDocument/2006/relationships" r:id="rId7"/>
          <a:extLst>
            <a:ext uri="{FF2B5EF4-FFF2-40B4-BE49-F238E27FC236}">
              <a16:creationId xmlns:a16="http://schemas.microsoft.com/office/drawing/2014/main" id="{75BDE897-A875-4FE5-8BD7-E135068F7E1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6" name="AutoShape 3" descr="Story">
          <a:hlinkClick xmlns:r="http://schemas.openxmlformats.org/officeDocument/2006/relationships" r:id="rId4"/>
          <a:extLst>
            <a:ext uri="{FF2B5EF4-FFF2-40B4-BE49-F238E27FC236}">
              <a16:creationId xmlns:a16="http://schemas.microsoft.com/office/drawing/2014/main" id="{E8344032-3D03-4004-B3AD-BA838124C37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7" name="AutoShape 4" descr="Story">
          <a:hlinkClick xmlns:r="http://schemas.openxmlformats.org/officeDocument/2006/relationships" r:id="rId5"/>
          <a:extLst>
            <a:ext uri="{FF2B5EF4-FFF2-40B4-BE49-F238E27FC236}">
              <a16:creationId xmlns:a16="http://schemas.microsoft.com/office/drawing/2014/main" id="{BEEACCDE-2FE5-426D-A4D4-4E6614DF156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8" name="AutoShape 3" descr="Story">
          <a:hlinkClick xmlns:r="http://schemas.openxmlformats.org/officeDocument/2006/relationships" r:id="rId4"/>
          <a:extLst>
            <a:ext uri="{FF2B5EF4-FFF2-40B4-BE49-F238E27FC236}">
              <a16:creationId xmlns:a16="http://schemas.microsoft.com/office/drawing/2014/main" id="{86C4DE5A-1F4A-4D2F-AF6C-B8982BA5458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69" name="AutoShape 4" descr="Story">
          <a:hlinkClick xmlns:r="http://schemas.openxmlformats.org/officeDocument/2006/relationships" r:id="rId5"/>
          <a:extLst>
            <a:ext uri="{FF2B5EF4-FFF2-40B4-BE49-F238E27FC236}">
              <a16:creationId xmlns:a16="http://schemas.microsoft.com/office/drawing/2014/main" id="{1006B5EE-E8ED-44EE-976E-9F140738E7E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70" name="AutoShape 7" descr="Story">
          <a:hlinkClick xmlns:r="http://schemas.openxmlformats.org/officeDocument/2006/relationships" r:id="rId3"/>
          <a:extLst>
            <a:ext uri="{FF2B5EF4-FFF2-40B4-BE49-F238E27FC236}">
              <a16:creationId xmlns:a16="http://schemas.microsoft.com/office/drawing/2014/main" id="{4847D1EE-6375-4E32-AA63-0260B3A256A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71" name="AutoShape 8" descr="Story">
          <a:hlinkClick xmlns:r="http://schemas.openxmlformats.org/officeDocument/2006/relationships" r:id="rId4"/>
          <a:extLst>
            <a:ext uri="{FF2B5EF4-FFF2-40B4-BE49-F238E27FC236}">
              <a16:creationId xmlns:a16="http://schemas.microsoft.com/office/drawing/2014/main" id="{DB3BA8F1-0F19-4B01-B6E9-940B2C0D345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152400" cy="152400"/>
    <xdr:sp macro="" textlink="">
      <xdr:nvSpPr>
        <xdr:cNvPr id="772" name="AutoShape 8" descr="Story">
          <a:hlinkClick xmlns:r="http://schemas.openxmlformats.org/officeDocument/2006/relationships" r:id="rId4"/>
          <a:extLst>
            <a:ext uri="{FF2B5EF4-FFF2-40B4-BE49-F238E27FC236}">
              <a16:creationId xmlns:a16="http://schemas.microsoft.com/office/drawing/2014/main" id="{FC4D22CE-6EAE-4833-ACD1-5B288F6BD42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152400" cy="152400"/>
    <xdr:sp macro="" textlink="">
      <xdr:nvSpPr>
        <xdr:cNvPr id="2" name="AutoShape 4" descr="Bug">
          <a:hlinkClick xmlns:r="http://schemas.openxmlformats.org/officeDocument/2006/relationships" r:id="rId1"/>
          <a:extLst>
            <a:ext uri="{FF2B5EF4-FFF2-40B4-BE49-F238E27FC236}">
              <a16:creationId xmlns:a16="http://schemas.microsoft.com/office/drawing/2014/main" id="{8632AD43-FF0E-4896-B2AF-7EB96A8899B9}"/>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3" name="AutoShape 6" descr="Bug">
          <a:hlinkClick xmlns:r="http://schemas.openxmlformats.org/officeDocument/2006/relationships" r:id="rId2"/>
          <a:extLst>
            <a:ext uri="{FF2B5EF4-FFF2-40B4-BE49-F238E27FC236}">
              <a16:creationId xmlns:a16="http://schemas.microsoft.com/office/drawing/2014/main" id="{7157BB88-A4B3-461F-8124-970BF43CC901}"/>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 name="AutoShape 7" descr="Story">
          <a:hlinkClick xmlns:r="http://schemas.openxmlformats.org/officeDocument/2006/relationships" r:id="rId3"/>
          <a:extLst>
            <a:ext uri="{FF2B5EF4-FFF2-40B4-BE49-F238E27FC236}">
              <a16:creationId xmlns:a16="http://schemas.microsoft.com/office/drawing/2014/main" id="{4B303812-8B30-4CDA-9AF5-46AEFF6C47B3}"/>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5" name="AutoShape 8" descr="Story">
          <a:hlinkClick xmlns:r="http://schemas.openxmlformats.org/officeDocument/2006/relationships" r:id="rId4"/>
          <a:extLst>
            <a:ext uri="{FF2B5EF4-FFF2-40B4-BE49-F238E27FC236}">
              <a16:creationId xmlns:a16="http://schemas.microsoft.com/office/drawing/2014/main" id="{64C2F9F2-446B-444C-9A59-9948D612A6F8}"/>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6" name="AutoShape 9" descr="Story">
          <a:hlinkClick xmlns:r="http://schemas.openxmlformats.org/officeDocument/2006/relationships" r:id="rId5"/>
          <a:extLst>
            <a:ext uri="{FF2B5EF4-FFF2-40B4-BE49-F238E27FC236}">
              <a16:creationId xmlns:a16="http://schemas.microsoft.com/office/drawing/2014/main" id="{11CF6906-046F-4662-BF79-D7C8A0DDA99F}"/>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7" name="AutoShape 10" descr="Story">
          <a:hlinkClick xmlns:r="http://schemas.openxmlformats.org/officeDocument/2006/relationships" r:id="rId6"/>
          <a:extLst>
            <a:ext uri="{FF2B5EF4-FFF2-40B4-BE49-F238E27FC236}">
              <a16:creationId xmlns:a16="http://schemas.microsoft.com/office/drawing/2014/main" id="{08DDB5D0-A33A-462F-9E10-2F711DC94916}"/>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8" name="AutoShape 13" descr="Story">
          <a:hlinkClick xmlns:r="http://schemas.openxmlformats.org/officeDocument/2006/relationships" r:id="rId4"/>
          <a:extLst>
            <a:ext uri="{FF2B5EF4-FFF2-40B4-BE49-F238E27FC236}">
              <a16:creationId xmlns:a16="http://schemas.microsoft.com/office/drawing/2014/main" id="{35F73DC1-B385-4E6F-9565-66BF36348CAD}"/>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9" name="AutoShape 14" descr="Story">
          <a:hlinkClick xmlns:r="http://schemas.openxmlformats.org/officeDocument/2006/relationships" r:id="rId4"/>
          <a:extLst>
            <a:ext uri="{FF2B5EF4-FFF2-40B4-BE49-F238E27FC236}">
              <a16:creationId xmlns:a16="http://schemas.microsoft.com/office/drawing/2014/main" id="{38F3796A-990A-4798-AFEF-9B7A381F530E}"/>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0</xdr:row>
      <xdr:rowOff>0</xdr:rowOff>
    </xdr:from>
    <xdr:to>
      <xdr:col>1</xdr:col>
      <xdr:colOff>152400</xdr:colOff>
      <xdr:row>0</xdr:row>
      <xdr:rowOff>152400</xdr:rowOff>
    </xdr:to>
    <xdr:sp macro="" textlink="">
      <xdr:nvSpPr>
        <xdr:cNvPr id="10" name="AutoShape 4" descr="Bug">
          <a:hlinkClick xmlns:r="http://schemas.openxmlformats.org/officeDocument/2006/relationships" r:id="rId1"/>
          <a:extLst>
            <a:ext uri="{FF2B5EF4-FFF2-40B4-BE49-F238E27FC236}">
              <a16:creationId xmlns:a16="http://schemas.microsoft.com/office/drawing/2014/main" id="{1411F898-DA07-45C0-AF39-41B0FEB1A358}"/>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1" name="AutoShape 6" descr="Bug">
          <a:hlinkClick xmlns:r="http://schemas.openxmlformats.org/officeDocument/2006/relationships" r:id="rId2"/>
          <a:extLst>
            <a:ext uri="{FF2B5EF4-FFF2-40B4-BE49-F238E27FC236}">
              <a16:creationId xmlns:a16="http://schemas.microsoft.com/office/drawing/2014/main" id="{14E46996-A037-47DD-BFC8-369B777B99A4}"/>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2" name="AutoShape 7" descr="Story">
          <a:hlinkClick xmlns:r="http://schemas.openxmlformats.org/officeDocument/2006/relationships" r:id="rId3"/>
          <a:extLst>
            <a:ext uri="{FF2B5EF4-FFF2-40B4-BE49-F238E27FC236}">
              <a16:creationId xmlns:a16="http://schemas.microsoft.com/office/drawing/2014/main" id="{517D0864-2A90-4173-92FF-7F4E09D54BBC}"/>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3" name="AutoShape 8" descr="Story">
          <a:hlinkClick xmlns:r="http://schemas.openxmlformats.org/officeDocument/2006/relationships" r:id="rId4"/>
          <a:extLst>
            <a:ext uri="{FF2B5EF4-FFF2-40B4-BE49-F238E27FC236}">
              <a16:creationId xmlns:a16="http://schemas.microsoft.com/office/drawing/2014/main" id="{A87D773E-1364-4B81-850C-40DE1A752750}"/>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4" name="AutoShape 9" descr="Story">
          <a:hlinkClick xmlns:r="http://schemas.openxmlformats.org/officeDocument/2006/relationships" r:id="rId5"/>
          <a:extLst>
            <a:ext uri="{FF2B5EF4-FFF2-40B4-BE49-F238E27FC236}">
              <a16:creationId xmlns:a16="http://schemas.microsoft.com/office/drawing/2014/main" id="{D5697545-2FC8-423F-B5A5-56F6C0BE4D50}"/>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5" name="AutoShape 10" descr="Story">
          <a:hlinkClick xmlns:r="http://schemas.openxmlformats.org/officeDocument/2006/relationships" r:id="rId6"/>
          <a:extLst>
            <a:ext uri="{FF2B5EF4-FFF2-40B4-BE49-F238E27FC236}">
              <a16:creationId xmlns:a16="http://schemas.microsoft.com/office/drawing/2014/main" id="{34000224-EA07-4AB5-8622-1DF199E5DE39}"/>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6" name="AutoShape 13" descr="Story">
          <a:hlinkClick xmlns:r="http://schemas.openxmlformats.org/officeDocument/2006/relationships" r:id="rId4"/>
          <a:extLst>
            <a:ext uri="{FF2B5EF4-FFF2-40B4-BE49-F238E27FC236}">
              <a16:creationId xmlns:a16="http://schemas.microsoft.com/office/drawing/2014/main" id="{20BA6428-9010-475E-A87B-CDF731AFFED6}"/>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7" name="AutoShape 14" descr="Story">
          <a:hlinkClick xmlns:r="http://schemas.openxmlformats.org/officeDocument/2006/relationships" r:id="rId4"/>
          <a:extLst>
            <a:ext uri="{FF2B5EF4-FFF2-40B4-BE49-F238E27FC236}">
              <a16:creationId xmlns:a16="http://schemas.microsoft.com/office/drawing/2014/main" id="{EB2B0B24-3AAE-43CE-95EE-6E9A942C113F}"/>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8" name="AutoShape 1" descr="Story">
          <a:hlinkClick xmlns:r="http://schemas.openxmlformats.org/officeDocument/2006/relationships" r:id="rId7"/>
          <a:extLst>
            <a:ext uri="{FF2B5EF4-FFF2-40B4-BE49-F238E27FC236}">
              <a16:creationId xmlns:a16="http://schemas.microsoft.com/office/drawing/2014/main" id="{335F5458-1B2E-4904-8B68-5AC6F70D4BB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9" name="AutoShape 2" descr="Story">
          <a:hlinkClick xmlns:r="http://schemas.openxmlformats.org/officeDocument/2006/relationships" r:id="rId8"/>
          <a:extLst>
            <a:ext uri="{FF2B5EF4-FFF2-40B4-BE49-F238E27FC236}">
              <a16:creationId xmlns:a16="http://schemas.microsoft.com/office/drawing/2014/main" id="{57C7B21E-98D4-4516-82DC-9873AB10425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0" name="AutoShape 3" descr="Story">
          <a:hlinkClick xmlns:r="http://schemas.openxmlformats.org/officeDocument/2006/relationships" r:id="rId9"/>
          <a:extLst>
            <a:ext uri="{FF2B5EF4-FFF2-40B4-BE49-F238E27FC236}">
              <a16:creationId xmlns:a16="http://schemas.microsoft.com/office/drawing/2014/main" id="{D3F4B54C-EF70-4CA7-BBDA-810CC1E9E2B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1" name="AutoShape 4" descr="Bug">
          <a:hlinkClick xmlns:r="http://schemas.openxmlformats.org/officeDocument/2006/relationships" r:id="rId1"/>
          <a:extLst>
            <a:ext uri="{FF2B5EF4-FFF2-40B4-BE49-F238E27FC236}">
              <a16:creationId xmlns:a16="http://schemas.microsoft.com/office/drawing/2014/main" id="{B4F378F9-32A7-4CFE-95A3-10BDA0CC1F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2" name="AutoShape 5" descr="Story">
          <a:hlinkClick xmlns:r="http://schemas.openxmlformats.org/officeDocument/2006/relationships" r:id="rId10"/>
          <a:extLst>
            <a:ext uri="{FF2B5EF4-FFF2-40B4-BE49-F238E27FC236}">
              <a16:creationId xmlns:a16="http://schemas.microsoft.com/office/drawing/2014/main" id="{9DBD8B99-434E-4F51-B137-FAD17501517D}"/>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3" name="AutoShape 6" descr="Bug">
          <a:hlinkClick xmlns:r="http://schemas.openxmlformats.org/officeDocument/2006/relationships" r:id="rId2"/>
          <a:extLst>
            <a:ext uri="{FF2B5EF4-FFF2-40B4-BE49-F238E27FC236}">
              <a16:creationId xmlns:a16="http://schemas.microsoft.com/office/drawing/2014/main" id="{73E0864C-9CEC-451B-8760-8F8545C237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4" name="AutoShape 7" descr="Story">
          <a:hlinkClick xmlns:r="http://schemas.openxmlformats.org/officeDocument/2006/relationships" r:id="rId3"/>
          <a:extLst>
            <a:ext uri="{FF2B5EF4-FFF2-40B4-BE49-F238E27FC236}">
              <a16:creationId xmlns:a16="http://schemas.microsoft.com/office/drawing/2014/main" id="{6956971C-D5A9-4673-830C-E37124800B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5" name="AutoShape 8" descr="Story">
          <a:hlinkClick xmlns:r="http://schemas.openxmlformats.org/officeDocument/2006/relationships" r:id="rId4"/>
          <a:extLst>
            <a:ext uri="{FF2B5EF4-FFF2-40B4-BE49-F238E27FC236}">
              <a16:creationId xmlns:a16="http://schemas.microsoft.com/office/drawing/2014/main" id="{404E7E9B-5D63-4400-A09F-47893C5731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6" name="AutoShape 9" descr="Story">
          <a:hlinkClick xmlns:r="http://schemas.openxmlformats.org/officeDocument/2006/relationships" r:id="rId5"/>
          <a:extLst>
            <a:ext uri="{FF2B5EF4-FFF2-40B4-BE49-F238E27FC236}">
              <a16:creationId xmlns:a16="http://schemas.microsoft.com/office/drawing/2014/main" id="{68F09745-F5C0-4094-AA84-0978EECA00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7" name="AutoShape 10" descr="Story">
          <a:hlinkClick xmlns:r="http://schemas.openxmlformats.org/officeDocument/2006/relationships" r:id="rId6"/>
          <a:extLst>
            <a:ext uri="{FF2B5EF4-FFF2-40B4-BE49-F238E27FC236}">
              <a16:creationId xmlns:a16="http://schemas.microsoft.com/office/drawing/2014/main" id="{A6BF9F56-4067-4A5E-BEA4-EC239BB06E1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8" name="AutoShape 11" descr="Story">
          <a:hlinkClick xmlns:r="http://schemas.openxmlformats.org/officeDocument/2006/relationships" r:id="rId11"/>
          <a:extLst>
            <a:ext uri="{FF2B5EF4-FFF2-40B4-BE49-F238E27FC236}">
              <a16:creationId xmlns:a16="http://schemas.microsoft.com/office/drawing/2014/main" id="{381845F4-6525-476E-8F86-2EDAB633DED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29" name="AutoShape 12" descr="Story">
          <a:hlinkClick xmlns:r="http://schemas.openxmlformats.org/officeDocument/2006/relationships" r:id="rId8"/>
          <a:extLst>
            <a:ext uri="{FF2B5EF4-FFF2-40B4-BE49-F238E27FC236}">
              <a16:creationId xmlns:a16="http://schemas.microsoft.com/office/drawing/2014/main" id="{3AA85CE6-AF52-4AA2-BC0A-3E8BA3AF920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0" name="AutoShape 13" descr="Story">
          <a:hlinkClick xmlns:r="http://schemas.openxmlformats.org/officeDocument/2006/relationships" r:id="rId4"/>
          <a:extLst>
            <a:ext uri="{FF2B5EF4-FFF2-40B4-BE49-F238E27FC236}">
              <a16:creationId xmlns:a16="http://schemas.microsoft.com/office/drawing/2014/main" id="{A8D7F8B1-4459-45A8-874C-654FDF5241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1" name="AutoShape 14" descr="Story">
          <a:hlinkClick xmlns:r="http://schemas.openxmlformats.org/officeDocument/2006/relationships" r:id="rId4"/>
          <a:extLst>
            <a:ext uri="{FF2B5EF4-FFF2-40B4-BE49-F238E27FC236}">
              <a16:creationId xmlns:a16="http://schemas.microsoft.com/office/drawing/2014/main" id="{2D13FDC2-8652-411A-A2C7-C901E793146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32" name="AutoShape 15" descr="Story">
          <a:hlinkClick xmlns:r="http://schemas.openxmlformats.org/officeDocument/2006/relationships" r:id="rId4"/>
          <a:extLst>
            <a:ext uri="{FF2B5EF4-FFF2-40B4-BE49-F238E27FC236}">
              <a16:creationId xmlns:a16="http://schemas.microsoft.com/office/drawing/2014/main" id="{77A8804C-12AB-4ECC-AE29-EC948EE79C90}"/>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33" name="AutoShape 1" descr="Story">
          <a:hlinkClick xmlns:r="http://schemas.openxmlformats.org/officeDocument/2006/relationships" r:id="rId12"/>
          <a:extLst>
            <a:ext uri="{FF2B5EF4-FFF2-40B4-BE49-F238E27FC236}">
              <a16:creationId xmlns:a16="http://schemas.microsoft.com/office/drawing/2014/main" id="{CC2AE961-235E-4B03-8A30-06F365B353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4" name="AutoShape 2" descr="Story">
          <a:hlinkClick xmlns:r="http://schemas.openxmlformats.org/officeDocument/2006/relationships" r:id="rId13"/>
          <a:extLst>
            <a:ext uri="{FF2B5EF4-FFF2-40B4-BE49-F238E27FC236}">
              <a16:creationId xmlns:a16="http://schemas.microsoft.com/office/drawing/2014/main" id="{5199282E-D3F0-4A86-BB89-8ABDCA0CEC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5" name="AutoShape 5" descr="Story">
          <a:hlinkClick xmlns:r="http://schemas.openxmlformats.org/officeDocument/2006/relationships" r:id="rId6"/>
          <a:extLst>
            <a:ext uri="{FF2B5EF4-FFF2-40B4-BE49-F238E27FC236}">
              <a16:creationId xmlns:a16="http://schemas.microsoft.com/office/drawing/2014/main" id="{B356EBF4-E776-42FF-8D6D-8606A38F8D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6" name="AutoShape 1" descr="Sub-task">
          <a:hlinkClick xmlns:r="http://schemas.openxmlformats.org/officeDocument/2006/relationships" r:id="rId14"/>
          <a:extLst>
            <a:ext uri="{FF2B5EF4-FFF2-40B4-BE49-F238E27FC236}">
              <a16:creationId xmlns:a16="http://schemas.microsoft.com/office/drawing/2014/main" id="{8D3FE086-7EC2-4957-A067-B0A5E721E4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7" name="AutoShape 2" descr="Sub-task">
          <a:hlinkClick xmlns:r="http://schemas.openxmlformats.org/officeDocument/2006/relationships" r:id="rId15"/>
          <a:extLst>
            <a:ext uri="{FF2B5EF4-FFF2-40B4-BE49-F238E27FC236}">
              <a16:creationId xmlns:a16="http://schemas.microsoft.com/office/drawing/2014/main" id="{5B05C0EF-CF19-4887-AC78-F256F7B0D3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8" name="AutoShape 3" descr="Story">
          <a:hlinkClick xmlns:r="http://schemas.openxmlformats.org/officeDocument/2006/relationships" r:id="rId9"/>
          <a:extLst>
            <a:ext uri="{FF2B5EF4-FFF2-40B4-BE49-F238E27FC236}">
              <a16:creationId xmlns:a16="http://schemas.microsoft.com/office/drawing/2014/main" id="{495FA554-F25E-4702-BB1E-37F8990CD5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39" name="AutoShape 12" descr="Story">
          <a:hlinkClick xmlns:r="http://schemas.openxmlformats.org/officeDocument/2006/relationships" r:id="rId8"/>
          <a:extLst>
            <a:ext uri="{FF2B5EF4-FFF2-40B4-BE49-F238E27FC236}">
              <a16:creationId xmlns:a16="http://schemas.microsoft.com/office/drawing/2014/main" id="{2B0860AA-3046-4858-B2D7-588DB296A6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0" name="AutoShape 1" descr="Story">
          <a:hlinkClick xmlns:r="http://schemas.openxmlformats.org/officeDocument/2006/relationships" r:id="rId7"/>
          <a:extLst>
            <a:ext uri="{FF2B5EF4-FFF2-40B4-BE49-F238E27FC236}">
              <a16:creationId xmlns:a16="http://schemas.microsoft.com/office/drawing/2014/main" id="{D31A04A8-CFF0-468D-A1B7-B4F5CA2485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1" name="AutoShape 1" descr="Story">
          <a:hlinkClick xmlns:r="http://schemas.openxmlformats.org/officeDocument/2006/relationships" r:id="rId7"/>
          <a:extLst>
            <a:ext uri="{FF2B5EF4-FFF2-40B4-BE49-F238E27FC236}">
              <a16:creationId xmlns:a16="http://schemas.microsoft.com/office/drawing/2014/main" id="{B808F0CA-021F-4C9C-A196-90E13DED16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2" name="AutoShape 3" descr="Story">
          <a:hlinkClick xmlns:r="http://schemas.openxmlformats.org/officeDocument/2006/relationships" r:id="rId4"/>
          <a:extLst>
            <a:ext uri="{FF2B5EF4-FFF2-40B4-BE49-F238E27FC236}">
              <a16:creationId xmlns:a16="http://schemas.microsoft.com/office/drawing/2014/main" id="{60312C91-4AAA-4D69-A5D0-A7D5020D84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3" name="AutoShape 4" descr="Story">
          <a:hlinkClick xmlns:r="http://schemas.openxmlformats.org/officeDocument/2006/relationships" r:id="rId5"/>
          <a:extLst>
            <a:ext uri="{FF2B5EF4-FFF2-40B4-BE49-F238E27FC236}">
              <a16:creationId xmlns:a16="http://schemas.microsoft.com/office/drawing/2014/main" id="{18091A8E-D664-458E-8A7C-07D16780E3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4" name="AutoShape 1" descr="Story">
          <a:hlinkClick xmlns:r="http://schemas.openxmlformats.org/officeDocument/2006/relationships" r:id="rId12"/>
          <a:extLst>
            <a:ext uri="{FF2B5EF4-FFF2-40B4-BE49-F238E27FC236}">
              <a16:creationId xmlns:a16="http://schemas.microsoft.com/office/drawing/2014/main" id="{350DED04-F18D-47FB-A3A3-75C4EBDBEFA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5" name="AutoShape 2" descr="Story">
          <a:hlinkClick xmlns:r="http://schemas.openxmlformats.org/officeDocument/2006/relationships" r:id="rId13"/>
          <a:extLst>
            <a:ext uri="{FF2B5EF4-FFF2-40B4-BE49-F238E27FC236}">
              <a16:creationId xmlns:a16="http://schemas.microsoft.com/office/drawing/2014/main" id="{47B22664-237D-4ECA-8E91-9759F7EBB9F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6" name="AutoShape 3" descr="Story">
          <a:hlinkClick xmlns:r="http://schemas.openxmlformats.org/officeDocument/2006/relationships" r:id="rId4"/>
          <a:extLst>
            <a:ext uri="{FF2B5EF4-FFF2-40B4-BE49-F238E27FC236}">
              <a16:creationId xmlns:a16="http://schemas.microsoft.com/office/drawing/2014/main" id="{7A21C8FE-093A-4945-BF00-A4182937F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7" name="AutoShape 4" descr="Story">
          <a:hlinkClick xmlns:r="http://schemas.openxmlformats.org/officeDocument/2006/relationships" r:id="rId5"/>
          <a:extLst>
            <a:ext uri="{FF2B5EF4-FFF2-40B4-BE49-F238E27FC236}">
              <a16:creationId xmlns:a16="http://schemas.microsoft.com/office/drawing/2014/main" id="{4DB27F8A-3AA4-43D2-AFCA-F1E14CEB65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8" name="AutoShape 5" descr="Story">
          <a:hlinkClick xmlns:r="http://schemas.openxmlformats.org/officeDocument/2006/relationships" r:id="rId6"/>
          <a:extLst>
            <a:ext uri="{FF2B5EF4-FFF2-40B4-BE49-F238E27FC236}">
              <a16:creationId xmlns:a16="http://schemas.microsoft.com/office/drawing/2014/main" id="{4910E3FC-8BBC-429B-8FE6-A791B759153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49" name="AutoShape 1" descr="Sub-task">
          <a:hlinkClick xmlns:r="http://schemas.openxmlformats.org/officeDocument/2006/relationships" r:id="rId14"/>
          <a:extLst>
            <a:ext uri="{FF2B5EF4-FFF2-40B4-BE49-F238E27FC236}">
              <a16:creationId xmlns:a16="http://schemas.microsoft.com/office/drawing/2014/main" id="{BD13687D-1309-4BCA-86A9-5AD60266480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0" name="AutoShape 2" descr="Sub-task">
          <a:hlinkClick xmlns:r="http://schemas.openxmlformats.org/officeDocument/2006/relationships" r:id="rId15"/>
          <a:extLst>
            <a:ext uri="{FF2B5EF4-FFF2-40B4-BE49-F238E27FC236}">
              <a16:creationId xmlns:a16="http://schemas.microsoft.com/office/drawing/2014/main" id="{55D8A506-538A-4336-B5EA-F30A2A4BCED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1" name="AutoShape 7" descr="Story">
          <a:hlinkClick xmlns:r="http://schemas.openxmlformats.org/officeDocument/2006/relationships" r:id="rId3"/>
          <a:extLst>
            <a:ext uri="{FF2B5EF4-FFF2-40B4-BE49-F238E27FC236}">
              <a16:creationId xmlns:a16="http://schemas.microsoft.com/office/drawing/2014/main" id="{00C5CD8F-361A-4F57-BB60-D1FA7150C5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2" name="AutoShape 3" descr="Story">
          <a:hlinkClick xmlns:r="http://schemas.openxmlformats.org/officeDocument/2006/relationships" r:id="rId9"/>
          <a:extLst>
            <a:ext uri="{FF2B5EF4-FFF2-40B4-BE49-F238E27FC236}">
              <a16:creationId xmlns:a16="http://schemas.microsoft.com/office/drawing/2014/main" id="{DD863EE4-22D7-4CCD-BA8A-F8E3FD575C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3" name="AutoShape 12" descr="Story">
          <a:hlinkClick xmlns:r="http://schemas.openxmlformats.org/officeDocument/2006/relationships" r:id="rId8"/>
          <a:extLst>
            <a:ext uri="{FF2B5EF4-FFF2-40B4-BE49-F238E27FC236}">
              <a16:creationId xmlns:a16="http://schemas.microsoft.com/office/drawing/2014/main" id="{33D8D639-225A-4652-82AD-684FF382BCB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4" name="AutoShape 1" descr="Story">
          <a:hlinkClick xmlns:r="http://schemas.openxmlformats.org/officeDocument/2006/relationships" r:id="rId7"/>
          <a:extLst>
            <a:ext uri="{FF2B5EF4-FFF2-40B4-BE49-F238E27FC236}">
              <a16:creationId xmlns:a16="http://schemas.microsoft.com/office/drawing/2014/main" id="{DEC893E3-6C8E-4B4C-95D6-25A24F2447A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5" name="AutoShape 1" descr="Story">
          <a:hlinkClick xmlns:r="http://schemas.openxmlformats.org/officeDocument/2006/relationships" r:id="rId7"/>
          <a:extLst>
            <a:ext uri="{FF2B5EF4-FFF2-40B4-BE49-F238E27FC236}">
              <a16:creationId xmlns:a16="http://schemas.microsoft.com/office/drawing/2014/main" id="{3B04426A-51B1-4E0D-A1B3-213EB2DF477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6" name="AutoShape 3" descr="Story">
          <a:hlinkClick xmlns:r="http://schemas.openxmlformats.org/officeDocument/2006/relationships" r:id="rId4"/>
          <a:extLst>
            <a:ext uri="{FF2B5EF4-FFF2-40B4-BE49-F238E27FC236}">
              <a16:creationId xmlns:a16="http://schemas.microsoft.com/office/drawing/2014/main" id="{F94E2421-3621-456C-802D-991A01D0C65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7" name="AutoShape 4" descr="Story">
          <a:hlinkClick xmlns:r="http://schemas.openxmlformats.org/officeDocument/2006/relationships" r:id="rId5"/>
          <a:extLst>
            <a:ext uri="{FF2B5EF4-FFF2-40B4-BE49-F238E27FC236}">
              <a16:creationId xmlns:a16="http://schemas.microsoft.com/office/drawing/2014/main" id="{1216D28F-DA19-4195-8795-44468E0DC8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8" name="AutoShape 7" descr="Story">
          <a:hlinkClick xmlns:r="http://schemas.openxmlformats.org/officeDocument/2006/relationships" r:id="rId3"/>
          <a:extLst>
            <a:ext uri="{FF2B5EF4-FFF2-40B4-BE49-F238E27FC236}">
              <a16:creationId xmlns:a16="http://schemas.microsoft.com/office/drawing/2014/main" id="{2A21CF29-3B0F-49D8-83DF-5C4C6AC36AF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59" name="AutoShape 8" descr="Story">
          <a:hlinkClick xmlns:r="http://schemas.openxmlformats.org/officeDocument/2006/relationships" r:id="rId4"/>
          <a:extLst>
            <a:ext uri="{FF2B5EF4-FFF2-40B4-BE49-F238E27FC236}">
              <a16:creationId xmlns:a16="http://schemas.microsoft.com/office/drawing/2014/main" id="{E14F7618-F70D-44D0-ADF6-B72F756E0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60" name="AutoShape 8" descr="Story">
          <a:hlinkClick xmlns:r="http://schemas.openxmlformats.org/officeDocument/2006/relationships" r:id="rId4"/>
          <a:extLst>
            <a:ext uri="{FF2B5EF4-FFF2-40B4-BE49-F238E27FC236}">
              <a16:creationId xmlns:a16="http://schemas.microsoft.com/office/drawing/2014/main" id="{68AEF067-40B8-4A82-89C2-59BAA9F203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61" name="AutoShape 10" descr="Story">
          <a:hlinkClick xmlns:r="http://schemas.openxmlformats.org/officeDocument/2006/relationships" r:id="rId6"/>
          <a:extLst>
            <a:ext uri="{FF2B5EF4-FFF2-40B4-BE49-F238E27FC236}">
              <a16:creationId xmlns:a16="http://schemas.microsoft.com/office/drawing/2014/main" id="{16E58986-EF7B-465E-89CA-45F7571C131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2" name="AutoShape 14" descr="Story">
          <a:hlinkClick xmlns:r="http://schemas.openxmlformats.org/officeDocument/2006/relationships" r:id="rId4"/>
          <a:extLst>
            <a:ext uri="{FF2B5EF4-FFF2-40B4-BE49-F238E27FC236}">
              <a16:creationId xmlns:a16="http://schemas.microsoft.com/office/drawing/2014/main" id="{11E16FE7-6F78-4148-9C32-0C8C55FE23D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3" name="AutoShape 10" descr="Story">
          <a:hlinkClick xmlns:r="http://schemas.openxmlformats.org/officeDocument/2006/relationships" r:id="rId6"/>
          <a:extLst>
            <a:ext uri="{FF2B5EF4-FFF2-40B4-BE49-F238E27FC236}">
              <a16:creationId xmlns:a16="http://schemas.microsoft.com/office/drawing/2014/main" id="{1D1642C8-AA9A-41E8-B8BC-519852AFF13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4" name="AutoShape 14" descr="Story">
          <a:hlinkClick xmlns:r="http://schemas.openxmlformats.org/officeDocument/2006/relationships" r:id="rId4"/>
          <a:extLst>
            <a:ext uri="{FF2B5EF4-FFF2-40B4-BE49-F238E27FC236}">
              <a16:creationId xmlns:a16="http://schemas.microsoft.com/office/drawing/2014/main" id="{E9B220C5-3310-4E0A-97EB-508C3649584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5" name="AutoShape 4" descr="Bug">
          <a:hlinkClick xmlns:r="http://schemas.openxmlformats.org/officeDocument/2006/relationships" r:id="rId1"/>
          <a:extLst>
            <a:ext uri="{FF2B5EF4-FFF2-40B4-BE49-F238E27FC236}">
              <a16:creationId xmlns:a16="http://schemas.microsoft.com/office/drawing/2014/main" id="{81D5903E-ED30-4BEE-88BD-07D7118EA9B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6" name="AutoShape 6" descr="Bug">
          <a:hlinkClick xmlns:r="http://schemas.openxmlformats.org/officeDocument/2006/relationships" r:id="rId2"/>
          <a:extLst>
            <a:ext uri="{FF2B5EF4-FFF2-40B4-BE49-F238E27FC236}">
              <a16:creationId xmlns:a16="http://schemas.microsoft.com/office/drawing/2014/main" id="{60767BC2-26BA-4966-8392-353ED0B2E23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7" name="AutoShape 7" descr="Story">
          <a:hlinkClick xmlns:r="http://schemas.openxmlformats.org/officeDocument/2006/relationships" r:id="rId3"/>
          <a:extLst>
            <a:ext uri="{FF2B5EF4-FFF2-40B4-BE49-F238E27FC236}">
              <a16:creationId xmlns:a16="http://schemas.microsoft.com/office/drawing/2014/main" id="{5BB18D83-3D5B-4B3F-8F53-AD1130FBD3E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8" name="AutoShape 8" descr="Story">
          <a:hlinkClick xmlns:r="http://schemas.openxmlformats.org/officeDocument/2006/relationships" r:id="rId4"/>
          <a:extLst>
            <a:ext uri="{FF2B5EF4-FFF2-40B4-BE49-F238E27FC236}">
              <a16:creationId xmlns:a16="http://schemas.microsoft.com/office/drawing/2014/main" id="{1AC02C89-CC48-4E59-B05E-8F345B50900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69" name="AutoShape 9" descr="Story">
          <a:hlinkClick xmlns:r="http://schemas.openxmlformats.org/officeDocument/2006/relationships" r:id="rId5"/>
          <a:extLst>
            <a:ext uri="{FF2B5EF4-FFF2-40B4-BE49-F238E27FC236}">
              <a16:creationId xmlns:a16="http://schemas.microsoft.com/office/drawing/2014/main" id="{E3B9CF48-AE63-4B2D-8642-94E21ADC293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70" name="AutoShape 13" descr="Story">
          <a:hlinkClick xmlns:r="http://schemas.openxmlformats.org/officeDocument/2006/relationships" r:id="rId4"/>
          <a:extLst>
            <a:ext uri="{FF2B5EF4-FFF2-40B4-BE49-F238E27FC236}">
              <a16:creationId xmlns:a16="http://schemas.microsoft.com/office/drawing/2014/main" id="{B75509E3-8E97-4429-A553-277BAD9BA17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71" name="AutoShape 1" descr="Story">
          <a:hlinkClick xmlns:r="http://schemas.openxmlformats.org/officeDocument/2006/relationships" r:id="rId12"/>
          <a:extLst>
            <a:ext uri="{FF2B5EF4-FFF2-40B4-BE49-F238E27FC236}">
              <a16:creationId xmlns:a16="http://schemas.microsoft.com/office/drawing/2014/main" id="{BF610E91-E61C-44B4-A98C-EE7F8954D0F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2" name="AutoShape 2" descr="Story">
          <a:hlinkClick xmlns:r="http://schemas.openxmlformats.org/officeDocument/2006/relationships" r:id="rId13"/>
          <a:extLst>
            <a:ext uri="{FF2B5EF4-FFF2-40B4-BE49-F238E27FC236}">
              <a16:creationId xmlns:a16="http://schemas.microsoft.com/office/drawing/2014/main" id="{9D8262E6-A08E-4E70-99DF-5C3C75B5CE6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3" name="AutoShape 5" descr="Story">
          <a:hlinkClick xmlns:r="http://schemas.openxmlformats.org/officeDocument/2006/relationships" r:id="rId6"/>
          <a:extLst>
            <a:ext uri="{FF2B5EF4-FFF2-40B4-BE49-F238E27FC236}">
              <a16:creationId xmlns:a16="http://schemas.microsoft.com/office/drawing/2014/main" id="{2D2A55A3-077D-4262-9670-FEF39FABE82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4" name="AutoShape 1" descr="Sub-task">
          <a:hlinkClick xmlns:r="http://schemas.openxmlformats.org/officeDocument/2006/relationships" r:id="rId14"/>
          <a:extLst>
            <a:ext uri="{FF2B5EF4-FFF2-40B4-BE49-F238E27FC236}">
              <a16:creationId xmlns:a16="http://schemas.microsoft.com/office/drawing/2014/main" id="{0ACE43C2-0589-45CE-8449-13CDF0987CA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5" name="AutoShape 2" descr="Sub-task">
          <a:hlinkClick xmlns:r="http://schemas.openxmlformats.org/officeDocument/2006/relationships" r:id="rId15"/>
          <a:extLst>
            <a:ext uri="{FF2B5EF4-FFF2-40B4-BE49-F238E27FC236}">
              <a16:creationId xmlns:a16="http://schemas.microsoft.com/office/drawing/2014/main" id="{821F8457-007F-410E-AE60-DE8CC834B2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6" name="AutoShape 3" descr="Story">
          <a:hlinkClick xmlns:r="http://schemas.openxmlformats.org/officeDocument/2006/relationships" r:id="rId9"/>
          <a:extLst>
            <a:ext uri="{FF2B5EF4-FFF2-40B4-BE49-F238E27FC236}">
              <a16:creationId xmlns:a16="http://schemas.microsoft.com/office/drawing/2014/main" id="{A45C24D7-3175-43DC-8E66-941F1142B2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7" name="AutoShape 12" descr="Story">
          <a:hlinkClick xmlns:r="http://schemas.openxmlformats.org/officeDocument/2006/relationships" r:id="rId8"/>
          <a:extLst>
            <a:ext uri="{FF2B5EF4-FFF2-40B4-BE49-F238E27FC236}">
              <a16:creationId xmlns:a16="http://schemas.microsoft.com/office/drawing/2014/main" id="{E43D4BA7-272F-4367-9C13-7B03651B89E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8" name="AutoShape 1" descr="Story">
          <a:hlinkClick xmlns:r="http://schemas.openxmlformats.org/officeDocument/2006/relationships" r:id="rId7"/>
          <a:extLst>
            <a:ext uri="{FF2B5EF4-FFF2-40B4-BE49-F238E27FC236}">
              <a16:creationId xmlns:a16="http://schemas.microsoft.com/office/drawing/2014/main" id="{900378BE-7B05-4659-90CD-393BA491087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79" name="AutoShape 1" descr="Story">
          <a:hlinkClick xmlns:r="http://schemas.openxmlformats.org/officeDocument/2006/relationships" r:id="rId7"/>
          <a:extLst>
            <a:ext uri="{FF2B5EF4-FFF2-40B4-BE49-F238E27FC236}">
              <a16:creationId xmlns:a16="http://schemas.microsoft.com/office/drawing/2014/main" id="{5CACB35E-A2B7-48ED-94AA-402D68918C7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0" name="AutoShape 3" descr="Story">
          <a:hlinkClick xmlns:r="http://schemas.openxmlformats.org/officeDocument/2006/relationships" r:id="rId4"/>
          <a:extLst>
            <a:ext uri="{FF2B5EF4-FFF2-40B4-BE49-F238E27FC236}">
              <a16:creationId xmlns:a16="http://schemas.microsoft.com/office/drawing/2014/main" id="{374DEBF8-0D4F-45E5-9EFF-208BF9421AA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1" name="AutoShape 4" descr="Story">
          <a:hlinkClick xmlns:r="http://schemas.openxmlformats.org/officeDocument/2006/relationships" r:id="rId5"/>
          <a:extLst>
            <a:ext uri="{FF2B5EF4-FFF2-40B4-BE49-F238E27FC236}">
              <a16:creationId xmlns:a16="http://schemas.microsoft.com/office/drawing/2014/main" id="{3A587D73-947C-4122-B0C8-EA8EE7076B2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2" name="AutoShape 3" descr="Story">
          <a:hlinkClick xmlns:r="http://schemas.openxmlformats.org/officeDocument/2006/relationships" r:id="rId4"/>
          <a:extLst>
            <a:ext uri="{FF2B5EF4-FFF2-40B4-BE49-F238E27FC236}">
              <a16:creationId xmlns:a16="http://schemas.microsoft.com/office/drawing/2014/main" id="{5DF9625D-7030-44DC-A228-F0A75E054F4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3" name="AutoShape 4" descr="Story">
          <a:hlinkClick xmlns:r="http://schemas.openxmlformats.org/officeDocument/2006/relationships" r:id="rId5"/>
          <a:extLst>
            <a:ext uri="{FF2B5EF4-FFF2-40B4-BE49-F238E27FC236}">
              <a16:creationId xmlns:a16="http://schemas.microsoft.com/office/drawing/2014/main" id="{62DF332A-CA02-446B-ADE0-924D02DC04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4" name="AutoShape 7" descr="Story">
          <a:hlinkClick xmlns:r="http://schemas.openxmlformats.org/officeDocument/2006/relationships" r:id="rId3"/>
          <a:extLst>
            <a:ext uri="{FF2B5EF4-FFF2-40B4-BE49-F238E27FC236}">
              <a16:creationId xmlns:a16="http://schemas.microsoft.com/office/drawing/2014/main" id="{D45439BF-1843-41F6-AD63-E2699B4C584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5" name="AutoShape 8" descr="Story">
          <a:hlinkClick xmlns:r="http://schemas.openxmlformats.org/officeDocument/2006/relationships" r:id="rId4"/>
          <a:extLst>
            <a:ext uri="{FF2B5EF4-FFF2-40B4-BE49-F238E27FC236}">
              <a16:creationId xmlns:a16="http://schemas.microsoft.com/office/drawing/2014/main" id="{5ACD024F-9E4C-4A07-8B4F-A670CD87848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86" name="AutoShape 8" descr="Story">
          <a:hlinkClick xmlns:r="http://schemas.openxmlformats.org/officeDocument/2006/relationships" r:id="rId4"/>
          <a:extLst>
            <a:ext uri="{FF2B5EF4-FFF2-40B4-BE49-F238E27FC236}">
              <a16:creationId xmlns:a16="http://schemas.microsoft.com/office/drawing/2014/main" id="{D98D183E-5671-4C77-AEE6-15CC30FB8C7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87" name="AutoShape 4" descr="Bug">
          <a:hlinkClick xmlns:r="http://schemas.openxmlformats.org/officeDocument/2006/relationships" r:id="rId1"/>
          <a:extLst>
            <a:ext uri="{FF2B5EF4-FFF2-40B4-BE49-F238E27FC236}">
              <a16:creationId xmlns:a16="http://schemas.microsoft.com/office/drawing/2014/main" id="{58ECCF22-FA56-42CF-AFDA-458365971DA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88" name="AutoShape 6" descr="Bug">
          <a:hlinkClick xmlns:r="http://schemas.openxmlformats.org/officeDocument/2006/relationships" r:id="rId2"/>
          <a:extLst>
            <a:ext uri="{FF2B5EF4-FFF2-40B4-BE49-F238E27FC236}">
              <a16:creationId xmlns:a16="http://schemas.microsoft.com/office/drawing/2014/main" id="{A4635272-A972-4E2F-B07B-E5D999434F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89" name="AutoShape 7" descr="Story">
          <a:hlinkClick xmlns:r="http://schemas.openxmlformats.org/officeDocument/2006/relationships" r:id="rId3"/>
          <a:extLst>
            <a:ext uri="{FF2B5EF4-FFF2-40B4-BE49-F238E27FC236}">
              <a16:creationId xmlns:a16="http://schemas.microsoft.com/office/drawing/2014/main" id="{FD5FBBFD-FF66-4DC4-A6F2-388FA12E8F8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90" name="AutoShape 8" descr="Story">
          <a:hlinkClick xmlns:r="http://schemas.openxmlformats.org/officeDocument/2006/relationships" r:id="rId4"/>
          <a:extLst>
            <a:ext uri="{FF2B5EF4-FFF2-40B4-BE49-F238E27FC236}">
              <a16:creationId xmlns:a16="http://schemas.microsoft.com/office/drawing/2014/main" id="{A6CFDD08-7429-4DDB-A314-BC64F2AB211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91" name="AutoShape 9" descr="Story">
          <a:hlinkClick xmlns:r="http://schemas.openxmlformats.org/officeDocument/2006/relationships" r:id="rId5"/>
          <a:extLst>
            <a:ext uri="{FF2B5EF4-FFF2-40B4-BE49-F238E27FC236}">
              <a16:creationId xmlns:a16="http://schemas.microsoft.com/office/drawing/2014/main" id="{0CC2D69F-27A9-47FC-B86A-079E427F713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92" name="AutoShape 13" descr="Story">
          <a:hlinkClick xmlns:r="http://schemas.openxmlformats.org/officeDocument/2006/relationships" r:id="rId4"/>
          <a:extLst>
            <a:ext uri="{FF2B5EF4-FFF2-40B4-BE49-F238E27FC236}">
              <a16:creationId xmlns:a16="http://schemas.microsoft.com/office/drawing/2014/main" id="{A0E85EDA-D742-4316-B961-ADEE0AE86D2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93" name="AutoShape 1" descr="Story">
          <a:hlinkClick xmlns:r="http://schemas.openxmlformats.org/officeDocument/2006/relationships" r:id="rId12"/>
          <a:extLst>
            <a:ext uri="{FF2B5EF4-FFF2-40B4-BE49-F238E27FC236}">
              <a16:creationId xmlns:a16="http://schemas.microsoft.com/office/drawing/2014/main" id="{22F9FCD6-1A63-44D8-A794-3AD0F4F6354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4" name="AutoShape 2" descr="Story">
          <a:hlinkClick xmlns:r="http://schemas.openxmlformats.org/officeDocument/2006/relationships" r:id="rId13"/>
          <a:extLst>
            <a:ext uri="{FF2B5EF4-FFF2-40B4-BE49-F238E27FC236}">
              <a16:creationId xmlns:a16="http://schemas.microsoft.com/office/drawing/2014/main" id="{6DB4BE33-FCD6-4EF6-A635-AC0AA7E832F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5" name="AutoShape 5" descr="Story">
          <a:hlinkClick xmlns:r="http://schemas.openxmlformats.org/officeDocument/2006/relationships" r:id="rId6"/>
          <a:extLst>
            <a:ext uri="{FF2B5EF4-FFF2-40B4-BE49-F238E27FC236}">
              <a16:creationId xmlns:a16="http://schemas.microsoft.com/office/drawing/2014/main" id="{2B853533-D490-46F6-BF38-01976E9C29D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6" name="AutoShape 1" descr="Sub-task">
          <a:hlinkClick xmlns:r="http://schemas.openxmlformats.org/officeDocument/2006/relationships" r:id="rId14"/>
          <a:extLst>
            <a:ext uri="{FF2B5EF4-FFF2-40B4-BE49-F238E27FC236}">
              <a16:creationId xmlns:a16="http://schemas.microsoft.com/office/drawing/2014/main" id="{EC473A07-2A63-4EE8-8910-75B94E26102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7" name="AutoShape 2" descr="Sub-task">
          <a:hlinkClick xmlns:r="http://schemas.openxmlformats.org/officeDocument/2006/relationships" r:id="rId15"/>
          <a:extLst>
            <a:ext uri="{FF2B5EF4-FFF2-40B4-BE49-F238E27FC236}">
              <a16:creationId xmlns:a16="http://schemas.microsoft.com/office/drawing/2014/main" id="{98BFA3E7-EC72-427E-BF30-C6F97141F8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8" name="AutoShape 3" descr="Story">
          <a:hlinkClick xmlns:r="http://schemas.openxmlformats.org/officeDocument/2006/relationships" r:id="rId9"/>
          <a:extLst>
            <a:ext uri="{FF2B5EF4-FFF2-40B4-BE49-F238E27FC236}">
              <a16:creationId xmlns:a16="http://schemas.microsoft.com/office/drawing/2014/main" id="{ED346D05-6905-4ABB-946A-398AD19B286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99" name="AutoShape 12" descr="Story">
          <a:hlinkClick xmlns:r="http://schemas.openxmlformats.org/officeDocument/2006/relationships" r:id="rId8"/>
          <a:extLst>
            <a:ext uri="{FF2B5EF4-FFF2-40B4-BE49-F238E27FC236}">
              <a16:creationId xmlns:a16="http://schemas.microsoft.com/office/drawing/2014/main" id="{D2A09BF6-FCB3-4B5D-9ED4-13FDE90F23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0" name="AutoShape 1" descr="Story">
          <a:hlinkClick xmlns:r="http://schemas.openxmlformats.org/officeDocument/2006/relationships" r:id="rId7"/>
          <a:extLst>
            <a:ext uri="{FF2B5EF4-FFF2-40B4-BE49-F238E27FC236}">
              <a16:creationId xmlns:a16="http://schemas.microsoft.com/office/drawing/2014/main" id="{58B1D23D-B51B-4C79-93A6-7DF695943A7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1" name="AutoShape 1" descr="Story">
          <a:hlinkClick xmlns:r="http://schemas.openxmlformats.org/officeDocument/2006/relationships" r:id="rId7"/>
          <a:extLst>
            <a:ext uri="{FF2B5EF4-FFF2-40B4-BE49-F238E27FC236}">
              <a16:creationId xmlns:a16="http://schemas.microsoft.com/office/drawing/2014/main" id="{D4B5B75F-9B79-4174-AD55-601239FF266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2" name="AutoShape 3" descr="Story">
          <a:hlinkClick xmlns:r="http://schemas.openxmlformats.org/officeDocument/2006/relationships" r:id="rId4"/>
          <a:extLst>
            <a:ext uri="{FF2B5EF4-FFF2-40B4-BE49-F238E27FC236}">
              <a16:creationId xmlns:a16="http://schemas.microsoft.com/office/drawing/2014/main" id="{19198603-F066-4B4F-A93E-72FA4821EA4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3" name="AutoShape 4" descr="Story">
          <a:hlinkClick xmlns:r="http://schemas.openxmlformats.org/officeDocument/2006/relationships" r:id="rId5"/>
          <a:extLst>
            <a:ext uri="{FF2B5EF4-FFF2-40B4-BE49-F238E27FC236}">
              <a16:creationId xmlns:a16="http://schemas.microsoft.com/office/drawing/2014/main" id="{2767A8D3-EDA9-4645-8DC4-D066BDF1BDE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4" name="AutoShape 3" descr="Story">
          <a:hlinkClick xmlns:r="http://schemas.openxmlformats.org/officeDocument/2006/relationships" r:id="rId4"/>
          <a:extLst>
            <a:ext uri="{FF2B5EF4-FFF2-40B4-BE49-F238E27FC236}">
              <a16:creationId xmlns:a16="http://schemas.microsoft.com/office/drawing/2014/main" id="{5A7A482C-BF5F-49C6-B3D6-B56C9B2FD4B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5" name="AutoShape 4" descr="Story">
          <a:hlinkClick xmlns:r="http://schemas.openxmlformats.org/officeDocument/2006/relationships" r:id="rId5"/>
          <a:extLst>
            <a:ext uri="{FF2B5EF4-FFF2-40B4-BE49-F238E27FC236}">
              <a16:creationId xmlns:a16="http://schemas.microsoft.com/office/drawing/2014/main" id="{3EBD6E78-AAC0-4C37-9F87-649913F75A6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6" name="AutoShape 7" descr="Story">
          <a:hlinkClick xmlns:r="http://schemas.openxmlformats.org/officeDocument/2006/relationships" r:id="rId3"/>
          <a:extLst>
            <a:ext uri="{FF2B5EF4-FFF2-40B4-BE49-F238E27FC236}">
              <a16:creationId xmlns:a16="http://schemas.microsoft.com/office/drawing/2014/main" id="{7DE1B8EB-41D5-4461-869E-AD358960986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7" name="AutoShape 8" descr="Story">
          <a:hlinkClick xmlns:r="http://schemas.openxmlformats.org/officeDocument/2006/relationships" r:id="rId4"/>
          <a:extLst>
            <a:ext uri="{FF2B5EF4-FFF2-40B4-BE49-F238E27FC236}">
              <a16:creationId xmlns:a16="http://schemas.microsoft.com/office/drawing/2014/main" id="{AFECDFD7-A627-4E9B-8133-C94BAF9A132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08" name="AutoShape 8" descr="Story">
          <a:hlinkClick xmlns:r="http://schemas.openxmlformats.org/officeDocument/2006/relationships" r:id="rId4"/>
          <a:extLst>
            <a:ext uri="{FF2B5EF4-FFF2-40B4-BE49-F238E27FC236}">
              <a16:creationId xmlns:a16="http://schemas.microsoft.com/office/drawing/2014/main" id="{931F419E-A2D6-471A-B626-AC6E36B1A7D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109" name="AutoShape 4" descr="Bug">
          <a:hlinkClick xmlns:r="http://schemas.openxmlformats.org/officeDocument/2006/relationships" r:id="rId1"/>
          <a:extLst>
            <a:ext uri="{FF2B5EF4-FFF2-40B4-BE49-F238E27FC236}">
              <a16:creationId xmlns:a16="http://schemas.microsoft.com/office/drawing/2014/main" id="{6F303D71-284B-487D-917D-3C8BB8C4253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0" name="AutoShape 6" descr="Bug">
          <a:hlinkClick xmlns:r="http://schemas.openxmlformats.org/officeDocument/2006/relationships" r:id="rId2"/>
          <a:extLst>
            <a:ext uri="{FF2B5EF4-FFF2-40B4-BE49-F238E27FC236}">
              <a16:creationId xmlns:a16="http://schemas.microsoft.com/office/drawing/2014/main" id="{878A2349-E5E5-4E65-B2E2-F45C6ABA31B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1" name="AutoShape 7" descr="Story">
          <a:hlinkClick xmlns:r="http://schemas.openxmlformats.org/officeDocument/2006/relationships" r:id="rId3"/>
          <a:extLst>
            <a:ext uri="{FF2B5EF4-FFF2-40B4-BE49-F238E27FC236}">
              <a16:creationId xmlns:a16="http://schemas.microsoft.com/office/drawing/2014/main" id="{47A4D718-1836-4709-A60F-8F7ACCAAF14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2" name="AutoShape 8" descr="Story">
          <a:hlinkClick xmlns:r="http://schemas.openxmlformats.org/officeDocument/2006/relationships" r:id="rId4"/>
          <a:extLst>
            <a:ext uri="{FF2B5EF4-FFF2-40B4-BE49-F238E27FC236}">
              <a16:creationId xmlns:a16="http://schemas.microsoft.com/office/drawing/2014/main" id="{E57F032C-E4F1-491B-A225-CBF720CE960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3" name="AutoShape 9" descr="Story">
          <a:hlinkClick xmlns:r="http://schemas.openxmlformats.org/officeDocument/2006/relationships" r:id="rId5"/>
          <a:extLst>
            <a:ext uri="{FF2B5EF4-FFF2-40B4-BE49-F238E27FC236}">
              <a16:creationId xmlns:a16="http://schemas.microsoft.com/office/drawing/2014/main" id="{4AC28BBD-FA18-47B7-BAC5-0C45FD6ED3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14" name="AutoShape 13" descr="Story">
          <a:hlinkClick xmlns:r="http://schemas.openxmlformats.org/officeDocument/2006/relationships" r:id="rId4"/>
          <a:extLst>
            <a:ext uri="{FF2B5EF4-FFF2-40B4-BE49-F238E27FC236}">
              <a16:creationId xmlns:a16="http://schemas.microsoft.com/office/drawing/2014/main" id="{F37F7733-AF3F-4B3B-A9CB-0F8FF9C3A2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15" name="AutoShape 1" descr="Story">
          <a:hlinkClick xmlns:r="http://schemas.openxmlformats.org/officeDocument/2006/relationships" r:id="rId12"/>
          <a:extLst>
            <a:ext uri="{FF2B5EF4-FFF2-40B4-BE49-F238E27FC236}">
              <a16:creationId xmlns:a16="http://schemas.microsoft.com/office/drawing/2014/main" id="{6DD1E15F-DA77-4398-A4E9-B364340F463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16" name="AutoShape 2" descr="Story">
          <a:hlinkClick xmlns:r="http://schemas.openxmlformats.org/officeDocument/2006/relationships" r:id="rId13"/>
          <a:extLst>
            <a:ext uri="{FF2B5EF4-FFF2-40B4-BE49-F238E27FC236}">
              <a16:creationId xmlns:a16="http://schemas.microsoft.com/office/drawing/2014/main" id="{368E146A-01E5-4A2B-911A-4D513E1A60E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17" name="AutoShape 5" descr="Story">
          <a:hlinkClick xmlns:r="http://schemas.openxmlformats.org/officeDocument/2006/relationships" r:id="rId6"/>
          <a:extLst>
            <a:ext uri="{FF2B5EF4-FFF2-40B4-BE49-F238E27FC236}">
              <a16:creationId xmlns:a16="http://schemas.microsoft.com/office/drawing/2014/main" id="{484342E3-C1D2-492F-9BF9-B4826885B0A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18" name="AutoShape 1" descr="Sub-task">
          <a:hlinkClick xmlns:r="http://schemas.openxmlformats.org/officeDocument/2006/relationships" r:id="rId14"/>
          <a:extLst>
            <a:ext uri="{FF2B5EF4-FFF2-40B4-BE49-F238E27FC236}">
              <a16:creationId xmlns:a16="http://schemas.microsoft.com/office/drawing/2014/main" id="{792A796F-0FD1-4904-B6C3-2D3C5EB2363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19" name="AutoShape 2" descr="Sub-task">
          <a:hlinkClick xmlns:r="http://schemas.openxmlformats.org/officeDocument/2006/relationships" r:id="rId15"/>
          <a:extLst>
            <a:ext uri="{FF2B5EF4-FFF2-40B4-BE49-F238E27FC236}">
              <a16:creationId xmlns:a16="http://schemas.microsoft.com/office/drawing/2014/main" id="{BA843BF4-4C69-428E-9756-4DC2820CF50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0" name="AutoShape 3" descr="Story">
          <a:hlinkClick xmlns:r="http://schemas.openxmlformats.org/officeDocument/2006/relationships" r:id="rId9"/>
          <a:extLst>
            <a:ext uri="{FF2B5EF4-FFF2-40B4-BE49-F238E27FC236}">
              <a16:creationId xmlns:a16="http://schemas.microsoft.com/office/drawing/2014/main" id="{674CFCE5-14F1-4453-A87E-0B853E37766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1" name="AutoShape 12" descr="Story">
          <a:hlinkClick xmlns:r="http://schemas.openxmlformats.org/officeDocument/2006/relationships" r:id="rId8"/>
          <a:extLst>
            <a:ext uri="{FF2B5EF4-FFF2-40B4-BE49-F238E27FC236}">
              <a16:creationId xmlns:a16="http://schemas.microsoft.com/office/drawing/2014/main" id="{F6F3740F-E86C-444A-A66E-545883C73D9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2" name="AutoShape 1" descr="Story">
          <a:hlinkClick xmlns:r="http://schemas.openxmlformats.org/officeDocument/2006/relationships" r:id="rId7"/>
          <a:extLst>
            <a:ext uri="{FF2B5EF4-FFF2-40B4-BE49-F238E27FC236}">
              <a16:creationId xmlns:a16="http://schemas.microsoft.com/office/drawing/2014/main" id="{3914BD78-0939-4E47-9039-C7319AF6FA7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3" name="AutoShape 1" descr="Story">
          <a:hlinkClick xmlns:r="http://schemas.openxmlformats.org/officeDocument/2006/relationships" r:id="rId7"/>
          <a:extLst>
            <a:ext uri="{FF2B5EF4-FFF2-40B4-BE49-F238E27FC236}">
              <a16:creationId xmlns:a16="http://schemas.microsoft.com/office/drawing/2014/main" id="{36AF792A-BB01-4639-99A0-78DE048835D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4" name="AutoShape 3" descr="Story">
          <a:hlinkClick xmlns:r="http://schemas.openxmlformats.org/officeDocument/2006/relationships" r:id="rId4"/>
          <a:extLst>
            <a:ext uri="{FF2B5EF4-FFF2-40B4-BE49-F238E27FC236}">
              <a16:creationId xmlns:a16="http://schemas.microsoft.com/office/drawing/2014/main" id="{EA3A0849-125A-4822-AACC-E29BDC02918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5" name="AutoShape 4" descr="Story">
          <a:hlinkClick xmlns:r="http://schemas.openxmlformats.org/officeDocument/2006/relationships" r:id="rId5"/>
          <a:extLst>
            <a:ext uri="{FF2B5EF4-FFF2-40B4-BE49-F238E27FC236}">
              <a16:creationId xmlns:a16="http://schemas.microsoft.com/office/drawing/2014/main" id="{CC070857-4407-4713-85CF-D54FE8C036E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6" name="AutoShape 3" descr="Story">
          <a:hlinkClick xmlns:r="http://schemas.openxmlformats.org/officeDocument/2006/relationships" r:id="rId4"/>
          <a:extLst>
            <a:ext uri="{FF2B5EF4-FFF2-40B4-BE49-F238E27FC236}">
              <a16:creationId xmlns:a16="http://schemas.microsoft.com/office/drawing/2014/main" id="{C86A301F-DDA4-4FFF-B3CE-AD8C6308C77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7" name="AutoShape 4" descr="Story">
          <a:hlinkClick xmlns:r="http://schemas.openxmlformats.org/officeDocument/2006/relationships" r:id="rId5"/>
          <a:extLst>
            <a:ext uri="{FF2B5EF4-FFF2-40B4-BE49-F238E27FC236}">
              <a16:creationId xmlns:a16="http://schemas.microsoft.com/office/drawing/2014/main" id="{1117A50A-F786-499E-97B0-CC4B95F105C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8" name="AutoShape 7" descr="Story">
          <a:hlinkClick xmlns:r="http://schemas.openxmlformats.org/officeDocument/2006/relationships" r:id="rId3"/>
          <a:extLst>
            <a:ext uri="{FF2B5EF4-FFF2-40B4-BE49-F238E27FC236}">
              <a16:creationId xmlns:a16="http://schemas.microsoft.com/office/drawing/2014/main" id="{87739D74-BD75-42AE-A61D-84A531093EF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29" name="AutoShape 8" descr="Story">
          <a:hlinkClick xmlns:r="http://schemas.openxmlformats.org/officeDocument/2006/relationships" r:id="rId4"/>
          <a:extLst>
            <a:ext uri="{FF2B5EF4-FFF2-40B4-BE49-F238E27FC236}">
              <a16:creationId xmlns:a16="http://schemas.microsoft.com/office/drawing/2014/main" id="{2C1EA0A8-9C58-4804-8626-477BD32C727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0" name="AutoShape 8" descr="Story">
          <a:hlinkClick xmlns:r="http://schemas.openxmlformats.org/officeDocument/2006/relationships" r:id="rId4"/>
          <a:extLst>
            <a:ext uri="{FF2B5EF4-FFF2-40B4-BE49-F238E27FC236}">
              <a16:creationId xmlns:a16="http://schemas.microsoft.com/office/drawing/2014/main" id="{FAC434A2-10EA-45EA-8065-A68E09511E6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0</xdr:rowOff>
    </xdr:from>
    <xdr:to>
      <xdr:col>0</xdr:col>
      <xdr:colOff>152400</xdr:colOff>
      <xdr:row>1</xdr:row>
      <xdr:rowOff>152400</xdr:rowOff>
    </xdr:to>
    <xdr:sp macro="" textlink="">
      <xdr:nvSpPr>
        <xdr:cNvPr id="131" name="AutoShape 4" descr="Bug">
          <a:hlinkClick xmlns:r="http://schemas.openxmlformats.org/officeDocument/2006/relationships" r:id="rId1"/>
          <a:extLst>
            <a:ext uri="{FF2B5EF4-FFF2-40B4-BE49-F238E27FC236}">
              <a16:creationId xmlns:a16="http://schemas.microsoft.com/office/drawing/2014/main" id="{6D622959-D230-4D4D-A0DB-27E4A20FE8A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2" name="AutoShape 6" descr="Bug">
          <a:hlinkClick xmlns:r="http://schemas.openxmlformats.org/officeDocument/2006/relationships" r:id="rId2"/>
          <a:extLst>
            <a:ext uri="{FF2B5EF4-FFF2-40B4-BE49-F238E27FC236}">
              <a16:creationId xmlns:a16="http://schemas.microsoft.com/office/drawing/2014/main" id="{610F053B-54B1-4624-8DC7-34EC9B6CAD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3" name="AutoShape 7" descr="Story">
          <a:hlinkClick xmlns:r="http://schemas.openxmlformats.org/officeDocument/2006/relationships" r:id="rId3"/>
          <a:extLst>
            <a:ext uri="{FF2B5EF4-FFF2-40B4-BE49-F238E27FC236}">
              <a16:creationId xmlns:a16="http://schemas.microsoft.com/office/drawing/2014/main" id="{3121A27F-25C0-4D34-A135-BE947C6C6B5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4" name="AutoShape 8" descr="Story">
          <a:hlinkClick xmlns:r="http://schemas.openxmlformats.org/officeDocument/2006/relationships" r:id="rId4"/>
          <a:extLst>
            <a:ext uri="{FF2B5EF4-FFF2-40B4-BE49-F238E27FC236}">
              <a16:creationId xmlns:a16="http://schemas.microsoft.com/office/drawing/2014/main" id="{46DFE106-F988-45BD-828E-29DA7D69F60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5" name="AutoShape 9" descr="Story">
          <a:hlinkClick xmlns:r="http://schemas.openxmlformats.org/officeDocument/2006/relationships" r:id="rId5"/>
          <a:extLst>
            <a:ext uri="{FF2B5EF4-FFF2-40B4-BE49-F238E27FC236}">
              <a16:creationId xmlns:a16="http://schemas.microsoft.com/office/drawing/2014/main" id="{5BB9190B-768D-44AE-945A-74464F02C1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36" name="AutoShape 13" descr="Story">
          <a:hlinkClick xmlns:r="http://schemas.openxmlformats.org/officeDocument/2006/relationships" r:id="rId4"/>
          <a:extLst>
            <a:ext uri="{FF2B5EF4-FFF2-40B4-BE49-F238E27FC236}">
              <a16:creationId xmlns:a16="http://schemas.microsoft.com/office/drawing/2014/main" id="{A1A9E148-7DC6-414F-9DFD-54B72D8361D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37" name="AutoShape 1" descr="Story">
          <a:hlinkClick xmlns:r="http://schemas.openxmlformats.org/officeDocument/2006/relationships" r:id="rId12"/>
          <a:extLst>
            <a:ext uri="{FF2B5EF4-FFF2-40B4-BE49-F238E27FC236}">
              <a16:creationId xmlns:a16="http://schemas.microsoft.com/office/drawing/2014/main" id="{D5E37ADD-B309-408E-8B7E-DE6A8D20C17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8" name="AutoShape 2" descr="Story">
          <a:hlinkClick xmlns:r="http://schemas.openxmlformats.org/officeDocument/2006/relationships" r:id="rId13"/>
          <a:extLst>
            <a:ext uri="{FF2B5EF4-FFF2-40B4-BE49-F238E27FC236}">
              <a16:creationId xmlns:a16="http://schemas.microsoft.com/office/drawing/2014/main" id="{E12E42D3-4D30-4962-BAE1-8BFE49A5CE8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39" name="AutoShape 5" descr="Story">
          <a:hlinkClick xmlns:r="http://schemas.openxmlformats.org/officeDocument/2006/relationships" r:id="rId6"/>
          <a:extLst>
            <a:ext uri="{FF2B5EF4-FFF2-40B4-BE49-F238E27FC236}">
              <a16:creationId xmlns:a16="http://schemas.microsoft.com/office/drawing/2014/main" id="{71419AB7-6F4F-48EC-AAC9-92667879ECF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0" name="AutoShape 1" descr="Sub-task">
          <a:hlinkClick xmlns:r="http://schemas.openxmlformats.org/officeDocument/2006/relationships" r:id="rId14"/>
          <a:extLst>
            <a:ext uri="{FF2B5EF4-FFF2-40B4-BE49-F238E27FC236}">
              <a16:creationId xmlns:a16="http://schemas.microsoft.com/office/drawing/2014/main" id="{DFF763BC-DD86-4374-926F-C009B9A7629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1" name="AutoShape 2" descr="Sub-task">
          <a:hlinkClick xmlns:r="http://schemas.openxmlformats.org/officeDocument/2006/relationships" r:id="rId15"/>
          <a:extLst>
            <a:ext uri="{FF2B5EF4-FFF2-40B4-BE49-F238E27FC236}">
              <a16:creationId xmlns:a16="http://schemas.microsoft.com/office/drawing/2014/main" id="{3BF27571-31FF-4CC2-B2B8-EFEF814F32D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2" name="AutoShape 3" descr="Story">
          <a:hlinkClick xmlns:r="http://schemas.openxmlformats.org/officeDocument/2006/relationships" r:id="rId9"/>
          <a:extLst>
            <a:ext uri="{FF2B5EF4-FFF2-40B4-BE49-F238E27FC236}">
              <a16:creationId xmlns:a16="http://schemas.microsoft.com/office/drawing/2014/main" id="{EB68A5E1-A5E5-45AC-B9A9-FEE6D7EA60B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3" name="AutoShape 12" descr="Story">
          <a:hlinkClick xmlns:r="http://schemas.openxmlformats.org/officeDocument/2006/relationships" r:id="rId8"/>
          <a:extLst>
            <a:ext uri="{FF2B5EF4-FFF2-40B4-BE49-F238E27FC236}">
              <a16:creationId xmlns:a16="http://schemas.microsoft.com/office/drawing/2014/main" id="{CCF7F391-5453-48A6-AC7E-FEB804CAE8A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4" name="AutoShape 1" descr="Story">
          <a:hlinkClick xmlns:r="http://schemas.openxmlformats.org/officeDocument/2006/relationships" r:id="rId7"/>
          <a:extLst>
            <a:ext uri="{FF2B5EF4-FFF2-40B4-BE49-F238E27FC236}">
              <a16:creationId xmlns:a16="http://schemas.microsoft.com/office/drawing/2014/main" id="{B3BF86C6-9316-40EA-B76C-A52D12BA872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5" name="AutoShape 1" descr="Story">
          <a:hlinkClick xmlns:r="http://schemas.openxmlformats.org/officeDocument/2006/relationships" r:id="rId7"/>
          <a:extLst>
            <a:ext uri="{FF2B5EF4-FFF2-40B4-BE49-F238E27FC236}">
              <a16:creationId xmlns:a16="http://schemas.microsoft.com/office/drawing/2014/main" id="{BF2ED20E-F903-4CDA-929A-3AB63DE2A32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6" name="AutoShape 3" descr="Story">
          <a:hlinkClick xmlns:r="http://schemas.openxmlformats.org/officeDocument/2006/relationships" r:id="rId4"/>
          <a:extLst>
            <a:ext uri="{FF2B5EF4-FFF2-40B4-BE49-F238E27FC236}">
              <a16:creationId xmlns:a16="http://schemas.microsoft.com/office/drawing/2014/main" id="{5E039BF1-A11F-41AE-89A4-4A87E53282D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7" name="AutoShape 4" descr="Story">
          <a:hlinkClick xmlns:r="http://schemas.openxmlformats.org/officeDocument/2006/relationships" r:id="rId5"/>
          <a:extLst>
            <a:ext uri="{FF2B5EF4-FFF2-40B4-BE49-F238E27FC236}">
              <a16:creationId xmlns:a16="http://schemas.microsoft.com/office/drawing/2014/main" id="{E696D382-FAD7-471F-B53E-BBE428FEC61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8" name="AutoShape 3" descr="Story">
          <a:hlinkClick xmlns:r="http://schemas.openxmlformats.org/officeDocument/2006/relationships" r:id="rId4"/>
          <a:extLst>
            <a:ext uri="{FF2B5EF4-FFF2-40B4-BE49-F238E27FC236}">
              <a16:creationId xmlns:a16="http://schemas.microsoft.com/office/drawing/2014/main" id="{3682DC47-5474-46BF-9FDD-BE0794BD6CA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49" name="AutoShape 4" descr="Story">
          <a:hlinkClick xmlns:r="http://schemas.openxmlformats.org/officeDocument/2006/relationships" r:id="rId5"/>
          <a:extLst>
            <a:ext uri="{FF2B5EF4-FFF2-40B4-BE49-F238E27FC236}">
              <a16:creationId xmlns:a16="http://schemas.microsoft.com/office/drawing/2014/main" id="{A7EE12EC-F814-44A7-9D40-ADB21631D1F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50" name="AutoShape 7" descr="Story">
          <a:hlinkClick xmlns:r="http://schemas.openxmlformats.org/officeDocument/2006/relationships" r:id="rId3"/>
          <a:extLst>
            <a:ext uri="{FF2B5EF4-FFF2-40B4-BE49-F238E27FC236}">
              <a16:creationId xmlns:a16="http://schemas.microsoft.com/office/drawing/2014/main" id="{718EFAFC-C8A9-47B6-A45F-292301A7B60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51" name="AutoShape 8" descr="Story">
          <a:hlinkClick xmlns:r="http://schemas.openxmlformats.org/officeDocument/2006/relationships" r:id="rId4"/>
          <a:extLst>
            <a:ext uri="{FF2B5EF4-FFF2-40B4-BE49-F238E27FC236}">
              <a16:creationId xmlns:a16="http://schemas.microsoft.com/office/drawing/2014/main" id="{EC08D71C-FE62-4A62-96A4-D325ABEC635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52" name="AutoShape 8" descr="Story">
          <a:hlinkClick xmlns:r="http://schemas.openxmlformats.org/officeDocument/2006/relationships" r:id="rId4"/>
          <a:extLst>
            <a:ext uri="{FF2B5EF4-FFF2-40B4-BE49-F238E27FC236}">
              <a16:creationId xmlns:a16="http://schemas.microsoft.com/office/drawing/2014/main" id="{33C0BE79-E119-40D4-BE89-C80D5C7083B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6</xdr:row>
      <xdr:rowOff>0</xdr:rowOff>
    </xdr:from>
    <xdr:to>
      <xdr:col>0</xdr:col>
      <xdr:colOff>152400</xdr:colOff>
      <xdr:row>6</xdr:row>
      <xdr:rowOff>152400</xdr:rowOff>
    </xdr:to>
    <xdr:sp macro="" textlink="">
      <xdr:nvSpPr>
        <xdr:cNvPr id="153" name="AutoShape 1" descr="Story">
          <a:hlinkClick xmlns:r="http://schemas.openxmlformats.org/officeDocument/2006/relationships" r:id="rId7"/>
          <a:extLst>
            <a:ext uri="{FF2B5EF4-FFF2-40B4-BE49-F238E27FC236}">
              <a16:creationId xmlns:a16="http://schemas.microsoft.com/office/drawing/2014/main" id="{691FAFA5-D10E-46EA-A24E-EB23B442529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154" name="AutoShape 2" descr="Story">
          <a:hlinkClick xmlns:r="http://schemas.openxmlformats.org/officeDocument/2006/relationships" r:id="rId8"/>
          <a:extLst>
            <a:ext uri="{FF2B5EF4-FFF2-40B4-BE49-F238E27FC236}">
              <a16:creationId xmlns:a16="http://schemas.microsoft.com/office/drawing/2014/main" id="{24DB6690-BEDE-4F50-963F-1F53385CC28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155" name="AutoShape 3" descr="Story">
          <a:hlinkClick xmlns:r="http://schemas.openxmlformats.org/officeDocument/2006/relationships" r:id="rId9"/>
          <a:extLst>
            <a:ext uri="{FF2B5EF4-FFF2-40B4-BE49-F238E27FC236}">
              <a16:creationId xmlns:a16="http://schemas.microsoft.com/office/drawing/2014/main" id="{5459D243-2C94-4E73-AF6D-0E46BA43894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6" name="AutoShape 4" descr="Bug">
          <a:hlinkClick xmlns:r="http://schemas.openxmlformats.org/officeDocument/2006/relationships" r:id="rId1"/>
          <a:extLst>
            <a:ext uri="{FF2B5EF4-FFF2-40B4-BE49-F238E27FC236}">
              <a16:creationId xmlns:a16="http://schemas.microsoft.com/office/drawing/2014/main" id="{D44084D1-026E-4969-8D1A-E3D6BCA312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157" name="AutoShape 5" descr="Story">
          <a:hlinkClick xmlns:r="http://schemas.openxmlformats.org/officeDocument/2006/relationships" r:id="rId10"/>
          <a:extLst>
            <a:ext uri="{FF2B5EF4-FFF2-40B4-BE49-F238E27FC236}">
              <a16:creationId xmlns:a16="http://schemas.microsoft.com/office/drawing/2014/main" id="{B4ADB7E1-2DEF-4F3F-84B0-C4252EE5B77D}"/>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8" name="AutoShape 6" descr="Bug">
          <a:hlinkClick xmlns:r="http://schemas.openxmlformats.org/officeDocument/2006/relationships" r:id="rId2"/>
          <a:extLst>
            <a:ext uri="{FF2B5EF4-FFF2-40B4-BE49-F238E27FC236}">
              <a16:creationId xmlns:a16="http://schemas.microsoft.com/office/drawing/2014/main" id="{01C9A90B-3793-4461-9C00-9E97DFEDBA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59" name="AutoShape 7" descr="Story">
          <a:hlinkClick xmlns:r="http://schemas.openxmlformats.org/officeDocument/2006/relationships" r:id="rId3"/>
          <a:extLst>
            <a:ext uri="{FF2B5EF4-FFF2-40B4-BE49-F238E27FC236}">
              <a16:creationId xmlns:a16="http://schemas.microsoft.com/office/drawing/2014/main" id="{6C505976-219C-4313-9AAF-68173CCB44D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0" name="AutoShape 8" descr="Story">
          <a:hlinkClick xmlns:r="http://schemas.openxmlformats.org/officeDocument/2006/relationships" r:id="rId4"/>
          <a:extLst>
            <a:ext uri="{FF2B5EF4-FFF2-40B4-BE49-F238E27FC236}">
              <a16:creationId xmlns:a16="http://schemas.microsoft.com/office/drawing/2014/main" id="{80B8D551-C1AC-416F-A776-A28E27F01B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1" name="AutoShape 9" descr="Story">
          <a:hlinkClick xmlns:r="http://schemas.openxmlformats.org/officeDocument/2006/relationships" r:id="rId5"/>
          <a:extLst>
            <a:ext uri="{FF2B5EF4-FFF2-40B4-BE49-F238E27FC236}">
              <a16:creationId xmlns:a16="http://schemas.microsoft.com/office/drawing/2014/main" id="{03918CEB-9277-4E25-A50D-6250A6F01A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162" name="AutoShape 10" descr="Story">
          <a:hlinkClick xmlns:r="http://schemas.openxmlformats.org/officeDocument/2006/relationships" r:id="rId6"/>
          <a:extLst>
            <a:ext uri="{FF2B5EF4-FFF2-40B4-BE49-F238E27FC236}">
              <a16:creationId xmlns:a16="http://schemas.microsoft.com/office/drawing/2014/main" id="{C180EF91-1386-44D4-9B9A-382E5D99B3A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163" name="AutoShape 11" descr="Story">
          <a:hlinkClick xmlns:r="http://schemas.openxmlformats.org/officeDocument/2006/relationships" r:id="rId11"/>
          <a:extLst>
            <a:ext uri="{FF2B5EF4-FFF2-40B4-BE49-F238E27FC236}">
              <a16:creationId xmlns:a16="http://schemas.microsoft.com/office/drawing/2014/main" id="{4E65AEC3-DC85-4AB9-8C6C-45E4D018B1F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152400</xdr:colOff>
      <xdr:row>4</xdr:row>
      <xdr:rowOff>152400</xdr:rowOff>
    </xdr:to>
    <xdr:sp macro="" textlink="">
      <xdr:nvSpPr>
        <xdr:cNvPr id="164" name="AutoShape 12" descr="Story">
          <a:hlinkClick xmlns:r="http://schemas.openxmlformats.org/officeDocument/2006/relationships" r:id="rId8"/>
          <a:extLst>
            <a:ext uri="{FF2B5EF4-FFF2-40B4-BE49-F238E27FC236}">
              <a16:creationId xmlns:a16="http://schemas.microsoft.com/office/drawing/2014/main" id="{E557C179-FCF1-480F-932F-3CC3C26B7AD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152400</xdr:colOff>
      <xdr:row>1</xdr:row>
      <xdr:rowOff>152400</xdr:rowOff>
    </xdr:to>
    <xdr:sp macro="" textlink="">
      <xdr:nvSpPr>
        <xdr:cNvPr id="165" name="AutoShape 13" descr="Story">
          <a:hlinkClick xmlns:r="http://schemas.openxmlformats.org/officeDocument/2006/relationships" r:id="rId4"/>
          <a:extLst>
            <a:ext uri="{FF2B5EF4-FFF2-40B4-BE49-F238E27FC236}">
              <a16:creationId xmlns:a16="http://schemas.microsoft.com/office/drawing/2014/main" id="{15CCB87F-F6DF-4D3A-BE0C-E9603696FE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166" name="AutoShape 14" descr="Story">
          <a:hlinkClick xmlns:r="http://schemas.openxmlformats.org/officeDocument/2006/relationships" r:id="rId4"/>
          <a:extLst>
            <a:ext uri="{FF2B5EF4-FFF2-40B4-BE49-F238E27FC236}">
              <a16:creationId xmlns:a16="http://schemas.microsoft.com/office/drawing/2014/main" id="{8B8B41B7-A703-4896-BEF9-713E5FDCAED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152400</xdr:colOff>
      <xdr:row>5</xdr:row>
      <xdr:rowOff>152400</xdr:rowOff>
    </xdr:to>
    <xdr:sp macro="" textlink="">
      <xdr:nvSpPr>
        <xdr:cNvPr id="167" name="AutoShape 15" descr="Story">
          <a:hlinkClick xmlns:r="http://schemas.openxmlformats.org/officeDocument/2006/relationships" r:id="rId4"/>
          <a:extLst>
            <a:ext uri="{FF2B5EF4-FFF2-40B4-BE49-F238E27FC236}">
              <a16:creationId xmlns:a16="http://schemas.microsoft.com/office/drawing/2014/main" id="{88D93DB1-2DE4-467A-BF96-0F81F2596E56}"/>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xdr:row>
      <xdr:rowOff>0</xdr:rowOff>
    </xdr:from>
    <xdr:ext cx="152400" cy="152400"/>
    <xdr:sp macro="" textlink="">
      <xdr:nvSpPr>
        <xdr:cNvPr id="168" name="AutoShape 1" descr="Story">
          <a:hlinkClick xmlns:r="http://schemas.openxmlformats.org/officeDocument/2006/relationships" r:id="rId12"/>
          <a:extLst>
            <a:ext uri="{FF2B5EF4-FFF2-40B4-BE49-F238E27FC236}">
              <a16:creationId xmlns:a16="http://schemas.microsoft.com/office/drawing/2014/main" id="{7BA2643F-C323-480E-8608-0DCBF48B295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69" name="AutoShape 2" descr="Story">
          <a:hlinkClick xmlns:r="http://schemas.openxmlformats.org/officeDocument/2006/relationships" r:id="rId13"/>
          <a:extLst>
            <a:ext uri="{FF2B5EF4-FFF2-40B4-BE49-F238E27FC236}">
              <a16:creationId xmlns:a16="http://schemas.microsoft.com/office/drawing/2014/main" id="{38FB2100-326B-4B13-8068-5BA226DF1C5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0" name="AutoShape 5" descr="Story">
          <a:hlinkClick xmlns:r="http://schemas.openxmlformats.org/officeDocument/2006/relationships" r:id="rId6"/>
          <a:extLst>
            <a:ext uri="{FF2B5EF4-FFF2-40B4-BE49-F238E27FC236}">
              <a16:creationId xmlns:a16="http://schemas.microsoft.com/office/drawing/2014/main" id="{3706812E-DADD-4991-9037-762EDCCE0D4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1" name="AutoShape 1" descr="Sub-task">
          <a:hlinkClick xmlns:r="http://schemas.openxmlformats.org/officeDocument/2006/relationships" r:id="rId14"/>
          <a:extLst>
            <a:ext uri="{FF2B5EF4-FFF2-40B4-BE49-F238E27FC236}">
              <a16:creationId xmlns:a16="http://schemas.microsoft.com/office/drawing/2014/main" id="{81A54CB6-7C68-4937-BB65-836C154BAF0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2" name="AutoShape 2" descr="Sub-task">
          <a:hlinkClick xmlns:r="http://schemas.openxmlformats.org/officeDocument/2006/relationships" r:id="rId15"/>
          <a:extLst>
            <a:ext uri="{FF2B5EF4-FFF2-40B4-BE49-F238E27FC236}">
              <a16:creationId xmlns:a16="http://schemas.microsoft.com/office/drawing/2014/main" id="{B96945BF-445F-4159-9955-D77BE2BE5E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3" name="AutoShape 3" descr="Story">
          <a:hlinkClick xmlns:r="http://schemas.openxmlformats.org/officeDocument/2006/relationships" r:id="rId9"/>
          <a:extLst>
            <a:ext uri="{FF2B5EF4-FFF2-40B4-BE49-F238E27FC236}">
              <a16:creationId xmlns:a16="http://schemas.microsoft.com/office/drawing/2014/main" id="{FCBEFC71-57B0-4C46-AAC8-30C0F08248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4" name="AutoShape 12" descr="Story">
          <a:hlinkClick xmlns:r="http://schemas.openxmlformats.org/officeDocument/2006/relationships" r:id="rId8"/>
          <a:extLst>
            <a:ext uri="{FF2B5EF4-FFF2-40B4-BE49-F238E27FC236}">
              <a16:creationId xmlns:a16="http://schemas.microsoft.com/office/drawing/2014/main" id="{8952519A-EABE-4390-82C4-6BBED967794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5" name="AutoShape 1" descr="Story">
          <a:hlinkClick xmlns:r="http://schemas.openxmlformats.org/officeDocument/2006/relationships" r:id="rId7"/>
          <a:extLst>
            <a:ext uri="{FF2B5EF4-FFF2-40B4-BE49-F238E27FC236}">
              <a16:creationId xmlns:a16="http://schemas.microsoft.com/office/drawing/2014/main" id="{CADB8BFE-AEBB-4551-A4D0-A000D438AD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6" name="AutoShape 1" descr="Story">
          <a:hlinkClick xmlns:r="http://schemas.openxmlformats.org/officeDocument/2006/relationships" r:id="rId7"/>
          <a:extLst>
            <a:ext uri="{FF2B5EF4-FFF2-40B4-BE49-F238E27FC236}">
              <a16:creationId xmlns:a16="http://schemas.microsoft.com/office/drawing/2014/main" id="{0265D51E-54A8-45D6-9FE0-E01427B5669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7" name="AutoShape 3" descr="Story">
          <a:hlinkClick xmlns:r="http://schemas.openxmlformats.org/officeDocument/2006/relationships" r:id="rId4"/>
          <a:extLst>
            <a:ext uri="{FF2B5EF4-FFF2-40B4-BE49-F238E27FC236}">
              <a16:creationId xmlns:a16="http://schemas.microsoft.com/office/drawing/2014/main" id="{777148D7-F6EE-4AAE-AE5F-72FC3BDDC8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78" name="AutoShape 4" descr="Story">
          <a:hlinkClick xmlns:r="http://schemas.openxmlformats.org/officeDocument/2006/relationships" r:id="rId5"/>
          <a:extLst>
            <a:ext uri="{FF2B5EF4-FFF2-40B4-BE49-F238E27FC236}">
              <a16:creationId xmlns:a16="http://schemas.microsoft.com/office/drawing/2014/main" id="{4F03D1D6-EC87-4CCC-A806-CE8AA654B0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79" name="AutoShape 1" descr="Story">
          <a:hlinkClick xmlns:r="http://schemas.openxmlformats.org/officeDocument/2006/relationships" r:id="rId12"/>
          <a:extLst>
            <a:ext uri="{FF2B5EF4-FFF2-40B4-BE49-F238E27FC236}">
              <a16:creationId xmlns:a16="http://schemas.microsoft.com/office/drawing/2014/main" id="{A95C4335-0226-4B14-A653-CE55B773F1E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0" name="AutoShape 2" descr="Story">
          <a:hlinkClick xmlns:r="http://schemas.openxmlformats.org/officeDocument/2006/relationships" r:id="rId13"/>
          <a:extLst>
            <a:ext uri="{FF2B5EF4-FFF2-40B4-BE49-F238E27FC236}">
              <a16:creationId xmlns:a16="http://schemas.microsoft.com/office/drawing/2014/main" id="{313A00E5-09E4-450F-AE16-F0506AB13CC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1" name="AutoShape 3" descr="Story">
          <a:hlinkClick xmlns:r="http://schemas.openxmlformats.org/officeDocument/2006/relationships" r:id="rId4"/>
          <a:extLst>
            <a:ext uri="{FF2B5EF4-FFF2-40B4-BE49-F238E27FC236}">
              <a16:creationId xmlns:a16="http://schemas.microsoft.com/office/drawing/2014/main" id="{81C7AB16-7BF0-4CDE-838F-3E8CB4F4C8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2" name="AutoShape 4" descr="Story">
          <a:hlinkClick xmlns:r="http://schemas.openxmlformats.org/officeDocument/2006/relationships" r:id="rId5"/>
          <a:extLst>
            <a:ext uri="{FF2B5EF4-FFF2-40B4-BE49-F238E27FC236}">
              <a16:creationId xmlns:a16="http://schemas.microsoft.com/office/drawing/2014/main" id="{64C08065-ACFB-4BED-B3EA-E574EDB45E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3" name="AutoShape 5" descr="Story">
          <a:hlinkClick xmlns:r="http://schemas.openxmlformats.org/officeDocument/2006/relationships" r:id="rId6"/>
          <a:extLst>
            <a:ext uri="{FF2B5EF4-FFF2-40B4-BE49-F238E27FC236}">
              <a16:creationId xmlns:a16="http://schemas.microsoft.com/office/drawing/2014/main" id="{F8C3E38E-38DB-40C2-BA44-D2C078F26DD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4" name="AutoShape 1" descr="Sub-task">
          <a:hlinkClick xmlns:r="http://schemas.openxmlformats.org/officeDocument/2006/relationships" r:id="rId14"/>
          <a:extLst>
            <a:ext uri="{FF2B5EF4-FFF2-40B4-BE49-F238E27FC236}">
              <a16:creationId xmlns:a16="http://schemas.microsoft.com/office/drawing/2014/main" id="{225CE3CE-E5A8-4FB7-A2B0-EF6503ECE77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5" name="AutoShape 2" descr="Sub-task">
          <a:hlinkClick xmlns:r="http://schemas.openxmlformats.org/officeDocument/2006/relationships" r:id="rId15"/>
          <a:extLst>
            <a:ext uri="{FF2B5EF4-FFF2-40B4-BE49-F238E27FC236}">
              <a16:creationId xmlns:a16="http://schemas.microsoft.com/office/drawing/2014/main" id="{33713A1D-70E8-4954-B038-6F045066BC7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86" name="AutoShape 7" descr="Story">
          <a:hlinkClick xmlns:r="http://schemas.openxmlformats.org/officeDocument/2006/relationships" r:id="rId3"/>
          <a:extLst>
            <a:ext uri="{FF2B5EF4-FFF2-40B4-BE49-F238E27FC236}">
              <a16:creationId xmlns:a16="http://schemas.microsoft.com/office/drawing/2014/main" id="{4F3A26CA-7781-4D8A-BF9C-70A3F9A6FC7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7" name="AutoShape 3" descr="Story">
          <a:hlinkClick xmlns:r="http://schemas.openxmlformats.org/officeDocument/2006/relationships" r:id="rId9"/>
          <a:extLst>
            <a:ext uri="{FF2B5EF4-FFF2-40B4-BE49-F238E27FC236}">
              <a16:creationId xmlns:a16="http://schemas.microsoft.com/office/drawing/2014/main" id="{96777B47-DCA1-4738-ADB1-D52DC14749D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8" name="AutoShape 12" descr="Story">
          <a:hlinkClick xmlns:r="http://schemas.openxmlformats.org/officeDocument/2006/relationships" r:id="rId8"/>
          <a:extLst>
            <a:ext uri="{FF2B5EF4-FFF2-40B4-BE49-F238E27FC236}">
              <a16:creationId xmlns:a16="http://schemas.microsoft.com/office/drawing/2014/main" id="{3FD4FE70-8192-41CD-92A9-D089C0D4F51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89" name="AutoShape 1" descr="Story">
          <a:hlinkClick xmlns:r="http://schemas.openxmlformats.org/officeDocument/2006/relationships" r:id="rId7"/>
          <a:extLst>
            <a:ext uri="{FF2B5EF4-FFF2-40B4-BE49-F238E27FC236}">
              <a16:creationId xmlns:a16="http://schemas.microsoft.com/office/drawing/2014/main" id="{D20FC475-113B-422F-9200-9A092C1538C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90" name="AutoShape 1" descr="Story">
          <a:hlinkClick xmlns:r="http://schemas.openxmlformats.org/officeDocument/2006/relationships" r:id="rId7"/>
          <a:extLst>
            <a:ext uri="{FF2B5EF4-FFF2-40B4-BE49-F238E27FC236}">
              <a16:creationId xmlns:a16="http://schemas.microsoft.com/office/drawing/2014/main" id="{3432EB4E-E73E-4EDE-BA97-30A9983BF81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91" name="AutoShape 3" descr="Story">
          <a:hlinkClick xmlns:r="http://schemas.openxmlformats.org/officeDocument/2006/relationships" r:id="rId4"/>
          <a:extLst>
            <a:ext uri="{FF2B5EF4-FFF2-40B4-BE49-F238E27FC236}">
              <a16:creationId xmlns:a16="http://schemas.microsoft.com/office/drawing/2014/main" id="{67FED4FB-22F3-4AC9-948C-A96C98C25AD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92" name="AutoShape 4" descr="Story">
          <a:hlinkClick xmlns:r="http://schemas.openxmlformats.org/officeDocument/2006/relationships" r:id="rId5"/>
          <a:extLst>
            <a:ext uri="{FF2B5EF4-FFF2-40B4-BE49-F238E27FC236}">
              <a16:creationId xmlns:a16="http://schemas.microsoft.com/office/drawing/2014/main" id="{566F42E8-1DCE-4984-8A96-225F6ADA06A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152400" cy="152400"/>
    <xdr:sp macro="" textlink="">
      <xdr:nvSpPr>
        <xdr:cNvPr id="193" name="AutoShape 7" descr="Story">
          <a:hlinkClick xmlns:r="http://schemas.openxmlformats.org/officeDocument/2006/relationships" r:id="rId3"/>
          <a:extLst>
            <a:ext uri="{FF2B5EF4-FFF2-40B4-BE49-F238E27FC236}">
              <a16:creationId xmlns:a16="http://schemas.microsoft.com/office/drawing/2014/main" id="{0DDDDC68-6809-4A3D-A6CF-8C4145ABDA7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94" name="AutoShape 8" descr="Story">
          <a:hlinkClick xmlns:r="http://schemas.openxmlformats.org/officeDocument/2006/relationships" r:id="rId4"/>
          <a:extLst>
            <a:ext uri="{FF2B5EF4-FFF2-40B4-BE49-F238E27FC236}">
              <a16:creationId xmlns:a16="http://schemas.microsoft.com/office/drawing/2014/main" id="{2B1AA63A-AA8E-4D10-8EB7-276AB940192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xdr:row>
      <xdr:rowOff>0</xdr:rowOff>
    </xdr:from>
    <xdr:ext cx="152400" cy="152400"/>
    <xdr:sp macro="" textlink="">
      <xdr:nvSpPr>
        <xdr:cNvPr id="195" name="AutoShape 8" descr="Story">
          <a:hlinkClick xmlns:r="http://schemas.openxmlformats.org/officeDocument/2006/relationships" r:id="rId4"/>
          <a:extLst>
            <a:ext uri="{FF2B5EF4-FFF2-40B4-BE49-F238E27FC236}">
              <a16:creationId xmlns:a16="http://schemas.microsoft.com/office/drawing/2014/main" id="{71E72C2F-C393-40F3-878C-E55933E05B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152400</xdr:colOff>
      <xdr:row>2</xdr:row>
      <xdr:rowOff>152400</xdr:rowOff>
    </xdr:to>
    <xdr:sp macro="" textlink="">
      <xdr:nvSpPr>
        <xdr:cNvPr id="196" name="AutoShape 10" descr="Story">
          <a:hlinkClick xmlns:r="http://schemas.openxmlformats.org/officeDocument/2006/relationships" r:id="rId6"/>
          <a:extLst>
            <a:ext uri="{FF2B5EF4-FFF2-40B4-BE49-F238E27FC236}">
              <a16:creationId xmlns:a16="http://schemas.microsoft.com/office/drawing/2014/main" id="{FE8CAAE7-1BED-46EC-A00B-73E82B58988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197" name="AutoShape 14" descr="Story">
          <a:hlinkClick xmlns:r="http://schemas.openxmlformats.org/officeDocument/2006/relationships" r:id="rId4"/>
          <a:extLst>
            <a:ext uri="{FF2B5EF4-FFF2-40B4-BE49-F238E27FC236}">
              <a16:creationId xmlns:a16="http://schemas.microsoft.com/office/drawing/2014/main" id="{DF5A4E74-F88B-4B34-AFD3-B2C7481FBC32}"/>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198" name="AutoShape 10" descr="Story">
          <a:hlinkClick xmlns:r="http://schemas.openxmlformats.org/officeDocument/2006/relationships" r:id="rId6"/>
          <a:extLst>
            <a:ext uri="{FF2B5EF4-FFF2-40B4-BE49-F238E27FC236}">
              <a16:creationId xmlns:a16="http://schemas.microsoft.com/office/drawing/2014/main" id="{DED3C68D-C681-4A5C-A4E2-EE457C478D7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152400</xdr:colOff>
      <xdr:row>2</xdr:row>
      <xdr:rowOff>152400</xdr:rowOff>
    </xdr:to>
    <xdr:sp macro="" textlink="">
      <xdr:nvSpPr>
        <xdr:cNvPr id="199" name="AutoShape 14" descr="Story">
          <a:hlinkClick xmlns:r="http://schemas.openxmlformats.org/officeDocument/2006/relationships" r:id="rId4"/>
          <a:extLst>
            <a:ext uri="{FF2B5EF4-FFF2-40B4-BE49-F238E27FC236}">
              <a16:creationId xmlns:a16="http://schemas.microsoft.com/office/drawing/2014/main" id="{68F21E2A-67FA-4BFB-9627-829DB7494FB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0" name="AutoShape 4" descr="Bug">
          <a:hlinkClick xmlns:r="http://schemas.openxmlformats.org/officeDocument/2006/relationships" r:id="rId1"/>
          <a:extLst>
            <a:ext uri="{FF2B5EF4-FFF2-40B4-BE49-F238E27FC236}">
              <a16:creationId xmlns:a16="http://schemas.microsoft.com/office/drawing/2014/main" id="{98B16C6D-2B53-4D47-AB6C-0A6A0F3EA46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1" name="AutoShape 6" descr="Bug">
          <a:hlinkClick xmlns:r="http://schemas.openxmlformats.org/officeDocument/2006/relationships" r:id="rId2"/>
          <a:extLst>
            <a:ext uri="{FF2B5EF4-FFF2-40B4-BE49-F238E27FC236}">
              <a16:creationId xmlns:a16="http://schemas.microsoft.com/office/drawing/2014/main" id="{71AC1991-ECEC-4C34-A9CD-B1ED96A3B9C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2" name="AutoShape 7" descr="Story">
          <a:hlinkClick xmlns:r="http://schemas.openxmlformats.org/officeDocument/2006/relationships" r:id="rId3"/>
          <a:extLst>
            <a:ext uri="{FF2B5EF4-FFF2-40B4-BE49-F238E27FC236}">
              <a16:creationId xmlns:a16="http://schemas.microsoft.com/office/drawing/2014/main" id="{19785A95-9FE1-407F-AC71-7C8544B4544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3" name="AutoShape 8" descr="Story">
          <a:hlinkClick xmlns:r="http://schemas.openxmlformats.org/officeDocument/2006/relationships" r:id="rId4"/>
          <a:extLst>
            <a:ext uri="{FF2B5EF4-FFF2-40B4-BE49-F238E27FC236}">
              <a16:creationId xmlns:a16="http://schemas.microsoft.com/office/drawing/2014/main" id="{ADB551CD-ADC3-4B8E-B444-CD0AD9D69AC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4" name="AutoShape 9" descr="Story">
          <a:hlinkClick xmlns:r="http://schemas.openxmlformats.org/officeDocument/2006/relationships" r:id="rId5"/>
          <a:extLst>
            <a:ext uri="{FF2B5EF4-FFF2-40B4-BE49-F238E27FC236}">
              <a16:creationId xmlns:a16="http://schemas.microsoft.com/office/drawing/2014/main" id="{146C01C7-F95B-4E34-8A55-3EE81F553E7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05" name="AutoShape 13" descr="Story">
          <a:hlinkClick xmlns:r="http://schemas.openxmlformats.org/officeDocument/2006/relationships" r:id="rId4"/>
          <a:extLst>
            <a:ext uri="{FF2B5EF4-FFF2-40B4-BE49-F238E27FC236}">
              <a16:creationId xmlns:a16="http://schemas.microsoft.com/office/drawing/2014/main" id="{34EDDF1D-51EE-4B94-9F3F-5B88B36FA7B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206" name="AutoShape 1" descr="Story">
          <a:hlinkClick xmlns:r="http://schemas.openxmlformats.org/officeDocument/2006/relationships" r:id="rId12"/>
          <a:extLst>
            <a:ext uri="{FF2B5EF4-FFF2-40B4-BE49-F238E27FC236}">
              <a16:creationId xmlns:a16="http://schemas.microsoft.com/office/drawing/2014/main" id="{CE28E73A-404B-42D8-8FAF-4F583D5E7AA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07" name="AutoShape 2" descr="Story">
          <a:hlinkClick xmlns:r="http://schemas.openxmlformats.org/officeDocument/2006/relationships" r:id="rId13"/>
          <a:extLst>
            <a:ext uri="{FF2B5EF4-FFF2-40B4-BE49-F238E27FC236}">
              <a16:creationId xmlns:a16="http://schemas.microsoft.com/office/drawing/2014/main" id="{EB1CF958-B049-4475-9BF9-CB2850742B7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08" name="AutoShape 5" descr="Story">
          <a:hlinkClick xmlns:r="http://schemas.openxmlformats.org/officeDocument/2006/relationships" r:id="rId6"/>
          <a:extLst>
            <a:ext uri="{FF2B5EF4-FFF2-40B4-BE49-F238E27FC236}">
              <a16:creationId xmlns:a16="http://schemas.microsoft.com/office/drawing/2014/main" id="{89314BCB-9810-49B6-B448-AD1582BA1BD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09" name="AutoShape 1" descr="Sub-task">
          <a:hlinkClick xmlns:r="http://schemas.openxmlformats.org/officeDocument/2006/relationships" r:id="rId14"/>
          <a:extLst>
            <a:ext uri="{FF2B5EF4-FFF2-40B4-BE49-F238E27FC236}">
              <a16:creationId xmlns:a16="http://schemas.microsoft.com/office/drawing/2014/main" id="{68514AC9-51C5-44C9-993E-1E87D6FC614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0" name="AutoShape 2" descr="Sub-task">
          <a:hlinkClick xmlns:r="http://schemas.openxmlformats.org/officeDocument/2006/relationships" r:id="rId15"/>
          <a:extLst>
            <a:ext uri="{FF2B5EF4-FFF2-40B4-BE49-F238E27FC236}">
              <a16:creationId xmlns:a16="http://schemas.microsoft.com/office/drawing/2014/main" id="{DFB3DE22-4782-41AD-B213-D36E3408E66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1" name="AutoShape 3" descr="Story">
          <a:hlinkClick xmlns:r="http://schemas.openxmlformats.org/officeDocument/2006/relationships" r:id="rId9"/>
          <a:extLst>
            <a:ext uri="{FF2B5EF4-FFF2-40B4-BE49-F238E27FC236}">
              <a16:creationId xmlns:a16="http://schemas.microsoft.com/office/drawing/2014/main" id="{8C32F38D-E545-484B-BA64-41856EA843C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2" name="AutoShape 12" descr="Story">
          <a:hlinkClick xmlns:r="http://schemas.openxmlformats.org/officeDocument/2006/relationships" r:id="rId8"/>
          <a:extLst>
            <a:ext uri="{FF2B5EF4-FFF2-40B4-BE49-F238E27FC236}">
              <a16:creationId xmlns:a16="http://schemas.microsoft.com/office/drawing/2014/main" id="{D9F6A4B7-6555-40C7-8691-4357D5B21F1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3" name="AutoShape 1" descr="Story">
          <a:hlinkClick xmlns:r="http://schemas.openxmlformats.org/officeDocument/2006/relationships" r:id="rId7"/>
          <a:extLst>
            <a:ext uri="{FF2B5EF4-FFF2-40B4-BE49-F238E27FC236}">
              <a16:creationId xmlns:a16="http://schemas.microsoft.com/office/drawing/2014/main" id="{ADB1C7E5-B432-4569-800B-0514A877860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4" name="AutoShape 1" descr="Story">
          <a:hlinkClick xmlns:r="http://schemas.openxmlformats.org/officeDocument/2006/relationships" r:id="rId7"/>
          <a:extLst>
            <a:ext uri="{FF2B5EF4-FFF2-40B4-BE49-F238E27FC236}">
              <a16:creationId xmlns:a16="http://schemas.microsoft.com/office/drawing/2014/main" id="{981510BD-C464-4A93-8FBF-FEB3B87F679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5" name="AutoShape 3" descr="Story">
          <a:hlinkClick xmlns:r="http://schemas.openxmlformats.org/officeDocument/2006/relationships" r:id="rId4"/>
          <a:extLst>
            <a:ext uri="{FF2B5EF4-FFF2-40B4-BE49-F238E27FC236}">
              <a16:creationId xmlns:a16="http://schemas.microsoft.com/office/drawing/2014/main" id="{3E3CF35C-8373-45B4-82E8-D0C0DC8DBE5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6" name="AutoShape 4" descr="Story">
          <a:hlinkClick xmlns:r="http://schemas.openxmlformats.org/officeDocument/2006/relationships" r:id="rId5"/>
          <a:extLst>
            <a:ext uri="{FF2B5EF4-FFF2-40B4-BE49-F238E27FC236}">
              <a16:creationId xmlns:a16="http://schemas.microsoft.com/office/drawing/2014/main" id="{5ED506E1-4B07-41FC-9409-E8BB7C4BADD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7" name="AutoShape 3" descr="Story">
          <a:hlinkClick xmlns:r="http://schemas.openxmlformats.org/officeDocument/2006/relationships" r:id="rId4"/>
          <a:extLst>
            <a:ext uri="{FF2B5EF4-FFF2-40B4-BE49-F238E27FC236}">
              <a16:creationId xmlns:a16="http://schemas.microsoft.com/office/drawing/2014/main" id="{0D18358A-7CC3-40C6-92C4-9325AD299F6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8" name="AutoShape 4" descr="Story">
          <a:hlinkClick xmlns:r="http://schemas.openxmlformats.org/officeDocument/2006/relationships" r:id="rId5"/>
          <a:extLst>
            <a:ext uri="{FF2B5EF4-FFF2-40B4-BE49-F238E27FC236}">
              <a16:creationId xmlns:a16="http://schemas.microsoft.com/office/drawing/2014/main" id="{5DC5CD75-FEE9-4F5C-8C82-9FE17308E64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19" name="AutoShape 7" descr="Story">
          <a:hlinkClick xmlns:r="http://schemas.openxmlformats.org/officeDocument/2006/relationships" r:id="rId3"/>
          <a:extLst>
            <a:ext uri="{FF2B5EF4-FFF2-40B4-BE49-F238E27FC236}">
              <a16:creationId xmlns:a16="http://schemas.microsoft.com/office/drawing/2014/main" id="{CCFB5435-18AC-441A-AAE6-0C3D0E1C4C8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20" name="AutoShape 8" descr="Story">
          <a:hlinkClick xmlns:r="http://schemas.openxmlformats.org/officeDocument/2006/relationships" r:id="rId4"/>
          <a:extLst>
            <a:ext uri="{FF2B5EF4-FFF2-40B4-BE49-F238E27FC236}">
              <a16:creationId xmlns:a16="http://schemas.microsoft.com/office/drawing/2014/main" id="{D1DA6EEC-F7ED-409C-9CC1-FBE7DE2846C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21" name="AutoShape 8" descr="Story">
          <a:hlinkClick xmlns:r="http://schemas.openxmlformats.org/officeDocument/2006/relationships" r:id="rId4"/>
          <a:extLst>
            <a:ext uri="{FF2B5EF4-FFF2-40B4-BE49-F238E27FC236}">
              <a16:creationId xmlns:a16="http://schemas.microsoft.com/office/drawing/2014/main" id="{8ADB5FC7-27AC-4BD5-BBEB-2FB386E04AB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222" name="AutoShape 4" descr="Bug">
          <a:hlinkClick xmlns:r="http://schemas.openxmlformats.org/officeDocument/2006/relationships" r:id="rId1"/>
          <a:extLst>
            <a:ext uri="{FF2B5EF4-FFF2-40B4-BE49-F238E27FC236}">
              <a16:creationId xmlns:a16="http://schemas.microsoft.com/office/drawing/2014/main" id="{1E108129-F103-403D-9DD5-3BB3AC5A492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23" name="AutoShape 6" descr="Bug">
          <a:hlinkClick xmlns:r="http://schemas.openxmlformats.org/officeDocument/2006/relationships" r:id="rId2"/>
          <a:extLst>
            <a:ext uri="{FF2B5EF4-FFF2-40B4-BE49-F238E27FC236}">
              <a16:creationId xmlns:a16="http://schemas.microsoft.com/office/drawing/2014/main" id="{F3FD5575-CB48-4C46-A644-904A8731E7C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24" name="AutoShape 7" descr="Story">
          <a:hlinkClick xmlns:r="http://schemas.openxmlformats.org/officeDocument/2006/relationships" r:id="rId3"/>
          <a:extLst>
            <a:ext uri="{FF2B5EF4-FFF2-40B4-BE49-F238E27FC236}">
              <a16:creationId xmlns:a16="http://schemas.microsoft.com/office/drawing/2014/main" id="{95B24157-F1CB-4B34-94E0-1A4FB1F9181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25" name="AutoShape 8" descr="Story">
          <a:hlinkClick xmlns:r="http://schemas.openxmlformats.org/officeDocument/2006/relationships" r:id="rId4"/>
          <a:extLst>
            <a:ext uri="{FF2B5EF4-FFF2-40B4-BE49-F238E27FC236}">
              <a16:creationId xmlns:a16="http://schemas.microsoft.com/office/drawing/2014/main" id="{D5CD65CB-7CEE-4C0D-A970-21935128C28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26" name="AutoShape 9" descr="Story">
          <a:hlinkClick xmlns:r="http://schemas.openxmlformats.org/officeDocument/2006/relationships" r:id="rId5"/>
          <a:extLst>
            <a:ext uri="{FF2B5EF4-FFF2-40B4-BE49-F238E27FC236}">
              <a16:creationId xmlns:a16="http://schemas.microsoft.com/office/drawing/2014/main" id="{3C59EF86-A704-4D5E-BAEC-60F6637AC92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27" name="AutoShape 13" descr="Story">
          <a:hlinkClick xmlns:r="http://schemas.openxmlformats.org/officeDocument/2006/relationships" r:id="rId4"/>
          <a:extLst>
            <a:ext uri="{FF2B5EF4-FFF2-40B4-BE49-F238E27FC236}">
              <a16:creationId xmlns:a16="http://schemas.microsoft.com/office/drawing/2014/main" id="{7FAFD6E8-3546-4E37-B5A3-3D6C0013360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228" name="AutoShape 1" descr="Story">
          <a:hlinkClick xmlns:r="http://schemas.openxmlformats.org/officeDocument/2006/relationships" r:id="rId12"/>
          <a:extLst>
            <a:ext uri="{FF2B5EF4-FFF2-40B4-BE49-F238E27FC236}">
              <a16:creationId xmlns:a16="http://schemas.microsoft.com/office/drawing/2014/main" id="{C388DAAB-F28C-4FBD-9A03-6C9C4642F35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29" name="AutoShape 2" descr="Story">
          <a:hlinkClick xmlns:r="http://schemas.openxmlformats.org/officeDocument/2006/relationships" r:id="rId13"/>
          <a:extLst>
            <a:ext uri="{FF2B5EF4-FFF2-40B4-BE49-F238E27FC236}">
              <a16:creationId xmlns:a16="http://schemas.microsoft.com/office/drawing/2014/main" id="{F718E460-7394-4D3A-8D2E-FDFAE8E3C3D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0" name="AutoShape 5" descr="Story">
          <a:hlinkClick xmlns:r="http://schemas.openxmlformats.org/officeDocument/2006/relationships" r:id="rId6"/>
          <a:extLst>
            <a:ext uri="{FF2B5EF4-FFF2-40B4-BE49-F238E27FC236}">
              <a16:creationId xmlns:a16="http://schemas.microsoft.com/office/drawing/2014/main" id="{2301521A-CA81-44FE-8585-CD6C56C2762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1" name="AutoShape 1" descr="Sub-task">
          <a:hlinkClick xmlns:r="http://schemas.openxmlformats.org/officeDocument/2006/relationships" r:id="rId14"/>
          <a:extLst>
            <a:ext uri="{FF2B5EF4-FFF2-40B4-BE49-F238E27FC236}">
              <a16:creationId xmlns:a16="http://schemas.microsoft.com/office/drawing/2014/main" id="{F5B38DCA-9319-4787-B3CC-C0E27CA4FF1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2" name="AutoShape 2" descr="Sub-task">
          <a:hlinkClick xmlns:r="http://schemas.openxmlformats.org/officeDocument/2006/relationships" r:id="rId15"/>
          <a:extLst>
            <a:ext uri="{FF2B5EF4-FFF2-40B4-BE49-F238E27FC236}">
              <a16:creationId xmlns:a16="http://schemas.microsoft.com/office/drawing/2014/main" id="{FE1DE6AA-0011-4446-96A5-650A26CA878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3" name="AutoShape 3" descr="Story">
          <a:hlinkClick xmlns:r="http://schemas.openxmlformats.org/officeDocument/2006/relationships" r:id="rId9"/>
          <a:extLst>
            <a:ext uri="{FF2B5EF4-FFF2-40B4-BE49-F238E27FC236}">
              <a16:creationId xmlns:a16="http://schemas.microsoft.com/office/drawing/2014/main" id="{F537C3C0-BA93-43D0-8073-82567EDF472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4" name="AutoShape 12" descr="Story">
          <a:hlinkClick xmlns:r="http://schemas.openxmlformats.org/officeDocument/2006/relationships" r:id="rId8"/>
          <a:extLst>
            <a:ext uri="{FF2B5EF4-FFF2-40B4-BE49-F238E27FC236}">
              <a16:creationId xmlns:a16="http://schemas.microsoft.com/office/drawing/2014/main" id="{DAE55D92-0102-4939-8BFD-53BDBE49503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5" name="AutoShape 1" descr="Story">
          <a:hlinkClick xmlns:r="http://schemas.openxmlformats.org/officeDocument/2006/relationships" r:id="rId7"/>
          <a:extLst>
            <a:ext uri="{FF2B5EF4-FFF2-40B4-BE49-F238E27FC236}">
              <a16:creationId xmlns:a16="http://schemas.microsoft.com/office/drawing/2014/main" id="{040D017D-0CF3-4553-8D9E-FF268553C64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6" name="AutoShape 1" descr="Story">
          <a:hlinkClick xmlns:r="http://schemas.openxmlformats.org/officeDocument/2006/relationships" r:id="rId7"/>
          <a:extLst>
            <a:ext uri="{FF2B5EF4-FFF2-40B4-BE49-F238E27FC236}">
              <a16:creationId xmlns:a16="http://schemas.microsoft.com/office/drawing/2014/main" id="{379176C2-B783-4A10-8C36-12F569033E5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7" name="AutoShape 3" descr="Story">
          <a:hlinkClick xmlns:r="http://schemas.openxmlformats.org/officeDocument/2006/relationships" r:id="rId4"/>
          <a:extLst>
            <a:ext uri="{FF2B5EF4-FFF2-40B4-BE49-F238E27FC236}">
              <a16:creationId xmlns:a16="http://schemas.microsoft.com/office/drawing/2014/main" id="{8DA6925B-ED07-4326-9B4D-02B50841C84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8" name="AutoShape 4" descr="Story">
          <a:hlinkClick xmlns:r="http://schemas.openxmlformats.org/officeDocument/2006/relationships" r:id="rId5"/>
          <a:extLst>
            <a:ext uri="{FF2B5EF4-FFF2-40B4-BE49-F238E27FC236}">
              <a16:creationId xmlns:a16="http://schemas.microsoft.com/office/drawing/2014/main" id="{35EBB973-3FC8-4CAC-BE39-DE4AFF8148F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39" name="AutoShape 3" descr="Story">
          <a:hlinkClick xmlns:r="http://schemas.openxmlformats.org/officeDocument/2006/relationships" r:id="rId4"/>
          <a:extLst>
            <a:ext uri="{FF2B5EF4-FFF2-40B4-BE49-F238E27FC236}">
              <a16:creationId xmlns:a16="http://schemas.microsoft.com/office/drawing/2014/main" id="{94482751-0FA4-42E4-98C8-45122E2601A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40" name="AutoShape 4" descr="Story">
          <a:hlinkClick xmlns:r="http://schemas.openxmlformats.org/officeDocument/2006/relationships" r:id="rId5"/>
          <a:extLst>
            <a:ext uri="{FF2B5EF4-FFF2-40B4-BE49-F238E27FC236}">
              <a16:creationId xmlns:a16="http://schemas.microsoft.com/office/drawing/2014/main" id="{6305CAB8-EE7B-4A9B-A81D-D136C2124FC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41" name="AutoShape 7" descr="Story">
          <a:hlinkClick xmlns:r="http://schemas.openxmlformats.org/officeDocument/2006/relationships" r:id="rId3"/>
          <a:extLst>
            <a:ext uri="{FF2B5EF4-FFF2-40B4-BE49-F238E27FC236}">
              <a16:creationId xmlns:a16="http://schemas.microsoft.com/office/drawing/2014/main" id="{8BAABC58-558C-441C-8364-73FCAA8C7E2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42" name="AutoShape 8" descr="Story">
          <a:hlinkClick xmlns:r="http://schemas.openxmlformats.org/officeDocument/2006/relationships" r:id="rId4"/>
          <a:extLst>
            <a:ext uri="{FF2B5EF4-FFF2-40B4-BE49-F238E27FC236}">
              <a16:creationId xmlns:a16="http://schemas.microsoft.com/office/drawing/2014/main" id="{98C7BCEE-B6EE-4F14-912D-24AA42224E0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43" name="AutoShape 8" descr="Story">
          <a:hlinkClick xmlns:r="http://schemas.openxmlformats.org/officeDocument/2006/relationships" r:id="rId4"/>
          <a:extLst>
            <a:ext uri="{FF2B5EF4-FFF2-40B4-BE49-F238E27FC236}">
              <a16:creationId xmlns:a16="http://schemas.microsoft.com/office/drawing/2014/main" id="{433F6480-66D1-4DCC-BC99-0B8270BC86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244" name="AutoShape 4" descr="Bug">
          <a:hlinkClick xmlns:r="http://schemas.openxmlformats.org/officeDocument/2006/relationships" r:id="rId1"/>
          <a:extLst>
            <a:ext uri="{FF2B5EF4-FFF2-40B4-BE49-F238E27FC236}">
              <a16:creationId xmlns:a16="http://schemas.microsoft.com/office/drawing/2014/main" id="{1297B732-D753-406F-8796-0112B599327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45" name="AutoShape 6" descr="Bug">
          <a:hlinkClick xmlns:r="http://schemas.openxmlformats.org/officeDocument/2006/relationships" r:id="rId2"/>
          <a:extLst>
            <a:ext uri="{FF2B5EF4-FFF2-40B4-BE49-F238E27FC236}">
              <a16:creationId xmlns:a16="http://schemas.microsoft.com/office/drawing/2014/main" id="{4D8F4D17-30DA-49EA-9232-F4A7F1C9936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46" name="AutoShape 7" descr="Story">
          <a:hlinkClick xmlns:r="http://schemas.openxmlformats.org/officeDocument/2006/relationships" r:id="rId3"/>
          <a:extLst>
            <a:ext uri="{FF2B5EF4-FFF2-40B4-BE49-F238E27FC236}">
              <a16:creationId xmlns:a16="http://schemas.microsoft.com/office/drawing/2014/main" id="{B64FE339-DCC7-4F6E-8B05-E89AC9C2E94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47" name="AutoShape 8" descr="Story">
          <a:hlinkClick xmlns:r="http://schemas.openxmlformats.org/officeDocument/2006/relationships" r:id="rId4"/>
          <a:extLst>
            <a:ext uri="{FF2B5EF4-FFF2-40B4-BE49-F238E27FC236}">
              <a16:creationId xmlns:a16="http://schemas.microsoft.com/office/drawing/2014/main" id="{0DAEBB83-9D0F-4DF5-96A6-5C662DD80E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48" name="AutoShape 9" descr="Story">
          <a:hlinkClick xmlns:r="http://schemas.openxmlformats.org/officeDocument/2006/relationships" r:id="rId5"/>
          <a:extLst>
            <a:ext uri="{FF2B5EF4-FFF2-40B4-BE49-F238E27FC236}">
              <a16:creationId xmlns:a16="http://schemas.microsoft.com/office/drawing/2014/main" id="{E5ED32F6-4CCA-483E-93A3-4A2B80649F5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49" name="AutoShape 13" descr="Story">
          <a:hlinkClick xmlns:r="http://schemas.openxmlformats.org/officeDocument/2006/relationships" r:id="rId4"/>
          <a:extLst>
            <a:ext uri="{FF2B5EF4-FFF2-40B4-BE49-F238E27FC236}">
              <a16:creationId xmlns:a16="http://schemas.microsoft.com/office/drawing/2014/main" id="{EC49FEA9-1E5E-45A6-955A-E046192C66A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250" name="AutoShape 1" descr="Story">
          <a:hlinkClick xmlns:r="http://schemas.openxmlformats.org/officeDocument/2006/relationships" r:id="rId12"/>
          <a:extLst>
            <a:ext uri="{FF2B5EF4-FFF2-40B4-BE49-F238E27FC236}">
              <a16:creationId xmlns:a16="http://schemas.microsoft.com/office/drawing/2014/main" id="{4B942F92-5792-47A3-AFA7-0CDAAD01A43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1" name="AutoShape 2" descr="Story">
          <a:hlinkClick xmlns:r="http://schemas.openxmlformats.org/officeDocument/2006/relationships" r:id="rId13"/>
          <a:extLst>
            <a:ext uri="{FF2B5EF4-FFF2-40B4-BE49-F238E27FC236}">
              <a16:creationId xmlns:a16="http://schemas.microsoft.com/office/drawing/2014/main" id="{5A8CB3E0-E98E-4811-BCA0-D40F241AD5A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2" name="AutoShape 5" descr="Story">
          <a:hlinkClick xmlns:r="http://schemas.openxmlformats.org/officeDocument/2006/relationships" r:id="rId6"/>
          <a:extLst>
            <a:ext uri="{FF2B5EF4-FFF2-40B4-BE49-F238E27FC236}">
              <a16:creationId xmlns:a16="http://schemas.microsoft.com/office/drawing/2014/main" id="{F3D97DF1-BA3C-41C0-8DEE-83C1472F1F5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3" name="AutoShape 1" descr="Sub-task">
          <a:hlinkClick xmlns:r="http://schemas.openxmlformats.org/officeDocument/2006/relationships" r:id="rId14"/>
          <a:extLst>
            <a:ext uri="{FF2B5EF4-FFF2-40B4-BE49-F238E27FC236}">
              <a16:creationId xmlns:a16="http://schemas.microsoft.com/office/drawing/2014/main" id="{A7F2D4EB-1FB0-48F4-963D-E236152D42E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4" name="AutoShape 2" descr="Sub-task">
          <a:hlinkClick xmlns:r="http://schemas.openxmlformats.org/officeDocument/2006/relationships" r:id="rId15"/>
          <a:extLst>
            <a:ext uri="{FF2B5EF4-FFF2-40B4-BE49-F238E27FC236}">
              <a16:creationId xmlns:a16="http://schemas.microsoft.com/office/drawing/2014/main" id="{0672B5C1-3DAF-4E0D-A9B5-8E9FF0DF12E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5" name="AutoShape 3" descr="Story">
          <a:hlinkClick xmlns:r="http://schemas.openxmlformats.org/officeDocument/2006/relationships" r:id="rId9"/>
          <a:extLst>
            <a:ext uri="{FF2B5EF4-FFF2-40B4-BE49-F238E27FC236}">
              <a16:creationId xmlns:a16="http://schemas.microsoft.com/office/drawing/2014/main" id="{E2435AE6-53FE-43B4-ADBA-C1BDA291464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6" name="AutoShape 12" descr="Story">
          <a:hlinkClick xmlns:r="http://schemas.openxmlformats.org/officeDocument/2006/relationships" r:id="rId8"/>
          <a:extLst>
            <a:ext uri="{FF2B5EF4-FFF2-40B4-BE49-F238E27FC236}">
              <a16:creationId xmlns:a16="http://schemas.microsoft.com/office/drawing/2014/main" id="{214F4A81-34A8-4486-ADA6-AF0449E05EA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7" name="AutoShape 1" descr="Story">
          <a:hlinkClick xmlns:r="http://schemas.openxmlformats.org/officeDocument/2006/relationships" r:id="rId7"/>
          <a:extLst>
            <a:ext uri="{FF2B5EF4-FFF2-40B4-BE49-F238E27FC236}">
              <a16:creationId xmlns:a16="http://schemas.microsoft.com/office/drawing/2014/main" id="{308C9F85-7568-425E-B1D9-96D6E69184D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8" name="AutoShape 1" descr="Story">
          <a:hlinkClick xmlns:r="http://schemas.openxmlformats.org/officeDocument/2006/relationships" r:id="rId7"/>
          <a:extLst>
            <a:ext uri="{FF2B5EF4-FFF2-40B4-BE49-F238E27FC236}">
              <a16:creationId xmlns:a16="http://schemas.microsoft.com/office/drawing/2014/main" id="{BB27FB9E-9DF7-4215-9613-E3173F32425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59" name="AutoShape 3" descr="Story">
          <a:hlinkClick xmlns:r="http://schemas.openxmlformats.org/officeDocument/2006/relationships" r:id="rId4"/>
          <a:extLst>
            <a:ext uri="{FF2B5EF4-FFF2-40B4-BE49-F238E27FC236}">
              <a16:creationId xmlns:a16="http://schemas.microsoft.com/office/drawing/2014/main" id="{4BFBE1BA-A13A-4E64-B2A1-264C50F8953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0" name="AutoShape 4" descr="Story">
          <a:hlinkClick xmlns:r="http://schemas.openxmlformats.org/officeDocument/2006/relationships" r:id="rId5"/>
          <a:extLst>
            <a:ext uri="{FF2B5EF4-FFF2-40B4-BE49-F238E27FC236}">
              <a16:creationId xmlns:a16="http://schemas.microsoft.com/office/drawing/2014/main" id="{D7F7FF34-4249-40B9-9A9E-0014A4555DB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1" name="AutoShape 3" descr="Story">
          <a:hlinkClick xmlns:r="http://schemas.openxmlformats.org/officeDocument/2006/relationships" r:id="rId4"/>
          <a:extLst>
            <a:ext uri="{FF2B5EF4-FFF2-40B4-BE49-F238E27FC236}">
              <a16:creationId xmlns:a16="http://schemas.microsoft.com/office/drawing/2014/main" id="{41816591-3D7A-4EC8-BA47-9781B0934CA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2" name="AutoShape 4" descr="Story">
          <a:hlinkClick xmlns:r="http://schemas.openxmlformats.org/officeDocument/2006/relationships" r:id="rId5"/>
          <a:extLst>
            <a:ext uri="{FF2B5EF4-FFF2-40B4-BE49-F238E27FC236}">
              <a16:creationId xmlns:a16="http://schemas.microsoft.com/office/drawing/2014/main" id="{8C225853-9925-4D20-9ADB-7A14B03AA80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3" name="AutoShape 7" descr="Story">
          <a:hlinkClick xmlns:r="http://schemas.openxmlformats.org/officeDocument/2006/relationships" r:id="rId3"/>
          <a:extLst>
            <a:ext uri="{FF2B5EF4-FFF2-40B4-BE49-F238E27FC236}">
              <a16:creationId xmlns:a16="http://schemas.microsoft.com/office/drawing/2014/main" id="{4B6C1EF6-D0F6-473C-BDA2-87391EFEFA6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4" name="AutoShape 8" descr="Story">
          <a:hlinkClick xmlns:r="http://schemas.openxmlformats.org/officeDocument/2006/relationships" r:id="rId4"/>
          <a:extLst>
            <a:ext uri="{FF2B5EF4-FFF2-40B4-BE49-F238E27FC236}">
              <a16:creationId xmlns:a16="http://schemas.microsoft.com/office/drawing/2014/main" id="{FD0FD92D-D81E-4103-9997-C5A0EBE3A7A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65" name="AutoShape 8" descr="Story">
          <a:hlinkClick xmlns:r="http://schemas.openxmlformats.org/officeDocument/2006/relationships" r:id="rId4"/>
          <a:extLst>
            <a:ext uri="{FF2B5EF4-FFF2-40B4-BE49-F238E27FC236}">
              <a16:creationId xmlns:a16="http://schemas.microsoft.com/office/drawing/2014/main" id="{808DE0EB-D00A-489C-9138-EA4037D5E7F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152400</xdr:colOff>
      <xdr:row>7</xdr:row>
      <xdr:rowOff>152400</xdr:rowOff>
    </xdr:to>
    <xdr:sp macro="" textlink="">
      <xdr:nvSpPr>
        <xdr:cNvPr id="266" name="AutoShape 4" descr="Bug">
          <a:hlinkClick xmlns:r="http://schemas.openxmlformats.org/officeDocument/2006/relationships" r:id="rId1"/>
          <a:extLst>
            <a:ext uri="{FF2B5EF4-FFF2-40B4-BE49-F238E27FC236}">
              <a16:creationId xmlns:a16="http://schemas.microsoft.com/office/drawing/2014/main" id="{79455172-CDFE-4515-9830-5B8D74FEEE1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67" name="AutoShape 6" descr="Bug">
          <a:hlinkClick xmlns:r="http://schemas.openxmlformats.org/officeDocument/2006/relationships" r:id="rId2"/>
          <a:extLst>
            <a:ext uri="{FF2B5EF4-FFF2-40B4-BE49-F238E27FC236}">
              <a16:creationId xmlns:a16="http://schemas.microsoft.com/office/drawing/2014/main" id="{3B684493-2F98-47A4-987B-30054FF2B3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68" name="AutoShape 7" descr="Story">
          <a:hlinkClick xmlns:r="http://schemas.openxmlformats.org/officeDocument/2006/relationships" r:id="rId3"/>
          <a:extLst>
            <a:ext uri="{FF2B5EF4-FFF2-40B4-BE49-F238E27FC236}">
              <a16:creationId xmlns:a16="http://schemas.microsoft.com/office/drawing/2014/main" id="{BE88CDD4-F5DA-4CA4-8A99-B4FF49586CA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69" name="AutoShape 8" descr="Story">
          <a:hlinkClick xmlns:r="http://schemas.openxmlformats.org/officeDocument/2006/relationships" r:id="rId4"/>
          <a:extLst>
            <a:ext uri="{FF2B5EF4-FFF2-40B4-BE49-F238E27FC236}">
              <a16:creationId xmlns:a16="http://schemas.microsoft.com/office/drawing/2014/main" id="{8B8DD586-3F91-4B4C-B3FD-DE0DA3F878A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70" name="AutoShape 9" descr="Story">
          <a:hlinkClick xmlns:r="http://schemas.openxmlformats.org/officeDocument/2006/relationships" r:id="rId5"/>
          <a:extLst>
            <a:ext uri="{FF2B5EF4-FFF2-40B4-BE49-F238E27FC236}">
              <a16:creationId xmlns:a16="http://schemas.microsoft.com/office/drawing/2014/main" id="{F6ADB84A-ED6F-4AF4-99B5-01063D74CFE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152400</xdr:colOff>
      <xdr:row>7</xdr:row>
      <xdr:rowOff>152400</xdr:rowOff>
    </xdr:to>
    <xdr:sp macro="" textlink="">
      <xdr:nvSpPr>
        <xdr:cNvPr id="271" name="AutoShape 13" descr="Story">
          <a:hlinkClick xmlns:r="http://schemas.openxmlformats.org/officeDocument/2006/relationships" r:id="rId4"/>
          <a:extLst>
            <a:ext uri="{FF2B5EF4-FFF2-40B4-BE49-F238E27FC236}">
              <a16:creationId xmlns:a16="http://schemas.microsoft.com/office/drawing/2014/main" id="{7F9F64CF-A750-4609-81BA-B0E0BA3673C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152400" cy="152400"/>
    <xdr:sp macro="" textlink="">
      <xdr:nvSpPr>
        <xdr:cNvPr id="272" name="AutoShape 1" descr="Story">
          <a:hlinkClick xmlns:r="http://schemas.openxmlformats.org/officeDocument/2006/relationships" r:id="rId12"/>
          <a:extLst>
            <a:ext uri="{FF2B5EF4-FFF2-40B4-BE49-F238E27FC236}">
              <a16:creationId xmlns:a16="http://schemas.microsoft.com/office/drawing/2014/main" id="{529592AF-2EBF-4964-9C77-C482A7525D8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3" name="AutoShape 2" descr="Story">
          <a:hlinkClick xmlns:r="http://schemas.openxmlformats.org/officeDocument/2006/relationships" r:id="rId13"/>
          <a:extLst>
            <a:ext uri="{FF2B5EF4-FFF2-40B4-BE49-F238E27FC236}">
              <a16:creationId xmlns:a16="http://schemas.microsoft.com/office/drawing/2014/main" id="{F52861F3-DEA0-4557-8FB3-71A97071E4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4" name="AutoShape 5" descr="Story">
          <a:hlinkClick xmlns:r="http://schemas.openxmlformats.org/officeDocument/2006/relationships" r:id="rId6"/>
          <a:extLst>
            <a:ext uri="{FF2B5EF4-FFF2-40B4-BE49-F238E27FC236}">
              <a16:creationId xmlns:a16="http://schemas.microsoft.com/office/drawing/2014/main" id="{2F0714EE-B4FB-4EE2-94F5-C47263A38CB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5" name="AutoShape 1" descr="Sub-task">
          <a:hlinkClick xmlns:r="http://schemas.openxmlformats.org/officeDocument/2006/relationships" r:id="rId14"/>
          <a:extLst>
            <a:ext uri="{FF2B5EF4-FFF2-40B4-BE49-F238E27FC236}">
              <a16:creationId xmlns:a16="http://schemas.microsoft.com/office/drawing/2014/main" id="{9655AA46-332C-4B25-B139-19CFFEB0D90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6" name="AutoShape 2" descr="Sub-task">
          <a:hlinkClick xmlns:r="http://schemas.openxmlformats.org/officeDocument/2006/relationships" r:id="rId15"/>
          <a:extLst>
            <a:ext uri="{FF2B5EF4-FFF2-40B4-BE49-F238E27FC236}">
              <a16:creationId xmlns:a16="http://schemas.microsoft.com/office/drawing/2014/main" id="{7D871B3C-3719-4A0F-BC0D-1AE8CF02627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7" name="AutoShape 3" descr="Story">
          <a:hlinkClick xmlns:r="http://schemas.openxmlformats.org/officeDocument/2006/relationships" r:id="rId9"/>
          <a:extLst>
            <a:ext uri="{FF2B5EF4-FFF2-40B4-BE49-F238E27FC236}">
              <a16:creationId xmlns:a16="http://schemas.microsoft.com/office/drawing/2014/main" id="{DDE04593-A6B3-4E15-B2D2-864ADBA03CA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8" name="AutoShape 12" descr="Story">
          <a:hlinkClick xmlns:r="http://schemas.openxmlformats.org/officeDocument/2006/relationships" r:id="rId8"/>
          <a:extLst>
            <a:ext uri="{FF2B5EF4-FFF2-40B4-BE49-F238E27FC236}">
              <a16:creationId xmlns:a16="http://schemas.microsoft.com/office/drawing/2014/main" id="{DCCC7CD8-715C-4992-BF60-030D38D4638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79" name="AutoShape 1" descr="Story">
          <a:hlinkClick xmlns:r="http://schemas.openxmlformats.org/officeDocument/2006/relationships" r:id="rId7"/>
          <a:extLst>
            <a:ext uri="{FF2B5EF4-FFF2-40B4-BE49-F238E27FC236}">
              <a16:creationId xmlns:a16="http://schemas.microsoft.com/office/drawing/2014/main" id="{F8183D97-07DF-4AD5-9FD2-C449693DBC5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0" name="AutoShape 1" descr="Story">
          <a:hlinkClick xmlns:r="http://schemas.openxmlformats.org/officeDocument/2006/relationships" r:id="rId7"/>
          <a:extLst>
            <a:ext uri="{FF2B5EF4-FFF2-40B4-BE49-F238E27FC236}">
              <a16:creationId xmlns:a16="http://schemas.microsoft.com/office/drawing/2014/main" id="{487E523A-C368-4344-8BBF-417BD2521C4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1" name="AutoShape 3" descr="Story">
          <a:hlinkClick xmlns:r="http://schemas.openxmlformats.org/officeDocument/2006/relationships" r:id="rId4"/>
          <a:extLst>
            <a:ext uri="{FF2B5EF4-FFF2-40B4-BE49-F238E27FC236}">
              <a16:creationId xmlns:a16="http://schemas.microsoft.com/office/drawing/2014/main" id="{3D04BA5A-28D2-4CA5-8F9E-35CEF1BBD9D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2" name="AutoShape 4" descr="Story">
          <a:hlinkClick xmlns:r="http://schemas.openxmlformats.org/officeDocument/2006/relationships" r:id="rId5"/>
          <a:extLst>
            <a:ext uri="{FF2B5EF4-FFF2-40B4-BE49-F238E27FC236}">
              <a16:creationId xmlns:a16="http://schemas.microsoft.com/office/drawing/2014/main" id="{6968F490-BBEF-48E2-BCE4-56B5945495E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3" name="AutoShape 3" descr="Story">
          <a:hlinkClick xmlns:r="http://schemas.openxmlformats.org/officeDocument/2006/relationships" r:id="rId4"/>
          <a:extLst>
            <a:ext uri="{FF2B5EF4-FFF2-40B4-BE49-F238E27FC236}">
              <a16:creationId xmlns:a16="http://schemas.microsoft.com/office/drawing/2014/main" id="{C5D9DFAE-8873-473A-9D83-6C7BE14668D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4" name="AutoShape 4" descr="Story">
          <a:hlinkClick xmlns:r="http://schemas.openxmlformats.org/officeDocument/2006/relationships" r:id="rId5"/>
          <a:extLst>
            <a:ext uri="{FF2B5EF4-FFF2-40B4-BE49-F238E27FC236}">
              <a16:creationId xmlns:a16="http://schemas.microsoft.com/office/drawing/2014/main" id="{2700F3A9-6385-411B-BFA1-5316BB84F9C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5" name="AutoShape 7" descr="Story">
          <a:hlinkClick xmlns:r="http://schemas.openxmlformats.org/officeDocument/2006/relationships" r:id="rId3"/>
          <a:extLst>
            <a:ext uri="{FF2B5EF4-FFF2-40B4-BE49-F238E27FC236}">
              <a16:creationId xmlns:a16="http://schemas.microsoft.com/office/drawing/2014/main" id="{56B3D9BC-4712-4872-8663-11DCB16190E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6" name="AutoShape 8" descr="Story">
          <a:hlinkClick xmlns:r="http://schemas.openxmlformats.org/officeDocument/2006/relationships" r:id="rId4"/>
          <a:extLst>
            <a:ext uri="{FF2B5EF4-FFF2-40B4-BE49-F238E27FC236}">
              <a16:creationId xmlns:a16="http://schemas.microsoft.com/office/drawing/2014/main" id="{2C494282-E947-4288-A742-FEB30BB25F8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152400" cy="152400"/>
    <xdr:sp macro="" textlink="">
      <xdr:nvSpPr>
        <xdr:cNvPr id="287" name="AutoShape 8" descr="Story">
          <a:hlinkClick xmlns:r="http://schemas.openxmlformats.org/officeDocument/2006/relationships" r:id="rId4"/>
          <a:extLst>
            <a:ext uri="{FF2B5EF4-FFF2-40B4-BE49-F238E27FC236}">
              <a16:creationId xmlns:a16="http://schemas.microsoft.com/office/drawing/2014/main" id="{E73C178C-1634-4947-8BA9-B91398F770B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persons/person.xml><?xml version="1.0" encoding="utf-8"?>
<personList xmlns="http://schemas.microsoft.com/office/spreadsheetml/2018/threadedcomments" xmlns:x="http://schemas.openxmlformats.org/spreadsheetml/2006/main">
  <person displayName="Zeynep Oran" id="{DFDD04CB-BF8F-4F24-AEBA-CDD017DE1E0E}" userId="S::zeynep.oran@turkkep.com.tr::89511463-0dc7-43c0-ad4d-58a73435739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ynep Oran" refreshedDate="46100.413763425924" createdVersion="8" refreshedVersion="8" minRefreshableVersion="3" recordCount="1018" xr:uid="{4AA03979-F749-43C2-8E3A-4D68AF00DDB3}">
  <cacheSource type="worksheet">
    <worksheetSource ref="A1:J1019" sheet="Ürün İş Listesi"/>
  </cacheSource>
  <cacheFields count="10">
    <cacheField name="Issue Type" numFmtId="0">
      <sharedItems/>
    </cacheField>
    <cacheField name="Issue key" numFmtId="0">
      <sharedItems/>
    </cacheField>
    <cacheField name="Status" numFmtId="0">
      <sharedItems containsBlank="1" count="9">
        <s v="To Do"/>
        <s v="Done"/>
        <s v="Blocked"/>
        <s v="In Progress"/>
        <s v="Publish"/>
        <s v="In Test"/>
        <s v="TO TEST"/>
        <m u="1"/>
        <s v="Development" u="1"/>
      </sharedItems>
    </cacheField>
    <cacheField name="Summary" numFmtId="0">
      <sharedItems/>
    </cacheField>
    <cacheField name="Project name" numFmtId="0">
      <sharedItems containsBlank="1" count="29">
        <s v="CRM"/>
        <s v="Destek Portal"/>
        <s v="Detsis"/>
        <s v="E-Defter"/>
        <s v="E-Fatura"/>
        <s v="Entegrasyon Suit"/>
        <s v="Kep Assist"/>
        <s v="KEP"/>
        <s v="Kep Web Servisi"/>
        <s v="Mobil Uygulama"/>
        <s v="MULTİKEP"/>
        <s v="MultiKEP"/>
        <s v="Muhaberat Yönetim Sistemi"/>
        <s v="TÜRKKEP İMZA"/>
        <s v="UETS"/>
        <s v="UZAKTAN KİMLİK DOĞRULAMA"/>
        <s v="KEP İK BULUT"/>
        <s v="Imza Entegrasyon Uygulaması"/>
        <s v="Dijital Arşiv ve Saklama"/>
        <s v="KEP Asistan"/>
        <s v="KEP İK YK"/>
        <s v="E-Saklama"/>
        <s v="Türkkep SMS GW"/>
        <s v="Yapay Zeka Destekli Çağrı Karşılama"/>
        <m u="1"/>
        <s v="Kamu Servisleri Entegrasyonu" u="1"/>
        <s v="KEP İK" u="1"/>
        <s v="UKDS" u="1"/>
        <s v="Uzaktan Kimlik Doğrulama Sistemi" u="1"/>
      </sharedItems>
    </cacheField>
    <cacheField name="x" numFmtId="0">
      <sharedItems/>
    </cacheField>
    <cacheField name="DEVAM EDEN SPRİNT" numFmtId="0">
      <sharedItems count="2">
        <s v="-"/>
        <s v="Devam Eden Sprint"/>
      </sharedItems>
    </cacheField>
    <cacheField name="GELECEK SPRİNT" numFmtId="0">
      <sharedItems/>
    </cacheField>
    <cacheField name="Durum" numFmtId="0">
      <sharedItems/>
    </cacheField>
    <cacheField name="Story Point2" numFmtId="0">
      <sharedItems containsString="0" containsBlank="1" containsNumber="1" containsInteger="1" minValue="1" maxValue="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ynep Oran" refreshedDate="46100.413766087964" createdVersion="8" refreshedVersion="8" minRefreshableVersion="3" recordCount="1341" xr:uid="{09DE3E8A-DAFB-4D04-917A-BB87454227E1}">
  <cacheSource type="worksheet">
    <worksheetSource ref="A1:J1048576" sheet="Ürün İş Listesi"/>
  </cacheSource>
  <cacheFields count="10">
    <cacheField name="Issue Type" numFmtId="0">
      <sharedItems containsBlank="1" count="8">
        <s v="Story"/>
        <s v="Bug"/>
        <s v="Sub-task"/>
        <s v="Task"/>
        <m/>
        <s v="Talep" u="1"/>
        <s v="Improvement" u="1"/>
        <s v="To Do" u="1"/>
      </sharedItems>
    </cacheField>
    <cacheField name="Issue key" numFmtId="0">
      <sharedItems containsBlank="1"/>
    </cacheField>
    <cacheField name="Status" numFmtId="0">
      <sharedItems containsBlank="1" count="10">
        <s v="To Do"/>
        <s v="Done"/>
        <s v="Blocked"/>
        <s v="In Progress"/>
        <s v="Publish"/>
        <s v="In Test"/>
        <s v="TO TEST"/>
        <s v="TEST"/>
        <m/>
        <s v="Development" u="1"/>
      </sharedItems>
    </cacheField>
    <cacheField name="Summary" numFmtId="0">
      <sharedItems containsBlank="1"/>
    </cacheField>
    <cacheField name="Project name" numFmtId="0">
      <sharedItems containsBlank="1" count="30">
        <s v="CRM"/>
        <s v="Destek Portal"/>
        <s v="Detsis"/>
        <s v="E-Defter"/>
        <s v="E-Fatura"/>
        <s v="Entegrasyon Suit"/>
        <s v="Kep Assist"/>
        <s v="KEP"/>
        <s v="Kep Web Servisi"/>
        <s v="Mobil Uygulama"/>
        <s v="MULTİKEP"/>
        <s v="MultiKEP"/>
        <s v="Muhaberat Yönetim Sistemi"/>
        <s v="TÜRKKEP İMZA"/>
        <s v="UETS"/>
        <s v="UZAKTAN KİMLİK DOĞRULAMA"/>
        <s v="KEP İK BULUT"/>
        <s v="Imza Entegrasyon Uygulaması"/>
        <s v="Dijital Arşiv ve Saklama"/>
        <s v="KEP Asistan"/>
        <s v="KEP İK YK"/>
        <s v="E-Saklama"/>
        <s v="Türkkep SMS GW"/>
        <s v="Yapay Zeka Destekli Çağrı Karşılama"/>
        <s v="UKDS"/>
        <s v="İmza Client JAR"/>
        <m/>
        <s v="Kamu Servisleri Entegrasyonu" u="1"/>
        <s v="KEP İK" u="1"/>
        <s v="Uzaktan Kimlik Doğrulama Sistemi" u="1"/>
      </sharedItems>
    </cacheField>
    <cacheField name="x" numFmtId="0">
      <sharedItems containsBlank="1"/>
    </cacheField>
    <cacheField name="DEVAM EDEN SPRİNT" numFmtId="0">
      <sharedItems containsBlank="1" count="3">
        <s v="-"/>
        <s v="Devam Eden Sprint"/>
        <m/>
      </sharedItems>
    </cacheField>
    <cacheField name="GELECEK SPRİNT" numFmtId="0">
      <sharedItems containsBlank="1"/>
    </cacheField>
    <cacheField name="Durum" numFmtId="0">
      <sharedItems containsBlank="1" count="5">
        <s v="Ürün İş Listesi"/>
        <s v="Devam Eden ve Gelecek Sprint"/>
        <s v="Gelecek Sprint"/>
        <s v="Devam Eden Sprint"/>
        <m/>
      </sharedItems>
    </cacheField>
    <cacheField name="Story Point2" numFmtId="0">
      <sharedItems containsString="0" containsBlank="1" containsNumber="1" containsInteger="1" minValue="1" maxValue="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8">
  <r>
    <s v="Story"/>
    <s v="CRM-281"/>
    <x v="0"/>
    <s v="Türkkep -E-Güven CRM entegrasyonu Faz 2 "/>
    <x v="0"/>
    <e v="#N/A"/>
    <x v="0"/>
    <s v="-"/>
    <s v="Ürün İş Listesi"/>
    <m/>
  </r>
  <r>
    <s v="Story"/>
    <s v="CRM-497"/>
    <x v="1"/>
    <s v="Saklama Kota Yükleme İşlemleri "/>
    <x v="0"/>
    <e v="#N/A"/>
    <x v="0"/>
    <s v="-"/>
    <s v="Ürün İş Listesi"/>
    <m/>
  </r>
  <r>
    <s v="Story"/>
    <s v="CRM-533"/>
    <x v="1"/>
    <s v="KEP IK Mahremiyet &amp; CRM Entegrasyonu"/>
    <x v="0"/>
    <e v="#N/A"/>
    <x v="0"/>
    <s v="-"/>
    <s v="Ürün İş Listesi"/>
    <m/>
  </r>
  <r>
    <s v="Story"/>
    <s v="CRM-535"/>
    <x v="1"/>
    <s v="KEP IK Blulut NVİ Tamamlanan Çalışanların QR Kodlu Islak İmza Taahhütnamelerinin Üretilmesi"/>
    <x v="0"/>
    <e v="#N/A"/>
    <x v="0"/>
    <s v="-"/>
    <s v="Ürün İş Listesi"/>
    <m/>
  </r>
  <r>
    <s v="Story"/>
    <s v="CRM-541_x0009_"/>
    <x v="1"/>
    <s v="Üretim Modülü için Tablo Modellenmesi"/>
    <x v="0"/>
    <e v="#N/A"/>
    <x v="0"/>
    <s v="-"/>
    <s v="Ürün İş Listesi"/>
    <m/>
  </r>
  <r>
    <s v="Story"/>
    <s v="CRM-542"/>
    <x v="1"/>
    <s v="Üretim Modülü için Anasayfa Filtre Ekranı"/>
    <x v="0"/>
    <e v="#N/A"/>
    <x v="0"/>
    <s v="-"/>
    <s v="Ürün İş Listesi"/>
    <n v="3"/>
  </r>
  <r>
    <s v="Story"/>
    <s v="CRM-543"/>
    <x v="1"/>
    <s v="Üretim Modülü Liste Sayfasının Geliştirmesi"/>
    <x v="0"/>
    <e v="#N/A"/>
    <x v="0"/>
    <s v="-"/>
    <s v="Ürün İş Listesi"/>
    <n v="5"/>
  </r>
  <r>
    <s v="Story"/>
    <s v="CRM-544"/>
    <x v="1"/>
    <s v="Üretim Modülü Mütabakat Sürecinin Geliştirmesi"/>
    <x v="0"/>
    <e v="#N/A"/>
    <x v="0"/>
    <s v="-"/>
    <s v="Ürün İş Listesi"/>
    <m/>
  </r>
  <r>
    <s v="Story"/>
    <s v="CRM-545"/>
    <x v="1"/>
    <s v="KEP IK Bulut NVİ Tamamlanmayan Çalışanların QR Kodlu Islak İmza Taahhütnamelerinin Üretilmesi için Servis Geliştirmesi"/>
    <x v="0"/>
    <e v="#N/A"/>
    <x v="0"/>
    <s v="-"/>
    <s v="Ürün İş Listesi"/>
    <m/>
  </r>
  <r>
    <s v="Story"/>
    <s v="CRM-546"/>
    <x v="1"/>
    <s v="KEP IK Bulut Çalışanların QR Kodlu Islak İmza Taahhütnamelerinin Uygulama İçerisinden Toplu İndirilmesi"/>
    <x v="0"/>
    <e v="#N/A"/>
    <x v="0"/>
    <s v="-"/>
    <s v="Ürün İş Listesi"/>
    <m/>
  </r>
  <r>
    <s v="Story"/>
    <s v="CRM-550"/>
    <x v="1"/>
    <s v="Multikep Müşteri Bilgilerinin CRM Sözleşmeden Aktarılması"/>
    <x v="0"/>
    <e v="#N/A"/>
    <x v="0"/>
    <s v="-"/>
    <s v="Ürün İş Listesi"/>
    <m/>
  </r>
  <r>
    <s v="Story"/>
    <s v="CRM-551"/>
    <x v="1"/>
    <s v="Multikep Modüllerinin CRM İşlem Kaydından Aktif Edilmesi"/>
    <x v="0"/>
    <e v="#N/A"/>
    <x v="0"/>
    <s v="-"/>
    <s v="Ürün İş Listesi"/>
    <m/>
  </r>
  <r>
    <s v="Story"/>
    <s v="CRM-553"/>
    <x v="1"/>
    <s v="Multikep Aktarılan Kullanıcılarının Update Edilmesi"/>
    <x v="0"/>
    <e v="#N/A"/>
    <x v="0"/>
    <s v="-"/>
    <s v="Ürün İş Listesi"/>
    <m/>
  </r>
  <r>
    <s v="Story"/>
    <s v="CRM-554"/>
    <x v="1"/>
    <s v="CRM Kurumsal Müşteri Oluşturma MERSİS Entegrasyonu"/>
    <x v="0"/>
    <e v="#N/A"/>
    <x v="0"/>
    <s v="-"/>
    <s v="Ürün İş Listesi"/>
    <n v="5"/>
  </r>
  <r>
    <s v="Story"/>
    <s v="CRM-555"/>
    <x v="1"/>
    <s v="KEP IK Toplu Açılış için CRM den Çalışan Listesini Insert Etme"/>
    <x v="0"/>
    <e v="#N/A"/>
    <x v="0"/>
    <s v="-"/>
    <s v="Ürün İş Listesi"/>
    <m/>
  </r>
  <r>
    <s v="Story"/>
    <s v="CRM-558"/>
    <x v="1"/>
    <s v="KEP IK Kullanıcı için İşlem Yetkilisi Değişiklikleri"/>
    <x v="0"/>
    <e v="#N/A"/>
    <x v="0"/>
    <s v="-"/>
    <s v="Ürün İş Listesi"/>
    <m/>
  </r>
  <r>
    <s v="Story"/>
    <s v="CRM-559"/>
    <x v="1"/>
    <s v="e-İmza UKDS Bilgilendirme Hk."/>
    <x v="0"/>
    <e v="#N/A"/>
    <x v="0"/>
    <s v="-"/>
    <s v="Ürün İş Listesi"/>
    <m/>
  </r>
  <r>
    <s v="Story"/>
    <s v="CRM-560"/>
    <x v="1"/>
    <s v="MultiKEP Ek Kullanıcı Aktarılması"/>
    <x v="0"/>
    <e v="#N/A"/>
    <x v="0"/>
    <s v="-"/>
    <s v="Ürün İş Listesi"/>
    <m/>
  </r>
  <r>
    <s v="Story"/>
    <s v="CRM-562"/>
    <x v="1"/>
    <s v="Yenileme Hatırlatma Maili Akışına Pasif Kullanıcı Kuralının Eklenmesi"/>
    <x v="0"/>
    <e v="#N/A"/>
    <x v="0"/>
    <s v="-"/>
    <s v="Ürün İş Listesi"/>
    <n v="3"/>
  </r>
  <r>
    <s v="Story"/>
    <s v="CRM-565"/>
    <x v="1"/>
    <s v="Toplu Teklif Oluşturma İşlemi"/>
    <x v="0"/>
    <e v="#N/A"/>
    <x v="0"/>
    <s v="-"/>
    <s v="Ürün İş Listesi"/>
    <m/>
  </r>
  <r>
    <s v="Story"/>
    <s v="CRM-568"/>
    <x v="1"/>
    <s v="MERSİS Ek Geliştirme"/>
    <x v="0"/>
    <e v="#N/A"/>
    <x v="0"/>
    <s v="-"/>
    <s v="Ürün İş Listesi"/>
    <n v="3"/>
  </r>
  <r>
    <s v="Story"/>
    <s v="CRM-569"/>
    <x v="1"/>
    <s v="Satış Rapor Yeni Müşteri Statüsü"/>
    <x v="0"/>
    <e v="#N/A"/>
    <x v="0"/>
    <s v="-"/>
    <s v="Ürün İş Listesi"/>
    <n v="2"/>
  </r>
  <r>
    <s v="Bug"/>
    <s v="CRM-570"/>
    <x v="1"/>
    <s v="Duplicate Teklif Numarası Hatası"/>
    <x v="0"/>
    <e v="#N/A"/>
    <x v="0"/>
    <s v="-"/>
    <s v="Ürün İş Listesi"/>
    <n v="3"/>
  </r>
  <r>
    <s v="Bug"/>
    <s v="CRM-571"/>
    <x v="1"/>
    <s v="İş Bankası Sanal POS Api User Değişikliği"/>
    <x v="0"/>
    <e v="#N/A"/>
    <x v="0"/>
    <s v="-"/>
    <s v="Ürün İş Listesi"/>
    <n v="1"/>
  </r>
  <r>
    <s v="Bug"/>
    <s v="CRM-572"/>
    <x v="1"/>
    <s v="Pazarama Bundle Hatası"/>
    <x v="0"/>
    <e v="#N/A"/>
    <x v="0"/>
    <s v="-"/>
    <s v="Ürün İş Listesi"/>
    <n v="3"/>
  </r>
  <r>
    <s v="Story"/>
    <s v="CRM-573"/>
    <x v="1"/>
    <s v="Müşteri Modülünde Mail Adresi İle Müşteri Listeleme"/>
    <x v="0"/>
    <e v="#N/A"/>
    <x v="0"/>
    <s v="-"/>
    <s v="Ürün İş Listesi"/>
    <n v="3"/>
  </r>
  <r>
    <s v="Story"/>
    <s v="CRM-574"/>
    <x v="1"/>
    <s v="Güvenlik Grubu Değişiklik Tarihçesi Hk."/>
    <x v="0"/>
    <e v="#N/A"/>
    <x v="0"/>
    <s v="-"/>
    <s v="Ürün İş Listesi"/>
    <n v="3"/>
  </r>
  <r>
    <s v="Story"/>
    <s v="CRM-577"/>
    <x v="1"/>
    <s v="Dijikolay Potansiyel Müşteri Entegrasyonu Hk."/>
    <x v="0"/>
    <e v="#N/A"/>
    <x v="0"/>
    <s v="-"/>
    <s v="Ürün İş Listesi"/>
    <n v="1"/>
  </r>
  <r>
    <s v="Story"/>
    <s v="CRM-580"/>
    <x v="1"/>
    <s v="KEP IK Toplu Açılış için CRM den Çalışan Listesini Insert Etme Ek Geliştirme"/>
    <x v="0"/>
    <e v="#N/A"/>
    <x v="0"/>
    <s v="-"/>
    <s v="Ürün İş Listesi"/>
    <n v="8"/>
  </r>
  <r>
    <s v="Story"/>
    <s v="CRM-581"/>
    <x v="1"/>
    <s v="Toplu IK Excel Yüklemede Hatalı Excelin Export Edilmesi"/>
    <x v="0"/>
    <e v="#N/A"/>
    <x v="0"/>
    <s v="-"/>
    <s v="Ürün İş Listesi"/>
    <n v="3"/>
  </r>
  <r>
    <s v="Bug"/>
    <s v="CRM-582"/>
    <x v="1"/>
    <s v="Toplu KEP IK Açılış Excelinde Güvenlik Kelimesi"/>
    <x v="0"/>
    <e v="#N/A"/>
    <x v="0"/>
    <s v="-"/>
    <s v="Ürün İş Listesi"/>
    <n v="2"/>
  </r>
  <r>
    <s v="Story"/>
    <s v="CRM-583"/>
    <x v="1"/>
    <s v="Toplu KEP IK Açılışlarında Bildirim Gönderilmesi"/>
    <x v="0"/>
    <e v="#N/A"/>
    <x v="0"/>
    <s v="-"/>
    <s v="Ürün İş Listesi"/>
    <n v="3"/>
  </r>
  <r>
    <s v="Story"/>
    <s v="CRM-584"/>
    <x v="1"/>
    <s v="KEP Adresi ile Arama"/>
    <x v="0"/>
    <e v="#N/A"/>
    <x v="0"/>
    <s v="-"/>
    <s v="Ürün İş Listesi"/>
    <n v="3"/>
  </r>
  <r>
    <s v="Story"/>
    <s v="CRM-587"/>
    <x v="0"/>
    <s v="e-İmza Başvuruları için Dış Servis Yazılması "/>
    <x v="0"/>
    <e v="#N/A"/>
    <x v="0"/>
    <s v="-"/>
    <s v="Ürün İş Listesi"/>
    <m/>
  </r>
  <r>
    <s v="Story"/>
    <s v="CRM-588"/>
    <x v="1"/>
    <s v="Üretim Modülü Fatura Tahsilatların İşlenmesi"/>
    <x v="0"/>
    <e v="#N/A"/>
    <x v="0"/>
    <s v="-"/>
    <s v="Ürün İş Listesi"/>
    <n v="3"/>
  </r>
  <r>
    <s v="Story"/>
    <s v="CRM-589"/>
    <x v="1"/>
    <s v="Duplicate Teklif Numarası için Alarm Maili Oluşturulması"/>
    <x v="0"/>
    <e v="#N/A"/>
    <x v="0"/>
    <s v="-"/>
    <s v="Ürün İş Listesi"/>
    <n v="1"/>
  </r>
  <r>
    <s v="Story"/>
    <s v="CRM-590"/>
    <x v="1"/>
    <s v="Aynı TCKN ye Ait Birden Fazla KEP Adresinin KEP IK Aktarım Süreci "/>
    <x v="0"/>
    <e v="#N/A"/>
    <x v="0"/>
    <s v="-"/>
    <s v="Ürün İş Listesi"/>
    <m/>
  </r>
  <r>
    <s v="Story"/>
    <s v="CRM-591"/>
    <x v="1"/>
    <s v="Pasif Olan KEP Adresin Tekrar Aktif Edilmesi (UKDS)"/>
    <x v="0"/>
    <e v="#N/A"/>
    <x v="0"/>
    <s v="-"/>
    <s v="Ürün İş Listesi"/>
    <m/>
  </r>
  <r>
    <s v="Story"/>
    <s v="CRM-592"/>
    <x v="1"/>
    <s v="Pasif Olan KEP Hesabın Tekrar Aktif Edilmesi (CRM)"/>
    <x v="0"/>
    <e v="#N/A"/>
    <x v="0"/>
    <s v="-"/>
    <s v="Ürün İş Listesi"/>
    <m/>
  </r>
  <r>
    <s v="Story"/>
    <s v="CRM-593"/>
    <x v="1"/>
    <s v="Mersis sorgu sonucunda dönen NACE kodu bilgisinin alınması"/>
    <x v="0"/>
    <e v="#N/A"/>
    <x v="0"/>
    <s v="-"/>
    <s v="Ürün İş Listesi"/>
    <n v="1"/>
  </r>
  <r>
    <s v="Story"/>
    <s v="CRM-594"/>
    <x v="0"/>
    <s v="KEP Assist ürün kullanım raporu"/>
    <x v="0"/>
    <e v="#N/A"/>
    <x v="0"/>
    <s v="-"/>
    <s v="Ürün İş Listesi"/>
    <n v="5"/>
  </r>
  <r>
    <s v="Story"/>
    <s v="CRM-597"/>
    <x v="1"/>
    <s v="Sipariş detayında MERSİS sorgu sonucu başarılı dönmemesi"/>
    <x v="0"/>
    <e v="#N/A"/>
    <x v="0"/>
    <s v="-"/>
    <s v="Ürün İş Listesi"/>
    <n v="1"/>
  </r>
  <r>
    <s v="Story"/>
    <s v="CRM-598"/>
    <x v="1"/>
    <s v="Kamu/Oda/Vakıf/Dernek müşteri tipi için KEP hesap oluşturulabilmesi"/>
    <x v="0"/>
    <e v="#N/A"/>
    <x v="0"/>
    <s v="-"/>
    <s v="Ürün İş Listesi"/>
    <n v="1"/>
  </r>
  <r>
    <s v="Story"/>
    <s v="CRM-599"/>
    <x v="1"/>
    <s v="Manuel müşteri kaydı oluşturma"/>
    <x v="0"/>
    <e v="#N/A"/>
    <x v="0"/>
    <s v="-"/>
    <s v="Ürün İş Listesi"/>
    <n v="1"/>
  </r>
  <r>
    <s v="Story"/>
    <s v="CRM-600"/>
    <x v="1"/>
    <s v="MERSİS sonucunda eşleşme sağlanamaması"/>
    <x v="0"/>
    <e v="#N/A"/>
    <x v="0"/>
    <s v="-"/>
    <s v="Ürün İş Listesi"/>
    <n v="1"/>
  </r>
  <r>
    <s v="Story"/>
    <s v="CRM-601"/>
    <x v="1"/>
    <s v="KEP Assist rapor servisine entegrasyon sağlanması"/>
    <x v="0"/>
    <e v="#N/A"/>
    <x v="0"/>
    <s v="-"/>
    <s v="Ürün İş Listesi"/>
    <n v="1"/>
  </r>
  <r>
    <s v="Story"/>
    <s v="CRM-602"/>
    <x v="1"/>
    <s v="KEP Assist organizasyon ID bilgisinin kaydedilmesi"/>
    <x v="0"/>
    <e v="#N/A"/>
    <x v="0"/>
    <s v="-"/>
    <s v="Ürün İş Listesi"/>
    <n v="1"/>
  </r>
  <r>
    <s v="Story"/>
    <s v="CRM-603"/>
    <x v="1"/>
    <s v="Sözleşmeler sayfasına kullanım bilgilerinin kaydedilmesi"/>
    <x v="0"/>
    <e v="#N/A"/>
    <x v="0"/>
    <s v="-"/>
    <s v="Ürün İş Listesi"/>
    <n v="5"/>
  </r>
  <r>
    <s v="Story"/>
    <s v="CRM-604"/>
    <x v="1"/>
    <s v="Kullanım bilgilerinin güncellenmesi için job yazılması"/>
    <x v="0"/>
    <e v="#N/A"/>
    <x v="0"/>
    <s v="-"/>
    <s v="Ürün İş Listesi"/>
    <n v="2"/>
  </r>
  <r>
    <s v="Story"/>
    <s v="CRM-605"/>
    <x v="1"/>
    <s v="Belirli tarih aralığındaki kullanım bilgilerinin gösterilmesi"/>
    <x v="0"/>
    <e v="#N/A"/>
    <x v="0"/>
    <s v="-"/>
    <s v="Ürün İş Listesi"/>
    <n v="3"/>
  </r>
  <r>
    <s v="Story"/>
    <s v="CRM-608"/>
    <x v="1"/>
    <s v="Duplicate Fatura Numaraları için Düzenleme"/>
    <x v="0"/>
    <e v="#N/A"/>
    <x v="0"/>
    <s v="-"/>
    <s v="Ürün İş Listesi"/>
    <n v="2"/>
  </r>
  <r>
    <s v="Story"/>
    <s v="CRM-609"/>
    <x v="1"/>
    <s v="Müşterinin Oluşturulma Tarihi Düzenlemesi"/>
    <x v="0"/>
    <e v="#N/A"/>
    <x v="0"/>
    <s v="-"/>
    <s v="Ürün İş Listesi"/>
    <n v="1"/>
  </r>
  <r>
    <s v="Story"/>
    <s v="CRM-610"/>
    <x v="1"/>
    <s v="Test ortamı MERSİS entegrasyonu kontrol adımları"/>
    <x v="0"/>
    <e v="#N/A"/>
    <x v="0"/>
    <s v="-"/>
    <s v="Ürün İş Listesi"/>
    <n v="2"/>
  </r>
  <r>
    <s v="Story"/>
    <s v="CRM-613"/>
    <x v="1"/>
    <s v="Test ortamında NACE kodu bilgisi alanının getirilmesi"/>
    <x v="0"/>
    <e v="#N/A"/>
    <x v="0"/>
    <s v="-"/>
    <s v="Ürün İş Listesi"/>
    <n v="1"/>
  </r>
  <r>
    <s v="Story"/>
    <s v="CRM-614"/>
    <x v="1"/>
    <s v="Tobb Mersis servisi bakiye kontrolü için bildirim maili gönderilmesi"/>
    <x v="0"/>
    <e v="#N/A"/>
    <x v="0"/>
    <s v="-"/>
    <s v="Ürün İş Listesi"/>
    <n v="2"/>
  </r>
  <r>
    <s v="Story"/>
    <s v="CRM-616"/>
    <x v="1"/>
    <s v="Turmob servis tüketim bilgilerinin kaydedilmesi"/>
    <x v="0"/>
    <e v="#N/A"/>
    <x v="0"/>
    <s v="-"/>
    <s v="Ürün İş Listesi"/>
    <n v="3"/>
  </r>
  <r>
    <s v="Story"/>
    <s v="CRM-617"/>
    <x v="1"/>
    <s v="Turmob servis tüketim verilerinin Fatura bakiyesinden düşülmesi"/>
    <x v="0"/>
    <e v="#N/A"/>
    <x v="0"/>
    <s v="-"/>
    <s v="Ürün İş Listesi"/>
    <n v="1"/>
  </r>
  <r>
    <s v="Story"/>
    <s v="CRM-618"/>
    <x v="1"/>
    <s v="Fatura tüketim verileri içeren raporların güncellenmesi"/>
    <x v="0"/>
    <e v="#N/A"/>
    <x v="0"/>
    <s v="-"/>
    <s v="Ürün İş Listesi"/>
    <n v="1"/>
  </r>
  <r>
    <s v="Story"/>
    <s v="DP-266"/>
    <x v="1"/>
    <s v="İptal Firmaların Veri Teslimi İçin Sorgu Ekranı Eklenmesi"/>
    <x v="1"/>
    <e v="#N/A"/>
    <x v="0"/>
    <s v="-"/>
    <s v="Ürün İş Listesi"/>
    <n v="2"/>
  </r>
  <r>
    <s v="Bug"/>
    <s v="DP-267"/>
    <x v="1"/>
    <s v="E-Defter Firma Raporu Excelinin Güncellenmesi"/>
    <x v="1"/>
    <e v="#N/A"/>
    <x v="0"/>
    <s v="-"/>
    <s v="Ürün İş Listesi"/>
    <n v="2"/>
  </r>
  <r>
    <s v="Story"/>
    <s v="DP-268"/>
    <x v="1"/>
    <s v="KEP Utility Servisi Evidence-controller metotlarının eklenmesi"/>
    <x v="1"/>
    <e v="#N/A"/>
    <x v="0"/>
    <s v="-"/>
    <s v="Ürün İş Listesi"/>
    <n v="2"/>
  </r>
  <r>
    <s v="Story"/>
    <s v="DP-269"/>
    <x v="1"/>
    <s v="KEP Utility Servisi Mailbox-controller metotlarının eklenmesi"/>
    <x v="1"/>
    <e v="#N/A"/>
    <x v="0"/>
    <s v="-"/>
    <s v="Ürün İş Listesi"/>
    <n v="2"/>
  </r>
  <r>
    <s v="Story"/>
    <s v="DP-270"/>
    <x v="1"/>
    <s v="KEP Utility Servisi Original-controller metotlarının eklenmesi"/>
    <x v="1"/>
    <e v="#N/A"/>
    <x v="0"/>
    <s v="-"/>
    <s v="Ürün İş Listesi"/>
    <n v="5"/>
  </r>
  <r>
    <s v="Story"/>
    <s v="DP-271"/>
    <x v="1"/>
    <s v="KEP Utility Servisi quota-controller metotlarının eklenmesi"/>
    <x v="1"/>
    <e v="#N/A"/>
    <x v="0"/>
    <s v="-"/>
    <s v="Ürün İş Listesi"/>
    <n v="2"/>
  </r>
  <r>
    <s v="Story"/>
    <s v="DP-272"/>
    <x v="1"/>
    <s v=" KEP Utility Servisi Rem-q-controller metotlarının eklenmesi"/>
    <x v="1"/>
    <e v="#N/A"/>
    <x v="0"/>
    <s v="-"/>
    <s v="Ürün İş Listesi"/>
    <n v="2"/>
  </r>
  <r>
    <s v="Story"/>
    <s v="DP-273"/>
    <x v="1"/>
    <s v=" KEP Utility Servisi Web-hr-controller metotlarının eklenmesi"/>
    <x v="1"/>
    <e v="#N/A"/>
    <x v="0"/>
    <s v="-"/>
    <s v="Ürün İş Listesi"/>
    <n v="2"/>
  </r>
  <r>
    <s v="Story"/>
    <s v="DS-10"/>
    <x v="1"/>
    <s v="Hata loglarının LogSign üzerinden bildirim olarak gönderilmesi"/>
    <x v="2"/>
    <e v="#N/A"/>
    <x v="0"/>
    <s v="-"/>
    <s v="Ürün İş Listesi"/>
    <n v="3"/>
  </r>
  <r>
    <s v="Story"/>
    <s v="EDF-748"/>
    <x v="1"/>
    <s v="e-Defter Kebir Dosyalarının Ocak 2025 Dönemi İtibarı ile GİB Sistemlerine Yüklenmemesi İçin Değişiklik"/>
    <x v="3"/>
    <e v="#N/A"/>
    <x v="0"/>
    <s v="-"/>
    <s v="Ürün İş Listesi"/>
    <m/>
  </r>
  <r>
    <s v="Story"/>
    <s v="EDF-750"/>
    <x v="1"/>
    <s v="E-Defter Client Defter İmzalama İçin .jar Dosyasının Güncellenmesi"/>
    <x v="3"/>
    <e v="#N/A"/>
    <x v="0"/>
    <s v="-"/>
    <s v="Ürün İş Listesi"/>
    <m/>
  </r>
  <r>
    <s v="Story"/>
    <s v="EDF-751"/>
    <x v="1"/>
    <s v="Büyük Parçalı Firma (LOFT) Portalde İşlem Yapabilmesi İçin Exe Yazılması"/>
    <x v="3"/>
    <e v="#N/A"/>
    <x v="0"/>
    <s v="-"/>
    <s v="Ürün İş Listesi"/>
    <n v="3"/>
  </r>
  <r>
    <s v="Story"/>
    <s v="EDF-752"/>
    <x v="1"/>
    <s v="CST_Contract Tablosunda Yer Almayan Müşterinin Portale Girişinin Engellediği Geliştirmenin Geri Alınması"/>
    <x v="3"/>
    <e v="#N/A"/>
    <x v="0"/>
    <s v="-"/>
    <s v="Ürün İş Listesi"/>
    <n v="2"/>
  </r>
  <r>
    <s v="Story"/>
    <s v="EDF-755"/>
    <x v="1"/>
    <s v="Sözleşmesi Dolacak Müşteriler İçin Portalde Uyarı Metni Gösterimi"/>
    <x v="3"/>
    <e v="#N/A"/>
    <x v="0"/>
    <s v="-"/>
    <s v="Ürün İş Listesi"/>
    <n v="13"/>
  </r>
  <r>
    <s v="Story"/>
    <s v="EFT-1669"/>
    <x v="2"/>
    <s v="Şifreli Tutulan Verilerin SHA-2 Algoritması İle Hashlenmesi"/>
    <x v="4"/>
    <e v="#N/A"/>
    <x v="0"/>
    <s v="-"/>
    <s v="Ürün İş Listesi"/>
    <m/>
  </r>
  <r>
    <s v="Story"/>
    <s v="EFT-1934"/>
    <x v="1"/>
    <s v="Sözleşme ve aktivasyon süreçlerinin istemci ile gerçekleştirilmesi"/>
    <x v="4"/>
    <e v="#N/A"/>
    <x v="0"/>
    <s v="-"/>
    <s v="Ürün İş Listesi"/>
    <n v="3"/>
  </r>
  <r>
    <s v="Story"/>
    <s v="EFT-2043"/>
    <x v="1"/>
    <s v="Kamu Faturaları Düzenlemeleri"/>
    <x v="4"/>
    <e v="#N/A"/>
    <x v="0"/>
    <s v="-"/>
    <s v="Ürün İş Listesi"/>
    <n v="2"/>
  </r>
  <r>
    <s v="Story"/>
    <s v="EFT-2068"/>
    <x v="1"/>
    <s v="Portalde Excel İle Fatura Yükleme "/>
    <x v="4"/>
    <e v="#N/A"/>
    <x v="0"/>
    <s v="-"/>
    <s v="Ürün İş Listesi"/>
    <m/>
  </r>
  <r>
    <s v="Story"/>
    <s v="EFT-2085"/>
    <x v="1"/>
    <s v="İlaç ve Tıbbi Cihaz Fatura Tipinde Fatura Oluşturulup Gönderilmesi"/>
    <x v="4"/>
    <e v="#N/A"/>
    <x v="0"/>
    <s v="-"/>
    <s v="Ürün İş Listesi"/>
    <n v="13"/>
  </r>
  <r>
    <s v="Story"/>
    <s v="EFT-2087"/>
    <x v="1"/>
    <s v="DeliveryCustomerParty Alanında TCKN Giriliyorsa Ad Soyad Girme Zorunluluğu Ekleme"/>
    <x v="4"/>
    <e v="#N/A"/>
    <x v="0"/>
    <s v="-"/>
    <s v="Ürün İş Listesi"/>
    <n v="3"/>
  </r>
  <r>
    <s v="Story"/>
    <s v="EFT-2094"/>
    <x v="1"/>
    <s v="Portal İlaç ve Tıbbi Cihaz Fatura Tipinde Fatura Oluşturulup Gönderilmesi"/>
    <x v="4"/>
    <e v="#N/A"/>
    <x v="0"/>
    <s v="-"/>
    <s v="Ürün İş Listesi"/>
    <n v="5"/>
  </r>
  <r>
    <s v="Bug"/>
    <s v="EFT-2095"/>
    <x v="1"/>
    <s v="Ef-Admin Portalde Şifremi Unuttum Alanının Çalışmaması"/>
    <x v="4"/>
    <e v="#N/A"/>
    <x v="0"/>
    <s v="-"/>
    <s v="Ürün İş Listesi"/>
    <n v="3"/>
  </r>
  <r>
    <s v="Story"/>
    <s v="EFT-2100"/>
    <x v="1"/>
    <s v="IHRACKAYITLI fatura tipi için GTİP ve Satır Kodu Zorunluluğu"/>
    <x v="4"/>
    <e v="#N/A"/>
    <x v="0"/>
    <s v="-"/>
    <s v="Ürün İş Listesi"/>
    <n v="5"/>
  </r>
  <r>
    <s v="Story"/>
    <s v="EFT-2101"/>
    <x v="1"/>
    <s v="İade ve Tevkifatiade Fatura Tiplerinde İadeye Konu Olan Fatura Numarası ve Tarihi Boş Olmaması"/>
    <x v="4"/>
    <e v="#N/A"/>
    <x v="0"/>
    <s v="-"/>
    <s v="Ürün İş Listesi"/>
    <n v="5"/>
  </r>
  <r>
    <s v="Story"/>
    <s v="EFT-2102"/>
    <x v="1"/>
    <s v="TaxExemptionReasonCodeType Güncellenmesi"/>
    <x v="4"/>
    <e v="#N/A"/>
    <x v="0"/>
    <s v="-"/>
    <s v="Ürün İş Listesi"/>
    <n v="1"/>
  </r>
  <r>
    <s v="Story"/>
    <s v="EFT-2108"/>
    <x v="1"/>
    <s v="ERP Binding Müşterilerine GİB Zorunlulukları İçin Geliştirme"/>
    <x v="4"/>
    <e v="#N/A"/>
    <x v="0"/>
    <s v="-"/>
    <s v="Ürün İş Listesi"/>
    <n v="3"/>
  </r>
  <r>
    <s v="Story"/>
    <s v="EFT-2109"/>
    <x v="1"/>
    <s v="MLP İade Faturası Geliştirmesi"/>
    <x v="4"/>
    <e v="#N/A"/>
    <x v="0"/>
    <s v="-"/>
    <s v="Ürün İş Listesi"/>
    <n v="2"/>
  </r>
  <r>
    <s v="Story"/>
    <s v="EFT-2114"/>
    <x v="1"/>
    <s v="HSM Lisans Süresini Uzatılması"/>
    <x v="4"/>
    <e v="#N/A"/>
    <x v="0"/>
    <s v="-"/>
    <s v="Ürün İş Listesi"/>
    <n v="1"/>
  </r>
  <r>
    <s v="Story"/>
    <s v="EFT-2116"/>
    <x v="1"/>
    <s v="Yapılan Türmob sorgularının veri tablosuna kaydedilmesi"/>
    <x v="4"/>
    <e v="#N/A"/>
    <x v="0"/>
    <s v="-"/>
    <s v="Ürün İş Listesi"/>
    <n v="3"/>
  </r>
  <r>
    <s v="Story"/>
    <s v="EFT-2117"/>
    <x v="1"/>
    <s v="Konnektör VKN/TCKN Alanı Minimum 10 Hane ve Ücretlendirme Uyarısı"/>
    <x v="4"/>
    <e v="#N/A"/>
    <x v="0"/>
    <s v="-"/>
    <s v="Ürün İş Listesi"/>
    <n v="1"/>
  </r>
  <r>
    <s v="Story"/>
    <s v="EFT-2118"/>
    <x v="1"/>
    <s v="Proxy Servis Metot Geliştirmeleri"/>
    <x v="4"/>
    <e v="#N/A"/>
    <x v="0"/>
    <s v="-"/>
    <s v="Ürün İş Listesi"/>
    <n v="2"/>
  </r>
  <r>
    <s v="Story"/>
    <s v="EFT-2119"/>
    <x v="1"/>
    <s v="CRM-Fatura Entegrasyonu Sağlanması"/>
    <x v="4"/>
    <e v="#N/A"/>
    <x v="0"/>
    <s v="-"/>
    <s v="Ürün İş Listesi"/>
    <n v="2"/>
  </r>
  <r>
    <s v="Story"/>
    <s v="EFT-2120"/>
    <x v="1"/>
    <s v="Portal VKN/TCKN Alanına Minimum 10 haneli Giriş Zorunluluğu ve Ücretlendirme Uyarısı"/>
    <x v="4"/>
    <e v="#N/A"/>
    <x v="0"/>
    <s v="-"/>
    <s v="Ürün İş Listesi"/>
    <n v="1"/>
  </r>
  <r>
    <s v="Story"/>
    <s v="EFT-2121"/>
    <x v="1"/>
    <s v="Portalda Dashboard da TÜRMOB Sorgu Sayısı"/>
    <x v="4"/>
    <e v="#N/A"/>
    <x v="0"/>
    <s v="-"/>
    <s v="Ürün İş Listesi"/>
    <n v="3"/>
  </r>
  <r>
    <s v="Bug"/>
    <s v="EFT-2122"/>
    <x v="1"/>
    <s v="İrsaliye Web Metotlarında Mersis No ve Ticaret No Zorunluluğu Kaldırma "/>
    <x v="4"/>
    <e v="#N/A"/>
    <x v="0"/>
    <s v="-"/>
    <s v="Ürün İş Listesi"/>
    <n v="1"/>
  </r>
  <r>
    <s v="Bug"/>
    <s v="EFT-2127"/>
    <x v="1"/>
    <s v="GİB Zorunlulukları Sonrası Konnektörde Harici Excel İle Yüklemede Hata"/>
    <x v="4"/>
    <e v="#N/A"/>
    <x v="0"/>
    <s v="-"/>
    <s v="Ürün İş Listesi"/>
    <n v="2"/>
  </r>
  <r>
    <s v="Story"/>
    <s v="EFT-2129"/>
    <x v="1"/>
    <s v="Türmob Geliştirmelerinde Connector Uygulamasının Proxy Servisine Entegre Edilmesi"/>
    <x v="4"/>
    <e v="#N/A"/>
    <x v="0"/>
    <s v="-"/>
    <s v="Ürün İş Listesi"/>
    <n v="1"/>
  </r>
  <r>
    <s v="Bug"/>
    <s v="EFT-2136"/>
    <x v="1"/>
    <s v="MLP İade Fatura İadeye Konu Fatura Düzeltmesi"/>
    <x v="4"/>
    <e v="#N/A"/>
    <x v="0"/>
    <s v="-"/>
    <s v="Ürün İş Listesi"/>
    <n v="1"/>
  </r>
  <r>
    <s v="Story"/>
    <s v="EFT-2137"/>
    <x v="1"/>
    <s v="Ücretlendirme Uyarısının Gösterimi "/>
    <x v="4"/>
    <e v="#N/A"/>
    <x v="0"/>
    <s v="-"/>
    <s v="Ürün İş Listesi"/>
    <n v="1"/>
  </r>
  <r>
    <s v="Bug"/>
    <s v="EFT-2138"/>
    <x v="1"/>
    <s v="Portalda İade ve Tevkifat İade Faturalarında İadeye Konu Olan Fatura Numarasının Seri Numarası Tarihi Hatası"/>
    <x v="4"/>
    <e v="#N/A"/>
    <x v="0"/>
    <s v="-"/>
    <s v="Ürün İş Listesi"/>
    <n v="1"/>
  </r>
  <r>
    <s v="Story"/>
    <s v="EFT-2140"/>
    <x v="1"/>
    <s v="Portal uygulumasına &quot;TEKNOLOJIDESTEK” fatura tipinin eklenmesi._x0009_"/>
    <x v="4"/>
    <e v="#N/A"/>
    <x v="0"/>
    <s v="-"/>
    <s v="Ürün İş Listesi"/>
    <n v="3"/>
  </r>
  <r>
    <s v="Story"/>
    <s v="EFT-2141"/>
    <x v="1"/>
    <s v="Konnektör uygulumasına &quot;TEKNOLOJIDESTEK” fatura tipinin eklenmesi."/>
    <x v="4"/>
    <e v="#N/A"/>
    <x v="0"/>
    <s v="-"/>
    <s v="Ürün İş Listesi"/>
    <n v="2"/>
  </r>
  <r>
    <s v="Story"/>
    <s v="EFT-2142"/>
    <x v="1"/>
    <s v="Webservis uygulumasına &quot;TEKNOLOJIDESTEK” fatura tipinin eklenmesi."/>
    <x v="4"/>
    <e v="#N/A"/>
    <x v="0"/>
    <s v="-"/>
    <s v="Ürün İş Listesi"/>
    <n v="3"/>
  </r>
  <r>
    <s v="Story"/>
    <s v="EFT-2143"/>
    <x v="1"/>
    <s v="Modellerin, servislerin ve SPlerin oluşması "/>
    <x v="4"/>
    <e v="#N/A"/>
    <x v="0"/>
    <s v="-"/>
    <s v="Ürün İş Listesi"/>
    <n v="3"/>
  </r>
  <r>
    <s v="Story"/>
    <s v="IEU-114"/>
    <x v="1"/>
    <s v="Pdf hash imza - client"/>
    <x v="5"/>
    <e v="#N/A"/>
    <x v="0"/>
    <s v="-"/>
    <s v="Ürün İş Listesi"/>
    <m/>
  </r>
  <r>
    <s v="Story"/>
    <s v="IEU-115"/>
    <x v="1"/>
    <s v="PDF Dosyasının Hash Değerini Alma"/>
    <x v="5"/>
    <e v="#N/A"/>
    <x v="0"/>
    <s v="-"/>
    <s v="Ürün İş Listesi"/>
    <n v="5"/>
  </r>
  <r>
    <s v="Story"/>
    <s v="IEU-122"/>
    <x v="1"/>
    <s v="Veritabanının farklı sunucuya taşınması (Hubtest)"/>
    <x v="5"/>
    <e v="#N/A"/>
    <x v="0"/>
    <s v="-"/>
    <s v="Ürün İş Listesi"/>
    <n v="3"/>
  </r>
  <r>
    <s v="Bug"/>
    <s v="IEU-127"/>
    <x v="0"/>
    <s v="XAdES çoklu imza doğrulama hatası"/>
    <x v="5"/>
    <e v="#N/A"/>
    <x v="0"/>
    <s v="-"/>
    <s v="Ürün İş Listesi"/>
    <m/>
  </r>
  <r>
    <s v="Bug"/>
    <s v="IEU-128"/>
    <x v="1"/>
    <s v="XAdES çoklu imzalama hatası hakkında"/>
    <x v="5"/>
    <e v="#N/A"/>
    <x v="0"/>
    <s v="-"/>
    <s v="Ürün İş Listesi"/>
    <m/>
  </r>
  <r>
    <s v="Story"/>
    <s v="IEU-13"/>
    <x v="1"/>
    <s v="Mobil İmza modülüne XAdES imzalama özelliği eklenmesi"/>
    <x v="5"/>
    <e v="#N/A"/>
    <x v="0"/>
    <s v="-"/>
    <s v="Ürün İş Listesi"/>
    <n v="5"/>
  </r>
  <r>
    <s v="Story"/>
    <s v="IEU-149"/>
    <x v="1"/>
    <s v="UETS servisinin Hubtest'e alınması"/>
    <x v="5"/>
    <e v="#N/A"/>
    <x v="0"/>
    <s v="-"/>
    <s v="Ürün İş Listesi"/>
    <m/>
  </r>
  <r>
    <s v="Story"/>
    <s v="IEU-151"/>
    <x v="1"/>
    <s v="Webmail ile Mobil İmza Entegrasyonu"/>
    <x v="5"/>
    <e v="#N/A"/>
    <x v="0"/>
    <s v="-"/>
    <s v="Ürün İş Listesi"/>
    <m/>
  </r>
  <r>
    <s v="Story"/>
    <s v="IEU-153"/>
    <x v="1"/>
    <s v="/api/v1/crg/search/account-info Metodunun Yeniden Yapılandırılması"/>
    <x v="5"/>
    <e v="#N/A"/>
    <x v="0"/>
    <s v="-"/>
    <s v="Ürün İş Listesi"/>
    <m/>
  </r>
  <r>
    <s v="Story"/>
    <s v="IEU-154"/>
    <x v="1"/>
    <s v="Son Ui Getiren Metotların Hubtest'e Alınması"/>
    <x v="5"/>
    <e v="#N/A"/>
    <x v="0"/>
    <s v="-"/>
    <s v="Ürün İş Listesi"/>
    <n v="3"/>
  </r>
  <r>
    <s v="Story"/>
    <s v="IEU-155"/>
    <x v="0"/>
    <s v="İmzalama servislerinde toplu imzalama imkanı"/>
    <x v="5"/>
    <e v="#N/A"/>
    <x v="0"/>
    <s v="-"/>
    <s v="Ürün İş Listesi"/>
    <m/>
  </r>
  <r>
    <s v="Story"/>
    <s v="IEU-158"/>
    <x v="1"/>
    <s v="KEP Rehber - Genel Adres Doğrulama Metodunun Eklenmesi"/>
    <x v="5"/>
    <e v="#N/A"/>
    <x v="0"/>
    <s v="-"/>
    <s v="Ürün İş Listesi"/>
    <n v="3"/>
  </r>
  <r>
    <s v="Story"/>
    <s v="IEU-159"/>
    <x v="1"/>
    <s v="Merkezi KEP Rehberi Metodunda Hatalı Dönüşün Açıklamasının Eklenmesi"/>
    <x v="5"/>
    <e v="#N/A"/>
    <x v="0"/>
    <s v="-"/>
    <s v="Ürün İş Listesi"/>
    <n v="3"/>
  </r>
  <r>
    <s v="Story"/>
    <s v="IEU-160"/>
    <x v="1"/>
    <s v="İmzaClient Güncellemesi"/>
    <x v="5"/>
    <e v="#N/A"/>
    <x v="0"/>
    <s v="-"/>
    <s v="Ürün İş Listesi"/>
    <n v="3"/>
  </r>
  <r>
    <s v="Bug"/>
    <s v="IEU-162"/>
    <x v="1"/>
    <s v="Mobil imza cades tipinde imzalanan belgenin imzalı datasını çağırma hk."/>
    <x v="5"/>
    <e v="#N/A"/>
    <x v="0"/>
    <s v="-"/>
    <s v="Ürün İş Listesi"/>
    <n v="3"/>
  </r>
  <r>
    <s v="Story"/>
    <s v="IEU-164"/>
    <x v="1"/>
    <s v="TCKN ve VKN ile Kep Adresi Sorgulama"/>
    <x v="5"/>
    <e v="#N/A"/>
    <x v="0"/>
    <s v="-"/>
    <s v="Ürün İş Listesi"/>
    <m/>
  </r>
  <r>
    <s v="Story"/>
    <s v="IEU-165"/>
    <x v="1"/>
    <s v="/api/v1/sign/multi metoduna api-access-token parametresi eklenmesi"/>
    <x v="5"/>
    <e v="#N/A"/>
    <x v="0"/>
    <s v="-"/>
    <s v="Ürün İş Listesi"/>
    <m/>
  </r>
  <r>
    <s v="Bug"/>
    <s v="IEU-166"/>
    <x v="1"/>
    <s v="list-by-folder-name metodu hk."/>
    <x v="5"/>
    <e v="#N/A"/>
    <x v="0"/>
    <s v="-"/>
    <s v="Ürün İş Listesi"/>
    <n v="3"/>
  </r>
  <r>
    <s v="Story"/>
    <s v="IEU-171"/>
    <x v="1"/>
    <s v="İmzalı Hash Değeri ile Orijinal PDF'yi Birleştirme Metodu Geliştirilmesi"/>
    <x v="5"/>
    <e v="#N/A"/>
    <x v="0"/>
    <s v="-"/>
    <s v="Ürün İş Listesi"/>
    <n v="5"/>
  </r>
  <r>
    <s v="Bug"/>
    <s v="IEU-172"/>
    <x v="1"/>
    <s v="Hubtest metotlardaki hatalar hk."/>
    <x v="5"/>
    <e v="#N/A"/>
    <x v="0"/>
    <s v="-"/>
    <s v="Ürün İş Listesi"/>
    <n v="3"/>
  </r>
  <r>
    <s v="Bug"/>
    <s v="IEU-174"/>
    <x v="1"/>
    <s v="İmza Client - E-Fatura"/>
    <x v="5"/>
    <e v="#N/A"/>
    <x v="0"/>
    <s v="-"/>
    <s v="Ürün İş Listesi"/>
    <n v="3"/>
  </r>
  <r>
    <s v="Bug"/>
    <s v="IEU-176"/>
    <x v="3"/>
    <s v="Pades Es-A İmzalarda Çift Zaman Damgası Basılması"/>
    <x v="5"/>
    <e v="#N/A"/>
    <x v="0"/>
    <s v="-"/>
    <s v="Ürün İş Listesi"/>
    <n v="3"/>
  </r>
  <r>
    <s v="Bug"/>
    <s v="IEU-177"/>
    <x v="1"/>
    <s v="Hubtest /api/v1/eyp/composer/v13/paket/imza/ekle metodu hk."/>
    <x v="5"/>
    <e v="#N/A"/>
    <x v="0"/>
    <s v="-"/>
    <s v="Ürün İş Listesi"/>
    <n v="2"/>
  </r>
  <r>
    <s v="Story"/>
    <s v="IEU-181"/>
    <x v="1"/>
    <s v="Metotlardan Dönen Hata Yanıtlarının Kontrol Edilmesi ve Listelenmesi"/>
    <x v="5"/>
    <e v="#N/A"/>
    <x v="0"/>
    <s v="-"/>
    <s v="Ürün İş Listesi"/>
    <n v="3"/>
  </r>
  <r>
    <s v="Story"/>
    <s v="IEU-182"/>
    <x v="1"/>
    <s v="Entegrasyon Suit Servis (Rest Api) Dokümanı Güncelleme"/>
    <x v="5"/>
    <e v="#N/A"/>
    <x v="0"/>
    <s v="-"/>
    <s v="Ürün İş Listesi"/>
    <n v="5"/>
  </r>
  <r>
    <s v="Bug"/>
    <s v="IEU-183"/>
    <x v="1"/>
    <s v="rems-by-folder-name metodu hk."/>
    <x v="5"/>
    <e v="#N/A"/>
    <x v="0"/>
    <s v="-"/>
    <s v="Ürün İş Listesi"/>
    <n v="3"/>
  </r>
  <r>
    <s v="Story"/>
    <s v="KA-1359"/>
    <x v="0"/>
    <s v="Mobil İmza Servis Entegrasyonu"/>
    <x v="6"/>
    <e v="#N/A"/>
    <x v="0"/>
    <s v="-"/>
    <s v="Ürün İş Listesi"/>
    <m/>
  </r>
  <r>
    <s v="Story"/>
    <s v="KA-1445"/>
    <x v="1"/>
    <s v="Organizasyon kullanıcılarının customerAdmin tarafından tanımlanması"/>
    <x v="6"/>
    <e v="#N/A"/>
    <x v="0"/>
    <s v="-"/>
    <s v="Ürün İş Listesi"/>
    <m/>
  </r>
  <r>
    <s v="Story"/>
    <s v="KA-1447"/>
    <x v="1"/>
    <s v="Otomatik yanıtlanan iletilerin eklerine ek dosya eklenmesi"/>
    <x v="6"/>
    <e v="#N/A"/>
    <x v="0"/>
    <s v="-"/>
    <s v="Ürün İş Listesi"/>
    <m/>
  </r>
  <r>
    <s v="Story"/>
    <s v="KA-1448"/>
    <x v="1"/>
    <s v="Kep iletisi oluşturan kişinin gönderimin sınırlandırılması"/>
    <x v="6"/>
    <e v="#N/A"/>
    <x v="0"/>
    <s v="-"/>
    <s v="Ürün İş Listesi"/>
    <m/>
  </r>
  <r>
    <s v="Story"/>
    <s v="KA-1452"/>
    <x v="1"/>
    <s v="Pasife alınan kullanıcı yerine kullanıcı eklenebilmesi"/>
    <x v="6"/>
    <e v="#N/A"/>
    <x v="0"/>
    <s v="-"/>
    <s v="Ürün İş Listesi"/>
    <m/>
  </r>
  <r>
    <s v="Story"/>
    <s v="KA-1453"/>
    <x v="1"/>
    <s v="Update sorgusu hazırlanması EYP_SECURITYCODE tablosu"/>
    <x v="6"/>
    <e v="#N/A"/>
    <x v="0"/>
    <s v="-"/>
    <s v="Ürün İş Listesi"/>
    <m/>
  </r>
  <r>
    <s v="Story"/>
    <s v="KA-1454"/>
    <x v="1"/>
    <s v="Kullanım Raporu (Faz-1)"/>
    <x v="6"/>
    <e v="#N/A"/>
    <x v="0"/>
    <s v="-"/>
    <s v="Ürün İş Listesi"/>
    <m/>
  </r>
  <r>
    <s v="Bug"/>
    <s v="KA-1455"/>
    <x v="1"/>
    <s v="Eyp Şablon Yetkili Sorunu Hk."/>
    <x v="6"/>
    <e v="#N/A"/>
    <x v="0"/>
    <s v="-"/>
    <s v="Ürün İş Listesi"/>
    <m/>
  </r>
  <r>
    <s v="Story"/>
    <s v="KA-1456"/>
    <x v="1"/>
    <s v="Kullanım Raporu (Faz-2)"/>
    <x v="6"/>
    <e v="#N/A"/>
    <x v="0"/>
    <s v="-"/>
    <s v="Ürün İş Listesi"/>
    <m/>
  </r>
  <r>
    <s v="Story"/>
    <s v="KA-1465x"/>
    <x v="1"/>
    <s v="CRM Entegrasyonu İçin Organizasyonları Listeleyen Servis Geliştirilmesi"/>
    <x v="6"/>
    <e v="#N/A"/>
    <x v="0"/>
    <s v="-"/>
    <s v="Ürün İş Listesi"/>
    <m/>
  </r>
  <r>
    <s v="Story"/>
    <s v="KA-1469"/>
    <x v="1"/>
    <s v="CRM Entegrasyonu İçin Kullanım Raporu Metodu Geliştirilmesi - Faz 1"/>
    <x v="6"/>
    <e v="#N/A"/>
    <x v="0"/>
    <s v="-"/>
    <s v="Ürün İş Listesi"/>
    <m/>
  </r>
  <r>
    <s v="Story"/>
    <s v="KA-1470"/>
    <x v="1"/>
    <s v="CRM Entegrasyonu İçin Kullanım Raporu Metodu Geliştirilmesi - Faz 2"/>
    <x v="6"/>
    <e v="#N/A"/>
    <x v="0"/>
    <s v="-"/>
    <s v="Ürün İş Listesi"/>
    <m/>
  </r>
  <r>
    <s v="Story"/>
    <s v="KA-1471"/>
    <x v="1"/>
    <s v="Gelen KEP İletileri Excel Raporunda EYP Belge Numaralarının Eklenmesi"/>
    <x v="6"/>
    <e v="#N/A"/>
    <x v="0"/>
    <s v="-"/>
    <s v="Ürün İş Listesi"/>
    <m/>
  </r>
  <r>
    <s v="Story"/>
    <s v="KA-1472"/>
    <x v="1"/>
    <s v="Güncelleme Paketi Hazırlanması"/>
    <x v="6"/>
    <e v="#N/A"/>
    <x v="0"/>
    <s v="-"/>
    <s v="Ürün İş Listesi"/>
    <n v="3"/>
  </r>
  <r>
    <s v="Story"/>
    <s v="KA-1476"/>
    <x v="1"/>
    <s v="UETS Gelen Kutusu İşlem Statüsü ve Süreçteki Adım Sütunları Hk."/>
    <x v="6"/>
    <e v="#N/A"/>
    <x v="0"/>
    <s v="-"/>
    <s v="Ürün İş Listesi"/>
    <n v="1"/>
  </r>
  <r>
    <s v="Bug"/>
    <s v="KA-1482"/>
    <x v="1"/>
    <s v="Etys Süreçlerinde Veritabanı Deadlock Hatası hk."/>
    <x v="6"/>
    <e v="#N/A"/>
    <x v="0"/>
    <s v="-"/>
    <s v="Ürün İş Listesi"/>
    <n v="5"/>
  </r>
  <r>
    <s v="Story"/>
    <s v="KA-1485"/>
    <x v="1"/>
    <s v="Hatalı delillerin tekrar tetiklenmesi için sorgu hazırlanması"/>
    <x v="6"/>
    <e v="#N/A"/>
    <x v="0"/>
    <s v="-"/>
    <s v="Ürün İş Listesi"/>
    <n v="1"/>
  </r>
  <r>
    <s v="Story"/>
    <s v="KA-1488"/>
    <x v="1"/>
    <s v="Hatalı Delillerin Tekrar Tetiklenmesi İçin Worker Çalışması"/>
    <x v="6"/>
    <e v="#N/A"/>
    <x v="0"/>
    <s v="-"/>
    <s v="Ürün İş Listesi"/>
    <n v="3"/>
  </r>
  <r>
    <s v="Story"/>
    <s v="KA-1491"/>
    <x v="1"/>
    <s v="Kep Assist - Crm Kullanım Raporu Servisi Kullanım Alanları Birim Değişikliği"/>
    <x v="6"/>
    <e v="#N/A"/>
    <x v="0"/>
    <s v="-"/>
    <s v="Ürün İş Listesi"/>
    <n v="1"/>
  </r>
  <r>
    <s v="Story"/>
    <s v="KEP-101"/>
    <x v="1"/>
    <s v="Dovecot DB geçişi"/>
    <x v="7"/>
    <e v="#N/A"/>
    <x v="0"/>
    <s v="-"/>
    <s v="Ürün İş Listesi"/>
    <m/>
  </r>
  <r>
    <s v="Story"/>
    <s v="KEP-113"/>
    <x v="1"/>
    <s v="Webmail E-Tebligat Kutusu Belge İndirme ve Okundu Sayılma"/>
    <x v="7"/>
    <e v="#N/A"/>
    <x v="0"/>
    <s v="-"/>
    <s v="Ürün İş Listesi"/>
    <n v="3"/>
  </r>
  <r>
    <s v="Story"/>
    <s v="KEP-132"/>
    <x v="1"/>
    <s v="Teslim Edilemedi Delili Mail Bildirimi"/>
    <x v="7"/>
    <e v="#N/A"/>
    <x v="0"/>
    <s v="-"/>
    <s v="Ürün İş Listesi"/>
    <n v="5"/>
  </r>
  <r>
    <s v="Story"/>
    <s v="KEP-251"/>
    <x v="1"/>
    <s v="Log kayıtlarının kolay erişilebilir yapıda tutulması"/>
    <x v="7"/>
    <e v="#N/A"/>
    <x v="0"/>
    <s v="-"/>
    <s v="Ürün İş Listesi"/>
    <m/>
  </r>
  <r>
    <s v="Story"/>
    <s v="KEP-258"/>
    <x v="1"/>
    <s v="Merkezi KEP Rehberi Servis Geliştirmesi"/>
    <x v="7"/>
    <e v="#N/A"/>
    <x v="0"/>
    <s v="-"/>
    <s v="Ürün İş Listesi"/>
    <m/>
  </r>
  <r>
    <s v="Story"/>
    <s v="KEP-259"/>
    <x v="1"/>
    <s v="CRM Servisi Geliştirmesi"/>
    <x v="7"/>
    <e v="#N/A"/>
    <x v="0"/>
    <s v="-"/>
    <s v="Ürün İş Listesi"/>
    <n v="13"/>
  </r>
  <r>
    <s v="Story"/>
    <s v="KEP-260"/>
    <x v="1"/>
    <s v="Lisans Güncellemesi Hk."/>
    <x v="7"/>
    <e v="#N/A"/>
    <x v="0"/>
    <s v="-"/>
    <s v="Ürün İş Listesi"/>
    <m/>
  </r>
  <r>
    <s v="Story"/>
    <s v="KEP-261"/>
    <x v="1"/>
    <s v="Webmail PDF Görüntüleme İşlemi "/>
    <x v="7"/>
    <e v="#N/A"/>
    <x v="0"/>
    <s v="-"/>
    <s v="Ürün İş Listesi"/>
    <n v="3"/>
  </r>
  <r>
    <s v="Bug"/>
    <s v="KEP-262"/>
    <x v="1"/>
    <s v="Webmail Giden Kutusu Listeleme "/>
    <x v="7"/>
    <e v="#N/A"/>
    <x v="0"/>
    <s v="-"/>
    <s v="Ürün İş Listesi"/>
    <n v="3"/>
  </r>
  <r>
    <s v="Story"/>
    <s v="KEP-263"/>
    <x v="1"/>
    <s v="Webmail CTRL Tuşu İle Birden Fazla İleti Seçme"/>
    <x v="7"/>
    <e v="#N/A"/>
    <x v="0"/>
    <s v="-"/>
    <s v="Ürün İş Listesi"/>
    <m/>
  </r>
  <r>
    <s v="Story"/>
    <s v="KEP-264"/>
    <x v="1"/>
    <s v="UETS Mail bildirim kayıtlarının Utility servis üzerinden sorgulanması"/>
    <x v="7"/>
    <e v="#N/A"/>
    <x v="0"/>
    <s v="-"/>
    <s v="Ürün İş Listesi"/>
    <m/>
  </r>
  <r>
    <s v="Story"/>
    <s v="KEP-265"/>
    <x v="1"/>
    <s v="UETS SMS bildirim kayıtlarının Utility servis üzerinden sorgulanması"/>
    <x v="7"/>
    <e v="#N/A"/>
    <x v="0"/>
    <s v="-"/>
    <s v="Ürün İş Listesi"/>
    <m/>
  </r>
  <r>
    <s v="Bug"/>
    <s v="KEP-266"/>
    <x v="1"/>
    <s v="Web mail dosya boyut sınırı"/>
    <x v="7"/>
    <e v="#N/A"/>
    <x v="0"/>
    <s v="-"/>
    <s v="Ürün İş Listesi"/>
    <m/>
  </r>
  <r>
    <s v="Story"/>
    <s v="KEP-267"/>
    <x v="1"/>
    <s v="Vodafone mobil imza seçeneğinin eklenmesi"/>
    <x v="7"/>
    <e v="#N/A"/>
    <x v="0"/>
    <s v="-"/>
    <s v="Ürün İş Listesi"/>
    <n v="5"/>
  </r>
  <r>
    <s v="Story"/>
    <s v="KEP-268"/>
    <x v="1"/>
    <s v="Mobil İmza Entegrasyonlarının Değiştirmesi Hk"/>
    <x v="7"/>
    <e v="#N/A"/>
    <x v="0"/>
    <s v="-"/>
    <s v="Ürün İş Listesi"/>
    <n v="8"/>
  </r>
  <r>
    <s v="Story"/>
    <s v="KEP-269"/>
    <x v="1"/>
    <s v="Yeni Açılan KEP Adreslerinin Yeni Altyapı Tarafında Açılması Hk (CRM Geliştirmesi)"/>
    <x v="7"/>
    <e v="#N/A"/>
    <x v="0"/>
    <s v="-"/>
    <s v="Ürün İş Listesi"/>
    <n v="3"/>
  </r>
  <r>
    <s v="Story"/>
    <s v="KEP-270"/>
    <x v="1"/>
    <s v="e-Saklama Modulü Tarih Filtresi Alanında Sorguya Ait Değerin Getirilmesi"/>
    <x v="7"/>
    <e v="#N/A"/>
    <x v="0"/>
    <s v="-"/>
    <s v="Ürün İş Listesi"/>
    <n v="2"/>
  </r>
  <r>
    <s v="Story"/>
    <s v="KEP-271"/>
    <x v="1"/>
    <s v="Delil Arşiv Sunucusu Taşınması "/>
    <x v="7"/>
    <e v="#N/A"/>
    <x v="0"/>
    <s v="-"/>
    <s v="Ürün İş Listesi"/>
    <n v="5"/>
  </r>
  <r>
    <s v="Story"/>
    <s v="KEP-272"/>
    <x v="1"/>
    <s v="İşlem Yetkilisi Bilgi Güncelle Ekranında Yapılan Yetki Kısıtlamaları Çalışmıyor"/>
    <x v="7"/>
    <e v="#N/A"/>
    <x v="0"/>
    <s v="-"/>
    <s v="Ürün İş Listesi"/>
    <n v="5"/>
  </r>
  <r>
    <s v="Story"/>
    <s v="KEP-273"/>
    <x v="1"/>
    <s v="BTK Sorgulamalarında Bir Yerine Birden Fazla Kuyruk Oluşturma"/>
    <x v="7"/>
    <e v="#N/A"/>
    <x v="0"/>
    <s v="-"/>
    <s v="Ürün İş Listesi"/>
    <m/>
  </r>
  <r>
    <s v="Story"/>
    <s v="KEP-274"/>
    <x v="1"/>
    <s v="BTK Rehber Servisine Rehber Bildirimlerinin Aylık Yerine Anlık Yapılması"/>
    <x v="7"/>
    <e v="#N/A"/>
    <x v="0"/>
    <s v="-"/>
    <s v="Ürün İş Listesi"/>
    <n v="13"/>
  </r>
  <r>
    <s v="Story"/>
    <s v="KEP-275"/>
    <x v="1"/>
    <s v="Eliptik Eğri Güncel Sürümün Test Edilmesi"/>
    <x v="7"/>
    <e v="#N/A"/>
    <x v="0"/>
    <s v="-"/>
    <s v="Ürün İş Listesi"/>
    <n v="5"/>
  </r>
  <r>
    <s v="Story"/>
    <s v="KEP-277"/>
    <x v="1"/>
    <s v="KEP Webmail Yetkilerinin Düzenlenmesi"/>
    <x v="7"/>
    <e v="#N/A"/>
    <x v="0"/>
    <s v="-"/>
    <s v="Ürün İş Listesi"/>
    <m/>
  </r>
  <r>
    <s v="Story"/>
    <s v="KEP-278"/>
    <x v="1"/>
    <s v="Adalet Bakanlığı'na Gönderilen KEP'lerde Detsis Numarası Eksik Olanlar için Verilen Uyarı Mesajında Detsis Güncellemesi"/>
    <x v="7"/>
    <e v="#N/A"/>
    <x v="0"/>
    <s v="-"/>
    <s v="Ürün İş Listesi"/>
    <n v="1"/>
  </r>
  <r>
    <s v="Story"/>
    <s v="KW-1"/>
    <x v="1"/>
    <s v="SSL/TLS SERTİFİKA DEĞİŞİKLİĞİ"/>
    <x v="8"/>
    <e v="#N/A"/>
    <x v="0"/>
    <s v="-"/>
    <s v="Ürün İş Listesi"/>
    <n v="1"/>
  </r>
  <r>
    <s v="Story"/>
    <s v="KW-2"/>
    <x v="1"/>
    <s v="Utility - Delil İndirme Servisi Hk."/>
    <x v="8"/>
    <e v="#N/A"/>
    <x v="0"/>
    <s v="-"/>
    <s v="Ürün İş Listesi"/>
    <n v="3"/>
  </r>
  <r>
    <s v="Story"/>
    <s v="KW-3"/>
    <x v="3"/>
    <s v="Akbank KEP hesap mutabakatlarının gerçekleştirilmesi"/>
    <x v="8"/>
    <e v="#N/A"/>
    <x v="0"/>
    <s v="-"/>
    <s v="Ürün İş Listesi"/>
    <n v="3"/>
  </r>
  <r>
    <s v="Story"/>
    <s v="KW-4"/>
    <x v="1"/>
    <s v="evidence ve original controller altındaki metotlarda güncelleme talebi"/>
    <x v="8"/>
    <e v="#N/A"/>
    <x v="0"/>
    <s v="-"/>
    <s v="Ürün İş Listesi"/>
    <n v="3"/>
  </r>
  <r>
    <s v="Story"/>
    <s v="MU-44"/>
    <x v="1"/>
    <s v="Bildirim servisi geliştirmesi"/>
    <x v="9"/>
    <e v="#N/A"/>
    <x v="0"/>
    <s v="-"/>
    <s v="Ürün İş Listesi"/>
    <m/>
  </r>
  <r>
    <s v="Story"/>
    <s v="MU-50"/>
    <x v="1"/>
    <s v="UKDS yeni KİDOS entegrasyon tipinin başvuru ekranlarının düzenlenmesi"/>
    <x v="9"/>
    <e v="#N/A"/>
    <x v="0"/>
    <s v="-"/>
    <s v="Ürün İş Listesi"/>
    <m/>
  </r>
  <r>
    <s v="Story"/>
    <s v="MU-51"/>
    <x v="1"/>
    <s v="Bildirim servisi entegrasyonu"/>
    <x v="9"/>
    <e v="#N/A"/>
    <x v="0"/>
    <s v="-"/>
    <s v="Ürün İş Listesi"/>
    <m/>
  </r>
  <r>
    <s v="Story"/>
    <s v="MU-52"/>
    <x v="1"/>
    <s v="Bildirim onay ekranı geliştirilmesi"/>
    <x v="9"/>
    <e v="#N/A"/>
    <x v="0"/>
    <s v="-"/>
    <s v="Ürün İş Listesi"/>
    <m/>
  </r>
  <r>
    <s v="Story"/>
    <s v="MU-53"/>
    <x v="1"/>
    <s v="Geçmiş bildirimler sayfası geliştirilmesi"/>
    <x v="9"/>
    <e v="#N/A"/>
    <x v="0"/>
    <s v="-"/>
    <s v="Ürün İş Listesi"/>
    <m/>
  </r>
  <r>
    <s v="Story"/>
    <s v="MU-54"/>
    <x v="1"/>
    <s v="Pazarama senaryosu için ekran düzenlemeleri"/>
    <x v="9"/>
    <e v="#N/A"/>
    <x v="0"/>
    <s v="-"/>
    <s v="Ürün İş Listesi"/>
    <m/>
  </r>
  <r>
    <s v="Story"/>
    <s v="MU-55"/>
    <x v="1"/>
    <s v="UKDS ekranlarında parametre kontrolü eklenmesi"/>
    <x v="9"/>
    <e v="#N/A"/>
    <x v="0"/>
    <s v="-"/>
    <s v="Ürün İş Listesi"/>
    <m/>
  </r>
  <r>
    <s v="Story"/>
    <s v="MU-56"/>
    <x v="0"/>
    <s v="Senaryo değişikliklerinde son kullanıcı yönlendirmesi"/>
    <x v="9"/>
    <e v="#N/A"/>
    <x v="0"/>
    <s v="-"/>
    <s v="Ürün İş Listesi"/>
    <m/>
  </r>
  <r>
    <s v="Story"/>
    <s v="MU-57"/>
    <x v="1"/>
    <s v="Uygulama Başlangıç Ekranı ve Ayarlar Ekranında Dil Seçeneği Eklenmesi (Türkçe/İngilizce)"/>
    <x v="9"/>
    <e v="#N/A"/>
    <x v="0"/>
    <s v="-"/>
    <s v="Ürün İş Listesi"/>
    <n v="8"/>
  </r>
  <r>
    <s v="Story"/>
    <s v="MU-58"/>
    <x v="1"/>
    <s v="Uygulama Bildirim Ekranında Gönderim Tarihini Gösterme"/>
    <x v="9"/>
    <e v="#N/A"/>
    <x v="0"/>
    <s v="-"/>
    <s v="Ürün İş Listesi"/>
    <m/>
  </r>
  <r>
    <s v="Story"/>
    <s v="MU-59"/>
    <x v="4"/>
    <s v="Bildirimi kapalı olan kullanıcılara gönderilen mesajların failed-messages tablosunda tutulması"/>
    <x v="9"/>
    <e v="#N/A"/>
    <x v="0"/>
    <s v="-"/>
    <s v="Ürün İş Listesi"/>
    <n v="8"/>
  </r>
  <r>
    <s v="Story"/>
    <s v="MU-60"/>
    <x v="1"/>
    <s v="Mobil bildirim açma/kapama hk."/>
    <x v="9"/>
    <e v="#N/A"/>
    <x v="0"/>
    <s v="-"/>
    <s v="Ürün İş Listesi"/>
    <m/>
  </r>
  <r>
    <s v="Bug"/>
    <s v="MU-61"/>
    <x v="1"/>
    <s v="Siyah Ekran Hatası Hk."/>
    <x v="9"/>
    <e v="#N/A"/>
    <x v="0"/>
    <s v="-"/>
    <s v="Ürün İş Listesi"/>
    <n v="3"/>
  </r>
  <r>
    <s v="Bug"/>
    <s v="MUL-146"/>
    <x v="1"/>
    <s v="Grup oluşturmada arama düzenlemesi"/>
    <x v="10"/>
    <e v="#N/A"/>
    <x v="0"/>
    <s v="-"/>
    <s v="Ürün İş Listesi"/>
    <m/>
  </r>
  <r>
    <s v="Story"/>
    <s v="MUL-176"/>
    <x v="1"/>
    <s v="MKR modülüne firma bazlı kota geliştirmesi"/>
    <x v="10"/>
    <e v="#N/A"/>
    <x v="0"/>
    <s v="-"/>
    <s v="Ürün İş Listesi"/>
    <m/>
  </r>
  <r>
    <s v="Story"/>
    <s v="MUL-184"/>
    <x v="1"/>
    <s v="Yeni KEP iletisi oluştur ekranı alıcı arama geliştirmesi"/>
    <x v="10"/>
    <e v="#N/A"/>
    <x v="0"/>
    <s v="-"/>
    <s v="Ürün İş Listesi"/>
    <m/>
  </r>
  <r>
    <s v="Story"/>
    <s v="MUL-197"/>
    <x v="1"/>
    <s v="Windows Delil Servis geliştirmesi"/>
    <x v="10"/>
    <e v="#N/A"/>
    <x v="0"/>
    <s v="-"/>
    <s v="Ürün İş Listesi"/>
    <m/>
  </r>
  <r>
    <s v="Story"/>
    <s v="MUL-198"/>
    <x v="1"/>
    <s v="MKR Kullanım Kısıtlama Hk."/>
    <x v="10"/>
    <e v="#N/A"/>
    <x v="0"/>
    <s v="-"/>
    <s v="Ürün İş Listesi"/>
    <n v="5"/>
  </r>
  <r>
    <s v="Story"/>
    <s v="MUL-199"/>
    <x v="1"/>
    <s v="Müşteri Sözleşme Tanımı Hk"/>
    <x v="10"/>
    <e v="#N/A"/>
    <x v="0"/>
    <s v="-"/>
    <s v="Ürün İş Listesi"/>
    <n v="8"/>
  </r>
  <r>
    <s v="Story"/>
    <s v="MUL-200"/>
    <x v="1"/>
    <s v="Yüksek Boyutlu PDF Parçalama İşlemi Hk"/>
    <x v="10"/>
    <e v="#N/A"/>
    <x v="0"/>
    <s v="-"/>
    <s v="Ürün İş Listesi"/>
    <n v="8"/>
  </r>
  <r>
    <s v="Story"/>
    <s v="MUL-201"/>
    <x v="1"/>
    <s v="Merkezi KEP Sorgulama Kayıtlarının Silinmesi"/>
    <x v="10"/>
    <e v="#N/A"/>
    <x v="0"/>
    <s v="-"/>
    <s v="Ürün İş Listesi"/>
    <n v="5"/>
  </r>
  <r>
    <s v="Story"/>
    <s v="MUL-202"/>
    <x v="1"/>
    <s v="Yeni KEP İletisi Oluştur Ekranı Gönder Düğmesi Simgesinin Değiştirilmesi "/>
    <x v="10"/>
    <e v="#N/A"/>
    <x v="0"/>
    <s v="-"/>
    <s v="Ürün İş Listesi"/>
    <n v="1"/>
  </r>
  <r>
    <s v="Story"/>
    <s v="MUL-203"/>
    <x v="1"/>
    <s v="Excel ile KEP Gönderim Ekranında Ek Dosya Eklendikten Sonra Dosyanın Silinebilmesi "/>
    <x v="10"/>
    <e v="#N/A"/>
    <x v="0"/>
    <s v="-"/>
    <s v="Ürün İş Listesi"/>
    <n v="3"/>
  </r>
  <r>
    <s v="Story"/>
    <s v="MUL-204"/>
    <x v="1"/>
    <s v="Refactor Çalışması Hk"/>
    <x v="10"/>
    <e v="#N/A"/>
    <x v="0"/>
    <s v="-"/>
    <s v="Ürün İş Listesi"/>
    <n v="5"/>
  </r>
  <r>
    <s v="Story"/>
    <s v="MUL-205"/>
    <x v="1"/>
    <s v="Taslaklar üzerinde Simge (icon) Değişikliği"/>
    <x v="10"/>
    <e v="#N/A"/>
    <x v="0"/>
    <s v="-"/>
    <s v="Ürün İş Listesi"/>
    <n v="2"/>
  </r>
  <r>
    <s v="Story"/>
    <s v="MUL-206"/>
    <x v="1"/>
    <s v="Jar Güncellemesi Hk."/>
    <x v="10"/>
    <e v="#N/A"/>
    <x v="0"/>
    <s v="-"/>
    <s v="Ürün İş Listesi"/>
    <n v="2"/>
  </r>
  <r>
    <s v="Story"/>
    <s v="MUL-207"/>
    <x v="1"/>
    <s v="MultiKEP Dashboard Çalışması"/>
    <x v="11"/>
    <e v="#N/A"/>
    <x v="0"/>
    <s v="-"/>
    <s v="Ürün İş Listesi"/>
    <n v="8"/>
  </r>
  <r>
    <s v="Story"/>
    <s v="MUL-208"/>
    <x v="1"/>
    <s v="MKR modülünde Süreç İyileştirme"/>
    <x v="11"/>
    <e v="#N/A"/>
    <x v="0"/>
    <s v="-"/>
    <s v="Ürün İş Listesi"/>
    <m/>
  </r>
  <r>
    <s v="Story"/>
    <s v="MUL-209"/>
    <x v="1"/>
    <s v="Alıcıları Listeleyen Süreçte Performans Geliştirmesi"/>
    <x v="11"/>
    <e v="#N/A"/>
    <x v="0"/>
    <s v="-"/>
    <s v="Ürün İş Listesi"/>
    <m/>
  </r>
  <r>
    <s v="Bug"/>
    <s v="MYS-401"/>
    <x v="1"/>
    <s v="Güncel Olmayan JavaScript Kütüphanesi Kullanımı"/>
    <x v="12"/>
    <e v="#N/A"/>
    <x v="0"/>
    <s v="-"/>
    <s v="Ürün İş Listesi"/>
    <m/>
  </r>
  <r>
    <s v="Story"/>
    <s v="MYS-739"/>
    <x v="1"/>
    <s v="Sep Gelen Kutusuna Süreç No Bilgisinin Getirilmesi"/>
    <x v="12"/>
    <e v="#N/A"/>
    <x v="0"/>
    <s v="-"/>
    <s v="Ürün İş Listesi"/>
    <n v="1"/>
  </r>
  <r>
    <s v="Story"/>
    <s v="MYS-740"/>
    <x v="1"/>
    <s v="Sep Giden Kutusuna Süreç No Bilgisinin Getirilmesi"/>
    <x v="12"/>
    <e v="#N/A"/>
    <x v="0"/>
    <s v="-"/>
    <s v="Ürün İş Listesi"/>
    <n v="1"/>
  </r>
  <r>
    <s v="Bug"/>
    <s v="MYS-741"/>
    <x v="1"/>
    <s v="Hatalı Süreçler Ekranı Kayıt Listeleme Sorunu"/>
    <x v="12"/>
    <e v="#N/A"/>
    <x v="0"/>
    <s v="-"/>
    <s v="Ürün İş Listesi"/>
    <n v="1"/>
  </r>
  <r>
    <s v="Story"/>
    <s v="MYS-744"/>
    <x v="1"/>
    <s v="İşlem yetkilisi ayarları sayfası"/>
    <x v="12"/>
    <e v="#N/A"/>
    <x v="0"/>
    <s v="-"/>
    <s v="Ürün İş Listesi"/>
    <n v="3"/>
  </r>
  <r>
    <s v="Story"/>
    <s v="MYS-745"/>
    <x v="1"/>
    <s v="UETS Gelen Kutusuna Süreçteki Adım kolonu eklenmesi"/>
    <x v="12"/>
    <e v="#N/A"/>
    <x v="0"/>
    <s v="-"/>
    <s v="Ürün İş Listesi"/>
    <n v="1"/>
  </r>
  <r>
    <s v="Story"/>
    <s v="MYS-746"/>
    <x v="1"/>
    <s v="Profil Ekranına Cep Numarası Girilmesi"/>
    <x v="12"/>
    <e v="#N/A"/>
    <x v="0"/>
    <s v="-"/>
    <s v="Ürün İş Listesi"/>
    <n v="1"/>
  </r>
  <r>
    <s v="Story"/>
    <s v="MYS-747"/>
    <x v="1"/>
    <s v="Profil Ekranına Kimlik Numarası Girilmesi"/>
    <x v="12"/>
    <e v="#N/A"/>
    <x v="0"/>
    <s v="-"/>
    <s v="Ürün İş Listesi"/>
    <n v="1"/>
  </r>
  <r>
    <s v="Story"/>
    <s v="MYS-748"/>
    <x v="1"/>
    <s v="Profil Ekranına E-Posta Girilmesi"/>
    <x v="12"/>
    <e v="#N/A"/>
    <x v="0"/>
    <s v="-"/>
    <s v="Ürün İş Listesi"/>
    <n v="1"/>
  </r>
  <r>
    <s v="Bug"/>
    <s v="MYS-749"/>
    <x v="1"/>
    <s v="Şifre Güncellenmesi Hk."/>
    <x v="12"/>
    <e v="#N/A"/>
    <x v="0"/>
    <s v="-"/>
    <s v="Ürün İş Listesi"/>
    <n v="1"/>
  </r>
  <r>
    <s v="Bug"/>
    <s v="MYS-752"/>
    <x v="1"/>
    <s v="Basılı İleti Güncelleme Sorunu Hk."/>
    <x v="12"/>
    <e v="#N/A"/>
    <x v="0"/>
    <s v="-"/>
    <s v="Ürün İş Listesi"/>
    <n v="1"/>
  </r>
  <r>
    <s v="Story"/>
    <s v="MYS-753"/>
    <x v="1"/>
    <s v="Sep İletilerinin Statüsünün Güncellenmesi İçin Worker Çalışması Hk."/>
    <x v="12"/>
    <e v="#N/A"/>
    <x v="0"/>
    <s v="-"/>
    <s v="Ürün İş Listesi"/>
    <n v="3"/>
  </r>
  <r>
    <s v="Bug"/>
    <s v="MYS-756"/>
    <x v="1"/>
    <s v="Sütunlardaki Filtreleme Sorunu"/>
    <x v="12"/>
    <e v="#N/A"/>
    <x v="0"/>
    <s v="-"/>
    <s v="Ürün İş Listesi"/>
    <n v="1"/>
  </r>
  <r>
    <s v="Bug"/>
    <s v="MYS-757"/>
    <x v="1"/>
    <s v="SEP İleti -&gt; Taslaklar ekranındaki sütunların kaldırılması"/>
    <x v="12"/>
    <e v="#N/A"/>
    <x v="0"/>
    <s v="-"/>
    <s v="Ürün İş Listesi"/>
    <n v="1"/>
  </r>
  <r>
    <s v="Story"/>
    <s v="MYS-759"/>
    <x v="1"/>
    <s v="Hatalı Delillerin Tekrar Tetiklenmesi İçin Worker Çalışması"/>
    <x v="12"/>
    <e v="#N/A"/>
    <x v="0"/>
    <s v="-"/>
    <s v="Ürün İş Listesi"/>
    <n v="3"/>
  </r>
  <r>
    <s v="Story"/>
    <s v="MYS-761"/>
    <x v="1"/>
    <s v="Güncelleme Paketi Hazırlanması - 03122024-08042025"/>
    <x v="12"/>
    <e v="#N/A"/>
    <x v="0"/>
    <s v="-"/>
    <s v="Ürün İş Listesi"/>
    <n v="2"/>
  </r>
  <r>
    <s v="Bug"/>
    <s v="TIM-189"/>
    <x v="2"/>
    <s v="Güncel Olmayan JavaScript Kütüphanesi Kullanımı"/>
    <x v="13"/>
    <e v="#N/A"/>
    <x v="0"/>
    <s v="-"/>
    <s v="Ürün İş Listesi"/>
    <m/>
  </r>
  <r>
    <s v="Story"/>
    <s v="TIM-304"/>
    <x v="1"/>
    <s v="Servis dönen hataların ön yüzde kullanıcı dostu şekilde gösterilmesi"/>
    <x v="13"/>
    <e v="#N/A"/>
    <x v="0"/>
    <s v="-"/>
    <s v="Ürün İş Listesi"/>
    <m/>
  </r>
  <r>
    <s v="Story"/>
    <s v="TIM-308"/>
    <x v="1"/>
    <s v="Varsayılan imzalama formatı geliştirmesi"/>
    <x v="13"/>
    <e v="#N/A"/>
    <x v="0"/>
    <s v="-"/>
    <s v="Ürün İş Listesi"/>
    <m/>
  </r>
  <r>
    <s v="Story"/>
    <s v="TIM-373"/>
    <x v="1"/>
    <s v="Toplu işlemlerde çoklu onay verilmesi"/>
    <x v="13"/>
    <e v="#N/A"/>
    <x v="0"/>
    <s v="-"/>
    <s v="Ürün İş Listesi"/>
    <n v="5"/>
  </r>
  <r>
    <s v="Story"/>
    <s v="TIM-381"/>
    <x v="1"/>
    <s v="Mobil İmzada Tarihçe düzenlemesi"/>
    <x v="13"/>
    <e v="#N/A"/>
    <x v="0"/>
    <s v="-"/>
    <s v="Ürün İş Listesi"/>
    <m/>
  </r>
  <r>
    <s v="Story"/>
    <s v="TIM-411"/>
    <x v="1"/>
    <s v="İmza Logo Seçiminde Belge Sayfalarının Yatay ya da Hem Yatay Hem Dikey Yönlendirilmesi Seçeneklerinin de Sağlanması"/>
    <x v="13"/>
    <e v="#N/A"/>
    <x v="0"/>
    <s v="-"/>
    <s v="Ürün İş Listesi"/>
    <n v="8"/>
  </r>
  <r>
    <s v="Story"/>
    <s v="TIM-416"/>
    <x v="2"/>
    <s v="Dış imzacı mail bildiriminin SMS olarak da iletilmesi"/>
    <x v="13"/>
    <e v="#N/A"/>
    <x v="0"/>
    <s v="-"/>
    <s v="Ürün İş Listesi"/>
    <m/>
  </r>
  <r>
    <s v="Story"/>
    <s v="TIM-417"/>
    <x v="0"/>
    <s v="Paket ve Admin Yönetimi"/>
    <x v="13"/>
    <e v="#N/A"/>
    <x v="0"/>
    <s v="-"/>
    <s v="Ürün İş Listesi"/>
    <m/>
  </r>
  <r>
    <s v="Story"/>
    <s v="TIM-420"/>
    <x v="1"/>
    <s v="Yeni arayüz talebi"/>
    <x v="13"/>
    <e v="#N/A"/>
    <x v="0"/>
    <s v="-"/>
    <s v="Ürün İş Listesi"/>
    <m/>
  </r>
  <r>
    <s v="Story"/>
    <s v="TIM-422"/>
    <x v="1"/>
    <s v="Admin panelden firmaların farklı bir kullanıcısına admin yetkisi verilmesi geliştirmesi"/>
    <x v="13"/>
    <e v="#N/A"/>
    <x v="0"/>
    <s v="-"/>
    <s v="Ürün İş Listesi"/>
    <m/>
  </r>
  <r>
    <s v="Story"/>
    <s v="TIM-423"/>
    <x v="1"/>
    <s v="İmza client iyileştirmeleri"/>
    <x v="13"/>
    <e v="#N/A"/>
    <x v="0"/>
    <s v="-"/>
    <s v="Ürün İş Listesi"/>
    <m/>
  </r>
  <r>
    <s v="Bug"/>
    <s v="TIM-428"/>
    <x v="1"/>
    <s v="Dış imzacı ret maili düzenleme"/>
    <x v="13"/>
    <e v="#N/A"/>
    <x v="0"/>
    <s v="-"/>
    <s v="Ürün İş Listesi"/>
    <m/>
  </r>
  <r>
    <s v="Bug"/>
    <s v="TIM-429"/>
    <x v="1"/>
    <s v="Belge Silme Adımı Yazım Hatası"/>
    <x v="13"/>
    <e v="#N/A"/>
    <x v="0"/>
    <s v="-"/>
    <s v="Ürün İş Listesi"/>
    <m/>
  </r>
  <r>
    <s v="Story"/>
    <s v="TIM-431"/>
    <x v="0"/>
    <s v="Türkkep İmza Dış İmzacı Karekod/Doğrulama Kodu Eklenmesi "/>
    <x v="13"/>
    <e v="#N/A"/>
    <x v="0"/>
    <s v="-"/>
    <s v="Ürün İş Listesi"/>
    <m/>
  </r>
  <r>
    <s v="Story"/>
    <s v="TIM-432"/>
    <x v="2"/>
    <s v="İmzalamada vekil atama özelliği"/>
    <x v="13"/>
    <e v="#N/A"/>
    <x v="0"/>
    <s v="-"/>
    <s v="Ürün İş Listesi"/>
    <m/>
  </r>
  <r>
    <s v="Story"/>
    <s v="TIM-433"/>
    <x v="1"/>
    <s v="Sftp ile gönderilen evrakların statü takibi"/>
    <x v="13"/>
    <e v="#N/A"/>
    <x v="0"/>
    <s v="-"/>
    <s v="Ürün İş Listesi"/>
    <m/>
  </r>
  <r>
    <s v="Story"/>
    <s v="TIM-434"/>
    <x v="2"/>
    <s v="Aynı Hedef Sunucuya Tek Seferde Seçimle Toplu SFTP Gönderimi"/>
    <x v="13"/>
    <e v="#N/A"/>
    <x v="0"/>
    <s v="-"/>
    <s v="Ürün İş Listesi"/>
    <m/>
  </r>
  <r>
    <s v="Story"/>
    <s v="TIM-435"/>
    <x v="2"/>
    <s v="İşlem Bekleyen Belgeler Ekranındaki İmza İstekleri İçin Hatırlatma Yapılması "/>
    <x v="13"/>
    <e v="#N/A"/>
    <x v="0"/>
    <s v="-"/>
    <s v="Ürün İş Listesi"/>
    <m/>
  </r>
  <r>
    <s v="Story"/>
    <s v="TIM-436"/>
    <x v="2"/>
    <s v="Paralel imzalamada sıra gözetmeksizin imzalama özelliği"/>
    <x v="13"/>
    <e v="#N/A"/>
    <x v="0"/>
    <s v="-"/>
    <s v="Ürün İş Listesi"/>
    <m/>
  </r>
  <r>
    <s v="Bug"/>
    <s v="TIM-437"/>
    <x v="2"/>
    <s v="İmzalanmış belgede birden fazla sayfa varsa ilk sayfa dışındakilere karekod/logo gelmesi"/>
    <x v="13"/>
    <e v="#N/A"/>
    <x v="0"/>
    <s v="-"/>
    <s v="Ürün İş Listesi"/>
    <m/>
  </r>
  <r>
    <s v="Story"/>
    <s v="TIM-439"/>
    <x v="1"/>
    <s v="DB Tablolarının Oluşturulması."/>
    <x v="13"/>
    <e v="#N/A"/>
    <x v="0"/>
    <s v="-"/>
    <s v="Ürün İş Listesi"/>
    <n v="5"/>
  </r>
  <r>
    <s v="Story"/>
    <s v="TIM-440"/>
    <x v="1"/>
    <s v="Dış İmzacı Seçiminde Dosya Ataması"/>
    <x v="13"/>
    <e v="#N/A"/>
    <x v="0"/>
    <s v="-"/>
    <s v="Ürün İş Listesi"/>
    <n v="8"/>
  </r>
  <r>
    <s v="Story"/>
    <s v="TIM-441"/>
    <x v="1"/>
    <s v="Dış İmzacı Yeni Servislerinin Oluşturulması"/>
    <x v="13"/>
    <e v="#N/A"/>
    <x v="0"/>
    <s v="-"/>
    <s v="Ürün İş Listesi"/>
    <n v="8"/>
  </r>
  <r>
    <s v="Story"/>
    <s v="TIM-442"/>
    <x v="1"/>
    <s v="Dış Doğrulama İçin Yeni Süreç ID'lerinin Kullanılması"/>
    <x v="13"/>
    <e v="#N/A"/>
    <x v="0"/>
    <s v="-"/>
    <s v="Ürün İş Listesi"/>
    <n v="8"/>
  </r>
  <r>
    <s v="Story"/>
    <s v="TIM-443"/>
    <x v="1"/>
    <s v="&quot;Gönderilmeyi Bekleyen Belgeler” Ekranında Gönderilmiş Olan Belgelerin Filtre İle Gizlenebilmesi"/>
    <x v="13"/>
    <e v="#N/A"/>
    <x v="0"/>
    <s v="-"/>
    <s v="Ürün İş Listesi"/>
    <n v="3"/>
  </r>
  <r>
    <s v="Story"/>
    <s v="UEP-12"/>
    <x v="0"/>
    <s v="VKN’ye ait birden fazla başvuru kontrolü"/>
    <x v="14"/>
    <e v="#N/A"/>
    <x v="0"/>
    <s v="-"/>
    <s v="Ürün İş Listesi"/>
    <m/>
  </r>
  <r>
    <s v="Story"/>
    <s v="UEP-6"/>
    <x v="1"/>
    <s v="CRM&amp;UETS Entegrasyonu"/>
    <x v="14"/>
    <e v="#N/A"/>
    <x v="0"/>
    <s v="-"/>
    <s v="Ürün İş Listesi"/>
    <n v="13"/>
  </r>
  <r>
    <s v="Story"/>
    <s v="UKDS-109"/>
    <x v="1"/>
    <s v="Islak imza senaryosu için yeni statü ve düzenlemeler"/>
    <x v="15"/>
    <e v="#N/A"/>
    <x v="0"/>
    <s v="-"/>
    <s v="Ürün İş Listesi"/>
    <n v="8"/>
  </r>
  <r>
    <s v="Story"/>
    <s v="UKDS-112"/>
    <x v="1"/>
    <s v="SMS metin içeriğine video linki ve e-devlet login seçeneklerinin eklenmesi"/>
    <x v="15"/>
    <e v="#N/A"/>
    <x v="0"/>
    <s v="-"/>
    <s v="Ürün İş Listesi"/>
    <m/>
  </r>
  <r>
    <s v="Story"/>
    <s v="UKDS-127"/>
    <x v="1"/>
    <s v="Merkezi KEP Rehberi entegrasyonu"/>
    <x v="15"/>
    <e v="#N/A"/>
    <x v="0"/>
    <s v="-"/>
    <s v="Ürün İş Listesi"/>
    <m/>
  </r>
  <r>
    <s v="Story"/>
    <s v="UKDS-131"/>
    <x v="1"/>
    <s v="KİDOS ve KİDOS Entegrasyon sözleşme bitiş tarihlerinin aktarım metoduna eklenmesi"/>
    <x v="15"/>
    <e v="#N/A"/>
    <x v="0"/>
    <s v="-"/>
    <s v="Ürün İş Listesi"/>
    <n v="5"/>
  </r>
  <r>
    <s v="Story"/>
    <s v="UKDS-138"/>
    <x v="1"/>
    <s v="WEBİKENTEGRASYON KİDOS ürününe aktif/pasif liste geliştirmesi"/>
    <x v="15"/>
    <e v="#N/A"/>
    <x v="0"/>
    <s v="-"/>
    <s v="Ürün İş Listesi"/>
    <m/>
  </r>
  <r>
    <s v="Story"/>
    <s v="UKDS-139"/>
    <x v="0"/>
    <s v="KİDOS'ta UKDS ile e-İmza Başvuru Seçeneğinin Geliştirmesi"/>
    <x v="15"/>
    <e v="#N/A"/>
    <x v="0"/>
    <s v="-"/>
    <s v="Ürün İş Listesi"/>
    <m/>
  </r>
  <r>
    <s v="Story"/>
    <s v="UKDS-140"/>
    <x v="1"/>
    <s v="WEBİKENTEGRASYON KİDOS ürününe &quot;Kep Kapatma&quot; geliştirmesi"/>
    <x v="15"/>
    <e v="#N/A"/>
    <x v="0"/>
    <s v="-"/>
    <s v="Ürün İş Listesi"/>
    <m/>
  </r>
  <r>
    <s v="Story"/>
    <s v="UKDS-143"/>
    <x v="1"/>
    <s v="Basvuruonay sayfasında loginden önce Pazarlamadan alınacak bilgilendirme görselinin eklenmesi"/>
    <x v="15"/>
    <e v="#N/A"/>
    <x v="0"/>
    <s v="-"/>
    <s v="Ürün İş Listesi"/>
    <m/>
  </r>
  <r>
    <s v="Story"/>
    <s v="UKDS-148"/>
    <x v="1"/>
    <s v="UKDS Ön Başvuru Dokümanı e-Posta ve SMS İçeriğinin Yeni Bağlantı Adresleriyle Güncellenmesi"/>
    <x v="15"/>
    <e v="#N/A"/>
    <x v="0"/>
    <s v="-"/>
    <s v="Ürün İş Listesi"/>
    <m/>
  </r>
  <r>
    <s v="Story"/>
    <s v="WIK-573"/>
    <x v="0"/>
    <s v="Firma çalışanlarına ait KEP delillerinin indirilmesi geliştirmesi"/>
    <x v="16"/>
    <e v="#N/A"/>
    <x v="0"/>
    <s v="-"/>
    <s v="Ürün İş Listesi"/>
    <m/>
  </r>
  <r>
    <s v="Story"/>
    <s v="WIK-598"/>
    <x v="1"/>
    <s v="Belge Raporu ekranının migration sonrası belgeler için de kullanılabilir hale getirilmesi"/>
    <x v="16"/>
    <e v="#N/A"/>
    <x v="0"/>
    <s v="-"/>
    <s v="Ürün İş Listesi"/>
    <n v="5"/>
  </r>
  <r>
    <s v="Story"/>
    <s v="WIK-614"/>
    <x v="0"/>
    <s v="KEP İK Sözleşme sürelerinin ve statülerinin tutularak iptal edilen veya süresi dolan organizasyonların girişinin engellenmesi"/>
    <x v="16"/>
    <e v="#N/A"/>
    <x v="0"/>
    <s v="-"/>
    <s v="Ürün İş Listesi"/>
    <m/>
  </r>
  <r>
    <s v="Story"/>
    <s v="WIK-619"/>
    <x v="0"/>
    <s v="Çalışan gruplarının İK gönderilerinde kullanılmasi"/>
    <x v="16"/>
    <e v="#N/A"/>
    <x v="0"/>
    <s v="-"/>
    <s v="Ürün İş Listesi"/>
    <m/>
  </r>
  <r>
    <s v="Story"/>
    <s v="WIK-625"/>
    <x v="0"/>
    <s v="TÜRKÇE İNGİLİZCE DİL DESTEĞİ"/>
    <x v="16"/>
    <e v="#N/A"/>
    <x v="0"/>
    <s v="-"/>
    <s v="Ürün İş Listesi"/>
    <m/>
  </r>
  <r>
    <s v="Story"/>
    <s v="WIK-626"/>
    <x v="1"/>
    <s v="Eşleşmeyenler Alanında Çalışanlar Otomatik Eşleştirilmesi Hk."/>
    <x v="16"/>
    <e v="#N/A"/>
    <x v="0"/>
    <s v="-"/>
    <s v="Ürün İş Listesi"/>
    <n v="5"/>
  </r>
  <r>
    <s v="Story"/>
    <s v="WIK-628"/>
    <x v="1"/>
    <s v="Kep İk Özlük İşlemleri Şablon Oluşturma "/>
    <x v="16"/>
    <e v="#N/A"/>
    <x v="0"/>
    <s v="-"/>
    <s v="Ürün İş Listesi"/>
    <n v="5"/>
  </r>
  <r>
    <s v="Story"/>
    <s v="WIK-629"/>
    <x v="1"/>
    <s v="Özlük İşlemleri Alıcı Ekleme/Şablon Eşleştirme"/>
    <x v="16"/>
    <e v="#N/A"/>
    <x v="0"/>
    <s v="-"/>
    <s v="Ürün İş Listesi"/>
    <n v="5"/>
  </r>
  <r>
    <s v="Story"/>
    <s v="WIK-630"/>
    <x v="1"/>
    <s v="Özlük İşlemleri Gönderim Adımı"/>
    <x v="16"/>
    <e v="#N/A"/>
    <x v="0"/>
    <s v="-"/>
    <s v="Ürün İş Listesi"/>
    <n v="5"/>
  </r>
  <r>
    <s v="Story"/>
    <s v="WIK-631"/>
    <x v="1"/>
    <s v="Özlük İşlemleri Robot Yönlendirme ve Listelenmesi"/>
    <x v="16"/>
    <e v="#N/A"/>
    <x v="0"/>
    <s v="-"/>
    <s v="Ürün İş Listesi"/>
    <n v="5"/>
  </r>
  <r>
    <s v="Story"/>
    <s v="WIK-633"/>
    <x v="0"/>
    <s v="Çalışan Ekle Ekranında &quot;İptal&quot; Durumundaki Kayıtların Yeniden Kullanıcı Ekleme Sürecine Dahil Edilmesi"/>
    <x v="16"/>
    <e v="#N/A"/>
    <x v="0"/>
    <s v="-"/>
    <s v="Ürün İş Listesi"/>
    <m/>
  </r>
  <r>
    <s v="Story"/>
    <s v="WIK-634"/>
    <x v="1"/>
    <s v="Çalışan Ekle Ekranında &quot;İptal&quot; Durumundaki Kayıtların Filtre İle Gizlenmesi "/>
    <x v="16"/>
    <e v="#N/A"/>
    <x v="0"/>
    <s v="-"/>
    <s v="Ürün İş Listesi"/>
    <n v="8"/>
  </r>
  <r>
    <s v="Story"/>
    <s v="WIK-635"/>
    <x v="1"/>
    <s v="Duyuru Modülü Gönderimleri İçin Raporlama Seçeneği"/>
    <x v="16"/>
    <e v="#N/A"/>
    <x v="0"/>
    <s v="-"/>
    <s v="Ürün İş Listesi"/>
    <n v="8"/>
  </r>
  <r>
    <s v="Story"/>
    <s v="WIK-637"/>
    <x v="1"/>
    <s v="Özlük Belgeler Alıcı TCKN Ekleme İşlemi "/>
    <x v="16"/>
    <e v="#N/A"/>
    <x v="0"/>
    <s v="-"/>
    <s v="Ürün İş Listesi"/>
    <n v="5"/>
  </r>
  <r>
    <s v="Story"/>
    <s v="WIK-638"/>
    <x v="1"/>
    <s v="Özlük Belgeleri Reddedilen Belgelerin Tekrar Gönderilmesi"/>
    <x v="16"/>
    <e v="#N/A"/>
    <x v="0"/>
    <s v="-"/>
    <s v="Ürün İş Listesi"/>
    <n v="5"/>
  </r>
  <r>
    <s v="Story"/>
    <s v="WIK-639"/>
    <x v="1"/>
    <s v="Özlük Belgeleri Alıcı Yükleme Ekranı Açık Rıza ve KVKK Onaylarının Eklenmesi"/>
    <x v="16"/>
    <e v="#N/A"/>
    <x v="0"/>
    <s v="-"/>
    <s v="Ürün İş Listesi"/>
    <n v="3"/>
  </r>
  <r>
    <s v="Story"/>
    <s v="WIK-640"/>
    <x v="1"/>
    <s v="Delil Servislerine Erişilmesi"/>
    <x v="16"/>
    <e v="#N/A"/>
    <x v="0"/>
    <s v="-"/>
    <s v="Ürün İş Listesi"/>
    <n v="5"/>
  </r>
  <r>
    <s v="Story"/>
    <s v="WIK-641"/>
    <x v="1"/>
    <s v="Belge Raporu Ekranında İndirme"/>
    <x v="16"/>
    <e v="#N/A"/>
    <x v="0"/>
    <s v="-"/>
    <s v="Ürün İş Listesi"/>
    <n v="5"/>
  </r>
  <r>
    <s v="Story"/>
    <s v="WIK-642"/>
    <x v="1"/>
    <s v="Rapor Dosyasının Oluşturulması."/>
    <x v="16"/>
    <e v="#N/A"/>
    <x v="0"/>
    <s v="-"/>
    <s v="Ürün İş Listesi"/>
    <n v="13"/>
  </r>
  <r>
    <s v="Story"/>
    <s v="WIK-643"/>
    <x v="1"/>
    <s v="Rapor Dosyasının Teslim edilmesi"/>
    <x v="16"/>
    <e v="#N/A"/>
    <x v="0"/>
    <s v="-"/>
    <s v="Ürün İş Listesi"/>
    <n v="8"/>
  </r>
  <r>
    <s v="Story"/>
    <s v="WIK-644"/>
    <x v="1"/>
    <s v="Rapor Talebinin Oluşturulması "/>
    <x v="16"/>
    <e v="#N/A"/>
    <x v="0"/>
    <s v="-"/>
    <s v="Ürün İş Listesi"/>
    <n v="8"/>
  </r>
  <r>
    <s v="Story"/>
    <s v="WIK-646"/>
    <x v="1"/>
    <s v="Uygulama Kullanıcı Simgesinin Erkek Yerine Cinsiyetsiz Bir Simge İle Değiştirilmesi"/>
    <x v="16"/>
    <e v="#N/A"/>
    <x v="0"/>
    <s v="-"/>
    <s v="Ürün İş Listesi"/>
    <n v="1"/>
  </r>
  <r>
    <s v="Bug"/>
    <s v="WIK-649"/>
    <x v="1"/>
    <s v="Çalışan Grupları İçin Yetkilendirme Çalışmıyor"/>
    <x v="16"/>
    <e v="#N/A"/>
    <x v="0"/>
    <s v="-"/>
    <s v="Ürün İş Listesi"/>
    <m/>
  </r>
  <r>
    <s v="Story"/>
    <s v="WIK-651"/>
    <x v="1"/>
    <s v="Özlük Belgeleri Yükleme Ekranı Kullanıcı Deneyimi İyileştirmesi"/>
    <x v="16"/>
    <e v="#N/A"/>
    <x v="0"/>
    <s v="-"/>
    <s v="Ürün İş Listesi"/>
    <n v="3"/>
  </r>
  <r>
    <s v="Story"/>
    <s v="WIK-653"/>
    <x v="1"/>
    <s v="Silme İşlem Loglarının Tutulması ve Log Listelerinde Sağlanması"/>
    <x v="16"/>
    <e v="#N/A"/>
    <x v="0"/>
    <s v="-"/>
    <s v="Ürün İş Listesi"/>
    <n v="3"/>
  </r>
  <r>
    <s v="Story"/>
    <s v="WIK-654"/>
    <x v="1"/>
    <s v="İK Modüllerinde Reddeden Çalışanın Ret Sebebi Açıklama Alanını Doldurmasının Zorunlu Hale Getirilmesi"/>
    <x v="16"/>
    <e v="#N/A"/>
    <x v="0"/>
    <s v="-"/>
    <s v="Ürün İş Listesi"/>
    <n v="2"/>
  </r>
  <r>
    <s v="Story"/>
    <s v="EFT-2148"/>
    <x v="1"/>
    <s v="e-fatura Schematron Güncellemesi "/>
    <x v="4"/>
    <e v="#N/A"/>
    <x v="0"/>
    <s v="-"/>
    <s v="Ürün İş Listesi"/>
    <n v="1"/>
  </r>
  <r>
    <s v="Story"/>
    <s v="WIK-655"/>
    <x v="1"/>
    <s v="Ara yüzdeki Türkçe Metinlerin Tespit Edilmesi"/>
    <x v="16"/>
    <e v="#N/A"/>
    <x v="0"/>
    <s v="-"/>
    <s v="Ürün İş Listesi"/>
    <n v="5"/>
  </r>
  <r>
    <s v="Story"/>
    <s v="KEP-279"/>
    <x v="1"/>
    <s v="Java KEP Api Güncellenmesi ile Procenne HSM Desteği Eklenmesi"/>
    <x v="7"/>
    <e v="#N/A"/>
    <x v="0"/>
    <s v="-"/>
    <s v="Ürün İş Listesi"/>
    <n v="3"/>
  </r>
  <r>
    <s v="Story"/>
    <s v="WIK-657"/>
    <x v="1"/>
    <s v="Yapılan çevirilerin yerleştirilmesi"/>
    <x v="16"/>
    <e v="#N/A"/>
    <x v="0"/>
    <s v="-"/>
    <s v="Ürün İş Listesi"/>
    <n v="3"/>
  </r>
  <r>
    <s v="Story"/>
    <s v="IEU-189"/>
    <x v="1"/>
    <s v="Turkcell Mobil İmza Servisinde SSL Sertifikası Değişimi - 15 Mayıs 2025"/>
    <x v="5"/>
    <e v="#N/A"/>
    <x v="0"/>
    <s v="-"/>
    <s v="Ürün İş Listesi"/>
    <n v="2"/>
  </r>
  <r>
    <s v="Story"/>
    <s v="IEU-187"/>
    <x v="1"/>
    <s v="Zaman Damgalı İmzaların Sayılması"/>
    <x v="5"/>
    <e v="#N/A"/>
    <x v="0"/>
    <s v="-"/>
    <s v="Ürün İş Listesi"/>
    <n v="5"/>
  </r>
  <r>
    <s v="Story"/>
    <s v="WIK-659"/>
    <x v="0"/>
    <s v="Alınan Özlük Belgelerinin Türkkep Sistemlerinde Saklanması ve e-Saklama Entegrasyonu"/>
    <x v="16"/>
    <e v="#N/A"/>
    <x v="0"/>
    <s v="-"/>
    <s v="Ürün İş Listesi"/>
    <m/>
  </r>
  <r>
    <s v="Story"/>
    <s v="WIK-656"/>
    <x v="1"/>
    <s v="Translate pipe ve önyüz servisinin oluşturulması"/>
    <x v="16"/>
    <e v="#N/A"/>
    <x v="0"/>
    <s v="-"/>
    <s v="Ürün İş Listesi"/>
    <m/>
  </r>
  <r>
    <s v="Story"/>
    <s v="TIM-438"/>
    <x v="2"/>
    <s v="İmza süreci tamamlanmış belgelerin silinmemesi"/>
    <x v="13"/>
    <e v="#N/A"/>
    <x v="0"/>
    <s v="-"/>
    <s v="Ürün İş Listesi"/>
    <m/>
  </r>
  <r>
    <s v="Story"/>
    <s v="KEP-283"/>
    <x v="1"/>
    <s v="Kapalı Hesaba Giriş Yapıldığında Bilgilendirme Sağlanması"/>
    <x v="7"/>
    <e v="#N/A"/>
    <x v="0"/>
    <s v="-"/>
    <s v="Ürün İş Listesi"/>
    <n v="2"/>
  </r>
  <r>
    <s v="Story"/>
    <s v="IEU-188"/>
    <x v="0"/>
    <s v="Basit İmzaların Sayılması"/>
    <x v="5"/>
    <e v="#N/A"/>
    <x v="0"/>
    <s v="-"/>
    <s v="Ürün İş Listesi"/>
    <m/>
  </r>
  <r>
    <s v="Story"/>
    <s v="KEP-284"/>
    <x v="1"/>
    <s v="Test Ortamındaki KEP Adreslerinin Yeni Altyapıya Taşınması"/>
    <x v="7"/>
    <e v="#N/A"/>
    <x v="0"/>
    <s v="-"/>
    <s v="Ürün İş Listesi"/>
    <n v="3"/>
  </r>
  <r>
    <s v="Story"/>
    <s v="WIK-663"/>
    <x v="1"/>
    <s v="Özlük Belgeleri Alıcı Yükleme Ekranı Açık Rıza ve KVKK Onayı Müşteri Metinlerinin Eklenmesi"/>
    <x v="16"/>
    <e v="#N/A"/>
    <x v="0"/>
    <s v="-"/>
    <s v="Ürün İş Listesi"/>
    <n v="3"/>
  </r>
  <r>
    <s v="Story"/>
    <s v="WIK-662"/>
    <x v="1"/>
    <s v="Özlük Belgelerinin KEP İK Sunucusunda Geçici Saklanması"/>
    <x v="16"/>
    <e v="#N/A"/>
    <x v="0"/>
    <s v="-"/>
    <s v="Ürün İş Listesi"/>
    <n v="2"/>
  </r>
  <r>
    <s v="Story"/>
    <s v="WIK-661"/>
    <x v="1"/>
    <s v="Ay İçinde Aktif ve Pasif Edilen Çalışanların Durumuna Göre Çalışan Listesinin Güncellenebilmesi"/>
    <x v="16"/>
    <e v="#N/A"/>
    <x v="0"/>
    <s v="-"/>
    <s v="Ürün İş Listesi"/>
    <n v="2"/>
  </r>
  <r>
    <s v="Story"/>
    <s v="WIK-660"/>
    <x v="1"/>
    <s v="Ücret Pusulası ve Puantaj Modülleri Yetkilendirme Yapısında Düzenleme"/>
    <x v="16"/>
    <e v="#N/A"/>
    <x v="0"/>
    <s v="-"/>
    <s v="Ürün İş Listesi"/>
    <n v="3"/>
  </r>
  <r>
    <s v="Story"/>
    <s v="WIK-652"/>
    <x v="1"/>
    <s v="Özlük Bilgileri Sayfa Karşılaştırma için Gerekli Özlük Servisi-Robot İletişim"/>
    <x v="16"/>
    <e v="#N/A"/>
    <x v="0"/>
    <s v="-"/>
    <s v="Ürün İş Listesi"/>
    <n v="2"/>
  </r>
  <r>
    <s v="Story"/>
    <s v="WIK-648"/>
    <x v="1"/>
    <s v="Çalışan Grupları İçin Yetkilendirme Çalışmıyor"/>
    <x v="16"/>
    <e v="#N/A"/>
    <x v="0"/>
    <s v="-"/>
    <s v="Ürün İş Listesi"/>
    <m/>
  </r>
  <r>
    <s v="Story"/>
    <s v="WIK-647"/>
    <x v="1"/>
    <s v="Çalışan Ekle ve Çalışanlar Modülleri İçin Kullanıcı Bazlı Yetkilendirme"/>
    <x v="16"/>
    <e v="#N/A"/>
    <x v="0"/>
    <s v="-"/>
    <s v="Ürün İş Listesi"/>
    <m/>
  </r>
  <r>
    <s v="Story"/>
    <s v="WIK-632"/>
    <x v="1"/>
    <s v="Bordro gönderim sürecinde aynı ay içinde tekrar çarşaf bordro eklemeye gerek kalmadan yeni eklenen çalışanlar için eşleşmeyenleri ayrıştırarak yeniden göndermeye imkan sağlaması"/>
    <x v="16"/>
    <e v="#N/A"/>
    <x v="0"/>
    <s v="-"/>
    <s v="Ürün İş Listesi"/>
    <m/>
  </r>
  <r>
    <s v="Story"/>
    <s v="MYS-765"/>
    <x v="1"/>
    <s v="Original Message Id Değerinin Düzenlenmesi"/>
    <x v="12"/>
    <e v="#N/A"/>
    <x v="0"/>
    <s v="-"/>
    <s v="Ürün İş Listesi"/>
    <n v="2"/>
  </r>
  <r>
    <s v="Story"/>
    <s v="KEP-285"/>
    <x v="1"/>
    <s v="CRM KEP Hesapları Yönetimi Servis Geliştirmesi"/>
    <x v="7"/>
    <e v="#N/A"/>
    <x v="0"/>
    <s v="-"/>
    <s v="Ürün İş Listesi"/>
    <n v="3"/>
  </r>
  <r>
    <s v="Story"/>
    <s v="KA-1495"/>
    <x v="1"/>
    <s v="KEPAssist CRM Entegrasyonu Kullanım Raporu Servisinin Canlı Ortam İçin Hazırlanması"/>
    <x v="6"/>
    <e v="#N/A"/>
    <x v="0"/>
    <s v="-"/>
    <s v="Ürün İş Listesi"/>
    <n v="2"/>
  </r>
  <r>
    <s v="Story"/>
    <s v="KA-1494"/>
    <x v="1"/>
    <s v="Original Message Id Değerinin Düzenlenmesi"/>
    <x v="6"/>
    <e v="#N/A"/>
    <x v="0"/>
    <s v="-"/>
    <s v="Ürün İş Listesi"/>
    <n v="2"/>
  </r>
  <r>
    <s v="Bug"/>
    <s v="KA-1479"/>
    <x v="1"/>
    <s v="Gelen EYP 1.3 iletilerinin statüsünün güncellenmemesi"/>
    <x v="6"/>
    <e v="#N/A"/>
    <x v="0"/>
    <s v="-"/>
    <s v="Ürün İş Listesi"/>
    <m/>
  </r>
  <r>
    <s v="Story"/>
    <s v="KA-1465"/>
    <x v="1"/>
    <s v="CRM Entegrasyonu İçin Organizasyonları Listeleyen Servis Geliştirilmesi"/>
    <x v="6"/>
    <e v="#N/A"/>
    <x v="0"/>
    <s v="-"/>
    <s v="Ürün İş Listesi"/>
    <m/>
  </r>
  <r>
    <s v="Story"/>
    <s v="KA-1464"/>
    <x v="1"/>
    <s v="Kullanım Raporu Sp'lerinin Hızlandırılması Hk."/>
    <x v="6"/>
    <e v="#N/A"/>
    <x v="0"/>
    <s v="-"/>
    <s v="Ürün İş Listesi"/>
    <m/>
  </r>
  <r>
    <s v="Story"/>
    <s v="KA-1459"/>
    <x v="1"/>
    <s v="Güncelleme Paketi Hazırlanması"/>
    <x v="6"/>
    <e v="#N/A"/>
    <x v="0"/>
    <s v="-"/>
    <s v="Ürün İş Listesi"/>
    <m/>
  </r>
  <r>
    <s v="Story"/>
    <s v="IEU-202"/>
    <x v="1"/>
    <s v="CI/CD Kurulumu"/>
    <x v="5"/>
    <e v="#N/A"/>
    <x v="0"/>
    <s v="-"/>
    <s v="Ürün İş Listesi"/>
    <n v="2"/>
  </r>
  <r>
    <s v="Story"/>
    <s v="IEU-201"/>
    <x v="1"/>
    <s v="Yeni Geliştirmelerin QA/TEST Ortamına Atılması"/>
    <x v="5"/>
    <e v="#N/A"/>
    <x v="0"/>
    <s v="-"/>
    <s v="Ürün İş Listesi"/>
    <n v="5"/>
  </r>
  <r>
    <s v="Story"/>
    <s v="IEU-200"/>
    <x v="1"/>
    <s v="Tek Metot ile Tüm İmza Tipleri İçin Doğrulama Sağlanması - verify-controller "/>
    <x v="5"/>
    <e v="#N/A"/>
    <x v="0"/>
    <s v="-"/>
    <s v="Ürün İş Listesi"/>
    <n v="3"/>
  </r>
  <r>
    <s v="Story"/>
    <s v="IEU-199"/>
    <x v="1"/>
    <s v="Zaman Damgalı İmza Sayımı - Admin Panel Düzenlemesi ve Raporlama"/>
    <x v="5"/>
    <e v="#N/A"/>
    <x v="0"/>
    <s v="-"/>
    <s v="Ürün İş Listesi"/>
    <n v="3"/>
  </r>
  <r>
    <s v="Story"/>
    <s v="IEU-198"/>
    <x v="1"/>
    <s v="Zaman Damgalı İmza Sayımı - VT - İşlem Kayıtlarının Tutulması"/>
    <x v="5"/>
    <e v="#N/A"/>
    <x v="0"/>
    <s v="-"/>
    <s v="Ürün İş Listesi"/>
    <n v="3"/>
  </r>
  <r>
    <s v="Story"/>
    <s v="IEU-197"/>
    <x v="1"/>
    <s v="Zaman Damgalı İmza Sayımı - Auth Service İşlem Kayıtları için Metot Hazırlanması"/>
    <x v="5"/>
    <e v="#N/A"/>
    <x v="0"/>
    <s v="-"/>
    <s v="Ürün İş Listesi"/>
    <n v="3"/>
  </r>
  <r>
    <s v="Story"/>
    <s v="IEU-196"/>
    <x v="0"/>
    <s v="Zaman Damgalı İmza Sayımı - Imza-Client-v2 - Exe ve Jar Güncellemesi "/>
    <x v="5"/>
    <e v="#N/A"/>
    <x v="0"/>
    <s v="-"/>
    <s v="Ürün İş Listesi"/>
    <m/>
  </r>
  <r>
    <s v="Story"/>
    <s v="IEU-195"/>
    <x v="1"/>
    <s v="Zaman Damgalı İmza Sayımı - Signature-Service İmza Upgrade İşleminin Sayılması"/>
    <x v="5"/>
    <e v="#N/A"/>
    <x v="0"/>
    <s v="-"/>
    <s v="Ürün İş Listesi"/>
    <n v="3"/>
  </r>
  <r>
    <s v="Story"/>
    <s v="IEU-194"/>
    <x v="1"/>
    <s v="Java KEP Api Güncellenmesi ile Procenne HSM Desteği Eklenmesi"/>
    <x v="5"/>
    <e v="#N/A"/>
    <x v="0"/>
    <s v="-"/>
    <s v="Ürün İş Listesi"/>
    <m/>
  </r>
  <r>
    <s v="Story"/>
    <s v="IEU-167"/>
    <x v="1"/>
    <s v="MKR Sorgulama Frekansı Değişikliği"/>
    <x v="5"/>
    <e v="#N/A"/>
    <x v="0"/>
    <s v="-"/>
    <s v="Ürün İş Listesi"/>
    <m/>
  </r>
  <r>
    <s v="Story"/>
    <s v="IEU-161"/>
    <x v="1"/>
    <s v="İmzaClient Jar Güncellemesi"/>
    <x v="5"/>
    <e v="#N/A"/>
    <x v="0"/>
    <s v="-"/>
    <s v="Ürün İş Listesi"/>
    <m/>
  </r>
  <r>
    <s v="Story"/>
    <s v="IEU-156"/>
    <x v="1"/>
    <s v="UETS servislerinin bulut olarak da sağlanabilmesi ve servise eklenmesi"/>
    <x v="5"/>
    <e v="#N/A"/>
    <x v="0"/>
    <s v="-"/>
    <s v="Ürün İş Listesi"/>
    <m/>
  </r>
  <r>
    <s v="Story"/>
    <s v="IEU-150"/>
    <x v="1"/>
    <s v="MKR Modülü İçin /api/v1/usage Metoduna Tarih Aralığı Filtreleme Özelliği Eklenmesi (CRM Entegrasyonu)"/>
    <x v="5"/>
    <e v="#N/A"/>
    <x v="0"/>
    <s v="-"/>
    <s v="Ürün İş Listesi"/>
    <m/>
  </r>
  <r>
    <s v="Story"/>
    <s v="EFT-2159"/>
    <x v="1"/>
    <s v="İmza Süresi Bitiş Kullanıcılara Uyarı Gösterilmesi"/>
    <x v="4"/>
    <e v="#N/A"/>
    <x v="0"/>
    <s v="-"/>
    <s v="Ürün İş Listesi"/>
    <m/>
  </r>
  <r>
    <s v="Story"/>
    <s v="EFT-2158"/>
    <x v="1"/>
    <s v="Menü Ağacının Sıralamasının Değiştirilmesi"/>
    <x v="4"/>
    <e v="#N/A"/>
    <x v="0"/>
    <s v="-"/>
    <s v="Ürün İş Listesi"/>
    <n v="1"/>
  </r>
  <r>
    <s v="Bug"/>
    <s v="EFT-2157"/>
    <x v="1"/>
    <s v="Fatura Ön Eki Hata Uyarısın Düzeltilmesi."/>
    <x v="4"/>
    <e v="#N/A"/>
    <x v="0"/>
    <s v="-"/>
    <s v="Ürün İş Listesi"/>
    <n v="1"/>
  </r>
  <r>
    <s v="Story"/>
    <s v="EFT-2156"/>
    <x v="1"/>
    <s v="Hata Alan Faturaların için Çoklu İşlem Fonksiyonu Eklenmesi"/>
    <x v="4"/>
    <e v="#N/A"/>
    <x v="0"/>
    <s v="-"/>
    <s v="Ürün İş Listesi"/>
    <n v="2"/>
  </r>
  <r>
    <s v="Story"/>
    <s v="EFT-2155"/>
    <x v="1"/>
    <s v="Türmob Sorgu Bilgisinin Dashboard Ekranında Düzenlemesi."/>
    <x v="4"/>
    <e v="#N/A"/>
    <x v="0"/>
    <s v="-"/>
    <s v="Ürün İş Listesi"/>
    <n v="1"/>
  </r>
  <r>
    <s v="Story"/>
    <s v="EFT-2154"/>
    <x v="1"/>
    <s v="Test Ortamında Türmob Sorgu Servisinin Kapatılması."/>
    <x v="4"/>
    <e v="#N/A"/>
    <x v="0"/>
    <s v="-"/>
    <s v="Ürün İş Listesi"/>
    <n v="1"/>
  </r>
  <r>
    <s v="Story"/>
    <s v="EFT-2153"/>
    <x v="1"/>
    <s v="Smartcard Bilgilerinin Yeni İmza Client Uygulamasında Saklanması"/>
    <x v="4"/>
    <e v="#N/A"/>
    <x v="0"/>
    <s v="-"/>
    <s v="Ürün İş Listesi"/>
    <n v="2"/>
  </r>
  <r>
    <s v="Story"/>
    <s v="EFT-2092"/>
    <x v="1"/>
    <s v="Sözleşme Ve Aktivasyon Kullanılan Setupta .jar Dosyasının Güncellenmesi"/>
    <x v="4"/>
    <e v="#N/A"/>
    <x v="0"/>
    <s v="-"/>
    <s v="Ürün İş Listesi"/>
    <m/>
  </r>
  <r>
    <s v="Story"/>
    <s v="EFT-2080"/>
    <x v="1"/>
    <s v="Gelen Faturalar Modülünde Reddedilen Faturalara Arşive Gönder Özelliği Eklenmesi"/>
    <x v="4"/>
    <e v="#N/A"/>
    <x v="0"/>
    <s v="-"/>
    <s v="Ürün İş Listesi"/>
    <m/>
  </r>
  <r>
    <s v="Story"/>
    <s v="EDF-757"/>
    <x v="1"/>
    <s v="Kapital Firması/ e-Defter Kebir Dosyalarının GİB Sistemlerine Yüklenmemesi için Değişiklik"/>
    <x v="3"/>
    <e v="#N/A"/>
    <x v="0"/>
    <s v="-"/>
    <s v="Ürün İş Listesi"/>
    <n v="3"/>
  </r>
  <r>
    <s v="Bug"/>
    <s v="EDF-745"/>
    <x v="1"/>
    <s v="Sızma Testi Bulguları"/>
    <x v="3"/>
    <e v="#N/A"/>
    <x v="0"/>
    <s v="-"/>
    <s v="Ürün İş Listesi"/>
    <m/>
  </r>
  <r>
    <s v="Story"/>
    <s v="EDF-744"/>
    <x v="1"/>
    <s v="Portalde Yükleme Araçlar&gt;LUCA Excel Yükleme Modülünde Madde No Kontrolü Ekleme"/>
    <x v="3"/>
    <e v="#N/A"/>
    <x v="0"/>
    <s v="-"/>
    <s v="Ürün İş Listesi"/>
    <m/>
  </r>
  <r>
    <s v="Story"/>
    <s v="EDF-743"/>
    <x v="1"/>
    <s v="Kontratı CST_Contract Tablosunda Bulunmayan Müşterilere Uyarı Metni"/>
    <x v="3"/>
    <e v="#N/A"/>
    <x v="0"/>
    <s v="-"/>
    <s v="Ürün İş Listesi"/>
    <m/>
  </r>
  <r>
    <s v="Story"/>
    <s v="EDF-731"/>
    <x v="1"/>
    <s v="Hizmet Sözleşmesi Bitecek Müşteri İçin E-Defter Ürünlerinin Ekranında Geri Sayım İçeren Uyarı Metninin Eklenmesi"/>
    <x v="3"/>
    <e v="#N/A"/>
    <x v="0"/>
    <s v="-"/>
    <s v="Ürün İş Listesi"/>
    <m/>
  </r>
  <r>
    <s v="Story"/>
    <s v="CRM-629"/>
    <x v="1"/>
    <s v="RezerveKEP metoduna dış servis kullanım senaryosu eklenmesi"/>
    <x v="0"/>
    <e v="#N/A"/>
    <x v="0"/>
    <s v="-"/>
    <s v="Ürün İş Listesi"/>
    <n v="8"/>
  </r>
  <r>
    <s v="Bug"/>
    <s v="CRM-628"/>
    <x v="1"/>
    <s v="Yüksek boyutlu dosya yükleme hatası"/>
    <x v="0"/>
    <e v="#N/A"/>
    <x v="0"/>
    <s v="-"/>
    <s v="Ürün İş Listesi"/>
    <n v="1"/>
  </r>
  <r>
    <s v="Story"/>
    <s v="CRM-627"/>
    <x v="1"/>
    <s v="MERSİS sorgu sonucunda birden fazla münferit yetkili gelmesi"/>
    <x v="0"/>
    <e v="#N/A"/>
    <x v="0"/>
    <s v="-"/>
    <s v="Ürün İş Listesi"/>
    <m/>
  </r>
  <r>
    <s v="Story"/>
    <s v="CRM-626"/>
    <x v="1"/>
    <s v="Servisin test ortamında aktif edilmesi"/>
    <x v="0"/>
    <e v="#N/A"/>
    <x v="0"/>
    <s v="-"/>
    <s v="Ürün İş Listesi"/>
    <n v="3"/>
  </r>
  <r>
    <s v="Story"/>
    <s v="CRM-623"/>
    <x v="1"/>
    <s v="MERSİS sorgu sonucunda NACE kodu bilgisinin boş gelmesi"/>
    <x v="0"/>
    <e v="#N/A"/>
    <x v="0"/>
    <s v="-"/>
    <s v="Ürün İş Listesi"/>
    <n v="1"/>
  </r>
  <r>
    <s v="Story"/>
    <s v="CRM-622"/>
    <x v="0"/>
    <s v="Teklif onay süreci geliştirilmesi"/>
    <x v="0"/>
    <e v="#N/A"/>
    <x v="0"/>
    <s v="-"/>
    <s v="Ürün İş Listesi"/>
    <m/>
  </r>
  <r>
    <s v="Story"/>
    <s v="CRM-621"/>
    <x v="0"/>
    <s v="KEP Assist modül yenileme akışının kontrol edilmesi"/>
    <x v="0"/>
    <e v="#N/A"/>
    <x v="0"/>
    <s v="-"/>
    <s v="Ürün İş Listesi"/>
    <m/>
  </r>
  <r>
    <s v="Story"/>
    <s v="CRM-561"/>
    <x v="1"/>
    <s v="Multikep Kota Yükleme İşlemleri"/>
    <x v="0"/>
    <e v="#N/A"/>
    <x v="0"/>
    <s v="-"/>
    <s v="Ürün İş Listesi"/>
    <m/>
  </r>
  <r>
    <s v="Story"/>
    <s v="CRM-552"/>
    <x v="1"/>
    <s v="Multikep Müşteri Bilgileri Gönderilirken İşlem Yetkililerinden Kullanıcıların Aktarılması"/>
    <x v="0"/>
    <e v="#N/A"/>
    <x v="0"/>
    <s v="-"/>
    <s v="Ürün İş Listesi"/>
    <m/>
  </r>
  <r>
    <s v="Story"/>
    <s v="CRM-495"/>
    <x v="1"/>
    <s v="Oluşan QR Kodlu Toplu Evrakların Satışçıya/Bayiye İletilmesi"/>
    <x v="0"/>
    <e v="#N/A"/>
    <x v="0"/>
    <s v="-"/>
    <s v="Ürün İş Listesi"/>
    <m/>
  </r>
  <r>
    <s v="Bug"/>
    <s v="EDF-759"/>
    <x v="1"/>
    <s v="Defter Portalda İmzalama Sürecinde Client Linkinin Eski Olması"/>
    <x v="3"/>
    <e v="#N/A"/>
    <x v="0"/>
    <s v="-"/>
    <s v="Ürün İş Listesi"/>
    <n v="1"/>
  </r>
  <r>
    <s v="Story"/>
    <s v="MYS-768"/>
    <x v="1"/>
    <s v="Güncelleme Paketi Hazırlanması"/>
    <x v="12"/>
    <e v="#N/A"/>
    <x v="0"/>
    <s v="-"/>
    <s v="Ürün İş Listesi"/>
    <n v="2"/>
  </r>
  <r>
    <s v="Story"/>
    <s v="KW-7"/>
    <x v="1"/>
    <s v="Üst Yönetim Raporu - KEP İleti Sayılarının Detaylı Kırılımı"/>
    <x v="8"/>
    <e v="#N/A"/>
    <x v="0"/>
    <s v="-"/>
    <s v="Ürün İş Listesi"/>
    <n v="5"/>
  </r>
  <r>
    <s v="Bug"/>
    <s v="KA-1504"/>
    <x v="1"/>
    <s v="Detsis No Arama Hatası"/>
    <x v="6"/>
    <e v="#N/A"/>
    <x v="0"/>
    <s v="-"/>
    <s v="Ürün İş Listesi"/>
    <n v="2"/>
  </r>
  <r>
    <s v="Bug"/>
    <s v="KA-1503"/>
    <x v="1"/>
    <s v="Kullanıcı Yönetimi - Kullanıcı Oluşturma Hatası"/>
    <x v="6"/>
    <e v="#N/A"/>
    <x v="0"/>
    <s v="-"/>
    <s v="Ürün İş Listesi"/>
    <n v="3"/>
  </r>
  <r>
    <s v="Story"/>
    <s v="IEU-207"/>
    <x v="1"/>
    <s v="SonarQube Kod Taraması Yapılması"/>
    <x v="5"/>
    <e v="#N/A"/>
    <x v="0"/>
    <s v="-"/>
    <s v="Ürün İş Listesi"/>
    <n v="2"/>
  </r>
  <r>
    <s v="Story"/>
    <s v="IEU-206"/>
    <x v="1"/>
    <s v="Kod Gözden Geçirme ve Güvenlik İyileştirmesi (SonarQube Analizi Sonuçlarına Göre)"/>
    <x v="5"/>
    <e v="#N/A"/>
    <x v="0"/>
    <s v="-"/>
    <s v="Ürün İş Listesi"/>
    <n v="5"/>
  </r>
  <r>
    <s v="Bug"/>
    <s v="EFT-2165"/>
    <x v="1"/>
    <s v="Portalda İrsaliye oluştur Ekranında 'Sevk Saati' Alanı Değişikliği"/>
    <x v="4"/>
    <e v="#N/A"/>
    <x v="0"/>
    <s v="-"/>
    <s v="Ürün İş Listesi"/>
    <n v="1"/>
  </r>
  <r>
    <s v="Story"/>
    <s v="EFT-2167"/>
    <x v="1"/>
    <s v="Araştırma/ Şematron Hatalarının Kaynaklarının Tespiti"/>
    <x v="4"/>
    <e v="#N/A"/>
    <x v="0"/>
    <s v="-"/>
    <s v="Ürün İş Listesi"/>
    <n v="13"/>
  </r>
  <r>
    <s v="Story"/>
    <s v="DP-281"/>
    <x v="1"/>
    <s v="e-Belge Kullanıcı Listelerinin Dışa Aktarılabilir Hale Getirilmesi"/>
    <x v="1"/>
    <e v="#N/A"/>
    <x v="0"/>
    <s v="-"/>
    <s v="Ürün İş Listesi"/>
    <n v="3"/>
  </r>
  <r>
    <s v="Story"/>
    <s v="DP-280"/>
    <x v="0"/>
    <s v="Hizmet İptali Olan Firmalar İçin Veri Teslim Talebi"/>
    <x v="1"/>
    <e v="#N/A"/>
    <x v="0"/>
    <s v="-"/>
    <s v="Ürün İş Listesi"/>
    <m/>
  </r>
  <r>
    <s v="Story"/>
    <s v="DP-279"/>
    <x v="0"/>
    <s v="Yanlış Mühürle İmzalanan Defterin Durumunun Güncellenmesi"/>
    <x v="1"/>
    <e v="#N/A"/>
    <x v="0"/>
    <s v="-"/>
    <s v="Ürün İş Listesi"/>
    <m/>
  </r>
  <r>
    <s v="Story"/>
    <s v="DP-278"/>
    <x v="0"/>
    <s v="Şematron Kontrolünde Kalan Defterin Aktarım Başarılı Durumuna Çekilmesi"/>
    <x v="1"/>
    <e v="#N/A"/>
    <x v="0"/>
    <s v="-"/>
    <s v="Ürün İş Listesi"/>
    <m/>
  </r>
  <r>
    <s v="Story"/>
    <s v="DP-277"/>
    <x v="1"/>
    <s v="Defterin Dönem Kapama Durumuna Geçmemesi Halinde Güncelleme Talebi"/>
    <x v="1"/>
    <e v="#N/A"/>
    <x v="0"/>
    <s v="-"/>
    <s v="Ürün İş Listesi"/>
    <n v="3"/>
  </r>
  <r>
    <s v="Story"/>
    <s v="DP-276"/>
    <x v="1"/>
    <s v="Silinen Cari Hesabın Geri Alınma İşleminin Portal Üzerinden Yapılması"/>
    <x v="1"/>
    <e v="#N/A"/>
    <x v="0"/>
    <s v="-"/>
    <s v="Ürün İş Listesi"/>
    <n v="2"/>
  </r>
  <r>
    <s v="Story"/>
    <s v="EDF-761"/>
    <x v="1"/>
    <s v="E-Defter Gönderim Sürecindeki Hata ve Sorunların Tespiti"/>
    <x v="3"/>
    <e v="#N/A"/>
    <x v="0"/>
    <s v="-"/>
    <s v="Ürün İş Listesi"/>
    <n v="5"/>
  </r>
  <r>
    <s v="Story"/>
    <s v="IEU-208"/>
    <x v="1"/>
    <s v="Metotlardan Dönen Hata Yanıtlarının Düzenlenmesi"/>
    <x v="5"/>
    <e v="#N/A"/>
    <x v="0"/>
    <s v="-"/>
    <s v="Ürün İş Listesi"/>
    <n v="3"/>
  </r>
  <r>
    <s v="Bug"/>
    <s v="MU-64"/>
    <x v="1"/>
    <s v="Genel Responsive Design Düzenlemesi"/>
    <x v="9"/>
    <e v="#N/A"/>
    <x v="0"/>
    <s v="-"/>
    <s v="Ürün İş Listesi"/>
    <n v="3"/>
  </r>
  <r>
    <s v="Bug"/>
    <s v="MU-63"/>
    <x v="1"/>
    <s v="Mobil Uygulamada Sayfalar Arası Geçişlerde UX Sorunlarının Giderilmesi"/>
    <x v="9"/>
    <e v="#N/A"/>
    <x v="0"/>
    <s v="-"/>
    <s v="Ürün İş Listesi"/>
    <n v="3"/>
  </r>
  <r>
    <s v="Bug"/>
    <s v="MU-62"/>
    <x v="0"/>
    <s v="Bazı Mobil Cihazlarda &quot;Şifremi Unuttum&quot; Adımında Yaşanan Hata"/>
    <x v="9"/>
    <e v="#N/A"/>
    <x v="0"/>
    <s v="-"/>
    <s v="Ürün İş Listesi"/>
    <n v="5"/>
  </r>
  <r>
    <s v="Story"/>
    <s v="WIK-670"/>
    <x v="1"/>
    <s v="Çalışan Ekle Ekranı Sayfalama Yapısının Sağlanması - Arayüz Çalışması"/>
    <x v="16"/>
    <e v="#N/A"/>
    <x v="0"/>
    <s v="-"/>
    <s v="Ürün İş Listesi"/>
    <n v="1"/>
  </r>
  <r>
    <s v="Story"/>
    <s v="WIK-671"/>
    <x v="1"/>
    <s v="Özlük Belgeleri Ekranı Sayfalama Yapısının Sağlanması - Servis Çalışması"/>
    <x v="16"/>
    <e v="#N/A"/>
    <x v="0"/>
    <s v="-"/>
    <s v="Ürün İş Listesi"/>
    <n v="2"/>
  </r>
  <r>
    <s v="Story"/>
    <s v="WIK-666"/>
    <x v="1"/>
    <s v="Özlük Belgeleri Ekranı Sayfalama Yapısının Sağlanması - Arayüz Çalışması"/>
    <x v="16"/>
    <e v="#N/A"/>
    <x v="0"/>
    <s v="-"/>
    <s v="Ürün İş Listesi"/>
    <n v="1"/>
  </r>
  <r>
    <s v="Story"/>
    <s v="UKDS-151"/>
    <x v="1"/>
    <s v="Çalışan Ekle Modülünde Çok Sayıda Kayıt için Excel'e Aktarma Özelliğinin Performans İyileştirmesi"/>
    <x v="15"/>
    <e v="#N/A"/>
    <x v="0"/>
    <s v="-"/>
    <s v="Ürün İş Listesi"/>
    <n v="2"/>
  </r>
  <r>
    <s v="Story"/>
    <s v="UKDS-152"/>
    <x v="1"/>
    <s v="Çalışan Ekle Ekranı Sayfalama Yapısının Sağlanması - Servis Çalışması"/>
    <x v="15"/>
    <e v="#N/A"/>
    <x v="0"/>
    <s v="-"/>
    <s v="Ürün İş Listesi"/>
    <n v="3"/>
  </r>
  <r>
    <s v="Bug"/>
    <s v="TIM-447"/>
    <x v="1"/>
    <s v="Yatay Belge İçerisinde Logonun Doküman İçerisinde Tam Görünmemesi"/>
    <x v="13"/>
    <e v="#N/A"/>
    <x v="0"/>
    <s v="-"/>
    <s v="Ürün İş Listesi"/>
    <n v="1"/>
  </r>
  <r>
    <s v="Story"/>
    <s v="KEP-286"/>
    <x v="1"/>
    <s v="Webmail Delil Doğrulama Servisleri Güncellemesi"/>
    <x v="7"/>
    <e v="#N/A"/>
    <x v="0"/>
    <s v="-"/>
    <s v="Ürün İş Listesi"/>
    <n v="3"/>
  </r>
  <r>
    <s v="Story"/>
    <s v="KEP-287"/>
    <x v="1"/>
    <s v="Hesap Kapatma İşlemlerinin JNLP yerine Yeni Client ile Gerçekleştirilmesi"/>
    <x v="7"/>
    <e v="#N/A"/>
    <x v="0"/>
    <s v="-"/>
    <s v="Ürün İş Listesi"/>
    <n v="3"/>
  </r>
  <r>
    <s v="Story"/>
    <s v="UKDS-156"/>
    <x v="1"/>
    <s v="KİDOS Özelliklerinin Servis Olarak Sağlanması"/>
    <x v="15"/>
    <e v="#N/A"/>
    <x v="0"/>
    <s v="-"/>
    <s v="Ürün İş Listesi"/>
    <m/>
  </r>
  <r>
    <s v="Story"/>
    <s v="UKDS-154"/>
    <x v="1"/>
    <s v="KİDOS-MERSİS Entegrasyonu"/>
    <x v="15"/>
    <e v="#N/A"/>
    <x v="0"/>
    <s v="-"/>
    <s v="Ürün İş Listesi"/>
    <n v="5"/>
  </r>
  <r>
    <s v="Story"/>
    <s v="DP-282"/>
    <x v="1"/>
    <s v="Faturanın Deleted durumunun Y olarak güncellenmesi"/>
    <x v="1"/>
    <e v="#N/A"/>
    <x v="0"/>
    <s v="-"/>
    <s v="Ürün İş Listesi"/>
    <n v="2"/>
  </r>
  <r>
    <s v="Story"/>
    <s v="MU-67"/>
    <x v="1"/>
    <s v="Mobil İmza İle KEP Gönderimi"/>
    <x v="9"/>
    <e v="#N/A"/>
    <x v="0"/>
    <s v="-"/>
    <s v="Ürün İş Listesi"/>
    <n v="5"/>
  </r>
  <r>
    <s v="Bug"/>
    <s v="IEU-209"/>
    <x v="1"/>
    <s v="EYP Parser Metotlarında Hatalı Doğrulama Sonucu Dönmesi"/>
    <x v="5"/>
    <e v="#N/A"/>
    <x v="0"/>
    <s v="-"/>
    <s v="Ürün İş Listesi"/>
    <n v="3"/>
  </r>
  <r>
    <s v="Story"/>
    <s v="EFT-2174"/>
    <x v="1"/>
    <s v="“YOLCU BERABER FATURA” Senaryo Kontrolü"/>
    <x v="4"/>
    <e v="#N/A"/>
    <x v="0"/>
    <s v="-"/>
    <s v="Ürün İş Listesi"/>
    <n v="1"/>
  </r>
  <r>
    <s v="Story"/>
    <s v="EFT-2173"/>
    <x v="1"/>
    <s v="“TICARIFATURA” Senaryo Kontrolü"/>
    <x v="4"/>
    <e v="#N/A"/>
    <x v="0"/>
    <s v="-"/>
    <s v="Ürün İş Listesi"/>
    <n v="2"/>
  </r>
  <r>
    <s v="Story"/>
    <s v="EFT-2172"/>
    <x v="1"/>
    <s v="“TEMELFATURA&quot; Senaryo Kontrolü"/>
    <x v="4"/>
    <e v="#N/A"/>
    <x v="0"/>
    <s v="-"/>
    <s v="Ürün İş Listesi"/>
    <n v="2"/>
  </r>
  <r>
    <s v="Story"/>
    <s v="DP-283"/>
    <x v="1"/>
    <s v="Onay işlemleri açılmayan defterin gib kuyruğuna gönderilmesi"/>
    <x v="1"/>
    <e v="#N/A"/>
    <x v="0"/>
    <s v="-"/>
    <s v="Ürün İş Listesi"/>
    <n v="3"/>
  </r>
  <r>
    <s v="Story"/>
    <s v="EDF-764"/>
    <x v="1"/>
    <s v="Yanlış Mühürle İmzalanan Defterin Durumunun Güncellenmesi"/>
    <x v="3"/>
    <e v="#N/A"/>
    <x v="0"/>
    <s v="-"/>
    <s v="Ürün İş Listesi"/>
    <n v="2"/>
  </r>
  <r>
    <s v="Bug"/>
    <s v="EFT-2192"/>
    <x v="1"/>
    <s v="Web Serviste Vergi Oranı Sınırı"/>
    <x v="4"/>
    <e v="#N/A"/>
    <x v="0"/>
    <s v="-"/>
    <s v="Ürün İş Listesi"/>
    <n v="1"/>
  </r>
  <r>
    <s v="Bug"/>
    <s v="EFT-2193"/>
    <x v="1"/>
    <s v="Konnektör Vergi Oranı Sınırı"/>
    <x v="4"/>
    <e v="#N/A"/>
    <x v="0"/>
    <s v="-"/>
    <s v="Ürün İş Listesi"/>
    <n v="1"/>
  </r>
  <r>
    <s v="Story"/>
    <s v="MYS-771"/>
    <x v="1"/>
    <s v="&quot;KEP İleti -&gt; Hatalı Süreçler&quot; Sayfasında Hata Alan İletilere Ait Detay Bilgilerin Gösterilmesi"/>
    <x v="12"/>
    <e v="#N/A"/>
    <x v="0"/>
    <s v="-"/>
    <s v="Ürün İş Listesi"/>
    <n v="3"/>
  </r>
  <r>
    <s v="Bug"/>
    <s v="WIK-678"/>
    <x v="1"/>
    <s v="Kayıt defterinde Modül Adlarının Doğru Yazılması"/>
    <x v="16"/>
    <e v="#N/A"/>
    <x v="0"/>
    <s v="-"/>
    <s v="Ürün İş Listesi"/>
    <n v="1"/>
  </r>
  <r>
    <s v="Bug"/>
    <s v="WIK-675"/>
    <x v="1"/>
    <s v="Dönem/Ay Açılışlarında Geçersiz Ek Dönemlerin Açılması."/>
    <x v="16"/>
    <e v="#N/A"/>
    <x v="0"/>
    <s v="-"/>
    <s v="Ürün İş Listesi"/>
    <n v="2"/>
  </r>
  <r>
    <s v="Story"/>
    <s v="WIK-679"/>
    <x v="1"/>
    <s v="Çalışan Ekle ve Özlük Belgeleri işlemlerinin İşlem Kayıt Defterinde Eklenmesi"/>
    <x v="16"/>
    <e v="#N/A"/>
    <x v="0"/>
    <s v="-"/>
    <s v="Ürün İş Listesi"/>
    <n v="3"/>
  </r>
  <r>
    <s v="Story"/>
    <s v="WIK-676"/>
    <x v="1"/>
    <s v="Çalışan Ekle ve Özlük Belgeleri Kullanıcı Bazlı Silme İşlemlerinin Loglanması"/>
    <x v="16"/>
    <e v="#N/A"/>
    <x v="0"/>
    <s v="-"/>
    <s v="Ürün İş Listesi"/>
    <n v="2"/>
  </r>
  <r>
    <s v="Story"/>
    <s v="WIK-677"/>
    <x v="1"/>
    <s v="Sistem Tarafından Silinen Verinin Loglanması"/>
    <x v="16"/>
    <e v="#N/A"/>
    <x v="0"/>
    <s v="-"/>
    <s v="Ürün İş Listesi"/>
    <n v="2"/>
  </r>
  <r>
    <s v="Story"/>
    <s v="WIK-680"/>
    <x v="1"/>
    <s v="Yeni Açılan Dönem/Ay için Hazır Şablon Oluşturulması ve Atanması"/>
    <x v="16"/>
    <e v="#N/A"/>
    <x v="0"/>
    <s v="-"/>
    <s v="Ürün İş Listesi"/>
    <n v="3"/>
  </r>
  <r>
    <s v="Bug"/>
    <s v="UKDS-157"/>
    <x v="1"/>
    <s v="Firma Ünvanı Uzunluğunun SMS Gönderimini Engellemesi"/>
    <x v="15"/>
    <e v="#N/A"/>
    <x v="0"/>
    <s v="-"/>
    <s v="Ürün İş Listesi"/>
    <n v="2"/>
  </r>
  <r>
    <s v="Story"/>
    <s v="UKDS-155"/>
    <x v="1"/>
    <s v="KİDOS ve CRM için MERSİS Entegrasyonu"/>
    <x v="15"/>
    <e v="#N/A"/>
    <x v="0"/>
    <s v="-"/>
    <s v="Ürün İş Listesi"/>
    <m/>
  </r>
  <r>
    <s v="Story"/>
    <s v="UKDS-144"/>
    <x v="1"/>
    <s v="Raporlama servisine entegrasyon servisi ile birlikte gelen yeni tiplerin eklenmesi"/>
    <x v="15"/>
    <e v="#N/A"/>
    <x v="0"/>
    <s v="-"/>
    <s v="Ürün İş Listesi"/>
    <n v="3"/>
  </r>
  <r>
    <s v="Story"/>
    <s v="UKDS-137"/>
    <x v="1"/>
    <s v="ENTEGRASYON BIREYSEL/KURUMSAL ve Pazarama tipli başvurularda paket gösterimi+seçimi"/>
    <x v="15"/>
    <e v="#N/A"/>
    <x v="0"/>
    <s v="-"/>
    <s v="Ürün İş Listesi"/>
    <n v="13"/>
  </r>
  <r>
    <s v="Story"/>
    <s v="UKDS-117"/>
    <x v="1"/>
    <s v="Entegrasyon UKDS Servis Geliştirmesi"/>
    <x v="15"/>
    <e v="#N/A"/>
    <x v="0"/>
    <s v="-"/>
    <s v="Ürün İş Listesi"/>
    <n v="13"/>
  </r>
  <r>
    <s v="Bug"/>
    <s v="TIM-424"/>
    <x v="1"/>
    <s v="Filtrelemelerde bug fix"/>
    <x v="13"/>
    <e v="#N/A"/>
    <x v="0"/>
    <s v="-"/>
    <s v="Ürün İş Listesi"/>
    <m/>
  </r>
  <r>
    <s v="Bug"/>
    <s v="TIM-421"/>
    <x v="1"/>
    <s v="Mail bildirimi kapalı userların şifre sıfırlama süreci"/>
    <x v="13"/>
    <e v="#N/A"/>
    <x v="0"/>
    <s v="-"/>
    <s v="Ürün İş Listesi"/>
    <n v="8"/>
  </r>
  <r>
    <s v="Bug"/>
    <s v="TIM-415"/>
    <x v="1"/>
    <s v="e-imza ile girişte enter tuşu ile login olma"/>
    <x v="13"/>
    <e v="#N/A"/>
    <x v="0"/>
    <s v="-"/>
    <s v="Ürün İş Listesi"/>
    <n v="3"/>
  </r>
  <r>
    <s v="Bug"/>
    <s v="MU-70"/>
    <x v="1"/>
    <s v="Gelen ve Giden kutularında kayıt tekrarlama sorunu"/>
    <x v="9"/>
    <e v="#N/A"/>
    <x v="0"/>
    <s v="-"/>
    <s v="Ürün İş Listesi"/>
    <n v="3"/>
  </r>
  <r>
    <s v="Story"/>
    <s v="MU-69"/>
    <x v="1"/>
    <s v="e-İmza ile Giriş Özelliğinin Sağlanması "/>
    <x v="9"/>
    <e v="#N/A"/>
    <x v="0"/>
    <s v="-"/>
    <s v="Ürün İş Listesi"/>
    <m/>
  </r>
  <r>
    <s v="Story"/>
    <s v="MU-68"/>
    <x v="0"/>
    <s v="Mobil İmza ile Giriş Özelliğinin Sağlanması"/>
    <x v="9"/>
    <s v="To Do"/>
    <x v="0"/>
    <s v="-"/>
    <s v="Ürün İş Listesi"/>
    <m/>
  </r>
  <r>
    <s v="Story"/>
    <s v="KEP-289"/>
    <x v="0"/>
    <s v="Webmail Giriş Seçeneğinden Bağımsız Olarak KEP İleti Gönderiminde İstenilen İmzalama Yönetiminin Kullanılması"/>
    <x v="7"/>
    <e v="#N/A"/>
    <x v="0"/>
    <s v="-"/>
    <s v="Ürün İş Listesi"/>
    <m/>
  </r>
  <r>
    <s v="Story"/>
    <s v="EFT-2191"/>
    <x v="0"/>
    <s v="&quot;e-ARŞİV FATURA&quot; Düzenlenme Kontrolü"/>
    <x v="4"/>
    <e v="#N/A"/>
    <x v="0"/>
    <s v="-"/>
    <s v="Ürün İş Listesi"/>
    <m/>
  </r>
  <r>
    <s v="Story"/>
    <s v="EFT-2190"/>
    <x v="0"/>
    <s v="&quot;TEKNOLOJİ DESTEK FATURA TİPİ&quot; Senaryo Kontrolü"/>
    <x v="4"/>
    <e v="#N/A"/>
    <x v="0"/>
    <s v="-"/>
    <s v="Ürün İş Listesi"/>
    <m/>
  </r>
  <r>
    <s v="Story"/>
    <s v="EFT-2189"/>
    <x v="0"/>
    <s v=" &quot;ŞARJ ANLIK FATURA TİPİ&quot; Senaryo Kontrolü"/>
    <x v="4"/>
    <e v="#N/A"/>
    <x v="0"/>
    <s v="-"/>
    <s v="Ürün İş Listesi"/>
    <m/>
  </r>
  <r>
    <s v="Story"/>
    <s v="EFT-2188"/>
    <x v="0"/>
    <s v="&quot;ŞARJ FATURA TİPİ&quot; Senaryo Kontrolü"/>
    <x v="4"/>
    <e v="#N/A"/>
    <x v="0"/>
    <s v="-"/>
    <s v="Ürün İş Listesi"/>
    <m/>
  </r>
  <r>
    <s v="Story"/>
    <s v="EFT-2187"/>
    <x v="0"/>
    <s v="&quot;HAL TİPİ SATIŞ FATURA TİPİ&quot; Senaryo Kontrolü"/>
    <x v="4"/>
    <e v="#N/A"/>
    <x v="0"/>
    <s v="-"/>
    <s v="Ürün İş Listesi"/>
    <m/>
  </r>
  <r>
    <s v="Story"/>
    <s v="EFT-2186"/>
    <x v="0"/>
    <s v="&quot;KONAKLAMA VERGİSİ FATURASI&quot; Senaryo Kontrolü"/>
    <x v="4"/>
    <e v="#N/A"/>
    <x v="0"/>
    <s v="-"/>
    <s v="Ürün İş Listesi"/>
    <m/>
  </r>
  <r>
    <s v="Story"/>
    <s v="EFT-2185"/>
    <x v="0"/>
    <s v="&quot;SGK’YA DÜZENLENECEK FATURA TİPİ&quot; Senaryo Tipi"/>
    <x v="4"/>
    <e v="#N/A"/>
    <x v="0"/>
    <s v="-"/>
    <s v="Ürün İş Listesi"/>
    <m/>
  </r>
  <r>
    <s v="Story"/>
    <s v="EFT-2184"/>
    <x v="0"/>
    <s v=" &quot;İHRAÇ KAYITLI FATURA TİPİ&quot; Senaryo Kontrolü"/>
    <x v="4"/>
    <e v="#N/A"/>
    <x v="0"/>
    <s v="-"/>
    <s v="Ürün İş Listesi"/>
    <m/>
  </r>
  <r>
    <s v="Story"/>
    <s v="EFT-2183"/>
    <x v="0"/>
    <s v="&quot;ÖZEL MATRAHLI FATURA TİPİ&quot; Senaryo Kontrolü"/>
    <x v="4"/>
    <e v="#N/A"/>
    <x v="0"/>
    <s v="-"/>
    <s v="Ürün İş Listesi"/>
    <m/>
  </r>
  <r>
    <s v="Story"/>
    <s v="EFT-2182"/>
    <x v="0"/>
    <s v="&quot;İSTİSNA FATURA TİPİ&quot; Senaryo Kontrolü"/>
    <x v="4"/>
    <e v="#N/A"/>
    <x v="0"/>
    <s v="-"/>
    <s v="Ürün İş Listesi"/>
    <m/>
  </r>
  <r>
    <s v="Story"/>
    <s v="EFT-2181"/>
    <x v="0"/>
    <s v="&quot;TEVKİFATLI İADE FATURA TİPİ&quot; Senaryo Kontrolü"/>
    <x v="4"/>
    <e v="#N/A"/>
    <x v="0"/>
    <s v="-"/>
    <s v="Ürün İş Listesi"/>
    <m/>
  </r>
  <r>
    <s v="Story"/>
    <s v="EFT-2180"/>
    <x v="0"/>
    <s v="&quot;TEVKİFAT FATURA TİPİ&quot; Senaryo Kontrolü"/>
    <x v="4"/>
    <e v="#N/A"/>
    <x v="0"/>
    <s v="-"/>
    <s v="Ürün İş Listesi"/>
    <m/>
  </r>
  <r>
    <s v="Story"/>
    <s v="EFT-2179"/>
    <x v="0"/>
    <s v="&quot;İADE FATURA TİPİ&quot; Senaryo Kontrolü"/>
    <x v="4"/>
    <e v="#N/A"/>
    <x v="0"/>
    <s v="-"/>
    <s v="Ürün İş Listesi"/>
    <m/>
  </r>
  <r>
    <s v="Story"/>
    <s v="EFT-2178"/>
    <x v="1"/>
    <s v="“İLAC_TIBBİCİHAZ” Senaryo Kontrolü"/>
    <x v="4"/>
    <e v="#N/A"/>
    <x v="0"/>
    <s v="-"/>
    <s v="Ürün İş Listesi"/>
    <n v="1"/>
  </r>
  <r>
    <s v="Story"/>
    <s v="EFT-2177"/>
    <x v="1"/>
    <s v="“HAL TİPİ FATURA (HKS)” Senaryo Kontrolü"/>
    <x v="4"/>
    <e v="#N/A"/>
    <x v="0"/>
    <s v="-"/>
    <s v="Ürün İş Listesi"/>
    <n v="1"/>
  </r>
  <r>
    <s v="Story"/>
    <s v="EFT-2176"/>
    <x v="1"/>
    <s v="“KAMU”  Senaryo Kontrolü"/>
    <x v="4"/>
    <e v="#N/A"/>
    <x v="0"/>
    <s v="-"/>
    <s v="Ürün İş Listesi"/>
    <n v="1"/>
  </r>
  <r>
    <s v="Story"/>
    <s v="EFT-2175"/>
    <x v="1"/>
    <s v="“IHRACAT” Senaryo Kontrolü"/>
    <x v="4"/>
    <e v="#N/A"/>
    <x v="0"/>
    <s v="-"/>
    <s v="Ürün İş Listesi"/>
    <n v="1"/>
  </r>
  <r>
    <s v="Story"/>
    <s v="EDF-765"/>
    <x v="2"/>
    <s v="Şematron Kontrolünde Kalan Defterin Aktarım Başarılı Durumuna Çekilmesi"/>
    <x v="3"/>
    <e v="#N/A"/>
    <x v="0"/>
    <s v="-"/>
    <s v="Ürün İş Listesi"/>
    <m/>
  </r>
  <r>
    <s v="Story"/>
    <s v="WIK-686"/>
    <x v="0"/>
    <s v="Bir Çalışan İçin Birden Fazla Sayfa İçeren PDF Yüklendiğinde Tümünün Tek İleti İle Gönderilebilmesi"/>
    <x v="16"/>
    <e v="#N/A"/>
    <x v="0"/>
    <s v="-"/>
    <s v="Ürün İş Listesi"/>
    <m/>
  </r>
  <r>
    <s v="Story"/>
    <s v="WIK-685"/>
    <x v="1"/>
    <s v="Özlük Belgeleri Yüklemeyi Tamamlayan Kişinin Sonuç Ekranına Yönlendirilmesi"/>
    <x v="16"/>
    <e v="#N/A"/>
    <x v="0"/>
    <s v="-"/>
    <s v="Ürün İş Listesi"/>
    <n v="1"/>
  </r>
  <r>
    <s v="Bug"/>
    <s v="WIK-581"/>
    <x v="1"/>
    <s v="Çalışanlar modülünde başarısız duyuru gönderim gösterimi"/>
    <x v="16"/>
    <e v="#N/A"/>
    <x v="0"/>
    <s v="-"/>
    <s v="Ürün İş Listesi"/>
    <m/>
  </r>
  <r>
    <s v="Story"/>
    <s v="WIK-533"/>
    <x v="1"/>
    <s v="CRM servis metotları reponse body düzenlemesi"/>
    <x v="16"/>
    <e v="#N/A"/>
    <x v="0"/>
    <s v="-"/>
    <s v="Ürün İş Listesi"/>
    <m/>
  </r>
  <r>
    <s v="Bug"/>
    <s v="WIK-524"/>
    <x v="1"/>
    <s v="İmzalamada çıkan progress bar yazısı"/>
    <x v="16"/>
    <e v="#N/A"/>
    <x v="0"/>
    <s v="-"/>
    <s v="Ürün İş Listesi"/>
    <m/>
  </r>
  <r>
    <s v="Story"/>
    <s v="WIK-513"/>
    <x v="1"/>
    <s v="İK gönderim dönemlerinin yüklenmesi konusunda iyileştirme çalışması"/>
    <x v="16"/>
    <e v="#N/A"/>
    <x v="0"/>
    <s v="-"/>
    <s v="Ürün İş Listesi"/>
    <m/>
  </r>
  <r>
    <s v="Story"/>
    <s v="WIK-510"/>
    <x v="1"/>
    <s v="CRM metotları için yeni servis geliştirmesi "/>
    <x v="16"/>
    <e v="#N/A"/>
    <x v="0"/>
    <s v="-"/>
    <s v="Ürün İş Listesi"/>
    <m/>
  </r>
  <r>
    <s v="Story"/>
    <s v="WIK-507"/>
    <x v="1"/>
    <s v="Onay/Ret modül düzenlemesi"/>
    <x v="16"/>
    <e v="#N/A"/>
    <x v="0"/>
    <s v="-"/>
    <s v="Ürün İş Listesi"/>
    <m/>
  </r>
  <r>
    <s v="Story"/>
    <s v="UKDS-160"/>
    <x v="1"/>
    <s v="UKDS Süreçlerinde BTK Onayında Bekleyen Kaydın İptal Edilebilmesi"/>
    <x v="15"/>
    <e v="#N/A"/>
    <x v="0"/>
    <s v="-"/>
    <s v="Ürün İş Listesi"/>
    <n v="5"/>
  </r>
  <r>
    <s v="Story"/>
    <s v="UKDS-159"/>
    <x v="1"/>
    <s v="E posta Domain Değişikliği"/>
    <x v="15"/>
    <e v="#N/A"/>
    <x v="0"/>
    <s v="-"/>
    <s v="Ürün İş Listesi"/>
    <m/>
  </r>
  <r>
    <s v="Story"/>
    <s v="UKDS-120"/>
    <x v="1"/>
    <s v="Çalışan listesindeki pasif çalışanın &quot;Çalışan Ekle&quot; modülü uyarı popup geliştirmesi"/>
    <x v="15"/>
    <e v="#N/A"/>
    <x v="0"/>
    <s v="-"/>
    <s v="Ürün İş Listesi"/>
    <m/>
  </r>
  <r>
    <s v="Story"/>
    <s v="UKDS-118"/>
    <x v="1"/>
    <s v="Raporlama servisi için KEP İK başvurularında kep adresi bilgisinin de tutulması"/>
    <x v="15"/>
    <e v="#N/A"/>
    <x v="0"/>
    <s v="-"/>
    <s v="Ürün İş Listesi"/>
    <m/>
  </r>
  <r>
    <s v="Story"/>
    <s v="UKDS-57"/>
    <x v="1"/>
    <s v="Mobil tarayıcı pop-up düzenlemesi"/>
    <x v="15"/>
    <e v="#N/A"/>
    <x v="0"/>
    <s v="-"/>
    <s v="Ürün İş Listesi"/>
    <m/>
  </r>
  <r>
    <s v="Story"/>
    <s v="UKDS-54"/>
    <x v="1"/>
    <s v="Mobil uygulama üzerinden erişim için uuid bilgisi listeleme metot geliştirmesi"/>
    <x v="15"/>
    <e v="#N/A"/>
    <x v="0"/>
    <s v="-"/>
    <s v="Ürün İş Listesi"/>
    <m/>
  </r>
  <r>
    <s v="Story"/>
    <s v="UKDS-50"/>
    <x v="1"/>
    <s v="Pazarlama biriminden talep edilen ön yüz tasarımı için geliştirmeler"/>
    <x v="15"/>
    <e v="#N/A"/>
    <x v="0"/>
    <s v="-"/>
    <s v="Ürün İş Listesi"/>
    <m/>
  </r>
  <r>
    <s v="Story"/>
    <s v="UKDS-49"/>
    <x v="1"/>
    <s v="İletişim bilgileri ekranı düzenlemesi"/>
    <x v="15"/>
    <e v="#N/A"/>
    <x v="0"/>
    <s v="-"/>
    <s v="Ürün İş Listesi"/>
    <m/>
  </r>
  <r>
    <s v="Story"/>
    <s v="UEP-13"/>
    <x v="1"/>
    <s v="UEP - Bitiş tarihinin PTT response bodysinden alınması"/>
    <x v="14"/>
    <e v="#N/A"/>
    <x v="0"/>
    <s v="-"/>
    <s v="Ürün İş Listesi"/>
    <m/>
  </r>
  <r>
    <s v="Story"/>
    <s v="UEP-11"/>
    <x v="1"/>
    <s v="UEP - Türkkep logosunun güncellenmesi"/>
    <x v="14"/>
    <e v="#N/A"/>
    <x v="0"/>
    <s v="-"/>
    <s v="Ürün İş Listesi"/>
    <m/>
  </r>
  <r>
    <s v="Story"/>
    <s v="UEP-9"/>
    <x v="1"/>
    <s v="UEP - Yenileme yapılmayan hesaplar için kontrol geliştirmesi"/>
    <x v="14"/>
    <e v="#N/A"/>
    <x v="0"/>
    <s v="-"/>
    <s v="Ürün İş Listesi"/>
    <m/>
  </r>
  <r>
    <s v="Story"/>
    <s v="UEP-5"/>
    <x v="1"/>
    <s v="UEP - Alıcı Referans bilgisinin kaydedilmesi"/>
    <x v="14"/>
    <e v="#N/A"/>
    <x v="0"/>
    <s v="-"/>
    <s v="Ürün İş Listesi"/>
    <m/>
  </r>
  <r>
    <s v="Story"/>
    <s v="UEP-4"/>
    <x v="1"/>
    <s v="UEP - Jenkins'in UETS Portal entegresi"/>
    <x v="14"/>
    <e v="#N/A"/>
    <x v="0"/>
    <s v="-"/>
    <s v="Ürün İş Listesi"/>
    <m/>
  </r>
  <r>
    <s v="Story"/>
    <s v="UEP-3"/>
    <x v="1"/>
    <s v="UEP - UETS API Anahtarı Yenileme Geliştirmesi"/>
    <x v="14"/>
    <e v="#N/A"/>
    <x v="0"/>
    <s v="-"/>
    <s v="Ürün İş Listesi"/>
    <m/>
  </r>
  <r>
    <s v="Story"/>
    <s v="UEP-2"/>
    <x v="1"/>
    <s v="UEP - UETS başvuru portal önyüz geliştirmesi"/>
    <x v="14"/>
    <e v="#N/A"/>
    <x v="0"/>
    <s v="-"/>
    <s v="Ürün İş Listesi"/>
    <m/>
  </r>
  <r>
    <s v="Story"/>
    <s v="UEP-1"/>
    <x v="1"/>
    <s v="UEP - UETS başvuru portal servis geliştirmesi"/>
    <x v="14"/>
    <e v="#N/A"/>
    <x v="0"/>
    <s v="-"/>
    <s v="Ürün İş Listesi"/>
    <m/>
  </r>
  <r>
    <s v="Story"/>
    <s v="TIM-448"/>
    <x v="1"/>
    <s v="E posta Domain Değişikliği"/>
    <x v="13"/>
    <e v="#N/A"/>
    <x v="0"/>
    <s v="-"/>
    <s v="Ürün İş Listesi"/>
    <m/>
  </r>
  <r>
    <s v="Bug"/>
    <s v="MU-75"/>
    <x v="1"/>
    <s v="Teslim edilemeyen iletinin giden iletiye ait delil detayında teslim edildi olarak görünmesi"/>
    <x v="9"/>
    <e v="#N/A"/>
    <x v="0"/>
    <s v="-"/>
    <s v="Ürün İş Listesi"/>
    <n v="3"/>
  </r>
  <r>
    <s v="Bug"/>
    <s v="MU-74"/>
    <x v="1"/>
    <s v="Bildirim Servisi Hata Düzenlemeleri"/>
    <x v="9"/>
    <e v="#N/A"/>
    <x v="0"/>
    <s v="-"/>
    <s v="Ürün İş Listesi"/>
    <n v="3"/>
  </r>
  <r>
    <s v="Bug"/>
    <s v="MU-71"/>
    <x v="1"/>
    <s v="Bildirimler Ekranı Düzenlemeleri"/>
    <x v="9"/>
    <e v="#N/A"/>
    <x v="0"/>
    <s v="-"/>
    <s v="Ürün İş Listesi"/>
    <n v="3"/>
  </r>
  <r>
    <s v="Story"/>
    <s v="KEP-295"/>
    <x v="0"/>
    <s v="Görme Yetkisinin Düzenlenmesi"/>
    <x v="7"/>
    <e v="#N/A"/>
    <x v="0"/>
    <s v="-"/>
    <s v="Ürün İş Listesi"/>
    <m/>
  </r>
  <r>
    <s v="Story"/>
    <s v="KEP-294"/>
    <x v="1"/>
    <s v="Rehber Servis Güncellemesi"/>
    <x v="7"/>
    <e v="#N/A"/>
    <x v="0"/>
    <s v="-"/>
    <s v="Ürün İş Listesi"/>
    <m/>
  </r>
  <r>
    <s v="Story"/>
    <s v="KEP-293"/>
    <x v="0"/>
    <s v="Rehber Sorgulamalarında Kuyruk/Sorgu Çoklama"/>
    <x v="7"/>
    <e v="#N/A"/>
    <x v="0"/>
    <s v="-"/>
    <s v="Ürün İş Listesi"/>
    <m/>
  </r>
  <r>
    <s v="Story"/>
    <s v="KEP-292"/>
    <x v="1"/>
    <s v="UETS bildirimlerinin logunun tutulması ve log kayıtlarının kolay erişilebilir yapıda tutulması"/>
    <x v="7"/>
    <e v="#N/A"/>
    <x v="0"/>
    <s v="-"/>
    <s v="Ürün İş Listesi"/>
    <m/>
  </r>
  <r>
    <s v="Story"/>
    <s v="KEP-291"/>
    <x v="1"/>
    <s v="IMAP Sunucu Değişikliği "/>
    <x v="7"/>
    <e v="#N/A"/>
    <x v="0"/>
    <s v="-"/>
    <s v="Ürün İş Listesi"/>
    <m/>
  </r>
  <r>
    <s v="Story"/>
    <s v="KEP-290"/>
    <x v="0"/>
    <s v="Webmail Posta Kutuları Altında Klasör Oluşturulabilmesi"/>
    <x v="7"/>
    <e v="#N/A"/>
    <x v="0"/>
    <s v="-"/>
    <s v="Ürün İş Listesi"/>
    <m/>
  </r>
  <r>
    <s v="Bug"/>
    <s v="IEU-213"/>
    <x v="1"/>
    <s v="Crg Service 404 not found hatası - test ortamı"/>
    <x v="17"/>
    <e v="#N/A"/>
    <x v="0"/>
    <s v="-"/>
    <s v="Ürün İş Listesi"/>
    <n v="3"/>
  </r>
  <r>
    <s v="Story"/>
    <s v="IEU-143"/>
    <x v="1"/>
    <s v="Güvenlik Bulguları Hk."/>
    <x v="17"/>
    <e v="#N/A"/>
    <x v="0"/>
    <s v="-"/>
    <s v="Ürün İş Listesi"/>
    <m/>
  </r>
  <r>
    <s v="Story"/>
    <s v="IEU-141"/>
    <x v="1"/>
    <s v="MKR Modülü için kota tanımlamaları"/>
    <x v="17"/>
    <e v="#N/A"/>
    <x v="0"/>
    <s v="-"/>
    <s v="Ürün İş Listesi"/>
    <m/>
  </r>
  <r>
    <s v="Story"/>
    <s v="EFT-2199"/>
    <x v="1"/>
    <s v="Nihai Tüketici Kontrolü "/>
    <x v="4"/>
    <e v="#N/A"/>
    <x v="0"/>
    <s v="-"/>
    <s v="Ürün İş Listesi"/>
    <n v="2"/>
  </r>
  <r>
    <s v="Bug"/>
    <s v="EFT-2198"/>
    <x v="1"/>
    <s v="Portal/ SGK Tipi Faturalarda &quot;Aracı Kurum&quot; Alanının Kaldırılması"/>
    <x v="4"/>
    <e v="#N/A"/>
    <x v="0"/>
    <s v="-"/>
    <s v="Ürün İş Listesi"/>
    <n v="1"/>
  </r>
  <r>
    <s v="Story"/>
    <s v="EDF-767"/>
    <x v="1"/>
    <s v="Muvakatname İşlemleri"/>
    <x v="3"/>
    <e v="#N/A"/>
    <x v="0"/>
    <s v="-"/>
    <s v="Ürün İş Listesi"/>
    <n v="5"/>
  </r>
  <r>
    <s v="Story"/>
    <s v="DS-12"/>
    <x v="1"/>
    <s v="DETSİS - İsimle kurum arama zorunlu karakter sayısı değişikliği"/>
    <x v="2"/>
    <e v="#N/A"/>
    <x v="0"/>
    <s v="-"/>
    <s v="Ürün İş Listesi"/>
    <m/>
  </r>
  <r>
    <s v="Story"/>
    <s v="DS-11"/>
    <x v="1"/>
    <s v="DETSİS - KEP Asistan uygulaması için kullanıcı tanımlanması"/>
    <x v="2"/>
    <e v="#N/A"/>
    <x v="0"/>
    <s v="-"/>
    <s v="Ürün İş Listesi"/>
    <m/>
  </r>
  <r>
    <s v="Story"/>
    <s v="DS-9"/>
    <x v="1"/>
    <s v="DETSİS - Detsis test servis erişim ayarlamaları"/>
    <x v="2"/>
    <e v="#N/A"/>
    <x v="0"/>
    <s v="-"/>
    <s v="Ürün İş Listesi"/>
    <m/>
  </r>
  <r>
    <s v="Story"/>
    <s v="DS-8"/>
    <x v="1"/>
    <s v="DETSİS servis - KEP Assist erişim tanımlaması"/>
    <x v="2"/>
    <e v="#N/A"/>
    <x v="0"/>
    <s v="-"/>
    <s v="Ürün İş Listesi"/>
    <m/>
  </r>
  <r>
    <s v="Story"/>
    <s v="DS-7"/>
    <x v="1"/>
    <s v="DETSİS - Servis domain adı tanımlanması"/>
    <x v="2"/>
    <e v="#N/A"/>
    <x v="0"/>
    <s v="-"/>
    <s v="Ürün İş Listesi"/>
    <m/>
  </r>
  <r>
    <s v="Story"/>
    <s v="DS-4"/>
    <x v="1"/>
    <s v="DETSİS servis projesinin düzenlenmesi ve canlıya aktarımı"/>
    <x v="2"/>
    <e v="#N/A"/>
    <x v="0"/>
    <s v="-"/>
    <s v="Ürün İş Listesi"/>
    <m/>
  </r>
  <r>
    <s v="Story"/>
    <s v="DS-3"/>
    <x v="1"/>
    <s v="DETSİS - Rest Servis Geliştirilmesi"/>
    <x v="2"/>
    <e v="#N/A"/>
    <x v="0"/>
    <s v="-"/>
    <s v="Ürün İş Listesi"/>
    <m/>
  </r>
  <r>
    <s v="Story"/>
    <s v="DS-2"/>
    <x v="1"/>
    <s v="DETSİS - Veri Tabanının Oluşturulması"/>
    <x v="2"/>
    <e v="#N/A"/>
    <x v="0"/>
    <s v="-"/>
    <s v="Ürün İş Listesi"/>
    <m/>
  </r>
  <r>
    <s v="Story"/>
    <s v="DAVS-31"/>
    <x v="1"/>
    <s v="Yazılım Alt Yapının Hazırlanması"/>
    <x v="18"/>
    <e v="#N/A"/>
    <x v="0"/>
    <s v="-"/>
    <s v="Ürün İş Listesi"/>
    <m/>
  </r>
  <r>
    <s v="Story"/>
    <s v="DAVS-30"/>
    <x v="1"/>
    <s v="Yazılım Geliştirme Ortamının Belirlenmesi"/>
    <x v="18"/>
    <e v="#N/A"/>
    <x v="0"/>
    <s v="-"/>
    <s v="Ürün İş Listesi"/>
    <m/>
  </r>
  <r>
    <s v="Story"/>
    <s v="DAVS-29"/>
    <x v="1"/>
    <s v="Yazılım Alt Yapısının Belirlenmesi"/>
    <x v="18"/>
    <e v="#N/A"/>
    <x v="0"/>
    <s v="-"/>
    <s v="Ürün İş Listesi"/>
    <m/>
  </r>
  <r>
    <s v="Story"/>
    <s v="DAVS-28"/>
    <x v="1"/>
    <s v="Kullanıcı Arayüz Tasarımın Oluşturulması"/>
    <x v="18"/>
    <e v="#N/A"/>
    <x v="0"/>
    <s v="-"/>
    <s v="Ürün İş Listesi"/>
    <m/>
  </r>
  <r>
    <s v="Story"/>
    <s v="DAVS-27"/>
    <x v="1"/>
    <s v="Webservis Tasarımın Oluşturulması"/>
    <x v="18"/>
    <e v="#N/A"/>
    <x v="0"/>
    <s v="-"/>
    <s v="Ürün İş Listesi"/>
    <m/>
  </r>
  <r>
    <s v="Story"/>
    <s v="DAVS-26"/>
    <x v="1"/>
    <s v="Veritabanı Tasarımın Oluşturulması"/>
    <x v="18"/>
    <e v="#N/A"/>
    <x v="0"/>
    <s v="-"/>
    <s v="Ürün İş Listesi"/>
    <m/>
  </r>
  <r>
    <s v="Story"/>
    <s v="DAVS-25"/>
    <x v="1"/>
    <s v="Mimari Tasarımın Oluşturulması"/>
    <x v="18"/>
    <e v="#N/A"/>
    <x v="0"/>
    <s v="-"/>
    <s v="Ürün İş Listesi"/>
    <m/>
  </r>
  <r>
    <s v="Story"/>
    <s v="CRM-639"/>
    <x v="5"/>
    <s v="KEP İK Kullanıcı Yönetim Modülü Entegrasyonu"/>
    <x v="0"/>
    <s v="In Test"/>
    <x v="1"/>
    <s v="Gelecek Sprint"/>
    <s v="Devam Eden ve Gelecek Sprint"/>
    <n v="5"/>
  </r>
  <r>
    <s v="Story"/>
    <s v="CRM-638"/>
    <x v="1"/>
    <s v="Entegrasyon üzerinden gelen başvuruların statü güncellenmesi"/>
    <x v="0"/>
    <e v="#N/A"/>
    <x v="0"/>
    <s v="-"/>
    <s v="Ürün İş Listesi"/>
    <n v="3"/>
  </r>
  <r>
    <s v="Story"/>
    <s v="CRM-637"/>
    <x v="6"/>
    <s v="Entegrasyon servisinden KEP hesap başvurusunun iptal edilmesi"/>
    <x v="0"/>
    <e v="#N/A"/>
    <x v="0"/>
    <s v="-"/>
    <s v="Ürün İş Listesi"/>
    <n v="3"/>
  </r>
  <r>
    <s v="Story"/>
    <s v="CRM-636"/>
    <x v="6"/>
    <s v="KEP İK Özlük Modülü CRM Entegrasyonu"/>
    <x v="0"/>
    <e v="#N/A"/>
    <x v="0"/>
    <s v="-"/>
    <s v="Ürün İş Listesi"/>
    <n v="5"/>
  </r>
  <r>
    <s v="Story"/>
    <s v="CRM-633"/>
    <x v="1"/>
    <s v="E-Ödeme için Tutar alanının güncellenmesi"/>
    <x v="0"/>
    <e v="#N/A"/>
    <x v="0"/>
    <s v="-"/>
    <s v="Ürün İş Listesi"/>
    <n v="2"/>
  </r>
  <r>
    <s v="Bug"/>
    <s v="CRM-632"/>
    <x v="1"/>
    <s v="Sipariş detayında aktif temsilci bilgisi gelmemesi"/>
    <x v="0"/>
    <e v="#N/A"/>
    <x v="0"/>
    <s v="-"/>
    <s v="Ürün İş Listesi"/>
    <n v="1"/>
  </r>
  <r>
    <s v="Story"/>
    <s v="IEU-218"/>
    <x v="1"/>
    <s v="HSM ile İmzalama Metotlarında Slot Bilgisinin Parametre Olarak Eklenmesi  "/>
    <x v="5"/>
    <e v="#N/A"/>
    <x v="0"/>
    <s v="-"/>
    <s v="Ürün İş Listesi"/>
    <n v="5"/>
  </r>
  <r>
    <s v="Story"/>
    <s v="IEU-217"/>
    <x v="1"/>
    <s v="HSM Üzerinde Tanımlı Olan Sertifikaları Listeleyen token Metodu Geliştirmesi"/>
    <x v="5"/>
    <e v="#N/A"/>
    <x v="0"/>
    <s v="-"/>
    <s v="Ürün İş Listesi"/>
    <n v="3"/>
  </r>
  <r>
    <s v="Story"/>
    <s v="MYS-776"/>
    <x v="1"/>
    <s v="Güncelleme Paketi Hazırlanması"/>
    <x v="12"/>
    <e v="#N/A"/>
    <x v="0"/>
    <s v="-"/>
    <s v="Ürün İş Listesi"/>
    <n v="2"/>
  </r>
  <r>
    <s v="Story"/>
    <s v="MU-101"/>
    <x v="1"/>
    <s v="KEP İmzalama Adımında Telefon Numarası Girişinin Pratik Hale Getirilmesi"/>
    <x v="9"/>
    <e v="#N/A"/>
    <x v="0"/>
    <s v="-"/>
    <s v="Ürün İş Listesi"/>
    <n v="5"/>
  </r>
  <r>
    <s v="Story"/>
    <s v="MU-100"/>
    <x v="0"/>
    <s v="Giden Kutusunda “Teslim Edilemedi” ve “Reddedildi” Delil Türleri İçin Sebep Açıklaması Gösterimi"/>
    <x v="9"/>
    <s v="To Do"/>
    <x v="0"/>
    <s v="Gelecek Sprint"/>
    <s v="Gelecek Sprint"/>
    <m/>
  </r>
  <r>
    <s v="Story"/>
    <s v="MU-99"/>
    <x v="1"/>
    <s v="Posta Kutularında Kaydırma Konumunu Gösteren Scroll Çubuğu Eklenmesi"/>
    <x v="9"/>
    <e v="#N/A"/>
    <x v="0"/>
    <s v="-"/>
    <s v="Ürün İş Listesi"/>
    <n v="3"/>
  </r>
  <r>
    <s v="Story"/>
    <s v="MU-98"/>
    <x v="1"/>
    <s v="Uygulama Genelindeki Diyalog (Pop-up) Tasarımlarının Modernize Edilmesi"/>
    <x v="9"/>
    <e v="#N/A"/>
    <x v="0"/>
    <s v="-"/>
    <s v="Ürün İş Listesi"/>
    <n v="5"/>
  </r>
  <r>
    <s v="Story"/>
    <s v="MU-97"/>
    <x v="1"/>
    <s v="Login Ekranında KEP Adresi Listeleme Alanının Modernize Edilmesi"/>
    <x v="9"/>
    <e v="#N/A"/>
    <x v="0"/>
    <s v="-"/>
    <s v="Ürün İş Listesi"/>
    <n v="3"/>
  </r>
  <r>
    <s v="Story"/>
    <s v="MU-96"/>
    <x v="1"/>
    <s v="Ek Dosya Açılış Sürecinde Kullanıcıya Yönelik Geri Bildirim Eksikliği"/>
    <x v="9"/>
    <e v="#N/A"/>
    <x v="0"/>
    <s v="-"/>
    <s v="Ürün İş Listesi"/>
    <n v="3"/>
  </r>
  <r>
    <s v="Story"/>
    <s v="MU-95"/>
    <x v="0"/>
    <s v="Yüksek Boyutlu İletilerinin Açılma Süresinin İyileştirilmesi"/>
    <x v="9"/>
    <s v="To Do"/>
    <x v="0"/>
    <s v="-"/>
    <s v="Ürün İş Listesi"/>
    <n v="5"/>
  </r>
  <r>
    <s v="Bug"/>
    <s v="MU-94"/>
    <x v="1"/>
    <s v="rem-address-is-active metodunda sender Parametresinin Tutarsız Değer Döndürmesi "/>
    <x v="9"/>
    <e v="#N/A"/>
    <x v="0"/>
    <s v="-"/>
    <s v="Ürün İş Listesi"/>
    <n v="3"/>
  </r>
  <r>
    <s v="Bug"/>
    <s v="MU-93"/>
    <x v="1"/>
    <s v="Biometrik Doğrulama ile Giriş Süresinin Artması (v2.0.15 (1) Paketi)"/>
    <x v="9"/>
    <e v="#N/A"/>
    <x v="0"/>
    <s v="-"/>
    <s v="Ürün İş Listesi"/>
    <n v="3"/>
  </r>
  <r>
    <s v="Bug"/>
    <s v="MU-92"/>
    <x v="1"/>
    <s v="Manuel Açılan Posta Kutularının Görüntülenme ve İsimlendirme Sorunu"/>
    <x v="9"/>
    <e v="#N/A"/>
    <x v="0"/>
    <s v="-"/>
    <s v="Ürün İş Listesi"/>
    <n v="3"/>
  </r>
  <r>
    <s v="Bug"/>
    <s v="MU-91"/>
    <x v="1"/>
    <s v="Uyarı Diyaloglarındaki Yönlendirme Hatalarının Düzenlenmesi"/>
    <x v="9"/>
    <e v="#N/A"/>
    <x v="0"/>
    <s v="-"/>
    <s v="Ürün İş Listesi"/>
    <n v="2"/>
  </r>
  <r>
    <s v="Bug"/>
    <s v="MU-90"/>
    <x v="1"/>
    <s v="Hatalı Geçici Parola Girişi Durumunda Yanıltıcı Uyarı Mesajı Gösterimi"/>
    <x v="9"/>
    <e v="#N/A"/>
    <x v="0"/>
    <s v="-"/>
    <s v="Ürün İş Listesi"/>
    <n v="1"/>
  </r>
  <r>
    <s v="Story"/>
    <s v="MU-89"/>
    <x v="0"/>
    <s v="Merkezi KEP Rehberi Sorgulamasının Yapılması"/>
    <x v="9"/>
    <s v="To Do"/>
    <x v="0"/>
    <s v="Gelecek Sprint"/>
    <s v="Gelecek Sprint"/>
    <m/>
  </r>
  <r>
    <s v="Bug"/>
    <s v="MU-88"/>
    <x v="1"/>
    <s v="Alt Menüdeki 'Gelen Kutusu' ve 'Giden Kutusu' Butonlarına Çoklu Tıklama Sorunu"/>
    <x v="9"/>
    <e v="#N/A"/>
    <x v="0"/>
    <s v="-"/>
    <s v="Ürün İş Listesi"/>
    <n v="2"/>
  </r>
  <r>
    <s v="Bug"/>
    <s v="MU-87"/>
    <x v="1"/>
    <s v="Posta Kutusu Görüntüleme Sonrası Liste Konumunun Korunması"/>
    <x v="9"/>
    <e v="#N/A"/>
    <x v="0"/>
    <s v="-"/>
    <s v="Ürün İş Listesi"/>
    <n v="3"/>
  </r>
  <r>
    <s v="Story"/>
    <s v="MU-86"/>
    <x v="0"/>
    <s v="Webmail Adres Defterinin Mobil Uygulamada Eşzamanlı Kullanılması"/>
    <x v="9"/>
    <s v="To Do"/>
    <x v="0"/>
    <s v="-"/>
    <s v="Ürün İş Listesi"/>
    <m/>
  </r>
  <r>
    <s v="Story"/>
    <s v="MU-85"/>
    <x v="0"/>
    <s v="Posta Kutularındaki İletiler İçin &quot;Yanıtla&quot;, &quot;İlet&quot; ve &quot;Sil&quot; İşlevlerinin Sağlanması "/>
    <x v="9"/>
    <e v="#N/A"/>
    <x v="0"/>
    <s v="-"/>
    <s v="Ürün İş Listesi"/>
    <m/>
  </r>
  <r>
    <s v="Bug"/>
    <s v="MU-84"/>
    <x v="1"/>
    <s v="Hatalı TCKN veya Şifre Girişinde Kullanıcı Uyarısının Güncellenmesi"/>
    <x v="9"/>
    <e v="#N/A"/>
    <x v="0"/>
    <s v="-"/>
    <s v="Ürün İş Listesi"/>
    <n v="1"/>
  </r>
  <r>
    <s v="Bug"/>
    <s v="MU-83"/>
    <x v="1"/>
    <s v="KEP Gönderim Ekranında İletinin Gönderimi Sırasında Paket İçeriğine Müdahalenin Engellenmesi"/>
    <x v="9"/>
    <e v="#N/A"/>
    <x v="0"/>
    <s v="-"/>
    <s v="Ürün İş Listesi"/>
    <n v="3"/>
  </r>
  <r>
    <s v="Bug"/>
    <s v="MU-82"/>
    <x v="1"/>
    <s v="KEP Başvuru Girişi Sonrası Ana Sayfaya Dönüş Sorununun Giderilmesi"/>
    <x v="9"/>
    <e v="#N/A"/>
    <x v="0"/>
    <s v="-"/>
    <s v="Ürün İş Listesi"/>
    <n v="1"/>
  </r>
  <r>
    <s v="Story"/>
    <s v="MU-81"/>
    <x v="1"/>
    <s v="KEP İletisi Gönderim Ekranında Alıcı Adresi Doğrulama Kontrolü"/>
    <x v="9"/>
    <e v="#N/A"/>
    <x v="0"/>
    <s v="-"/>
    <s v="Ürün İş Listesi"/>
    <n v="3"/>
  </r>
  <r>
    <s v="Bug"/>
    <s v="MU-80"/>
    <x v="1"/>
    <s v="İleti Arama Filtreleme Arayüzü Düzenlemesi"/>
    <x v="9"/>
    <e v="#N/A"/>
    <x v="0"/>
    <s v="-"/>
    <s v="Ürün İş Listesi"/>
    <n v="5"/>
  </r>
  <r>
    <s v="Bug"/>
    <s v="MU-78"/>
    <x v="1"/>
    <s v="Şifre sıfırlama sonrası giriş ekranında etkileşim problemi"/>
    <x v="9"/>
    <e v="#N/A"/>
    <x v="0"/>
    <s v="-"/>
    <s v="Ürün İş Listesi"/>
    <n v="3"/>
  </r>
  <r>
    <s v="Bug"/>
    <s v="MU-77"/>
    <x v="1"/>
    <s v="Canlı ve Test Ortamında Ulaşılamayan Mobil Servislerin Erişilebilirliğinin Sağlanması"/>
    <x v="9"/>
    <e v="#N/A"/>
    <x v="0"/>
    <s v="-"/>
    <s v="Ürün İş Listesi"/>
    <m/>
  </r>
  <r>
    <s v="Bug"/>
    <s v="MU-76"/>
    <x v="1"/>
    <s v="Giden Kutusundan Görüntülenen Mesajlarda 'Geri' Tuşunun Yanlış Ekrana Yönlendirmesi"/>
    <x v="9"/>
    <e v="#N/A"/>
    <x v="0"/>
    <s v="-"/>
    <s v="Ürün İş Listesi"/>
    <m/>
  </r>
  <r>
    <s v="Bug"/>
    <s v="MU-73"/>
    <x v="1"/>
    <s v="Posta Kutuları Tasarımsal Düzenleme Hk."/>
    <x v="9"/>
    <e v="#N/A"/>
    <x v="0"/>
    <s v="-"/>
    <s v="Ürün İş Listesi"/>
    <m/>
  </r>
  <r>
    <s v="Story"/>
    <s v="KEP-299"/>
    <x v="1"/>
    <s v="/ws/evidencelistbyorigmsgid Metodunda Tarih Bilgisinin Dönülmesi"/>
    <x v="7"/>
    <e v="#N/A"/>
    <x v="0"/>
    <s v="-"/>
    <s v="Ürün İş Listesi"/>
    <m/>
  </r>
  <r>
    <s v="Story"/>
    <s v="KEP-298"/>
    <x v="1"/>
    <s v="Hesapta Tanımlı Olandan Farklı Bir Telefon Numarası ile Mobil İmzalama Yapılabilmesi "/>
    <x v="7"/>
    <e v="#N/A"/>
    <x v="0"/>
    <s v="-"/>
    <s v="Ürün İş Listesi"/>
    <m/>
  </r>
  <r>
    <s v="Story"/>
    <s v="KEP-296"/>
    <x v="0"/>
    <s v="MKR Sorgusunda Bulunamayan KEP Adresleri için Anlaşılır Uyarı Gösterilmesi"/>
    <x v="7"/>
    <e v="#N/A"/>
    <x v="0"/>
    <s v="-"/>
    <s v="Ürün İş Listesi"/>
    <m/>
  </r>
  <r>
    <s v="Story"/>
    <s v="DAVS-35"/>
    <x v="0"/>
    <s v="Sisteme Giriş Loglarının Tutulması"/>
    <x v="18"/>
    <s v="To Do"/>
    <x v="0"/>
    <s v="-"/>
    <s v="Ürün İş Listesi"/>
    <m/>
  </r>
  <r>
    <s v="Story"/>
    <s v="DAVS-34"/>
    <x v="1"/>
    <s v="Alternatif Giriş Yöntemleri/ Elektronik İmza "/>
    <x v="18"/>
    <e v="#N/A"/>
    <x v="0"/>
    <s v="-"/>
    <s v="Ürün İş Listesi"/>
    <m/>
  </r>
  <r>
    <s v="Story"/>
    <s v="DAVS-33"/>
    <x v="0"/>
    <s v="Alternatif Giriş Yöntemleri/Mobil İmza"/>
    <x v="18"/>
    <s v="To Do"/>
    <x v="0"/>
    <s v="-"/>
    <s v="Ürün İş Listesi"/>
    <m/>
  </r>
  <r>
    <s v="Story"/>
    <s v="DAVS-32"/>
    <x v="1"/>
    <s v="Kullanıcıların e-Posta/ TCKN ve Parola Bilgisi ile Portala Giriş Yapabilmesi."/>
    <x v="18"/>
    <e v="#N/A"/>
    <x v="0"/>
    <s v="-"/>
    <s v="Ürün İş Listesi"/>
    <m/>
  </r>
  <r>
    <s v="Story"/>
    <s v="CRM-642"/>
    <x v="1"/>
    <s v="Entegrasyon Suit trafik bilgilerinin kaydedilmesi"/>
    <x v="0"/>
    <e v="#N/A"/>
    <x v="0"/>
    <s v="-"/>
    <s v="Ürün İş Listesi"/>
    <n v="3"/>
  </r>
  <r>
    <s v="Story"/>
    <s v="EFT-2208"/>
    <x v="1"/>
    <s v="SAP - Gelen İrsaliyeleri İndir (UUID) Metodunun Sağlanması"/>
    <x v="4"/>
    <e v="#N/A"/>
    <x v="0"/>
    <s v="-"/>
    <s v="Ürün İş Listesi"/>
    <n v="2"/>
  </r>
  <r>
    <s v="Story"/>
    <s v="EFT-2207"/>
    <x v="1"/>
    <s v="SAP - Gelen İrsaliyeleri İndir (ZIP UBL) Metodunun Sağlanması"/>
    <x v="4"/>
    <e v="#N/A"/>
    <x v="0"/>
    <s v="-"/>
    <s v="Ürün İş Listesi"/>
    <n v="2"/>
  </r>
  <r>
    <s v="Story"/>
    <s v="EFT-2206"/>
    <x v="1"/>
    <s v="SAP - Gelen İrsaliyeleri Listeleyen Metot Sağlanması"/>
    <x v="4"/>
    <e v="#N/A"/>
    <x v="0"/>
    <s v="-"/>
    <s v="Ürün İş Listesi"/>
    <n v="2"/>
  </r>
  <r>
    <s v="Story"/>
    <s v="CRM-649"/>
    <x v="6"/>
    <s v="E-Fatura ve E-Arşiv Ürünleri Trafik Bilgileri Detay Görünüm"/>
    <x v="0"/>
    <s v="TO TEST"/>
    <x v="1"/>
    <s v="Gelecek Sprint"/>
    <s v="Devam Eden ve Gelecek Sprint"/>
    <n v="3"/>
  </r>
  <r>
    <s v="Story"/>
    <s v="CRM-650"/>
    <x v="1"/>
    <s v="Tevkifatlı Fatura Sınırı Güncelleme"/>
    <x v="0"/>
    <e v="#N/A"/>
    <x v="0"/>
    <s v="-"/>
    <s v="Ürün İş Listesi"/>
    <n v="1"/>
  </r>
  <r>
    <s v="Bug"/>
    <s v="WIK-689"/>
    <x v="1"/>
    <s v="Özlük Belgeleri KVKK Aydınlatma Metinin İçerisinde Ünvanın Sayfa İçerisine Sığmaması"/>
    <x v="16"/>
    <e v="#N/A"/>
    <x v="0"/>
    <s v="-"/>
    <s v="Ürün İş Listesi"/>
    <n v="2"/>
  </r>
  <r>
    <s v="Bug"/>
    <s v="MU-105"/>
    <x v="1"/>
    <s v="Mobil Uygulamada Cihaz Ekran Boyutlarına Göre Görsel Oran Uyumsuzluklarının Düzenlenmesi"/>
    <x v="9"/>
    <e v="#N/A"/>
    <x v="0"/>
    <s v="-"/>
    <s v="Ürün İş Listesi"/>
    <n v="5"/>
  </r>
  <r>
    <s v="Bug"/>
    <s v="MU-104"/>
    <x v="1"/>
    <s v="Kurumsal Ön Başvuru Belge Yükleme Alanında Dosya Format Kontrolü ve Galeri Erişimi"/>
    <x v="9"/>
    <e v="#N/A"/>
    <x v="0"/>
    <s v="-"/>
    <s v="Ürün İş Listesi"/>
    <n v="5"/>
  </r>
  <r>
    <s v="Bug"/>
    <s v="MU-103"/>
    <x v="1"/>
    <s v="Kurumsal Ön Başvuru Belge Yükleme Alanında Yüklenen Belgelerin Anlık Görüntülenmemesi"/>
    <x v="9"/>
    <e v="#N/A"/>
    <x v="0"/>
    <s v="-"/>
    <s v="Ürün İş Listesi"/>
    <n v="3"/>
  </r>
  <r>
    <s v="Bug"/>
    <s v="MU-102"/>
    <x v="1"/>
    <s v="Ön Başvuru Onaylama Sayfasında Tekrarlı Gönderimlerin Engellenmesi"/>
    <x v="9"/>
    <e v="#N/A"/>
    <x v="0"/>
    <s v="-"/>
    <s v="Ürün İş Listesi"/>
    <n v="3"/>
  </r>
  <r>
    <s v="Bug"/>
    <s v="KW-8"/>
    <x v="1"/>
    <s v="rem-address-is-active Metodunda &quot;hesapDurum&quot; Değerinin Düzeltilmesi"/>
    <x v="8"/>
    <e v="#N/A"/>
    <x v="0"/>
    <s v="-"/>
    <s v="Ürün İş Listesi"/>
    <n v="3"/>
  </r>
  <r>
    <s v="Bug"/>
    <s v="TIM-450"/>
    <x v="1"/>
    <s v="Onaylama Adımından Sonra Karekod Doğrulama Kodunun Gelmemesi"/>
    <x v="13"/>
    <e v="#N/A"/>
    <x v="0"/>
    <s v="-"/>
    <s v="Ürün İş Listesi"/>
    <n v="3"/>
  </r>
  <r>
    <s v="Bug"/>
    <s v="MU-108"/>
    <x v="1"/>
    <s v="Okunmamış İletilerin Okundu Olarak İşaretlenmesi Gerçek Zamanlı Güncellenmiyor"/>
    <x v="9"/>
    <s v="Done"/>
    <x v="0"/>
    <s v="-"/>
    <s v="Ürün İş Listesi"/>
    <n v="3"/>
  </r>
  <r>
    <s v="Bug"/>
    <s v="MU-107"/>
    <x v="1"/>
    <s v="Login İşleminde API 500 Hatası Alındığında Anlaşılır Hata Bildirimi Gösterilmiyor"/>
    <x v="9"/>
    <e v="#N/A"/>
    <x v="0"/>
    <s v="-"/>
    <s v="Ürün İş Listesi"/>
    <n v="2"/>
  </r>
  <r>
    <s v="Bug"/>
    <s v="KA-1514"/>
    <x v="1"/>
    <s v="Taslaklardan EYP eki silerken alınan hata"/>
    <x v="6"/>
    <e v="#N/A"/>
    <x v="0"/>
    <s v="-"/>
    <s v="Ürün İş Listesi"/>
    <n v="3"/>
  </r>
  <r>
    <s v="Story"/>
    <s v="EFT-2213"/>
    <x v="1"/>
    <s v="e-İrsaliye SAP Metotları Test Sürecini Kolaylaştıran Uygulamanın Yazılması"/>
    <x v="4"/>
    <e v="#N/A"/>
    <x v="0"/>
    <s v="-"/>
    <s v="Ürün İş Listesi"/>
    <n v="3"/>
  </r>
  <r>
    <s v="Story"/>
    <s v="EFT-2205"/>
    <x v="1"/>
    <s v="İlaç Tıbbi Cihaz Teslimlerine İlişkin Fatura Teknik Kılavuzu 1.2 Sürümü Değişiklikleri "/>
    <x v="4"/>
    <e v="#N/A"/>
    <x v="0"/>
    <s v="-"/>
    <s v="Ürün İş Listesi"/>
    <n v="1"/>
  </r>
  <r>
    <s v="Story"/>
    <s v="EDF-771"/>
    <x v="1"/>
    <s v="Ayyıldız İmza Şematron Sorunu Çözüm Araştırması"/>
    <x v="3"/>
    <e v="#N/A"/>
    <x v="0"/>
    <s v="-"/>
    <s v="Ürün İş Listesi"/>
    <n v="2"/>
  </r>
  <r>
    <s v="Story"/>
    <s v="DAVS-47"/>
    <x v="1"/>
    <s v="&quot;Giden e-İrsaliye Faturalar&quot;ın Listelenmesi"/>
    <x v="18"/>
    <e v="#N/A"/>
    <x v="0"/>
    <s v="-"/>
    <s v="Ürün İş Listesi"/>
    <m/>
  </r>
  <r>
    <s v="Story"/>
    <s v="DAVS-46"/>
    <x v="1"/>
    <s v="&quot;Gelen e-İrsaliye Faturalar&quot;ın Listelenmesi"/>
    <x v="18"/>
    <e v="#N/A"/>
    <x v="0"/>
    <s v="-"/>
    <s v="Ürün İş Listesi"/>
    <m/>
  </r>
  <r>
    <s v="Story"/>
    <s v="DAVS-45"/>
    <x v="1"/>
    <s v="&quot;Gönderilen e-Arşiv Faturaların&quot; Listelenmesi."/>
    <x v="18"/>
    <e v="#N/A"/>
    <x v="0"/>
    <s v="-"/>
    <s v="Ürün İş Listesi"/>
    <m/>
  </r>
  <r>
    <s v="Story"/>
    <s v="DAVS-44"/>
    <x v="1"/>
    <s v="Fatura Uygulamasından Gelen, Giden ve E-arşiv Faturaların Saklama Uygulamasına Aktarılması için Entegrasyon Servisi Geliştirilmesi"/>
    <x v="18"/>
    <e v="#N/A"/>
    <x v="0"/>
    <s v="-"/>
    <s v="Ürün İş Listesi"/>
    <m/>
  </r>
  <r>
    <s v="Story"/>
    <s v="DAVS-43"/>
    <x v="1"/>
    <s v="&quot;Giden Faturalar” ların Listelenmesi"/>
    <x v="18"/>
    <e v="#N/A"/>
    <x v="0"/>
    <s v="-"/>
    <s v="Ürün İş Listesi"/>
    <m/>
  </r>
  <r>
    <s v="Story"/>
    <s v="DAVS-42"/>
    <x v="1"/>
    <s v="&quot;Gelen Faturalar” ların Listelenmesi"/>
    <x v="18"/>
    <e v="#N/A"/>
    <x v="0"/>
    <s v="-"/>
    <s v="Ürün İş Listesi"/>
    <m/>
  </r>
  <r>
    <s v="Story"/>
    <s v="DAVS-41"/>
    <x v="0"/>
    <s v="Gelişmiş Filtreleme Alanlarının Eklenmesi"/>
    <x v="18"/>
    <s v="To Do"/>
    <x v="0"/>
    <s v="-"/>
    <s v="Ürün İş Listesi"/>
    <m/>
  </r>
  <r>
    <s v="Story"/>
    <s v="DAVS-40"/>
    <x v="1"/>
    <s v="KEP Uygulamasından Verilerin Alınarak Saklama Uygulamasına Aktarılması için Entegrasyon Servisi Geliştirilmesi"/>
    <x v="18"/>
    <e v="#N/A"/>
    <x v="0"/>
    <s v="-"/>
    <s v="Ürün İş Listesi"/>
    <m/>
  </r>
  <r>
    <s v="Story"/>
    <s v="DAVS-39"/>
    <x v="1"/>
    <s v="Birden Fazla KEP Hesabı Olan Kullanıcının Hesap Seçimi Yapabilmesi ve İlk Adımda Seçim Zorunluluğu"/>
    <x v="18"/>
    <e v="#N/A"/>
    <x v="0"/>
    <s v="-"/>
    <s v="Ürün İş Listesi"/>
    <m/>
  </r>
  <r>
    <s v="Story"/>
    <s v="DAVS-38"/>
    <x v="1"/>
    <s v="&quot;Delil&quot;lerin Listelenmesi"/>
    <x v="18"/>
    <e v="#N/A"/>
    <x v="0"/>
    <s v="-"/>
    <s v="Ürün İş Listesi"/>
    <m/>
  </r>
  <r>
    <s v="Story"/>
    <s v="DAVS-37"/>
    <x v="1"/>
    <s v="&quot;Giden İletiler&quot;in Listelenmesi"/>
    <x v="18"/>
    <e v="#N/A"/>
    <x v="0"/>
    <s v="-"/>
    <s v="Ürün İş Listesi"/>
    <m/>
  </r>
  <r>
    <s v="Story"/>
    <s v="DAVS-36"/>
    <x v="1"/>
    <s v="&quot;Gelen İletiler&quot;in Listelenmesi "/>
    <x v="18"/>
    <e v="#N/A"/>
    <x v="0"/>
    <s v="-"/>
    <s v="Ürün İş Listesi"/>
    <m/>
  </r>
  <r>
    <s v="Story"/>
    <s v="CRM-654"/>
    <x v="1"/>
    <s v="E-Defter Uygulamasına Organizasyon ID ve Periyod Bilgisi Gönderimi"/>
    <x v="0"/>
    <e v="#N/A"/>
    <x v="0"/>
    <s v="-"/>
    <s v="Ürün İş Listesi"/>
    <n v="3"/>
  </r>
  <r>
    <s v="Story"/>
    <s v="CRM-653"/>
    <x v="1"/>
    <s v="E-Belge Ürünleri için Açılan Görev Kayıtlarının Düzenlenmesi"/>
    <x v="0"/>
    <e v="#N/A"/>
    <x v="0"/>
    <s v="-"/>
    <s v="Ürün İş Listesi"/>
    <n v="3"/>
  </r>
  <r>
    <s v="Bug"/>
    <s v="MYS-779"/>
    <x v="1"/>
    <s v="Basılı İletilerde Açıklama Alanında Karakter Sınırı Aşıldığında Uygun Uyarı Mesajı Gösterilmemesi"/>
    <x v="12"/>
    <e v="#N/A"/>
    <x v="0"/>
    <s v="-"/>
    <s v="Ürün İş Listesi"/>
    <n v="2"/>
  </r>
  <r>
    <s v="Bug"/>
    <s v="MU-114"/>
    <x v="1"/>
    <s v="Ön Başvuru Geri Dönüş Akışında 'Doğrulama Kodu Gönder' Butonu Pasif Kalıyor"/>
    <x v="9"/>
    <e v="#N/A"/>
    <x v="0"/>
    <s v="-"/>
    <s v="Ürün İş Listesi"/>
    <n v="2"/>
  </r>
  <r>
    <s v="Bug"/>
    <s v="MU-113"/>
    <x v="1"/>
    <s v="Ön başvuru Onay Giriş İşleminde API 500 Hatası Alındığında Anlaşılır Hata Bildirimi Gösterilmiyor"/>
    <x v="9"/>
    <e v="#N/A"/>
    <x v="0"/>
    <s v="-"/>
    <s v="Ürün İş Listesi"/>
    <n v="2"/>
  </r>
  <r>
    <s v="Bug"/>
    <s v="MU-112"/>
    <x v="1"/>
    <s v="Kep İletisi Gönderiminde Parmak İzi Numarasının Kullanıcı Arayüzünde Görüntülenmemesi"/>
    <x v="9"/>
    <e v="#N/A"/>
    <x v="0"/>
    <s v="-"/>
    <s v="Ürün İş Listesi"/>
    <n v="2"/>
  </r>
  <r>
    <s v="Story"/>
    <s v="MU-111"/>
    <x v="1"/>
    <s v="Android Target SDK Versiyonunun 35'e Güncellenmesi"/>
    <x v="9"/>
    <e v="#N/A"/>
    <x v="0"/>
    <s v="-"/>
    <s v="Ürün İş Listesi"/>
    <n v="8"/>
  </r>
  <r>
    <s v="Story"/>
    <s v="IEU-229"/>
    <x v="1"/>
    <s v="Yük Testi Süreçlerinin Gözden Geçirilmesi "/>
    <x v="5"/>
    <e v="#N/A"/>
    <x v="0"/>
    <s v="-"/>
    <s v="Ürün İş Listesi"/>
    <n v="3"/>
  </r>
  <r>
    <s v="Story"/>
    <s v="IEU-228"/>
    <x v="1"/>
    <s v=" Entegrasyon Suit Servisleri İçin Müşteriye Sunulabilir Standart Metot Dokümanının Oluşturulması"/>
    <x v="5"/>
    <e v="#N/A"/>
    <x v="0"/>
    <s v="-"/>
    <s v="Ürün İş Listesi"/>
    <n v="3"/>
  </r>
  <r>
    <s v="Story"/>
    <s v="IEU-227"/>
    <x v="1"/>
    <s v="Araştırma-  api/v1/sign/multi Metodunun Lisans ve Access Token Kontrolleri Açısından İncelenmesi"/>
    <x v="5"/>
    <e v="#N/A"/>
    <x v="0"/>
    <s v="-"/>
    <s v="Ürün İş Listesi"/>
    <n v="3"/>
  </r>
  <r>
    <s v="Story"/>
    <s v="CRM-655"/>
    <x v="1"/>
    <s v="E-İrsaliye Ürünü Maliyet Raporu Güncellenmesi"/>
    <x v="0"/>
    <e v="#N/A"/>
    <x v="0"/>
    <s v="-"/>
    <s v="Ürün İş Listesi"/>
    <n v="1"/>
  </r>
  <r>
    <s v="Story"/>
    <s v="CRM-656"/>
    <x v="1"/>
    <s v="Sözleşmeler Modülünde Trafik Bilgileri Alanı Gönderi Bilgisi Getir Butonu"/>
    <x v="0"/>
    <e v="#N/A"/>
    <x v="0"/>
    <s v="-"/>
    <s v="Ürün İş Listesi"/>
    <n v="1"/>
  </r>
  <r>
    <s v="Story"/>
    <s v="CRM-657"/>
    <x v="1"/>
    <s v="SuggestKEP Metoduna Parametre Eklenmesi"/>
    <x v="0"/>
    <e v="#N/A"/>
    <x v="0"/>
    <s v="-"/>
    <s v="Ürün İş Listesi"/>
    <n v="1"/>
  </r>
  <r>
    <s v="Story"/>
    <s v="CRM-658"/>
    <x v="1"/>
    <s v="İptal Durumdaki KEP Adresinin Tekrar Aktif Edilmesi"/>
    <x v="0"/>
    <e v="#N/A"/>
    <x v="0"/>
    <s v="-"/>
    <s v="Ürün İş Listesi"/>
    <n v="5"/>
  </r>
  <r>
    <s v="Bug"/>
    <s v="EFT-2215"/>
    <x v="1"/>
    <s v="Default İrsaliye Tasarımının Yeni Dinamik Kalem Destekli Şablon ile Güncellenmesi"/>
    <x v="4"/>
    <e v="#N/A"/>
    <x v="0"/>
    <s v="-"/>
    <s v="Ürün İş Listesi"/>
    <n v="5"/>
  </r>
  <r>
    <s v="Bug"/>
    <s v="EFT-2214"/>
    <x v="1"/>
    <s v="Yolcu Beraber Fatura Senaryosunda KDV Alanının Açılması ve Vergi Muafiyet Kodunun Düzenlenmesi"/>
    <x v="4"/>
    <e v="#N/A"/>
    <x v="0"/>
    <s v="-"/>
    <s v="Ürün İş Listesi"/>
    <n v="2"/>
  </r>
  <r>
    <s v="Story"/>
    <s v="WIK-692"/>
    <x v="1"/>
    <s v="Araştırma- Bir Çalışan İçin Birden Fazla Sayfa İçeren PDF Yüklendiğinde Tümünün Tek İleti İle Gönderilebilmesi"/>
    <x v="16"/>
    <e v="#N/A"/>
    <x v="0"/>
    <s v="-"/>
    <s v="Ürün İş Listesi"/>
    <n v="2"/>
  </r>
  <r>
    <s v="Story"/>
    <s v="WIK-693"/>
    <x v="1"/>
    <s v="Özlük Belgesi Yükleme Mailin Domain İsim Değişikliği"/>
    <x v="16"/>
    <e v="#N/A"/>
    <x v="0"/>
    <s v="-"/>
    <s v="Ürün İş Listesi"/>
    <n v="2"/>
  </r>
  <r>
    <s v="Bug"/>
    <s v="MU-117"/>
    <x v="1"/>
    <s v="KEP Ön Başvuru Giriş Uyarı Mesajlarının Tasarıma Uygun Hale Getirilmesi"/>
    <x v="9"/>
    <e v="#N/A"/>
    <x v="0"/>
    <s v="-"/>
    <s v="Ürün İş Listesi"/>
    <n v="2"/>
  </r>
  <r>
    <s v="Story"/>
    <s v="MU-116"/>
    <x v="1"/>
    <s v="Bildirim Servisinin İncelenmesi ve Sistem Dokumantasyonu Hazırlanması"/>
    <x v="9"/>
    <e v="#N/A"/>
    <x v="0"/>
    <s v="-"/>
    <s v="Ürün İş Listesi"/>
    <n v="5"/>
  </r>
  <r>
    <s v="Bug"/>
    <s v="MU-109"/>
    <x v="1"/>
    <s v="Drawer Menü Tasarımı ve Kullanılabilirliği Düzenleme"/>
    <x v="9"/>
    <e v="#N/A"/>
    <x v="0"/>
    <s v="-"/>
    <s v="Ürün İş Listesi"/>
    <n v="3"/>
  </r>
  <r>
    <s v="Bug"/>
    <s v="IEU-233"/>
    <x v="1"/>
    <s v="tkiletisimbilgisi Parametresinin Swagger Sayfasında Hatalı İsimlendirilmesi"/>
    <x v="5"/>
    <e v="#N/A"/>
    <x v="0"/>
    <s v="-"/>
    <s v="Ürün İş Listesi"/>
    <n v="2"/>
  </r>
  <r>
    <s v="Story"/>
    <s v="CRM-663"/>
    <x v="1"/>
    <s v="E-Defter Uygulamasına Tüm Organizasyon ID ve Periyod Bilgisi Gönderimi"/>
    <x v="0"/>
    <e v="#N/A"/>
    <x v="0"/>
    <s v="-"/>
    <s v="Ürün İş Listesi"/>
    <n v="5"/>
  </r>
  <r>
    <s v="Story"/>
    <s v="WIK-696"/>
    <x v="1"/>
    <s v="Test Robot Ortamının Kurulması"/>
    <x v="16"/>
    <e v="#N/A"/>
    <x v="0"/>
    <s v="-"/>
    <s v="Ürün İş Listesi"/>
    <n v="3"/>
  </r>
  <r>
    <s v="Story"/>
    <s v="TIM-451"/>
    <x v="1"/>
    <s v="Türkkep İmza- Zaman Damgası Değişikliği"/>
    <x v="13"/>
    <e v="#N/A"/>
    <x v="0"/>
    <s v="-"/>
    <s v="Ürün İş Listesi"/>
    <n v="1"/>
  </r>
  <r>
    <s v="Bug"/>
    <s v="MYS-785"/>
    <x v="1"/>
    <s v="Toplu İşlemler Menüsünün Türkçeleştirilmesi"/>
    <x v="12"/>
    <e v="#N/A"/>
    <x v="0"/>
    <s v="-"/>
    <s v="Ürün İş Listesi"/>
    <n v="1"/>
  </r>
  <r>
    <s v="Story"/>
    <s v="MYS-782"/>
    <x v="1"/>
    <s v="KEP ve UETS Servislerinden Gelen İletilerde Takvimleme Mekanizması"/>
    <x v="12"/>
    <e v="#N/A"/>
    <x v="0"/>
    <s v="-"/>
    <s v="Ürün İş Listesi"/>
    <n v="5"/>
  </r>
  <r>
    <s v="Story"/>
    <s v="MU-120"/>
    <x v="1"/>
    <s v="Dil Seçim Menüsü için Animasyonlu Tasarım"/>
    <x v="9"/>
    <e v="#N/A"/>
    <x v="0"/>
    <s v="-"/>
    <s v="Ürün İş Listesi"/>
    <n v="1"/>
  </r>
  <r>
    <s v="Story"/>
    <s v="MU-119"/>
    <x v="1"/>
    <s v="Boş Posta Kutusu Durumu için Tasarım Değişikliği"/>
    <x v="9"/>
    <e v="#N/A"/>
    <x v="0"/>
    <s v="-"/>
    <s v="Ürün İş Listesi"/>
    <n v="2"/>
  </r>
  <r>
    <s v="Story"/>
    <s v="KA-1517"/>
    <x v="1"/>
    <s v="Gelen Kutusu ve Görevlerim Ekranlarına Toplu EYP/EML İndirme Butonu Eklenmesi"/>
    <x v="6"/>
    <e v="#N/A"/>
    <x v="0"/>
    <s v="-"/>
    <s v="Ürün İş Listesi"/>
    <n v="3"/>
  </r>
  <r>
    <s v="Story"/>
    <s v="CRM-661"/>
    <x v="1"/>
    <s v="Üst Yönetim Raporu - KEP İleti Sayılarının Detaylı Kırılımı"/>
    <x v="0"/>
    <e v="#N/A"/>
    <x v="0"/>
    <s v="-"/>
    <s v="Ürün İş Listesi"/>
    <n v="5"/>
  </r>
  <r>
    <s v="Story"/>
    <s v="CRM-662"/>
    <x v="1"/>
    <s v="Sözleşmeler - Trafik Bilgileri Ekranı Güncelleme"/>
    <x v="0"/>
    <e v="#N/A"/>
    <x v="0"/>
    <s v="-"/>
    <s v="Ürün İş Listesi"/>
    <n v="1"/>
  </r>
  <r>
    <s v="Story"/>
    <s v="CRM-664"/>
    <x v="1"/>
    <s v="E-Belge Başarısız Aktivasyon Raporunun İlgili Kişilere İletilmesi"/>
    <x v="0"/>
    <e v="#N/A"/>
    <x v="0"/>
    <s v="-"/>
    <s v="Ürün İş Listesi"/>
    <n v="2"/>
  </r>
  <r>
    <s v="Story"/>
    <s v="WIK-699"/>
    <x v="1"/>
    <s v="Duyuru Modülündeki Uyarı Metninin Güncellenmesi ve Tasarım Düzenlemesi"/>
    <x v="16"/>
    <e v="#N/A"/>
    <x v="0"/>
    <s v="-"/>
    <s v="Ürün İş Listesi"/>
    <n v="1"/>
  </r>
  <r>
    <s v="Story"/>
    <s v="WIK-697"/>
    <x v="1"/>
    <s v="Tüm &quot;Eminim&quot; Butonlarının &quot;Evet&quot; Olarak Güncellenmesi"/>
    <x v="16"/>
    <e v="#N/A"/>
    <x v="0"/>
    <s v="-"/>
    <s v="Ürün İş Listesi"/>
    <n v="1"/>
  </r>
  <r>
    <s v="Story"/>
    <s v="WIK-698"/>
    <x v="1"/>
    <s v="PIN Girişi Eksikliği ve E-İmza Bloke Durumunda Gösterilen Uyarı Mesajlarının Düzenlenmesi"/>
    <x v="16"/>
    <e v="#N/A"/>
    <x v="0"/>
    <s v="-"/>
    <s v="Ürün İş Listesi"/>
    <n v="1"/>
  </r>
  <r>
    <s v="Story"/>
    <s v="WIK-703"/>
    <x v="1"/>
    <s v="Birden Fazla TCKN Kontrolü Yapılması"/>
    <x v="16"/>
    <e v="#N/A"/>
    <x v="0"/>
    <s v="-"/>
    <s v="Ürün İş Listesi"/>
    <n v="3"/>
  </r>
  <r>
    <s v="Story"/>
    <s v="WIK-702"/>
    <x v="1"/>
    <s v="Yüklenen PDF te Sayfa Sayısı Kontrolü"/>
    <x v="16"/>
    <e v="#N/A"/>
    <x v="0"/>
    <s v="-"/>
    <s v="Ürün İş Listesi"/>
    <n v="2"/>
  </r>
  <r>
    <s v="Story"/>
    <s v="UKDS-163"/>
    <x v="1"/>
    <s v="Araştırma- UKDS Toplu Excel Alma İşlemleri için Kuyruk/Asenkron Yapı Önerisi"/>
    <x v="15"/>
    <e v="#N/A"/>
    <x v="0"/>
    <s v="-"/>
    <s v="Ürün İş Listesi"/>
    <n v="3"/>
  </r>
  <r>
    <s v="Story"/>
    <s v="WIK-704"/>
    <x v="1"/>
    <s v="Dosya Okunması ve Eşleştirilmesi"/>
    <x v="16"/>
    <e v="#N/A"/>
    <x v="0"/>
    <s v="-"/>
    <s v="Ürün İş Listesi"/>
    <n v="5"/>
  </r>
  <r>
    <s v="Story"/>
    <s v="WIK-701"/>
    <x v="1"/>
    <s v="Yükleme Ekranı Geliştirmesi"/>
    <x v="16"/>
    <e v="#N/A"/>
    <x v="0"/>
    <s v="-"/>
    <s v="Ürün İş Listesi"/>
    <n v="3"/>
  </r>
  <r>
    <s v="Story"/>
    <s v="WIK-700"/>
    <x v="0"/>
    <s v="Araştırma- DB Partitioning İşleminin Teknik Değerlendirilmesi"/>
    <x v="16"/>
    <e v="#N/A"/>
    <x v="0"/>
    <s v="-"/>
    <s v="Ürün İş Listesi"/>
    <m/>
  </r>
  <r>
    <s v="Bug"/>
    <s v="TIM-452"/>
    <x v="1"/>
    <s v="Mobil İmzalama Adımında Türkçe Karakterli Kullanıcı Adı Sorunu Hk"/>
    <x v="13"/>
    <e v="#N/A"/>
    <x v="0"/>
    <s v="-"/>
    <s v="Ürün İş Listesi"/>
    <m/>
  </r>
  <r>
    <s v="Story"/>
    <s v="MU-110"/>
    <x v="1"/>
    <s v="KEP Açılış Ön Başvuru Ekranlarında Tasarımsal ve Kullanılabilirlik Sorunları"/>
    <x v="9"/>
    <e v="#N/A"/>
    <x v="0"/>
    <s v="-"/>
    <s v="Ürün İş Listesi"/>
    <n v="5"/>
  </r>
  <r>
    <s v="Story"/>
    <s v="EFT-2229"/>
    <x v="1"/>
    <s v="SAP WS Kılavuz Hazırlanması"/>
    <x v="4"/>
    <e v="#N/A"/>
    <x v="0"/>
    <s v="-"/>
    <s v="Ürün İş Listesi"/>
    <n v="2"/>
  </r>
  <r>
    <s v="Story"/>
    <s v="EFT-2227"/>
    <x v="1"/>
    <s v="Konnektör Mail Parametrelerinin OTAdmin ile Yönetilmesi"/>
    <x v="4"/>
    <e v="#N/A"/>
    <x v="0"/>
    <s v="-"/>
    <s v="Ürün İş Listesi"/>
    <n v="3"/>
  </r>
  <r>
    <s v="Story"/>
    <s v="EFT-2226"/>
    <x v="1"/>
    <s v="Smartcard Bilgilerinin Tutulduğu Tablodaki Verilerin CRM'e Aktarımı için Metot Hazırlanması"/>
    <x v="4"/>
    <e v="#N/A"/>
    <x v="0"/>
    <s v="-"/>
    <s v="Ürün İş Listesi"/>
    <m/>
  </r>
  <r>
    <s v="Story"/>
    <s v="EFT-2225"/>
    <x v="0"/>
    <s v="SmartCard Bilgilerinin Şifreli (Encrypted) Saklanması"/>
    <x v="4"/>
    <e v="#N/A"/>
    <x v="0"/>
    <s v="-"/>
    <s v="Ürün İş Listesi"/>
    <m/>
  </r>
  <r>
    <s v="Story"/>
    <s v="EFT-2223"/>
    <x v="1"/>
    <s v="9900 TL ve Üzeri Tutarlı Faturalar için Eklenen Kontrollerden TCKN &quot;11111111111&quot; ve Alıcı Adı/Soyadı &quot;Muhtelif Kullancılar&quot; Kontrollerinin Kaldırılması"/>
    <x v="4"/>
    <e v="#N/A"/>
    <x v="0"/>
    <s v="-"/>
    <s v="Ürün İş Listesi"/>
    <n v="1"/>
  </r>
  <r>
    <s v="Story"/>
    <s v="EFT-2218"/>
    <x v="1"/>
    <s v="Nihai Tüketici Kontrol Tutarının 9.900TL ve Üzeri Tutarlı Faturalar İçin Yapılması"/>
    <x v="4"/>
    <e v="#N/A"/>
    <x v="0"/>
    <s v="-"/>
    <s v="Ürün İş Listesi"/>
    <n v="3"/>
  </r>
  <r>
    <s v="Bug"/>
    <s v="EFT-2217"/>
    <x v="1"/>
    <s v="Web Serviste e-Mail Hatalarının Düzelmesi için Regex Kontrolü"/>
    <x v="4"/>
    <e v="#N/A"/>
    <x v="0"/>
    <s v="-"/>
    <s v="Ürün İş Listesi"/>
    <n v="2"/>
  </r>
  <r>
    <s v="Story"/>
    <s v="EFT-2216"/>
    <x v="1"/>
    <s v="Projelerin GITLAB Platformuna Taşınması"/>
    <x v="4"/>
    <e v="#N/A"/>
    <x v="0"/>
    <s v="-"/>
    <s v="Ürün İş Listesi"/>
    <n v="5"/>
  </r>
  <r>
    <s v="Story"/>
    <s v="EDF-773"/>
    <x v="1"/>
    <s v="Araştırma - Tekrar Denemelerde Her Seferinde Aynı Hatayı Alan Parçaların Sistemin Defter İşlemlerini Aksatmasını Engellemesi"/>
    <x v="3"/>
    <e v="#N/A"/>
    <x v="0"/>
    <s v="-"/>
    <s v="Ürün İş Listesi"/>
    <n v="2"/>
  </r>
  <r>
    <s v="Story"/>
    <s v="DAVS-63"/>
    <x v="1"/>
    <s v="Backend Çalışması"/>
    <x v="18"/>
    <e v="#N/A"/>
    <x v="0"/>
    <s v="-"/>
    <s v="Ürün İş Listesi"/>
    <m/>
  </r>
  <r>
    <s v="Story"/>
    <s v="DAVS-62"/>
    <x v="1"/>
    <s v="Arayüz Ön Çalışma"/>
    <x v="18"/>
    <e v="#N/A"/>
    <x v="0"/>
    <s v="-"/>
    <s v="Ürün İş Listesi"/>
    <m/>
  </r>
  <r>
    <s v="Story"/>
    <s v="DAVS-61"/>
    <x v="1"/>
    <s v="Dokümanların Görüntülenmesi"/>
    <x v="18"/>
    <e v="#N/A"/>
    <x v="0"/>
    <s v="-"/>
    <s v="Ürün İş Listesi"/>
    <m/>
  </r>
  <r>
    <s v="Story"/>
    <s v="DAVS-60"/>
    <x v="1"/>
    <s v="Yeni Klasör Oluşturma"/>
    <x v="18"/>
    <e v="#N/A"/>
    <x v="0"/>
    <s v="-"/>
    <s v="Ürün İş Listesi"/>
    <m/>
  </r>
  <r>
    <s v="Story"/>
    <s v="DAVS-59"/>
    <x v="1"/>
    <s v="Yeni Doküman Ekleme"/>
    <x v="18"/>
    <e v="#N/A"/>
    <x v="0"/>
    <s v="-"/>
    <s v="Ürün İş Listesi"/>
    <m/>
  </r>
  <r>
    <s v="Story"/>
    <s v="DAVS-58"/>
    <x v="1"/>
    <s v="Sürükle-bırak Fonksiyonun Sağlanması"/>
    <x v="18"/>
    <e v="#N/A"/>
    <x v="0"/>
    <s v="-"/>
    <s v="Ürün İş Listesi"/>
    <m/>
  </r>
  <r>
    <s v="Story"/>
    <s v="DAVS-57"/>
    <x v="1"/>
    <s v="Klasör ve Dokümanların İndirilmesi"/>
    <x v="18"/>
    <e v="#N/A"/>
    <x v="0"/>
    <s v="-"/>
    <s v="Ürün İş Listesi"/>
    <m/>
  </r>
  <r>
    <s v="Story"/>
    <s v="DAVS-56"/>
    <x v="1"/>
    <s v="Klasör ve Dokümanların Listelenmesi"/>
    <x v="18"/>
    <e v="#N/A"/>
    <x v="0"/>
    <s v="-"/>
    <s v="Ürün İş Listesi"/>
    <m/>
  </r>
  <r>
    <s v="Story"/>
    <s v="DAVS-55"/>
    <x v="1"/>
    <s v="&quot;Giden Faturalar” ların İndirilmesi"/>
    <x v="18"/>
    <e v="#N/A"/>
    <x v="0"/>
    <s v="-"/>
    <s v="Ürün İş Listesi"/>
    <m/>
  </r>
  <r>
    <s v="Story"/>
    <s v="DAVS-54"/>
    <x v="1"/>
    <s v="&quot;Gelen Faturalar” ların İndirilmesi"/>
    <x v="18"/>
    <e v="#N/A"/>
    <x v="0"/>
    <s v="-"/>
    <s v="Ürün İş Listesi"/>
    <m/>
  </r>
  <r>
    <s v="Story"/>
    <s v="DAVS-53"/>
    <x v="1"/>
    <s v="&quot;Gönderilen e-Arşiv Faturaların&quot; İndirilmesi"/>
    <x v="18"/>
    <e v="#N/A"/>
    <x v="0"/>
    <s v="-"/>
    <s v="Ürün İş Listesi"/>
    <m/>
  </r>
  <r>
    <s v="Story"/>
    <s v="DAVS-52"/>
    <x v="1"/>
    <s v="&quot;Giden e-İrsaliye Faturalar&quot;ın İndirilmesi"/>
    <x v="18"/>
    <e v="#N/A"/>
    <x v="0"/>
    <s v="-"/>
    <s v="Ürün İş Listesi"/>
    <m/>
  </r>
  <r>
    <s v="Story"/>
    <s v="DAVS-51"/>
    <x v="1"/>
    <s v="&quot;Gelen e-İrsaliye Faturalar&quot;ın  İndirilmesi"/>
    <x v="18"/>
    <e v="#N/A"/>
    <x v="0"/>
    <s v="-"/>
    <s v="Ürün İş Listesi"/>
    <m/>
  </r>
  <r>
    <s v="Story"/>
    <s v="DAVS-50"/>
    <x v="1"/>
    <s v="&quot;Delil&quot;lerin İndirilmesi "/>
    <x v="18"/>
    <e v="#N/A"/>
    <x v="0"/>
    <s v="-"/>
    <s v="Ürün İş Listesi"/>
    <m/>
  </r>
  <r>
    <s v="Story"/>
    <s v="DAVS-49"/>
    <x v="1"/>
    <s v="&quot;Giden İleti&quot;lerin İndirilmesi "/>
    <x v="18"/>
    <e v="#N/A"/>
    <x v="0"/>
    <s v="-"/>
    <s v="Ürün İş Listesi"/>
    <m/>
  </r>
  <r>
    <s v="Story"/>
    <s v="DAVS-48"/>
    <x v="1"/>
    <s v="&quot;Gelen İleti&quot;lerin İndirilmesi"/>
    <x v="18"/>
    <e v="#N/A"/>
    <x v="0"/>
    <s v="-"/>
    <s v="Ürün İş Listesi"/>
    <m/>
  </r>
  <r>
    <s v="Story"/>
    <s v="UKDS-169"/>
    <x v="1"/>
    <s v="Başvuru önyüz geliştirmesi"/>
    <x v="15"/>
    <e v="#N/A"/>
    <x v="0"/>
    <s v="-"/>
    <s v="Ürün İş Listesi"/>
    <n v="3"/>
  </r>
  <r>
    <s v="Story"/>
    <s v="UKDS-170"/>
    <x v="1"/>
    <s v="Başvuru Servislerinin Geliştirmesi"/>
    <x v="15"/>
    <e v="#N/A"/>
    <x v="0"/>
    <s v="-"/>
    <s v="Ürün İş Listesi"/>
    <n v="3"/>
  </r>
  <r>
    <s v="Story"/>
    <s v="IEU-238"/>
    <x v="1"/>
    <s v="UKDS Servislerinin Entegrasyon Suit Üzerinden Sunulması"/>
    <x v="17"/>
    <e v="#N/A"/>
    <x v="0"/>
    <s v="-"/>
    <s v="Ürün İş Listesi"/>
    <n v="3"/>
  </r>
  <r>
    <s v="Story"/>
    <s v="KAN-60"/>
    <x v="1"/>
    <s v="Test Ortamında Domain Geçiş Hazırlıkları ve Geçiş "/>
    <x v="19"/>
    <e v="#N/A"/>
    <x v="0"/>
    <s v="-"/>
    <s v="Ürün İş Listesi"/>
    <n v="3"/>
  </r>
  <r>
    <s v="Story"/>
    <s v="KA-1521"/>
    <x v="1"/>
    <s v="2025-BTA-013 FKM'ne Geçiş Projesi Test Ortamında Domain Geçiş Hazırlıkları ve Geçiş "/>
    <x v="6"/>
    <e v="#N/A"/>
    <x v="0"/>
    <s v="-"/>
    <s v="Ürün İş Listesi"/>
    <n v="3"/>
  </r>
  <r>
    <s v="Story"/>
    <s v="KA-1523"/>
    <x v="1"/>
    <s v="Güncelleme Paketi hazırlanması"/>
    <x v="6"/>
    <e v="#N/A"/>
    <x v="0"/>
    <s v="-"/>
    <s v="Ürün İş Listesi"/>
    <n v="3"/>
  </r>
  <r>
    <s v="Story"/>
    <s v="MU-133"/>
    <x v="1"/>
    <s v="KEP Gönderme Ekranında Geri Tuşu Uyarı Mekanizması"/>
    <x v="9"/>
    <e v="#N/A"/>
    <x v="0"/>
    <s v="-"/>
    <s v="Ürün İş Listesi"/>
    <n v="1"/>
  </r>
  <r>
    <s v="Story"/>
    <s v="MU-132"/>
    <x v="1"/>
    <s v="KEP Gönderme Ekranında Alan Sıralamasının Düzenlenmesi"/>
    <x v="9"/>
    <e v="#N/A"/>
    <x v="0"/>
    <s v="-"/>
    <s v="Ürün İş Listesi"/>
    <n v="1"/>
  </r>
  <r>
    <s v="Bug"/>
    <s v="MU-130"/>
    <x v="1"/>
    <s v="Android Cihazlarda UKDS Kurumsal Başvuruda JPEG Dosya Yükleme Sorunu"/>
    <x v="9"/>
    <e v="#N/A"/>
    <x v="0"/>
    <s v="-"/>
    <s v="Ürün İş Listesi"/>
    <n v="3"/>
  </r>
  <r>
    <s v="Bug"/>
    <s v="MU-129"/>
    <x v="1"/>
    <s v="Android Cihazlarda &quot;Firma Çalışanı Değilim&quot; Seçeneğinde Yönlendirme Sorunu"/>
    <x v="9"/>
    <e v="#N/A"/>
    <x v="0"/>
    <s v="-"/>
    <s v="Ürün İş Listesi"/>
    <n v="3"/>
  </r>
  <r>
    <s v="Story"/>
    <s v="MU-122"/>
    <x v="1"/>
    <s v="Gelen Kutusunda Okunmayan İletilerin Sayısının Gösterilmesi"/>
    <x v="9"/>
    <e v="#N/A"/>
    <x v="0"/>
    <s v="-"/>
    <s v="Ürün İş Listesi"/>
    <n v="3"/>
  </r>
  <r>
    <s v="Story"/>
    <s v="MYS-787"/>
    <x v="1"/>
    <s v="Güncelleme Paketi hazırlanması"/>
    <x v="12"/>
    <e v="#N/A"/>
    <x v="0"/>
    <s v="-"/>
    <s v="Ürün İş Listesi"/>
    <n v="2"/>
  </r>
  <r>
    <s v="Story"/>
    <s v="MYS-788"/>
    <x v="1"/>
    <s v="Takvimleme Methodu Hata Alma Senaryosu"/>
    <x v="12"/>
    <e v="#N/A"/>
    <x v="0"/>
    <s v="-"/>
    <s v="Ürün İş Listesi"/>
    <n v="3"/>
  </r>
  <r>
    <s v="Story"/>
    <s v="MYS-789"/>
    <x v="1"/>
    <s v="Test Ortamında Domain Geçiş Hazırlıkları ve Geçiş "/>
    <x v="12"/>
    <e v="#N/A"/>
    <x v="0"/>
    <s v="-"/>
    <s v="Ürün İş Listesi"/>
    <n v="3"/>
  </r>
  <r>
    <s v="Story"/>
    <s v="CRM-667"/>
    <x v="1"/>
    <s v="KEP İleti Sayıları CRM Sistemine Data Aktarımı"/>
    <x v="0"/>
    <e v="#N/A"/>
    <x v="0"/>
    <s v="-"/>
    <s v="Ürün İş Listesi"/>
    <n v="3"/>
  </r>
  <r>
    <s v="Story"/>
    <s v="CRM-668"/>
    <x v="1"/>
    <s v="İptal Durumdan Aktif Duruma Alınan KEP IK Hesapları Düzenleme"/>
    <x v="0"/>
    <e v="#N/A"/>
    <x v="0"/>
    <s v="-"/>
    <s v="Ürün İş Listesi"/>
    <n v="2"/>
  </r>
  <r>
    <s v="Story"/>
    <s v="CRM-669"/>
    <x v="0"/>
    <s v="İptal Durumdan Aktif Duruma Alınacak KEP IK Hesapları Ek Geliştirme"/>
    <x v="0"/>
    <e v="#N/A"/>
    <x v="0"/>
    <s v="-"/>
    <s v="Ürün İş Listesi"/>
    <n v="3"/>
  </r>
  <r>
    <s v="Story"/>
    <s v="CRM-670"/>
    <x v="1"/>
    <s v="Mersis Sorgulama İçin EndPoint Paylaşımı"/>
    <x v="0"/>
    <e v="#N/A"/>
    <x v="0"/>
    <s v="-"/>
    <s v="Ürün İş Listesi"/>
    <n v="2"/>
  </r>
  <r>
    <s v="Story"/>
    <s v="CRM-671"/>
    <x v="1"/>
    <s v="Mersis Sorgu Sonucu Ek Geliştirme"/>
    <x v="0"/>
    <e v="#N/A"/>
    <x v="0"/>
    <s v="-"/>
    <s v="Ürün İş Listesi"/>
    <n v="2"/>
  </r>
  <r>
    <s v="Story"/>
    <s v="EFT-2241"/>
    <x v="1"/>
    <s v="2025-BTA-013 FKM'ne Geçiş Projesi Test Ortamı Domain Geçiş Hazırlıkları ve Geçiş"/>
    <x v="4"/>
    <e v="#N/A"/>
    <x v="0"/>
    <s v="-"/>
    <s v="Ürün İş Listesi"/>
    <n v="2"/>
  </r>
  <r>
    <s v="Story"/>
    <s v="EFT-2240"/>
    <x v="1"/>
    <s v="ERP Bağımlı Konnektör Metotlarında e-Fatura Oluşturmada Zorunlu Olmayan Yeni Alanların Eklenmesi - Aselsan"/>
    <x v="4"/>
    <e v="#N/A"/>
    <x v="0"/>
    <s v="-"/>
    <s v="Ürün İş Listesi"/>
    <n v="2"/>
  </r>
  <r>
    <s v="Story"/>
    <s v="EFT-2237"/>
    <x v="1"/>
    <s v="Bağımsız Konnektörde e-Fatura Oluşturmada Zorunlu Olmayan Yeni Alanların Eklenmesi"/>
    <x v="4"/>
    <e v="#N/A"/>
    <x v="0"/>
    <s v="-"/>
    <s v="Ürün İş Listesi"/>
    <n v="3"/>
  </r>
  <r>
    <s v="Story"/>
    <s v="EFT-2236"/>
    <x v="1"/>
    <s v="Web Servis Metotlarında e-Fatura Oluşturmada Zorunlu Olmayan Yeni Alanların Eklenmesi - Aselsan"/>
    <x v="4"/>
    <e v="#N/A"/>
    <x v="0"/>
    <s v="-"/>
    <s v="Ürün İş Listesi"/>
    <n v="3"/>
  </r>
  <r>
    <s v="Story"/>
    <s v="EFT-2235"/>
    <x v="1"/>
    <s v="Portal Üzerinde e-Fatura Oluşturmada Zorunlu Olmayan Yeni Alanların Eklenmesi - Aselsan"/>
    <x v="4"/>
    <e v="#N/A"/>
    <x v="0"/>
    <s v="-"/>
    <s v="Ürün İş Listesi"/>
    <n v="5"/>
  </r>
  <r>
    <s v="Story"/>
    <s v="EDF-776"/>
    <x v="1"/>
    <s v="2025-BTA-013 FKM'ne Geçiş Projesi Test Ortam Domain Geçiş Hazırlıkları ve Geçiş"/>
    <x v="3"/>
    <e v="#N/A"/>
    <x v="0"/>
    <s v="-"/>
    <s v="Ürün İş Listesi"/>
    <n v="2"/>
  </r>
  <r>
    <s v="Bug"/>
    <s v="MU-135"/>
    <x v="1"/>
    <s v="KEP Gönderme Ekranında “Vazgeç” Aksiyonlarının Hatalı Yönlendirmelere Sebep Olması"/>
    <x v="9"/>
    <e v="#N/A"/>
    <x v="0"/>
    <s v="-"/>
    <s v="Ürün İş Listesi"/>
    <n v="3"/>
  </r>
  <r>
    <s v="Bug"/>
    <s v="MU-124"/>
    <x v="1"/>
    <s v="Şifremi Unuttum Akışında Geri Tuşu ile Bilgilerin Silinmesi ve Yanlış Ekrana Yönlendirmesi"/>
    <x v="9"/>
    <e v="#N/A"/>
    <x v="0"/>
    <s v="-"/>
    <s v="Ürün İş Listesi"/>
    <n v="3"/>
  </r>
  <r>
    <s v="Bug"/>
    <s v="MU-131"/>
    <x v="1"/>
    <s v="İmzala ve Gönder Butonuna Çoklu Tıklama ile Mobil İmza Talebinin Tekrarlanması"/>
    <x v="9"/>
    <e v="#N/A"/>
    <x v="0"/>
    <s v="-"/>
    <s v="Ürün İş Listesi"/>
    <n v="2"/>
  </r>
  <r>
    <s v="Story"/>
    <s v="CRM-674"/>
    <x v="1"/>
    <s v="Toplu Açılış Excel Aktarım Ek Geliştirme"/>
    <x v="0"/>
    <e v="#N/A"/>
    <x v="0"/>
    <s v="-"/>
    <s v="Ürün İş Listesi"/>
    <n v="1"/>
  </r>
  <r>
    <s v="Story"/>
    <s v="CRM-675"/>
    <x v="1"/>
    <s v="Sipariş Detayı Mersis Süreci Münferit Müşteri E-Devlet Onaya Gönderme"/>
    <x v="0"/>
    <e v="#N/A"/>
    <x v="0"/>
    <s v="-"/>
    <s v="Ürün İş Listesi"/>
    <n v="1"/>
  </r>
  <r>
    <s v="Story"/>
    <s v="CRM-676"/>
    <x v="1"/>
    <s v="Sipariş Detayı Ekranı Mersis Sorgulama"/>
    <x v="0"/>
    <e v="#N/A"/>
    <x v="0"/>
    <s v="-"/>
    <s v="Ürün İş Listesi"/>
    <n v="1"/>
  </r>
  <r>
    <s v="Story"/>
    <s v="CRM-679"/>
    <x v="1"/>
    <s v="Trendyol Projesi Bireysel ve Kurumsal Promosyon Tanımlama"/>
    <x v="0"/>
    <e v="#N/A"/>
    <x v="0"/>
    <s v="-"/>
    <s v="Ürün İş Listesi"/>
    <n v="2"/>
  </r>
  <r>
    <s v="Story"/>
    <s v="CRM-680"/>
    <x v="1"/>
    <s v="Trendyol Projesi DIŞ Bireysel ve Kurumsal Promosyon CRM Sisteminde Tanımlama"/>
    <x v="0"/>
    <e v="#N/A"/>
    <x v="0"/>
    <s v="-"/>
    <s v="Ürün İş Listesi"/>
    <n v="2"/>
  </r>
  <r>
    <s v="Story"/>
    <s v="CRM-681"/>
    <x v="1"/>
    <s v="Trendyol Projesi Ödeme İşlemi Link Gönderimi"/>
    <x v="0"/>
    <e v="#N/A"/>
    <x v="0"/>
    <s v="-"/>
    <s v="Ürün İş Listesi"/>
    <n v="2"/>
  </r>
  <r>
    <s v="Story"/>
    <s v="MUL-210"/>
    <x v="1"/>
    <s v="2025-BTA-013 FKM'ne Geçiş Projesi Test Ortamında Domain Geçiş Hazırlıkları ve Geçiş"/>
    <x v="11"/>
    <e v="#N/A"/>
    <x v="0"/>
    <s v="-"/>
    <s v="Ürün İş Listesi"/>
    <n v="3"/>
  </r>
  <r>
    <s v="Story"/>
    <s v="KIK-153"/>
    <x v="1"/>
    <s v="2025-BTA-013 FKM'ne Geçiş Projesi Test Ortamında Domain Geçiş Hazırlıkları ve Geçiş"/>
    <x v="20"/>
    <e v="#N/A"/>
    <x v="0"/>
    <s v="-"/>
    <s v="Ürün İş Listesi"/>
    <n v="3"/>
  </r>
  <r>
    <s v="Story"/>
    <s v="DS-14"/>
    <x v="1"/>
    <s v="2025-BTA-013 FKM'ne Geçiş Projesi Canlı Ortamı Domain Geçiş Hazırlıkları ve Geçiş"/>
    <x v="2"/>
    <e v="#N/A"/>
    <x v="0"/>
    <s v="-"/>
    <s v="Ürün İş Listesi"/>
    <n v="2"/>
  </r>
  <r>
    <s v="Story"/>
    <s v="IEU-244"/>
    <x v="1"/>
    <s v="192.168.224.224 Sunucusunda /tkapp Diskinden /tklog Diskine Log Yönlendirmesi"/>
    <x v="17"/>
    <e v="#N/A"/>
    <x v="0"/>
    <s v="-"/>
    <s v="Ürün İş Listesi"/>
    <n v="2"/>
  </r>
  <r>
    <s v="Story"/>
    <s v="EFT-2249"/>
    <x v="1"/>
    <s v="e-İrsaliye SAP Servisi Gelen İrsaliyeleri Listele Metodunda Düzenleme"/>
    <x v="4"/>
    <e v="#N/A"/>
    <x v="0"/>
    <s v="-"/>
    <s v="Ürün İş Listesi"/>
    <n v="1"/>
  </r>
  <r>
    <s v="Story"/>
    <s v="EFT-2248"/>
    <x v="1"/>
    <s v="e-Arsiv Teknik Kilavuzu V.1.18 ve earsiv paket v1.1_4 İncelemesi"/>
    <x v="4"/>
    <e v="#N/A"/>
    <x v="0"/>
    <s v="-"/>
    <s v="Ürün İş Listesi"/>
    <n v="3"/>
  </r>
  <r>
    <s v="Story"/>
    <s v="EFT-2239"/>
    <x v="0"/>
    <s v="Nihai Tüketici İfadesi Kullanım Kuralı"/>
    <x v="4"/>
    <e v="#N/A"/>
    <x v="0"/>
    <s v="-"/>
    <s v="Ürün İş Listesi"/>
    <n v="2"/>
  </r>
  <r>
    <s v="Story"/>
    <s v="EFT-2238"/>
    <x v="0"/>
    <s v="Muhtelif Müşteriler İfadesi Kullanım Kuralı"/>
    <x v="4"/>
    <e v="#N/A"/>
    <x v="0"/>
    <s v="-"/>
    <s v="Ürün İş Listesi"/>
    <n v="2"/>
  </r>
  <r>
    <s v="Story"/>
    <s v="EFT-2243"/>
    <x v="1"/>
    <s v="2025-BTA-013 FKM'ne Geçiş Projesi Canlı Ortamı Domain Geçiş Hazırlıkları ve Geçiş"/>
    <x v="4"/>
    <e v="#N/A"/>
    <x v="0"/>
    <s v="-"/>
    <s v="Ürün İş Listesi"/>
    <n v="3"/>
  </r>
  <r>
    <s v="Story"/>
    <s v="MYS-793"/>
    <x v="1"/>
    <s v="Gelen İletiler EYP 2.0 Görüntüleme Desteği ve Ek Alanların Gösterimi"/>
    <x v="12"/>
    <e v="#N/A"/>
    <x v="0"/>
    <s v="-"/>
    <s v="Ürün İş Listesi"/>
    <n v="3"/>
  </r>
  <r>
    <s v="Story"/>
    <s v="UKDS-174"/>
    <x v="1"/>
    <s v="Mobil İmza Aşamasında Operatör Seçeneklerinin Eklenmesi"/>
    <x v="15"/>
    <e v="#N/A"/>
    <x v="0"/>
    <s v="-"/>
    <s v="Ürün İş Listesi"/>
    <m/>
  </r>
  <r>
    <s v="Story"/>
    <s v="MYS-795"/>
    <x v="1"/>
    <s v="Güncelleme Paketi hazırlanması"/>
    <x v="12"/>
    <e v="#N/A"/>
    <x v="0"/>
    <s v="-"/>
    <s v="Ürün İş Listesi"/>
    <m/>
  </r>
  <r>
    <s v="Story"/>
    <s v="MUL-211"/>
    <x v="1"/>
    <s v="2025-BTA-013 FKM'ne Geçiş Projesi Canlı Ortamı Domain Geçiş Hazırlıkları ve Geçiş"/>
    <x v="11"/>
    <e v="#N/A"/>
    <x v="0"/>
    <s v="-"/>
    <s v="Ürün İş Listesi"/>
    <n v="3"/>
  </r>
  <r>
    <s v="Story"/>
    <s v="MU-142"/>
    <x v="1"/>
    <s v="Okunmamış KEP Gönderileri İçin Kırmızı Gösterge (Badge) Tasarımı"/>
    <x v="9"/>
    <e v="#N/A"/>
    <x v="0"/>
    <s v="-"/>
    <s v="Ürün İş Listesi"/>
    <m/>
  </r>
  <r>
    <s v="Story"/>
    <s v="KIK-155"/>
    <x v="1"/>
    <s v="2025-BTA-013 FKM'ne Geçiş Projesi Canlı Ortamı Domain Geçiş Hazırlıkları ve Geçiş"/>
    <x v="16"/>
    <e v="#N/A"/>
    <x v="0"/>
    <s v="-"/>
    <s v="Ürün İş Listesi"/>
    <n v="3"/>
  </r>
  <r>
    <s v="Sub-task"/>
    <s v="KA-1536"/>
    <x v="1"/>
    <s v="Sub-Task Veritabanı ve Servis Geliştirmesi Hk."/>
    <x v="6"/>
    <e v="#N/A"/>
    <x v="0"/>
    <s v="-"/>
    <s v="Ürün İş Listesi"/>
    <m/>
  </r>
  <r>
    <s v="Bug"/>
    <s v="IEU-251"/>
    <x v="1"/>
    <s v="EYP 2.0 oluşturma sırasında aciklama parametresi boş bırakıldığında parser hatası oluşuyor"/>
    <x v="5"/>
    <e v="#N/A"/>
    <x v="0"/>
    <s v="-"/>
    <s v="Ürün İş Listesi"/>
    <m/>
  </r>
  <r>
    <s v="Story"/>
    <s v="ES-302"/>
    <x v="1"/>
    <s v="2025-BTA-013 FKM'ne Geçiş Projesi Canlı Ortam Domain Geçiş Hazırlıkları ve Geçiş"/>
    <x v="21"/>
    <e v="#N/A"/>
    <x v="0"/>
    <s v="-"/>
    <s v="Ürün İş Listesi"/>
    <n v="2"/>
  </r>
  <r>
    <s v="Story"/>
    <s v="ES-301"/>
    <x v="1"/>
    <s v="2025-BTA-013 FKM'ne Geçiş Projesi Test Ortam Domain Geçiş Hazırlıkları ve Geçiş "/>
    <x v="21"/>
    <e v="#N/A"/>
    <x v="0"/>
    <s v="-"/>
    <s v="Ürün İş Listesi"/>
    <n v="2"/>
  </r>
  <r>
    <s v="Story"/>
    <s v="EFT-2260"/>
    <x v="1"/>
    <s v="GİB Güncellemesi – Yeni İstisna Kodu (344) için Düzenlemeler"/>
    <x v="4"/>
    <e v="#N/A"/>
    <x v="0"/>
    <s v="-"/>
    <s v="Ürün İş Listesi"/>
    <n v="2"/>
  </r>
  <r>
    <s v="Story"/>
    <s v="EFT-2258"/>
    <x v="1"/>
    <s v="Konnektör Bağımsız/ 702 Kodlu İhraç Kayıtlı Faturalarda Değişiklik"/>
    <x v="4"/>
    <e v="#N/A"/>
    <x v="0"/>
    <s v="-"/>
    <s v="Ürün İş Listesi"/>
    <n v="3"/>
  </r>
  <r>
    <s v="Story"/>
    <s v="EFT-2257"/>
    <x v="1"/>
    <s v="Konnektör Bağımlı/ 702 Kodlu İhraç Kayıtlı Faturalarda Değişiklik "/>
    <x v="4"/>
    <e v="#N/A"/>
    <x v="0"/>
    <s v="-"/>
    <s v="Ürün İş Listesi"/>
    <n v="2"/>
  </r>
  <r>
    <s v="Story"/>
    <s v="EFT-2256"/>
    <x v="1"/>
    <s v="Portal/ 702 Kodlu İhraç Kayıtlı Faturalarda Değişiklik "/>
    <x v="4"/>
    <e v="#N/A"/>
    <x v="0"/>
    <s v="-"/>
    <s v="Ürün İş Listesi"/>
    <n v="3"/>
  </r>
  <r>
    <s v="Story"/>
    <s v="EFT-2255"/>
    <x v="1"/>
    <s v="e- Fatura Paket Güncellemesi"/>
    <x v="4"/>
    <e v="#N/A"/>
    <x v="0"/>
    <s v="-"/>
    <s v="Ürün İş Listesi"/>
    <n v="2"/>
  </r>
  <r>
    <s v="Story"/>
    <s v="EFT-2254"/>
    <x v="1"/>
    <s v="GIB Web Servisleri Test ve Doğrulama Süreci"/>
    <x v="4"/>
    <e v="#N/A"/>
    <x v="0"/>
    <s v="-"/>
    <s v="Ürün İş Listesi"/>
    <m/>
  </r>
  <r>
    <s v="Story"/>
    <s v="EDF-777"/>
    <x v="1"/>
    <s v="2025-BTA-013 FKM'ne Geçiş Projesi Canlı Ortam Domain Geçiş Hazırlıkları ve Geçiş "/>
    <x v="3"/>
    <e v="#N/A"/>
    <x v="0"/>
    <s v="-"/>
    <s v="Ürün İş Listesi"/>
    <n v="3"/>
  </r>
  <r>
    <s v="Story"/>
    <s v="EDF-774"/>
    <x v="2"/>
    <s v="Araştırma - İmzalama Sürecinde Defterlerde Yaşanan Hatalar "/>
    <x v="3"/>
    <e v="#N/A"/>
    <x v="0"/>
    <s v="-"/>
    <s v="Ürün İş Listesi"/>
    <m/>
  </r>
  <r>
    <s v="Story"/>
    <s v="DAVS-137"/>
    <x v="1"/>
    <s v="File Service – Klasör İçeriğinin Dosya Tipine Göre Getirme Endpoint'i Geliştirilmesi"/>
    <x v="18"/>
    <e v="#N/A"/>
    <x v="0"/>
    <s v="-"/>
    <s v="Ürün İş Listesi"/>
    <m/>
  </r>
  <r>
    <s v="Story"/>
    <s v="DAVS-134"/>
    <x v="1"/>
    <s v="Dosyaların silinmesi"/>
    <x v="18"/>
    <e v="#N/A"/>
    <x v="0"/>
    <s v="-"/>
    <s v="Ürün İş Listesi"/>
    <m/>
  </r>
  <r>
    <s v="Story"/>
    <s v="DAVS-133"/>
    <x v="1"/>
    <s v="Dosya isminin güncellenmesi"/>
    <x v="18"/>
    <e v="#N/A"/>
    <x v="0"/>
    <s v="-"/>
    <s v="Ürün İş Listesi"/>
    <m/>
  </r>
  <r>
    <s v="Story"/>
    <s v="DAVS-132"/>
    <x v="1"/>
    <s v="File Service – Çöp Kutusundaki Tüm Verileri Kalıcı Silme Endpoint'i Geliştirilmesi"/>
    <x v="18"/>
    <e v="#N/A"/>
    <x v="0"/>
    <s v="-"/>
    <s v="Ürün İş Listesi"/>
    <m/>
  </r>
  <r>
    <s v="Story"/>
    <s v="DAVS-131"/>
    <x v="1"/>
    <s v="File Service – Çöp Kutusundaki Tüm Verileri Geri Taşıma Endpoint'i Geliştirilmesi"/>
    <x v="18"/>
    <e v="#N/A"/>
    <x v="0"/>
    <s v="-"/>
    <s v="Ürün İş Listesi"/>
    <m/>
  </r>
  <r>
    <s v="Story"/>
    <s v="DAVS-130"/>
    <x v="1"/>
    <s v="Uygulama açılış sayfası geliştirilmesi"/>
    <x v="18"/>
    <e v="#N/A"/>
    <x v="0"/>
    <s v="-"/>
    <s v="Ürün İş Listesi"/>
    <m/>
  </r>
  <r>
    <s v="Sub-task"/>
    <s v="DAVS-129"/>
    <x v="1"/>
    <s v="File Service – Çöp kutusunda olan Klasör İçeriğini Getirme Endpoint'i Geliştirilmesi"/>
    <x v="18"/>
    <e v="#N/A"/>
    <x v="0"/>
    <s v="-"/>
    <s v="Ürün İş Listesi"/>
    <m/>
  </r>
  <r>
    <s v="Story"/>
    <s v="DAVS-128"/>
    <x v="1"/>
    <s v="Çöp kutusundaki verilerin tamamen silinmesi"/>
    <x v="18"/>
    <e v="#N/A"/>
    <x v="0"/>
    <s v="-"/>
    <s v="Ürün İş Listesi"/>
    <m/>
  </r>
  <r>
    <s v="Story"/>
    <s v="DAVS-127"/>
    <x v="1"/>
    <s v="Çöp kutusundaki verilerin geri yüklenmesi"/>
    <x v="18"/>
    <e v="#N/A"/>
    <x v="0"/>
    <s v="-"/>
    <s v="Ürün İş Listesi"/>
    <m/>
  </r>
  <r>
    <s v="Story"/>
    <s v="DAVS-126"/>
    <x v="1"/>
    <s v="Çöp Kutusu sayfasındaki verilerin listelenmesi"/>
    <x v="18"/>
    <e v="#N/A"/>
    <x v="0"/>
    <s v="-"/>
    <s v="Ürün İş Listesi"/>
    <m/>
  </r>
  <r>
    <s v="Story"/>
    <s v="DAVS-125"/>
    <x v="1"/>
    <s v="Çöp Kutusu sayfası tasarımsal düzenlemeler"/>
    <x v="18"/>
    <e v="#N/A"/>
    <x v="0"/>
    <s v="-"/>
    <s v="Ürün İş Listesi"/>
    <m/>
  </r>
  <r>
    <s v="Story"/>
    <s v="DAVS-124"/>
    <x v="1"/>
    <s v="User Service – Parola Güncelleme Endpoint'i Geliştirilmesi"/>
    <x v="18"/>
    <e v="#N/A"/>
    <x v="0"/>
    <s v="-"/>
    <s v="Ürün İş Listesi"/>
    <m/>
  </r>
  <r>
    <s v="Story"/>
    <s v="DAVS-123"/>
    <x v="1"/>
    <s v="User Service – Parola Sıfırlama Endpoint'i Geliştirilmesi"/>
    <x v="18"/>
    <e v="#N/A"/>
    <x v="0"/>
    <s v="-"/>
    <s v="Ürün İş Listesi"/>
    <m/>
  </r>
  <r>
    <s v="Story"/>
    <s v="DAVS-122"/>
    <x v="1"/>
    <s v="Frontend Geliştirme- Destek Merkezi / SSS "/>
    <x v="18"/>
    <e v="#N/A"/>
    <x v="0"/>
    <s v="-"/>
    <s v="Ürün İş Listesi"/>
    <m/>
  </r>
  <r>
    <s v="Story"/>
    <s v="DAVS-121"/>
    <x v="1"/>
    <s v="Frontend Geliştirme- Doğrulama Kodu Giriş Ekranı  "/>
    <x v="18"/>
    <e v="#N/A"/>
    <x v="0"/>
    <s v="-"/>
    <s v="Ürün İş Listesi"/>
    <m/>
  </r>
  <r>
    <s v="Story"/>
    <s v="DAVS-120"/>
    <x v="1"/>
    <s v="Frontend Geliştirme- Giriş Sayfası "/>
    <x v="18"/>
    <e v="#N/A"/>
    <x v="0"/>
    <s v="-"/>
    <s v="Ürün İş Listesi"/>
    <m/>
  </r>
  <r>
    <s v="Sub-task"/>
    <s v="DAVS-116"/>
    <x v="1"/>
    <s v="Sayfa içi fonksiyon ve tasarım çalışmaları/Sprint3"/>
    <x v="18"/>
    <e v="#N/A"/>
    <x v="0"/>
    <s v="-"/>
    <s v="Ürün İş Listesi"/>
    <m/>
  </r>
  <r>
    <s v="Sub-task"/>
    <s v="DAVS-115"/>
    <x v="1"/>
    <s v="Sayfa içi fonksiyon ve tasarım çalışmaları/Sprint3"/>
    <x v="18"/>
    <e v="#N/A"/>
    <x v="0"/>
    <s v="-"/>
    <s v="Ürün İş Listesi"/>
    <m/>
  </r>
  <r>
    <s v="Sub-task"/>
    <s v="DAVS-113"/>
    <x v="1"/>
    <s v="Sayfa içi fonksiyon ve tasarım çalışmaları/Sprint3"/>
    <x v="18"/>
    <e v="#N/A"/>
    <x v="0"/>
    <s v="-"/>
    <s v="Ürün İş Listesi"/>
    <m/>
  </r>
  <r>
    <s v="Story"/>
    <s v="DAVS-108"/>
    <x v="1"/>
    <s v="Invoices Service – E-Fatura Aktarım Durumu Sorgulama Endpoint’inin Geliştirilmesi"/>
    <x v="18"/>
    <e v="#N/A"/>
    <x v="0"/>
    <s v="-"/>
    <s v="Ürün İş Listesi"/>
    <m/>
  </r>
  <r>
    <s v="Story"/>
    <s v="DAVS-107"/>
    <x v="1"/>
    <s v="Invoices Service – E-Fatura Dosyası Gönderme Endpoint’inin Geliştirilmesi"/>
    <x v="18"/>
    <e v="#N/A"/>
    <x v="0"/>
    <s v="-"/>
    <s v="Ürün İş Listesi"/>
    <m/>
  </r>
  <r>
    <s v="Story"/>
    <s v="DAVS-106"/>
    <x v="1"/>
    <s v="Rem Service – KEP Dosya Aktarım Durumu Sorgulama Endpoint’i Geliştirilmesi"/>
    <x v="18"/>
    <e v="#N/A"/>
    <x v="0"/>
    <s v="-"/>
    <s v="Ürün İş Listesi"/>
    <m/>
  </r>
  <r>
    <s v="Story"/>
    <s v="DAVS-105"/>
    <x v="1"/>
    <s v="Rem Service – KEP Üzerinden Dosya Gönderimi Endpoint’i Geliştirilmesi"/>
    <x v="18"/>
    <e v="#N/A"/>
    <x v="0"/>
    <s v="-"/>
    <s v="Ürün İş Listesi"/>
    <m/>
  </r>
  <r>
    <s v="Story"/>
    <s v="DAVS-101"/>
    <x v="1"/>
    <s v="Integrations Service – İrsaliye Kayıtlarını Filtreleme Endpoint’i Geliştirilmesi"/>
    <x v="18"/>
    <e v="#N/A"/>
    <x v="0"/>
    <s v="-"/>
    <s v="Ürün İş Listesi"/>
    <m/>
  </r>
  <r>
    <s v="Story"/>
    <s v="DAVS-100"/>
    <x v="1"/>
    <s v="Integrations Service – İrsaliye Listeleme Endpoint’i Geliştirilmesi"/>
    <x v="18"/>
    <e v="#N/A"/>
    <x v="0"/>
    <s v="-"/>
    <s v="Ürün İş Listesi"/>
    <m/>
  </r>
  <r>
    <s v="Story"/>
    <s v="DAVS-99"/>
    <x v="1"/>
    <s v="Integrations Service – Fatura Kayıtlarını Filtreleme Endpoint’i Geliştirilmesi"/>
    <x v="18"/>
    <e v="#N/A"/>
    <x v="0"/>
    <s v="-"/>
    <s v="Ürün İş Listesi"/>
    <m/>
  </r>
  <r>
    <s v="Story"/>
    <s v="DAVS-98"/>
    <x v="1"/>
    <s v="Integrations Service – Fatura Listeleme Endpoint’i Geliştirilmesi"/>
    <x v="18"/>
    <e v="#N/A"/>
    <x v="0"/>
    <s v="-"/>
    <s v="Ürün İş Listesi"/>
    <m/>
  </r>
  <r>
    <s v="Story"/>
    <s v="DAVS-97"/>
    <x v="1"/>
    <s v="Integrations Service – KEP İletilerini Filtreleme Endpoint’i Geliştirilmesi"/>
    <x v="18"/>
    <e v="#N/A"/>
    <x v="0"/>
    <s v="-"/>
    <s v="Ürün İş Listesi"/>
    <m/>
  </r>
  <r>
    <s v="Story"/>
    <s v="DAVS-96"/>
    <x v="1"/>
    <s v="Integrations Service – KEP İletilerini Listeleme Endpoint’i Geliştirilmesi"/>
    <x v="18"/>
    <e v="#N/A"/>
    <x v="0"/>
    <s v="-"/>
    <s v="Ürün İş Listesi"/>
    <m/>
  </r>
  <r>
    <s v="Story"/>
    <s v="DAVS-95"/>
    <x v="1"/>
    <s v="Integrations Service – KEP Hesaplarını Listeleme Endpoint’i Geliştirilmesi"/>
    <x v="18"/>
    <e v="#N/A"/>
    <x v="0"/>
    <s v="-"/>
    <s v="Ürün İş Listesi"/>
    <m/>
  </r>
  <r>
    <s v="Story"/>
    <s v="DAVS-94"/>
    <x v="1"/>
    <s v="Integrations Service – Entegrasyon Modüllerini Getirme Endpoint’i Geliştirilmesi"/>
    <x v="18"/>
    <e v="#N/A"/>
    <x v="0"/>
    <s v="-"/>
    <s v="Ürün İş Listesi"/>
    <m/>
  </r>
  <r>
    <s v="Story"/>
    <s v="DAVS-93"/>
    <x v="1"/>
    <s v="Document Operations Service – Parçalı Yüklemeyi Tamamlama Endpoint’i Geliştirilmesi"/>
    <x v="18"/>
    <e v="#N/A"/>
    <x v="0"/>
    <s v="-"/>
    <s v="Ürün İş Listesi"/>
    <m/>
  </r>
  <r>
    <s v="Story"/>
    <s v="DAVS-91"/>
    <x v="1"/>
    <s v="Document Operations Service – Dosya Yükleme Endpoint’i Geliştirilmesi"/>
    <x v="18"/>
    <e v="#N/A"/>
    <x v="0"/>
    <s v="-"/>
    <s v="Ürün İş Listesi"/>
    <m/>
  </r>
  <r>
    <s v="Story"/>
    <s v="DAVS-89"/>
    <x v="1"/>
    <s v="File Service – Çöp Kutusu Kalıcı Silme Endpoint'i Geliştirilmesi"/>
    <x v="18"/>
    <e v="#N/A"/>
    <x v="0"/>
    <s v="-"/>
    <s v="Ürün İş Listesi"/>
    <m/>
  </r>
  <r>
    <s v="Story"/>
    <s v="DAVS-88"/>
    <x v="1"/>
    <s v="File Service – Çöp Kutusundan Geri Taşıma Endpoint'i Geliştirilmesi"/>
    <x v="18"/>
    <e v="#N/A"/>
    <x v="0"/>
    <s v="-"/>
    <s v="Ürün İş Listesi"/>
    <m/>
  </r>
  <r>
    <s v="Story"/>
    <s v="DAVS-86"/>
    <x v="1"/>
    <s v="File Service – Dosya İsmini Güncelleme Endpoint'i Geliştirilmesi"/>
    <x v="18"/>
    <e v="#N/A"/>
    <x v="0"/>
    <s v="-"/>
    <s v="Ürün İş Listesi"/>
    <m/>
  </r>
  <r>
    <s v="Story"/>
    <s v="DAVS-85"/>
    <x v="1"/>
    <s v="File Service – Dosya Kopyalama Endpoint'i Geliştirilmesi"/>
    <x v="18"/>
    <e v="#N/A"/>
    <x v="0"/>
    <s v="-"/>
    <s v="Ürün İş Listesi"/>
    <m/>
  </r>
  <r>
    <s v="Story"/>
    <s v="DAVS-84"/>
    <x v="1"/>
    <s v="File Service – Dosya Taşıma Endpoint'i Geliştirilmesi"/>
    <x v="18"/>
    <e v="#N/A"/>
    <x v="0"/>
    <s v="-"/>
    <s v="Ürün İş Listesi"/>
    <m/>
  </r>
  <r>
    <s v="Story"/>
    <s v="DAVS-83"/>
    <x v="1"/>
    <s v="File Service – Dosyayı Çöp Kutusuna Taşıma Endpoint'i Geliştirilmesi"/>
    <x v="18"/>
    <e v="#N/A"/>
    <x v="0"/>
    <s v="-"/>
    <s v="Ürün İş Listesi"/>
    <m/>
  </r>
  <r>
    <s v="Story"/>
    <s v="DAVS-79"/>
    <x v="1"/>
    <s v="File Service – Dosya Arama Endpoint'i Geliştirilmesi"/>
    <x v="18"/>
    <e v="#N/A"/>
    <x v="0"/>
    <s v="-"/>
    <s v="Ürün İş Listesi"/>
    <m/>
  </r>
  <r>
    <s v="Story"/>
    <s v="DAVS-78"/>
    <x v="1"/>
    <s v="File Service – Ana Klasördeki Dosyaları Getirme Endpoint'i Geliştirilmesi"/>
    <x v="18"/>
    <e v="#N/A"/>
    <x v="0"/>
    <s v="-"/>
    <s v="Ürün İş Listesi"/>
    <m/>
  </r>
  <r>
    <s v="Story"/>
    <s v="DAVS-77"/>
    <x v="1"/>
    <s v="File Service – Önerilen Belgeleri Getirme Endpoint'i Geliştirilmesi"/>
    <x v="18"/>
    <e v="#N/A"/>
    <x v="0"/>
    <s v="-"/>
    <s v="Ürün İş Listesi"/>
    <m/>
  </r>
  <r>
    <s v="Story"/>
    <s v="DAVS-75"/>
    <x v="1"/>
    <s v="User Service – OTP Doğrulama ve Token Oluşturma Endpoint'i Geliştirilmesi"/>
    <x v="18"/>
    <e v="#N/A"/>
    <x v="0"/>
    <s v="-"/>
    <s v="Ürün İş Listesi"/>
    <m/>
  </r>
  <r>
    <s v="Story"/>
    <s v="DAVS-74"/>
    <x v="1"/>
    <s v="User Service – Giriş ve OTP Gönderimi Endpoint'i Geliştirilmesi"/>
    <x v="18"/>
    <e v="#N/A"/>
    <x v="0"/>
    <s v="-"/>
    <s v="Ürün İş Listesi"/>
    <m/>
  </r>
  <r>
    <s v="Story"/>
    <s v="DAVS-73"/>
    <x v="1"/>
    <s v="User Service – Organizasyona Ait Kullanıcıları Getirme Endpoint'i Geliştirilmesi"/>
    <x v="18"/>
    <e v="#N/A"/>
    <x v="0"/>
    <s v="-"/>
    <s v="Ürün İş Listesi"/>
    <m/>
  </r>
  <r>
    <s v="Story"/>
    <s v="DAVS-72"/>
    <x v="1"/>
    <s v="User Service – Kullanıcıyı Pasife Çekme Endpoint'i Geliştirilmesi"/>
    <x v="18"/>
    <e v="#N/A"/>
    <x v="0"/>
    <s v="-"/>
    <s v="Ürün İş Listesi"/>
    <m/>
  </r>
  <r>
    <s v="Story"/>
    <s v="DAVS-71"/>
    <x v="1"/>
    <s v="User Service – Kullanıcı Bilgisi Güncelleme Endpoint'i Geliştirilmesi"/>
    <x v="18"/>
    <e v="#N/A"/>
    <x v="0"/>
    <s v="-"/>
    <s v="Ürün İş Listesi"/>
    <m/>
  </r>
  <r>
    <s v="Story"/>
    <s v="DAVS-70"/>
    <x v="1"/>
    <s v="User Service – Yeni Kullanıcı Oluşturma Endpoint'i Geliştirilmesi"/>
    <x v="18"/>
    <e v="#N/A"/>
    <x v="0"/>
    <s v="-"/>
    <s v="Ürün İş Listesi"/>
    <m/>
  </r>
  <r>
    <s v="Story"/>
    <s v="DAVS-69"/>
    <x v="1"/>
    <s v="User Service – Kullanıcının Bilgilerini Getirme Endpoint'i Geliştirilmesi"/>
    <x v="18"/>
    <e v="#N/A"/>
    <x v="0"/>
    <s v="-"/>
    <s v="Ürün İş Listesi"/>
    <m/>
  </r>
  <r>
    <s v="Story"/>
    <s v="DAVS-68"/>
    <x v="1"/>
    <s v="Organization Service – Kota ve Kullanım Bilgisi Getirme Endpoint'i Geliştirilmesi"/>
    <x v="18"/>
    <e v="#N/A"/>
    <x v="0"/>
    <s v="-"/>
    <s v="Ürün İş Listesi"/>
    <m/>
  </r>
  <r>
    <s v="Story"/>
    <s v="CRM-691"/>
    <x v="1"/>
    <s v="Kurumsal KEP Öneri Firma Adı Karakter Sınırı Güncelleme"/>
    <x v="0"/>
    <e v="#N/A"/>
    <x v="0"/>
    <s v="-"/>
    <s v="Ürün İş Listesi"/>
    <n v="1"/>
  </r>
  <r>
    <s v="Story"/>
    <s v="CRM-689"/>
    <x v="1"/>
    <s v="Başvuru Formları CRM İçerisinde Güncellenmesi"/>
    <x v="0"/>
    <e v="#N/A"/>
    <x v="0"/>
    <s v="-"/>
    <s v="Ürün İş Listesi"/>
    <n v="1"/>
  </r>
  <r>
    <s v="Story"/>
    <s v="CRM-688"/>
    <x v="0"/>
    <s v="Müşteriye Askıda Olan Siparişi İçin Hatırlatma "/>
    <x v="0"/>
    <e v="#N/A"/>
    <x v="0"/>
    <s v="-"/>
    <s v="Ürün İş Listesi"/>
    <m/>
  </r>
  <r>
    <s v="Story"/>
    <s v="CRM-687"/>
    <x v="1"/>
    <s v="E-Ödeme Test Sunucusunun Kurulumu"/>
    <x v="0"/>
    <e v="#N/A"/>
    <x v="0"/>
    <s v="-"/>
    <s v="Ürün İş Listesi"/>
    <n v="2"/>
  </r>
  <r>
    <s v="Story"/>
    <s v="CRM-683"/>
    <x v="1"/>
    <s v="E-İmza Aktivasyon SMS'nin Türkkep CRM Üzerinden Tetiklenmesi"/>
    <x v="0"/>
    <e v="#N/A"/>
    <x v="0"/>
    <s v="-"/>
    <s v="Ürün İş Listesi"/>
    <n v="5"/>
  </r>
  <r>
    <s v="Story"/>
    <s v="CRM-690"/>
    <x v="0"/>
    <s v="Trendyol'dan Gelen Başvuruların Ayrıştırılması"/>
    <x v="0"/>
    <e v="#N/A"/>
    <x v="0"/>
    <s v="-"/>
    <s v="Ürün İş Listesi"/>
    <n v="2"/>
  </r>
  <r>
    <s v="Story"/>
    <s v="KA-1537"/>
    <x v="1"/>
    <s v="Uygulamada İngilizce İfadelerin Türkçeleştirilmesi"/>
    <x v="6"/>
    <e v="#N/A"/>
    <x v="0"/>
    <s v="-"/>
    <s v="Ürün İş Listesi"/>
    <n v="3"/>
  </r>
  <r>
    <s v="Story"/>
    <s v="MYS-798"/>
    <x v="1"/>
    <s v="Uygulamada İngilizce İfadelerin Türkçeleştirilmesi"/>
    <x v="12"/>
    <e v="#N/A"/>
    <x v="0"/>
    <s v="-"/>
    <s v="Ürün İş Listesi"/>
    <n v="2"/>
  </r>
  <r>
    <s v="Story"/>
    <s v="MU-146"/>
    <x v="1"/>
    <s v="UKDS Giriş Ekranı Alan Gösterimi"/>
    <x v="9"/>
    <e v="#N/A"/>
    <x v="0"/>
    <s v="-"/>
    <s v="Ürün İş Listesi"/>
    <n v="3"/>
  </r>
  <r>
    <s v="Story"/>
    <s v="MU-147"/>
    <x v="1"/>
    <s v="UKDS Güncellemeleri Mobil Uygulama Uyumlandırması ve Trendyol Başvuru Süreçleri"/>
    <x v="9"/>
    <e v="#N/A"/>
    <x v="0"/>
    <s v="-"/>
    <s v="Ürün İş Listesi"/>
    <n v="8"/>
  </r>
  <r>
    <s v="Story"/>
    <s v="WIK-713"/>
    <x v="1"/>
    <s v="Doğum Tarihi Alanının Tüm Bölgesini Tıklanabilir Olması"/>
    <x v="16"/>
    <e v="#N/A"/>
    <x v="0"/>
    <s v="-"/>
    <s v="Ürün İş Listesi"/>
    <n v="2"/>
  </r>
  <r>
    <s v="Story"/>
    <s v="WIK-715"/>
    <x v="1"/>
    <s v="Örnek Excel Formatındaki E-Posta Adresinin Güncellenmesi"/>
    <x v="16"/>
    <e v="#N/A"/>
    <x v="0"/>
    <s v="-"/>
    <s v="Ürün İş Listesi"/>
    <n v="1"/>
  </r>
  <r>
    <s v="Story"/>
    <s v="WIK-716"/>
    <x v="1"/>
    <s v="Islak İmza Sürecinde Gösterilen Uyarı Mesajı Kutusunun Boyutunun Küçültülmesi"/>
    <x v="16"/>
    <e v="#N/A"/>
    <x v="0"/>
    <s v="-"/>
    <s v="Ürün İş Listesi"/>
    <n v="1"/>
  </r>
  <r>
    <s v="Story"/>
    <s v="IEU-252"/>
    <x v="1"/>
    <s v="EYP 1.3 Dokümana Uygunluk Kapsamında Eksik Kontrollerin Tamamlanması"/>
    <x v="5"/>
    <e v="#N/A"/>
    <x v="0"/>
    <s v="-"/>
    <s v="Ürün İş Listesi"/>
    <n v="3"/>
  </r>
  <r>
    <s v="Story"/>
    <s v="IEU-253"/>
    <x v="1"/>
    <s v="EYP 2.0 Dokümana Uygunluk Kapsamında Eksik Kontrollerin Tamamlanması"/>
    <x v="5"/>
    <e v="#N/A"/>
    <x v="0"/>
    <s v="-"/>
    <s v="Ürün İş Listesi"/>
    <n v="3"/>
  </r>
  <r>
    <s v="Bug"/>
    <s v="IEU-257"/>
    <x v="1"/>
    <s v="Kota hesaplama servisinde bazı hesapların kotası veri tabanına yazılmaması"/>
    <x v="5"/>
    <e v="#N/A"/>
    <x v="0"/>
    <s v="-"/>
    <s v="Ürün İş Listesi"/>
    <n v="1"/>
  </r>
  <r>
    <s v="Story"/>
    <s v="MU-149"/>
    <x v="1"/>
    <s v="UKDS Süreç Takibi ve Hata Giderme Çalışmaları"/>
    <x v="9"/>
    <e v="#N/A"/>
    <x v="0"/>
    <s v="-"/>
    <s v="Ürün İş Listesi"/>
    <n v="5"/>
  </r>
  <r>
    <s v="Story"/>
    <s v="EFT-2266"/>
    <x v="1"/>
    <s v="Mevcut QR Code Image Alanlarının Kaldırılması – Sadece JavaScript ile Devam Edilmesi"/>
    <x v="4"/>
    <e v="#N/A"/>
    <x v="0"/>
    <s v="-"/>
    <s v="Ürün İş Listesi"/>
    <n v="5"/>
  </r>
  <r>
    <s v="Story"/>
    <s v="EFT-2261"/>
    <x v="1"/>
    <s v="Araştırma-Gelen Faturaların Sistem Üzerinde Görünmemesi Durumunun İncelenmesi"/>
    <x v="4"/>
    <e v="#N/A"/>
    <x v="0"/>
    <s v="-"/>
    <s v="Ürün İş Listesi"/>
    <n v="5"/>
  </r>
  <r>
    <s v="Story"/>
    <s v="EFT-2259"/>
    <x v="1"/>
    <s v="Web Servis/ 702 Kodlu İhraç Kayıtlı Faturalarda Değişiklik"/>
    <x v="4"/>
    <e v="#N/A"/>
    <x v="0"/>
    <s v="-"/>
    <s v="Ürün İş Listesi"/>
    <n v="2"/>
  </r>
  <r>
    <s v="Bug"/>
    <s v="EDF-781"/>
    <x v="1"/>
    <s v="Onaylı Defter Silme İşleminde GİB Kontrolü"/>
    <x v="3"/>
    <e v="#N/A"/>
    <x v="0"/>
    <s v="-"/>
    <s v="Ürün İş Listesi"/>
    <n v="1"/>
  </r>
  <r>
    <s v="Story"/>
    <s v="KA-1541"/>
    <x v="1"/>
    <s v="OverFrame – AllowedHosts IP Bağımlılığı Sorunu"/>
    <x v="6"/>
    <e v="#N/A"/>
    <x v="0"/>
    <s v="-"/>
    <s v="Ürün İş Listesi"/>
    <n v="5"/>
  </r>
  <r>
    <s v="Bug"/>
    <s v="EFT-2270"/>
    <x v="1"/>
    <s v="Web Serviste YeniGelenFaturalarıListele Metodu Şahıs Şirketi Bilgileri"/>
    <x v="4"/>
    <e v="#N/A"/>
    <x v="0"/>
    <s v="-"/>
    <s v="Ürün İş Listesi"/>
    <n v="2"/>
  </r>
  <r>
    <s v="Bug"/>
    <s v="EFT-2269"/>
    <x v="1"/>
    <s v="Web Serviste FaturaGonder Metodu 00 ile Başlayan TaxID Düzeltmesi"/>
    <x v="4"/>
    <e v="#N/A"/>
    <x v="0"/>
    <s v="-"/>
    <s v="Ürün İş Listesi"/>
    <n v="2"/>
  </r>
  <r>
    <s v="Story"/>
    <s v="EFT-2268"/>
    <x v="1"/>
    <s v="Konnektör – E-Fatura/İrsaliye Ekranlarında Notlar Alanında Scroll Fonksiyonun Eklenmesi"/>
    <x v="4"/>
    <e v="#N/A"/>
    <x v="0"/>
    <s v="-"/>
    <s v="Ürün İş Listesi"/>
    <n v="1"/>
  </r>
  <r>
    <s v="Bug"/>
    <s v="EFT-2267"/>
    <x v="1"/>
    <s v="Tüm XSLT’lerde GİB logosu güncellemesi"/>
    <x v="4"/>
    <e v="#N/A"/>
    <x v="0"/>
    <s v="-"/>
    <s v="Ürün İş Listesi"/>
    <n v="1"/>
  </r>
  <r>
    <s v="Story"/>
    <s v="DP-285"/>
    <x v="1"/>
    <s v="&quot;Harici Olarak İşaretleme&quot; ve Arşiv Bilgisi Alanlarin Eklenmesi"/>
    <x v="1"/>
    <e v="#N/A"/>
    <x v="0"/>
    <s v="-"/>
    <s v="Ürün İş Listesi"/>
    <n v="1"/>
  </r>
  <r>
    <s v="Story"/>
    <s v="CRM-692"/>
    <x v="1"/>
    <s v="Rest Servisinde Kullanılan Zaman Damgası Kullanıcısının Değiştirimesi"/>
    <x v="0"/>
    <e v="#N/A"/>
    <x v="0"/>
    <s v="-"/>
    <s v="Ürün İş Listesi"/>
    <n v="1"/>
  </r>
  <r>
    <s v="Story"/>
    <s v="CRM-693"/>
    <x v="1"/>
    <s v="Kurumsal KEP Adresi Öneri Güncelleme"/>
    <x v="0"/>
    <e v="#N/A"/>
    <x v="0"/>
    <s v="-"/>
    <s v="Ürün İş Listesi"/>
    <n v="2"/>
  </r>
  <r>
    <s v="Story"/>
    <s v="CRM-702"/>
    <x v="1"/>
    <s v="CRM Sözleşme PDF'i Unvan Uzunlukları ve Adres Formatı"/>
    <x v="0"/>
    <e v="#N/A"/>
    <x v="0"/>
    <s v="-"/>
    <s v="Ürün İş Listesi"/>
    <n v="1"/>
  </r>
  <r>
    <s v="Story"/>
    <s v="CRM-700"/>
    <x v="1"/>
    <s v="UKDS Bireysel KEP Kontrol Otomasyonu"/>
    <x v="0"/>
    <e v="#N/A"/>
    <x v="0"/>
    <s v="-"/>
    <s v="Ürün İş Listesi"/>
    <n v="5"/>
  </r>
  <r>
    <s v="Story"/>
    <s v="CRM-701"/>
    <x v="1"/>
    <s v="UKDS Kurumsal KEP Kontrol Otomasyonu"/>
    <x v="0"/>
    <e v="#N/A"/>
    <x v="0"/>
    <s v="-"/>
    <s v="Ürün İş Listesi"/>
    <n v="3"/>
  </r>
  <r>
    <s v="Story"/>
    <s v="WIK-717"/>
    <x v="1"/>
    <s v="Uygulama İçindeki “KEP Sender” İfadesinin Türkçeleştirilmesi"/>
    <x v="16"/>
    <e v="#N/A"/>
    <x v="0"/>
    <s v="-"/>
    <s v="Ürün İş Listesi"/>
    <n v="1"/>
  </r>
  <r>
    <s v="Story"/>
    <s v="WIK-721"/>
    <x v="1"/>
    <s v="İnceleme-Kütüphane Değişliği"/>
    <x v="16"/>
    <e v="#N/A"/>
    <x v="0"/>
    <s v="-"/>
    <s v="Ürün İş Listesi"/>
    <n v="3"/>
  </r>
  <r>
    <s v="Story"/>
    <s v="UKDS-176"/>
    <x v="1"/>
    <s v="Test Robot Ortamının Kurulması"/>
    <x v="16"/>
    <e v="#N/A"/>
    <x v="0"/>
    <s v="-"/>
    <s v="Ürün İş Listesi"/>
    <n v="3"/>
  </r>
  <r>
    <s v="Story"/>
    <s v="MU-127"/>
    <x v="1"/>
    <s v="Şifremi Unuttum” Ekranında Sayfa Geçişlerinde Oluşan Katmanlama Hatası"/>
    <x v="9"/>
    <e v="#N/A"/>
    <x v="0"/>
    <s v="-"/>
    <s v="Ürün İş Listesi"/>
    <n v="3"/>
  </r>
  <r>
    <s v="Bug"/>
    <s v="IEU-262"/>
    <x v="1"/>
    <s v="API Entegrasyonu: SBM Firması Yanıtında Türkçe Karakter Kodlama Sorunu (UTF-8)"/>
    <x v="5"/>
    <e v="#N/A"/>
    <x v="0"/>
    <s v="-"/>
    <s v="Ürün İş Listesi"/>
    <n v="3"/>
  </r>
  <r>
    <s v="Story"/>
    <s v="MYS-803"/>
    <x v="1"/>
    <s v="İngilizce Metinlerin Türkçeleştirilmesi"/>
    <x v="12"/>
    <e v="#N/A"/>
    <x v="0"/>
    <s v="-"/>
    <s v="Ürün İş Listesi"/>
    <n v="3"/>
  </r>
  <r>
    <s v="Bug"/>
    <s v="KA-1547"/>
    <x v="1"/>
    <s v="Toplu Dosya İmzalama İşleminde Chrome Performans Sorunu"/>
    <x v="6"/>
    <e v="#N/A"/>
    <x v="0"/>
    <s v="-"/>
    <s v="Ürün İş Listesi"/>
    <n v="3"/>
  </r>
  <r>
    <s v="Bug"/>
    <s v="KA-1548"/>
    <x v="1"/>
    <s v="Çoklu KEP İletisi Oluşturulduğunda İmzalama Hatası"/>
    <x v="6"/>
    <e v="#N/A"/>
    <x v="0"/>
    <s v="-"/>
    <s v="Ürün İş Listesi"/>
    <n v="3"/>
  </r>
  <r>
    <s v="Bug"/>
    <s v="MU-126"/>
    <x v="1"/>
    <s v="UKDS Login Ekranında Sayfa Geçişlerinde Görülen Katmanlama Hatası"/>
    <x v="9"/>
    <e v="#N/A"/>
    <x v="0"/>
    <s v="-"/>
    <s v="Ürün İş Listesi"/>
    <n v="3"/>
  </r>
  <r>
    <s v="Story"/>
    <s v="MU-152"/>
    <x v="1"/>
    <s v="Deferred Deep Link Entegrasyonu: Teknik Analiz ve MVP Uygulaması"/>
    <x v="9"/>
    <e v="#N/A"/>
    <x v="0"/>
    <s v="-"/>
    <s v="Ürün İş Listesi"/>
    <n v="5"/>
  </r>
  <r>
    <s v="Story"/>
    <s v="MU-153"/>
    <x v="0"/>
    <s v="Kullanıcı Davranış Analizi İçin Mobil Uygulama Event'lerinin Entegrasyonu"/>
    <x v="9"/>
    <e v="#N/A"/>
    <x v="0"/>
    <s v="-"/>
    <s v="Ürün İş Listesi"/>
    <n v="5"/>
  </r>
  <r>
    <s v="Bug"/>
    <s v="ES-303"/>
    <x v="1"/>
    <s v="Yetkilendirme Düzeltmesi"/>
    <x v="21"/>
    <e v="#N/A"/>
    <x v="0"/>
    <s v="-"/>
    <s v="Ürün İş Listesi"/>
    <n v="1"/>
  </r>
  <r>
    <s v="Sub-task"/>
    <s v="EFT-2277"/>
    <x v="1"/>
    <s v="EFT-2267 Mevcut default xslt dosyalarının GIB logosunun güncellenmesi"/>
    <x v="4"/>
    <e v="#N/A"/>
    <x v="0"/>
    <s v="-"/>
    <s v="Ürün İş Listesi"/>
    <n v="1"/>
  </r>
  <r>
    <s v="Story"/>
    <s v="EFT-2278"/>
    <x v="1"/>
    <s v="e-Fatura portalda parent yapısı için kullanılan imzalamanın set-up güncellemesi"/>
    <x v="4"/>
    <e v="#N/A"/>
    <x v="0"/>
    <s v="-"/>
    <s v="Ürün İş Listesi"/>
    <n v="2"/>
  </r>
  <r>
    <s v="Bug"/>
    <s v="EFT-2276"/>
    <x v="1"/>
    <s v="Regex Kurallarının Düzenlenmesi"/>
    <x v="4"/>
    <e v="#N/A"/>
    <x v="0"/>
    <s v="-"/>
    <s v="Ürün İş Listesi"/>
    <n v="1"/>
  </r>
  <r>
    <s v="Story"/>
    <s v="IEU-263"/>
    <x v="1"/>
    <s v="Entegrasyon Suit - UKDS Servis Uyarılarının Ortaklaştırılması"/>
    <x v="5"/>
    <e v="#N/A"/>
    <x v="0"/>
    <s v="-"/>
    <s v="Ürün İş Listesi"/>
    <n v="5"/>
  </r>
  <r>
    <s v="Story"/>
    <s v="EFT-2281"/>
    <x v="1"/>
    <s v="Prod Ortamda Xslt Dosyalarının Script Olması"/>
    <x v="4"/>
    <e v="#N/A"/>
    <x v="0"/>
    <s v="-"/>
    <s v="Ürün İş Listesi"/>
    <n v="5"/>
  </r>
  <r>
    <s v="Story"/>
    <s v="EFT-2279"/>
    <x v="1"/>
    <s v="Mail Gönderimlerinin Ortaklaştırılması"/>
    <x v="4"/>
    <e v="#N/A"/>
    <x v="0"/>
    <s v="-"/>
    <s v="Ürün İş Listesi"/>
    <n v="3"/>
  </r>
  <r>
    <s v="Story"/>
    <s v="EFT-2280"/>
    <x v="1"/>
    <s v="Kullanıcı Bildirim Stratejisinin Analizi ve Uygulama Bazında Dokümantasyonu"/>
    <x v="4"/>
    <e v="#N/A"/>
    <x v="0"/>
    <s v="-"/>
    <s v="Ürün İş Listesi"/>
    <n v="2"/>
  </r>
  <r>
    <s v="Story"/>
    <s v="EFT-2282"/>
    <x v="1"/>
    <s v="SAP Servisleri / Gelenirsliyeindir ve Gelenirsliyelistele Metodlarının İncelenmesi"/>
    <x v="4"/>
    <e v="#N/A"/>
    <x v="0"/>
    <s v="-"/>
    <s v="Ürün İş Listesi"/>
    <n v="2"/>
  </r>
  <r>
    <s v="Story"/>
    <s v="CRM-696"/>
    <x v="1"/>
    <s v="E-İmza Siparişleri Ek Düzenleme"/>
    <x v="0"/>
    <e v="#N/A"/>
    <x v="0"/>
    <s v="-"/>
    <s v="Ürün İş Listesi"/>
    <n v="3"/>
  </r>
  <r>
    <s v="Story"/>
    <s v="CRM-712"/>
    <x v="1"/>
    <s v="E-Ödeme Linki Gönderiminde Onay Süreci Şartı"/>
    <x v="0"/>
    <e v="#N/A"/>
    <x v="0"/>
    <s v="-"/>
    <s v="Ürün İş Listesi"/>
    <n v="1"/>
  </r>
  <r>
    <s v="Story"/>
    <s v="CRM-708"/>
    <x v="1"/>
    <s v="Halkbank Projesi için Statü Kodlarının Eklenmesi"/>
    <x v="0"/>
    <e v="#N/A"/>
    <x v="0"/>
    <s v="-"/>
    <s v="Ürün İş Listesi"/>
    <n v="5"/>
  </r>
  <r>
    <s v="Story"/>
    <s v="CRM-709"/>
    <x v="1"/>
    <s v="UKDS Kontrol Otomasyon Raporu"/>
    <x v="0"/>
    <e v="#N/A"/>
    <x v="0"/>
    <s v="-"/>
    <s v="Ürün İş Listesi"/>
    <n v="1"/>
  </r>
  <r>
    <s v="Story"/>
    <s v="CRM-710"/>
    <x v="1"/>
    <s v="UKDS Kontrol Otomasyonu Kurumsal KEP Öneri"/>
    <x v="0"/>
    <e v="#N/A"/>
    <x v="0"/>
    <s v="-"/>
    <s v="Ürün İş Listesi"/>
    <n v="3"/>
  </r>
  <r>
    <s v="Story"/>
    <s v="CRM-711"/>
    <x v="1"/>
    <s v="MERSİS Sonuç Dokümanı ile CRM Müşteri Ekranı VKN Eşleştirmesi"/>
    <x v="0"/>
    <e v="#N/A"/>
    <x v="0"/>
    <s v="-"/>
    <s v="Ürün İş Listesi"/>
    <n v="3"/>
  </r>
  <r>
    <s v="Story"/>
    <s v="UKDS-180"/>
    <x v="1"/>
    <s v="UKDS e- Devlet Onay Linki Süreci İçin Hatırlatma Bildirimleri"/>
    <x v="15"/>
    <e v="#N/A"/>
    <x v="0"/>
    <s v="-"/>
    <s v="Ürün İş Listesi"/>
    <m/>
  </r>
  <r>
    <s v="Story"/>
    <s v="WIK-732"/>
    <x v="1"/>
    <s v="Araştırma- Kep İK Servisleri İçin DB Partitioning İşleminin Teknik Değerlendirilmesi"/>
    <x v="16"/>
    <e v="#N/A"/>
    <x v="0"/>
    <s v="-"/>
    <s v="Ürün İş Listesi"/>
    <m/>
  </r>
  <r>
    <s v="Story"/>
    <s v="WIK-724"/>
    <x v="1"/>
    <s v="Uyarı Gösteriminde PrimeNG Kütüphanesi Entegrasyonunun Sağlanması"/>
    <x v="16"/>
    <e v="#N/A"/>
    <x v="0"/>
    <s v="-"/>
    <s v="Ürün İş Listesi"/>
    <n v="8"/>
  </r>
  <r>
    <s v="Story"/>
    <s v="WIK-725"/>
    <x v="1"/>
    <s v="Toast Mesajlarının Gruplandırmaya Göre Yeniden Düzenlenmesi ve Metinlerin İyileştirilmesi"/>
    <x v="16"/>
    <e v="#N/A"/>
    <x v="0"/>
    <s v="-"/>
    <s v="Ürün İş Listesi"/>
    <n v="3"/>
  </r>
  <r>
    <s v="Bug"/>
    <s v="KEP-304"/>
    <x v="1"/>
    <s v="KEP Adresi Arama Alanında EYP Görüntüleme Sorunu"/>
    <x v="7"/>
    <e v="#N/A"/>
    <x v="0"/>
    <s v="-"/>
    <s v="Ürün İş Listesi"/>
    <n v="2"/>
  </r>
  <r>
    <s v="Story"/>
    <s v="WIK-731"/>
    <x v="1"/>
    <s v="Araştırma- Kullanıcı Yönetimi Ekranı DB Partitioning İşleminin Teknik Değerlendirilmesi"/>
    <x v="16"/>
    <e v="#N/A"/>
    <x v="0"/>
    <s v="-"/>
    <s v="Ürün İş Listesi"/>
    <m/>
  </r>
  <r>
    <s v="Story"/>
    <s v="WIK-730"/>
    <x v="1"/>
    <s v="Araştırma- Duyuru Modülü İçin DB Partitioning İşleminin Teknik Değerlendirilmesi"/>
    <x v="16"/>
    <e v="#N/A"/>
    <x v="0"/>
    <s v="-"/>
    <s v="Ürün İş Listesi"/>
    <m/>
  </r>
  <r>
    <s v="Story"/>
    <s v="WIK-729"/>
    <x v="1"/>
    <s v="Araştırma- Çalışan Ekle Ekranı İçin DB Partitioning İşleminin Teknik Değerlendirilmesi"/>
    <x v="16"/>
    <e v="#N/A"/>
    <x v="0"/>
    <s v="-"/>
    <s v="Ürün İş Listesi"/>
    <m/>
  </r>
  <r>
    <s v="Story"/>
    <s v="WIK-728"/>
    <x v="1"/>
    <s v="Araştırma- Çalışanlar Ekranında DB Partitioning İşleminin Teknik Değerlendirilmesi"/>
    <x v="16"/>
    <e v="#N/A"/>
    <x v="0"/>
    <s v="-"/>
    <s v="Ürün İş Listesi"/>
    <m/>
  </r>
  <r>
    <s v="Story"/>
    <s v="WIK-727"/>
    <x v="1"/>
    <s v="Araştırma- İk Gönderimleri DB Partitioning İşleminin Teknik Değerlendirilmesi"/>
    <x v="16"/>
    <e v="#N/A"/>
    <x v="0"/>
    <s v="-"/>
    <s v="Ürün İş Listesi"/>
    <m/>
  </r>
  <r>
    <s v="Story"/>
    <s v="WIK-708"/>
    <x v="1"/>
    <s v="Araştırma- Anasayfa  DB Partitioning İşleminin Teknik Değerlendirilmesi"/>
    <x v="16"/>
    <e v="#N/A"/>
    <x v="0"/>
    <s v="-"/>
    <s v="Ürün İş Listesi"/>
    <m/>
  </r>
  <r>
    <s v="Story"/>
    <s v="UKDS-181"/>
    <x v="1"/>
    <s v="Kep İK,  Süreçleri İçin Bildirimlerin Ayrıştırılması"/>
    <x v="15"/>
    <e v="#N/A"/>
    <x v="0"/>
    <s v="-"/>
    <s v="Ürün İş Listesi"/>
    <m/>
  </r>
  <r>
    <s v="Bug"/>
    <s v="MYS-810"/>
    <x v="1"/>
    <s v="KEP İletisi İşlemi Sonrası Görev Statüsünün Hatalı Olarak 'Onay Bekliyor'da Kalması"/>
    <x v="12"/>
    <e v="#N/A"/>
    <x v="0"/>
    <s v="-"/>
    <s v="Ürün İş Listesi"/>
    <n v="2"/>
  </r>
  <r>
    <s v="Bug"/>
    <s v="MYS-809"/>
    <x v="1"/>
    <s v="SEP Entegrasyonu / Durum  Hatası"/>
    <x v="12"/>
    <e v="#N/A"/>
    <x v="0"/>
    <s v="-"/>
    <s v="Ürün İş Listesi"/>
    <n v="2"/>
  </r>
  <r>
    <s v="Story"/>
    <s v="MYS-806"/>
    <x v="1"/>
    <s v="Kullanıcı Yorumu Alanına Tooltip ve Grid Genişletme Fonksiyonun Eklenmesi"/>
    <x v="12"/>
    <e v="#N/A"/>
    <x v="0"/>
    <s v="-"/>
    <s v="Ürün İş Listesi"/>
    <n v="1"/>
  </r>
  <r>
    <s v="Story"/>
    <s v="MU-157"/>
    <x v="0"/>
    <s v="Uygulama İçi ve Push Notification Fonksiyonun Eklenmesi"/>
    <x v="9"/>
    <s v="To Do"/>
    <x v="0"/>
    <s v="-"/>
    <s v="Ürün İş Listesi"/>
    <m/>
  </r>
  <r>
    <s v="Bug"/>
    <s v="MU-156"/>
    <x v="1"/>
    <s v="Tarih Seçimi Format Hatası: Ayın 10. günü &quot;010&quot; olarak formatlanıyor ve doğrulamayı geçemiyor."/>
    <x v="9"/>
    <e v="#N/A"/>
    <x v="0"/>
    <s v="-"/>
    <s v="Ürün İş Listesi"/>
    <n v="1"/>
  </r>
  <r>
    <s v="Story"/>
    <s v="MU-155"/>
    <x v="1"/>
    <s v="Webmail erişim Kontrolün Eklenmesi"/>
    <x v="9"/>
    <e v="#N/A"/>
    <x v="0"/>
    <s v="-"/>
    <s v="Ürün İş Listesi"/>
    <n v="1"/>
  </r>
  <r>
    <s v="Story"/>
    <s v="MU-141"/>
    <x v="1"/>
    <s v="Araştırma-FCM Token Alma Hatası Durumların Araştırılması"/>
    <x v="9"/>
    <s v="Done"/>
    <x v="0"/>
    <s v="-"/>
    <s v="Ürün İş Listesi"/>
    <m/>
  </r>
  <r>
    <s v="Bug"/>
    <s v="MU-125"/>
    <x v="1"/>
    <s v="_currentMailBoxData Alanının Başlatılmaması Nedeniyle Oluşan Hata"/>
    <x v="9"/>
    <e v="#N/A"/>
    <x v="0"/>
    <s v="-"/>
    <s v="Ürün İş Listesi"/>
    <n v="5"/>
  </r>
  <r>
    <s v="Story"/>
    <s v="KEP-307"/>
    <x v="1"/>
    <s v="Yetki Alanlarının Web ve Mobil Uygulamalarda Doğru Çalışmasının Test Edilmesi"/>
    <x v="7"/>
    <e v="#N/A"/>
    <x v="0"/>
    <s v="-"/>
    <s v="Ürün İş Listesi"/>
    <m/>
  </r>
  <r>
    <s v="Story"/>
    <s v="KEP-306"/>
    <x v="1"/>
    <s v="SOAP servislerde &quot;webmail erişim yetkisi&quot; Kontrolünün Mobil Uygulama için Eklenmesi"/>
    <x v="7"/>
    <e v="#N/A"/>
    <x v="0"/>
    <s v="-"/>
    <s v="Ürün İş Listesi"/>
    <n v="3"/>
  </r>
  <r>
    <s v="Bug"/>
    <s v="KEP-303"/>
    <x v="1"/>
    <s v="Bazı Senaryolarda &quot;Şifremi Unuttum&quot; Adımında Yaşanan Hata"/>
    <x v="7"/>
    <e v="#N/A"/>
    <x v="0"/>
    <s v="-"/>
    <s v="Ürün İş Listesi"/>
    <n v="5"/>
  </r>
  <r>
    <s v="Bug"/>
    <s v="KA-1554"/>
    <x v="1"/>
    <s v="KEP Assist Gelen Kutusunda EYP 1.3 iletisi görüntülenmek istendiğinde 500 hatası alınıyor ve ekran donuyor"/>
    <x v="6"/>
    <e v="#N/A"/>
    <x v="0"/>
    <s v="-"/>
    <s v="Ürün İş Listesi"/>
    <n v="1"/>
  </r>
  <r>
    <s v="Story"/>
    <s v="DP-284"/>
    <x v="1"/>
    <s v="Destek Portal Veritabanı Hostname Geçişi"/>
    <x v="1"/>
    <e v="#N/A"/>
    <x v="0"/>
    <s v="-"/>
    <s v="Ürün İş Listesi"/>
    <n v="1"/>
  </r>
  <r>
    <s v="Story"/>
    <s v="DAVS-176"/>
    <x v="1"/>
    <s v="Kullanıcı statüsünün güncellenmesi"/>
    <x v="18"/>
    <e v="#N/A"/>
    <x v="0"/>
    <s v="-"/>
    <s v="Ürün İş Listesi"/>
    <m/>
  </r>
  <r>
    <s v="Story"/>
    <s v="DAVS-175"/>
    <x v="1"/>
    <s v="E-Defter modülü Defter Rapor Berat dokümanının indirilmesi"/>
    <x v="18"/>
    <e v="#N/A"/>
    <x v="0"/>
    <s v="-"/>
    <s v="Ürün İş Listesi"/>
    <m/>
  </r>
  <r>
    <s v="Story"/>
    <s v="DAVS-174"/>
    <x v="1"/>
    <s v="E-Defter modülü sayfasının oluşturulması"/>
    <x v="18"/>
    <e v="#N/A"/>
    <x v="0"/>
    <s v="-"/>
    <s v="Ürün İş Listesi"/>
    <m/>
  </r>
  <r>
    <s v="Story"/>
    <s v="DAVS-173"/>
    <x v="1"/>
    <s v="E-Defter dokümanlarının indirilmesi"/>
    <x v="18"/>
    <e v="#N/A"/>
    <x v="0"/>
    <s v="-"/>
    <s v="Ürün İş Listesi"/>
    <m/>
  </r>
  <r>
    <s v="Story"/>
    <s v="DAVS-172"/>
    <x v="1"/>
    <s v="E-Defter kayıtlarının listelenmesi"/>
    <x v="18"/>
    <e v="#N/A"/>
    <x v="0"/>
    <s v="-"/>
    <s v="Ürün İş Listesi"/>
    <m/>
  </r>
  <r>
    <s v="Sub-task"/>
    <s v="DAVS-171"/>
    <x v="3"/>
    <s v="Kod refactoring çalışması"/>
    <x v="18"/>
    <e v="#N/A"/>
    <x v="0"/>
    <s v="-"/>
    <s v="Ürün İş Listesi"/>
    <m/>
  </r>
  <r>
    <s v="Sub-task"/>
    <s v="DAVS-168"/>
    <x v="1"/>
    <s v="Kod refactoring çalışması"/>
    <x v="18"/>
    <e v="#N/A"/>
    <x v="0"/>
    <s v="-"/>
    <s v="Ürün İş Listesi"/>
    <m/>
  </r>
  <r>
    <s v="Sub-task"/>
    <s v="DAVS-166"/>
    <x v="1"/>
    <s v="Kod refactoring çalışması"/>
    <x v="18"/>
    <e v="#N/A"/>
    <x v="0"/>
    <s v="-"/>
    <s v="Ürün İş Listesi"/>
    <m/>
  </r>
  <r>
    <s v="Story"/>
    <s v="DAVS-165"/>
    <x v="0"/>
    <s v="Faz-1 geliştirmeleri için kod refactoring çalışması"/>
    <x v="18"/>
    <e v="#N/A"/>
    <x v="0"/>
    <s v="-"/>
    <s v="Ürün İş Listesi"/>
    <m/>
  </r>
  <r>
    <s v="Story"/>
    <s v="DAVS-164"/>
    <x v="3"/>
    <s v="Servis dokümanının güncellenmesi"/>
    <x v="18"/>
    <e v="#N/A"/>
    <x v="0"/>
    <s v="-"/>
    <s v="Ürün İş Listesi"/>
    <m/>
  </r>
  <r>
    <s v="Story"/>
    <s v="DAVS-163"/>
    <x v="1"/>
    <s v="Entegrasyon modülünün kullanıcı yetkilerine göre erişilmesi - E-Defter"/>
    <x v="18"/>
    <e v="#N/A"/>
    <x v="0"/>
    <s v="-"/>
    <s v="Ürün İş Listesi"/>
    <m/>
  </r>
  <r>
    <s v="Story"/>
    <s v="DAVS-104"/>
    <x v="1"/>
    <s v="Integrations Service – Defter Belgesini Getirme Endpoint’i Geliştirilmesi"/>
    <x v="18"/>
    <e v="#N/A"/>
    <x v="0"/>
    <s v="-"/>
    <s v="Ürün İş Listesi"/>
    <m/>
  </r>
  <r>
    <s v="Story"/>
    <s v="DAVS-103"/>
    <x v="1"/>
    <s v="Integrations Service – Defter Kayıtlarını Filtreleme Endpoint’i Geliştirilmesi"/>
    <x v="18"/>
    <e v="#N/A"/>
    <x v="0"/>
    <s v="-"/>
    <s v="Ürün İş Listesi"/>
    <m/>
  </r>
  <r>
    <s v="Story"/>
    <s v="DAVS-102"/>
    <x v="1"/>
    <s v="Integrations Service – Defter Listeleme Endpoint’i Geliştirilmesi"/>
    <x v="18"/>
    <e v="#N/A"/>
    <x v="0"/>
    <s v="-"/>
    <s v="Ürün İş Listesi"/>
    <m/>
  </r>
  <r>
    <s v="Story"/>
    <s v="CRM-717"/>
    <x v="0"/>
    <s v="CRM Satış Raporundaki Olumsuz Durumlar"/>
    <x v="0"/>
    <e v="#N/A"/>
    <x v="0"/>
    <s v="-"/>
    <s v="Ürün İş Listesi"/>
    <m/>
  </r>
  <r>
    <s v="Story"/>
    <s v="CRM-716"/>
    <x v="1"/>
    <s v="UKDS Şahıs Şirketi Müşteri Tipi Kontrol Otomasyonu"/>
    <x v="0"/>
    <e v="#N/A"/>
    <x v="0"/>
    <s v="-"/>
    <s v="Ürün İş Listesi"/>
    <n v="3"/>
  </r>
  <r>
    <s v="Story"/>
    <s v="CRM-713"/>
    <x v="1"/>
    <s v="UKDS'den Gelen Münferit Kayıtlarda Faaliyet Belgesi ve İmza Sirküsü Zorunluluğunun Kaldırılması"/>
    <x v="0"/>
    <e v="#N/A"/>
    <x v="0"/>
    <s v="-"/>
    <s v="Ürün İş Listesi"/>
    <n v="1"/>
  </r>
  <r>
    <s v="Bug"/>
    <s v="EFT-2295"/>
    <x v="1"/>
    <s v="'0' Başlayan VKN'lerde Excel Aktarım Hatası Hk."/>
    <x v="4"/>
    <e v="#N/A"/>
    <x v="0"/>
    <s v="-"/>
    <s v="Ürün İş Listesi"/>
    <n v="2"/>
  </r>
  <r>
    <s v="Story"/>
    <s v="EFT-2287"/>
    <x v="1"/>
    <s v="140 Sunucusunda &quot;Deleted&quot; Klasörünün Otomatik Temizlenmesi"/>
    <x v="4"/>
    <e v="#N/A"/>
    <x v="0"/>
    <s v="-"/>
    <s v="Ürün İş Listesi"/>
    <n v="3"/>
  </r>
  <r>
    <s v="Story"/>
    <s v="DP-287"/>
    <x v="1"/>
    <s v="Template Tablosu İnceleme"/>
    <x v="1"/>
    <e v="#N/A"/>
    <x v="0"/>
    <s v="-"/>
    <s v="Ürün İş Listesi"/>
    <n v="3"/>
  </r>
  <r>
    <s v="Story"/>
    <s v="EDF-785"/>
    <x v="1"/>
    <s v="Her Seferinde Aynı Hatayı Alan Parçaların Diğer Defter İşlemlerini Aksatmasının Engellemesi"/>
    <x v="3"/>
    <e v="#N/A"/>
    <x v="0"/>
    <s v="-"/>
    <s v="Ürün İş Listesi"/>
    <n v="3"/>
  </r>
  <r>
    <s v="Bug"/>
    <s v="WIK-736"/>
    <x v="1"/>
    <s v="KEP İK Delil Raporları Alanında Düzenleme"/>
    <x v="16"/>
    <e v="#N/A"/>
    <x v="0"/>
    <s v="-"/>
    <s v="Ürün İş Listesi"/>
    <n v="5"/>
  </r>
  <r>
    <s v="Story"/>
    <s v="WIK-733"/>
    <x v="1"/>
    <s v="Uygulamayı Kullanmadan İptal Eden Müşteriler İçin İptal Süreci Metodu Oluşturulması"/>
    <x v="16"/>
    <e v="#N/A"/>
    <x v="0"/>
    <s v="-"/>
    <s v="Ürün İş Listesi"/>
    <n v="3"/>
  </r>
  <r>
    <s v="Story"/>
    <s v="UKDS-187"/>
    <x v="0"/>
    <s v="CRM Üzerinden Açılan UKDS Başvurularında E-Devlet Onayı İçin Hatırlatma Maillerinin Gönderilmesi"/>
    <x v="15"/>
    <e v="#N/A"/>
    <x v="0"/>
    <s v="-"/>
    <s v="Ürün İş Listesi"/>
    <n v="1"/>
  </r>
  <r>
    <s v="Story"/>
    <s v="UKDS-186"/>
    <x v="1"/>
    <s v="CRM Süreçlerinde BTK Onayında Bekleyen Kayıtların Otomatik İptali ve “Süresi Geçti” Statüsünün Tanımlanması"/>
    <x v="15"/>
    <e v="#N/A"/>
    <x v="0"/>
    <s v="-"/>
    <s v="Ürün İş Listesi"/>
    <n v="1"/>
  </r>
  <r>
    <s v="Story"/>
    <s v="UKDS-185"/>
    <x v="1"/>
    <s v="Paket Seçimi Sonrasında Kullanıcının Ödeme Alanına Yönlendirilmesi ve Ödeme Tamamlanmadan Sürece Devam Edilmemesi"/>
    <x v="15"/>
    <e v="#N/A"/>
    <x v="0"/>
    <s v="-"/>
    <s v="Ürün İş Listesi"/>
    <n v="3"/>
  </r>
  <r>
    <s v="Story"/>
    <s v="UKDS-183"/>
    <x v="1"/>
    <s v="Kidos Ekran/ KEP Adres Bilgisi Görüntüleme ve Excel Aktarımı"/>
    <x v="15"/>
    <e v="#N/A"/>
    <x v="0"/>
    <s v="-"/>
    <s v="Ürün İş Listesi"/>
    <m/>
  </r>
  <r>
    <s v="Story"/>
    <s v="UKDS-182"/>
    <x v="1"/>
    <s v="Ek İşler Hk"/>
    <x v="15"/>
    <e v="#N/A"/>
    <x v="0"/>
    <s v="-"/>
    <s v="Ürün İş Listesi"/>
    <m/>
  </r>
  <r>
    <s v="Story"/>
    <s v="TIM-453"/>
    <x v="1"/>
    <s v="E-İmza Girişinde TCKN Tanımlı Olmayan Kullanıcılarda Hata Bildirimi Gösterilmesi"/>
    <x v="13"/>
    <e v="#N/A"/>
    <x v="0"/>
    <s v="-"/>
    <s v="Ürün İş Listesi"/>
    <m/>
  </r>
  <r>
    <s v="Story"/>
    <s v="SMSGW-11"/>
    <x v="1"/>
    <s v="Bakiye Alt Limit Uyarı ve Parametrik Mail Bildirimi"/>
    <x v="22"/>
    <e v="#N/A"/>
    <x v="0"/>
    <s v="-"/>
    <s v="Ürün İş Listesi"/>
    <m/>
  </r>
  <r>
    <s v="Story"/>
    <s v="MYS-815"/>
    <x v="1"/>
    <s v="BPA_LST_ATTRIBUTEVALUES_SP"/>
    <x v="12"/>
    <e v="#N/A"/>
    <x v="0"/>
    <s v="-"/>
    <s v="Ürün İş Listesi"/>
    <n v="1"/>
  </r>
  <r>
    <s v="Bug"/>
    <s v="MU-168"/>
    <x v="1"/>
    <s v="&quot;Şifremi Unuttum&quot; Ekranında KEP Adresi, TCKN ve GSM Alanlarında Format Doğrulaması (Regex Kontrolü) Eksikliği"/>
    <x v="9"/>
    <e v="#N/A"/>
    <x v="0"/>
    <s v="-"/>
    <s v="Ürün İş Listesi"/>
    <n v="5"/>
  </r>
  <r>
    <s v="Bug"/>
    <s v="MU-167"/>
    <x v="1"/>
    <s v="Posta Kutularında (Inbox) Aşağı Kaydırma Yapıldığında Eski İletiler Yavaş Yükleniyor"/>
    <x v="9"/>
    <s v="Done"/>
    <x v="0"/>
    <s v="-"/>
    <s v="Ürün İş Listesi"/>
    <m/>
  </r>
  <r>
    <s v="Story"/>
    <s v="MU-164"/>
    <x v="6"/>
    <s v="Android için Debug Apk Oluşturulması"/>
    <x v="9"/>
    <e v="#N/A"/>
    <x v="0"/>
    <s v="-"/>
    <s v="Ürün İş Listesi"/>
    <n v="2"/>
  </r>
  <r>
    <s v="Bug"/>
    <s v="MU-162"/>
    <x v="1"/>
    <s v="Face ID (yüz tanıma) ile girişte “Bağlantı sorunu oluştu” hatası"/>
    <x v="9"/>
    <e v="#N/A"/>
    <x v="0"/>
    <s v="-"/>
    <s v="Ürün İş Listesi"/>
    <n v="3"/>
  </r>
  <r>
    <s v="Story"/>
    <s v="MU-160"/>
    <x v="1"/>
    <s v="Ayarlar Şifre Değiştirme"/>
    <x v="9"/>
    <e v="#N/A"/>
    <x v="0"/>
    <s v="-"/>
    <s v="Ürün İş Listesi"/>
    <n v="3"/>
  </r>
  <r>
    <s v="Story"/>
    <s v="MU-159"/>
    <x v="1"/>
    <s v="App Rate Pop-up Eklenmesi"/>
    <x v="9"/>
    <e v="#N/A"/>
    <x v="0"/>
    <s v="-"/>
    <s v="Ürün İş Listesi"/>
    <n v="2"/>
  </r>
  <r>
    <s v="Story"/>
    <s v="KEP-308"/>
    <x v="1"/>
    <s v="SOAP servislerde &quot;görme yetkisi&quot; Kontrolünün Mobil Uygulama için Eklenmesi"/>
    <x v="7"/>
    <e v="#N/A"/>
    <x v="0"/>
    <s v="-"/>
    <s v="Ürün İş Listesi"/>
    <m/>
  </r>
  <r>
    <s v="Sub-task"/>
    <s v="KA-1559"/>
    <x v="1"/>
    <s v="Sub-Task Veri Modelleri ve İşlem Akışı Hk."/>
    <x v="6"/>
    <e v="#N/A"/>
    <x v="0"/>
    <s v="-"/>
    <s v="Ürün İş Listesi"/>
    <m/>
  </r>
  <r>
    <s v="Story"/>
    <s v="KA-1556"/>
    <x v="1"/>
    <s v="Hesap Hata Takibi "/>
    <x v="6"/>
    <e v="#N/A"/>
    <x v="0"/>
    <s v="-"/>
    <s v="Ürün İş Listesi"/>
    <n v="3"/>
  </r>
  <r>
    <s v="Bug"/>
    <s v="KA-1555"/>
    <x v="1"/>
    <s v="KEP Assist Otomatik Yanıt Süreç Hatası"/>
    <x v="6"/>
    <e v="#N/A"/>
    <x v="0"/>
    <s v="-"/>
    <s v="Ürün İş Listesi"/>
    <n v="3"/>
  </r>
  <r>
    <s v="Story"/>
    <s v="IEU-273"/>
    <x v="1"/>
    <s v="EYP Parser v20 – Alan Eksiklikleri ve Boş Response Sorunları"/>
    <x v="5"/>
    <e v="#N/A"/>
    <x v="0"/>
    <s v="-"/>
    <s v="Ürün İş Listesi"/>
    <n v="3"/>
  </r>
  <r>
    <s v="Story"/>
    <s v="IEU-272"/>
    <x v="1"/>
    <s v="EYP Parser v13 – Alan Eksiklikleri ve Boş Response Sorunları"/>
    <x v="5"/>
    <e v="#N/A"/>
    <x v="0"/>
    <s v="-"/>
    <s v="Ürün İş Listesi"/>
    <n v="3"/>
  </r>
  <r>
    <s v="Story"/>
    <s v="IEU-264"/>
    <x v="6"/>
    <s v="Entegrasyon Suit - UKDS Web Servis Entegrasyonunun Teknik Dokümantasyonunun Hazırlanması"/>
    <x v="5"/>
    <s v="TO TEST"/>
    <x v="1"/>
    <s v="Gelecek Sprint"/>
    <s v="Devam Eden ve Gelecek Sprint"/>
    <n v="2"/>
  </r>
  <r>
    <s v="Story"/>
    <s v="IEU-258"/>
    <x v="0"/>
    <s v="İnceleme/ e-Güven İmza Test API’si İncelemesi ve Olası Değişiklik Senaryolarının Değerlendirilmesi"/>
    <x v="5"/>
    <e v="#N/A"/>
    <x v="0"/>
    <s v="-"/>
    <s v="Ürün İş Listesi"/>
    <m/>
  </r>
  <r>
    <s v="Bug"/>
    <s v="EFT-2296"/>
    <x v="1"/>
    <s v="Gelen Fatura Kalemleri Raporunda PartyName Alanı Yoksa Fatura Kalemi Eklenememesi"/>
    <x v="4"/>
    <e v="#N/A"/>
    <x v="0"/>
    <s v="-"/>
    <s v="Ürün İş Listesi"/>
    <n v="1"/>
  </r>
  <r>
    <s v="Story"/>
    <s v="EFT-2290"/>
    <x v="0"/>
    <s v="GİB Sicil Servis Testi ile e-Belge Hizmet İptali"/>
    <x v="4"/>
    <e v="#N/A"/>
    <x v="0"/>
    <s v="-"/>
    <s v="Ürün İş Listesi"/>
    <m/>
  </r>
  <r>
    <s v="Story"/>
    <s v="EFT-2289"/>
    <x v="1"/>
    <s v="Gelen Fatura için Otomatik İade Faturası Oluşturma Butonu Eklenmesi"/>
    <x v="4"/>
    <e v="#N/A"/>
    <x v="0"/>
    <s v="-"/>
    <s v="Ürün İş Listesi"/>
    <m/>
  </r>
  <r>
    <s v="Story"/>
    <s v="EFT-2288"/>
    <x v="1"/>
    <s v="Fatura Takibi için Okundu-Okunmadı Özelliği Eklenmesi"/>
    <x v="4"/>
    <e v="#N/A"/>
    <x v="0"/>
    <s v="-"/>
    <s v="Ürün İş Listesi"/>
    <m/>
  </r>
  <r>
    <s v="Sub-task"/>
    <s v="DAVS-170"/>
    <x v="2"/>
    <s v="Kod refactoring çalışması"/>
    <x v="18"/>
    <e v="#N/A"/>
    <x v="0"/>
    <s v="-"/>
    <s v="Ürün İş Listesi"/>
    <m/>
  </r>
  <r>
    <s v="Story"/>
    <s v="CRM-727"/>
    <x v="1"/>
    <s v="Sanal Pos Ödeme Limiti Güncellemesi"/>
    <x v="0"/>
    <e v="#N/A"/>
    <x v="0"/>
    <s v="-"/>
    <s v="Ürün İş Listesi"/>
    <n v="1"/>
  </r>
  <r>
    <s v="Story"/>
    <s v="CRM-726"/>
    <x v="1"/>
    <s v="Form Kayıtlarının CRM’de Potansiyel Müşteri Olarak Oluşturulması"/>
    <x v="0"/>
    <e v="#N/A"/>
    <x v="0"/>
    <s v="-"/>
    <s v="Ürün İş Listesi"/>
    <n v="3"/>
  </r>
  <r>
    <s v="Story"/>
    <s v="CRM-725"/>
    <x v="1"/>
    <s v="Kısmı İade Fatura Kaydı"/>
    <x v="0"/>
    <e v="#N/A"/>
    <x v="0"/>
    <s v="-"/>
    <s v="Ürün İş Listesi"/>
    <n v="2"/>
  </r>
  <r>
    <s v="Story"/>
    <s v="CRM-724"/>
    <x v="1"/>
    <s v="KIDOS Kayıtlarında MERSİS Sorgu Dokümanı Ekleme Hatası"/>
    <x v="0"/>
    <e v="#N/A"/>
    <x v="0"/>
    <s v="-"/>
    <s v="Ürün İş Listesi"/>
    <m/>
  </r>
  <r>
    <s v="Story"/>
    <s v="CRM-721"/>
    <x v="0"/>
    <s v="KEP IK KKB Belgesi (PDF) Üretimi"/>
    <x v="0"/>
    <e v="#N/A"/>
    <x v="0"/>
    <s v="-"/>
    <s v="Ürün İş Listesi"/>
    <m/>
  </r>
  <r>
    <s v="Story"/>
    <s v="CRM-720"/>
    <x v="1"/>
    <s v="Ödeme Öncelikli Sipariş Yönetimi"/>
    <x v="0"/>
    <e v="#N/A"/>
    <x v="0"/>
    <s v="-"/>
    <s v="Ürün İş Listesi"/>
    <n v="2"/>
  </r>
  <r>
    <s v="Story"/>
    <s v="CRM-719"/>
    <x v="1"/>
    <s v="Bireysel ve Kurumsal KEP Sözleşmelerinde(PDF) Eklenecek Bilgiler"/>
    <x v="0"/>
    <e v="#N/A"/>
    <x v="0"/>
    <s v="-"/>
    <s v="Ürün İş Listesi"/>
    <n v="2"/>
  </r>
  <r>
    <s v="Story"/>
    <s v="CRM-705"/>
    <x v="1"/>
    <s v="İptal Siparişler Ek Düzenleme"/>
    <x v="0"/>
    <e v="#N/A"/>
    <x v="0"/>
    <s v="-"/>
    <s v="Ürün İş Listesi"/>
    <m/>
  </r>
  <r>
    <s v="Story"/>
    <s v="MU-158"/>
    <x v="1"/>
    <s v="Şifre Unuttum Ekranlarının Tasarımlarının Güncellenmesi"/>
    <x v="9"/>
    <e v="#N/A"/>
    <x v="0"/>
    <s v="-"/>
    <s v="Ürün İş Listesi"/>
    <n v="3"/>
  </r>
  <r>
    <s v="Story"/>
    <s v="IEU-245"/>
    <x v="1"/>
    <s v="EYP-Service için Teknik Rehbere Göre EYP 1.3 ve 2.0 Testlerinin Gerçekleştirilmesi"/>
    <x v="17"/>
    <e v="#N/A"/>
    <x v="0"/>
    <s v="-"/>
    <s v="Ürün İş Listesi"/>
    <m/>
  </r>
  <r>
    <s v="Story"/>
    <s v="IEU-246"/>
    <x v="1"/>
    <s v="timestamp-controller Altındaki Metotlara CloudApiHost Alanının Eklenmesi ve API-Access Token Kontrollü Erişim"/>
    <x v="17"/>
    <e v="#N/A"/>
    <x v="0"/>
    <s v="-"/>
    <s v="Ürün İş Listesi"/>
    <m/>
  </r>
  <r>
    <s v="Story"/>
    <s v="IEU-247"/>
    <x v="1"/>
    <s v="Servisteki Hataların Dokümantasyonu"/>
    <x v="17"/>
    <e v="#N/A"/>
    <x v="0"/>
    <s v="-"/>
    <s v="Ürün İş Listesi"/>
    <m/>
  </r>
  <r>
    <s v="Story"/>
    <s v="KAN-63"/>
    <x v="1"/>
    <s v="2025-BTA-013 FKM'ne Geçiş Projesi Canlı Ortamı Domain Geçiş Hazırlıkları ve Geçiş"/>
    <x v="19"/>
    <e v="#N/A"/>
    <x v="0"/>
    <s v="-"/>
    <s v="Ürün İş Listesi"/>
    <m/>
  </r>
  <r>
    <s v="Story"/>
    <s v="KA-1530"/>
    <x v="1"/>
    <s v="Gelen İletiler EYP 2.0 Görüntüleme Desteği ve Ek Alanların Gösterimi"/>
    <x v="6"/>
    <e v="#N/A"/>
    <x v="0"/>
    <s v="-"/>
    <s v="Ürün İş Listesi"/>
    <m/>
  </r>
  <r>
    <s v="Story"/>
    <s v="KA-1531"/>
    <x v="1"/>
    <s v="KEP ve UETS Servislerinden Gelen İletilerde Takvimleme Mekanizması"/>
    <x v="6"/>
    <e v="#N/A"/>
    <x v="0"/>
    <s v="-"/>
    <s v="Ürün İş Listesi"/>
    <m/>
  </r>
  <r>
    <s v="Story"/>
    <s v="KA-1533"/>
    <x v="1"/>
    <s v="Güncelleme Paketi hazırlanması"/>
    <x v="6"/>
    <e v="#N/A"/>
    <x v="0"/>
    <s v="-"/>
    <s v="Ürün İş Listesi"/>
    <m/>
  </r>
  <r>
    <s v="Story"/>
    <s v="KA-1532"/>
    <x v="1"/>
    <s v="2025-BTA-013 FKM'ne Geçiş Projesi Canlı Ortamı Domain Geçiş Hazırlıkları ve Geçiş"/>
    <x v="6"/>
    <e v="#N/A"/>
    <x v="0"/>
    <s v="-"/>
    <s v="Ürün İş Listesi"/>
    <m/>
  </r>
  <r>
    <s v="Story"/>
    <s v="MU-137"/>
    <x v="1"/>
    <s v="Kep Gönderimi – İleti Tipi Seçimini BottomSheet ile Göster"/>
    <x v="9"/>
    <e v="#N/A"/>
    <x v="0"/>
    <s v="-"/>
    <s v="Ürün İş Listesi"/>
    <m/>
  </r>
  <r>
    <s v="Story"/>
    <s v="MU-136"/>
    <x v="1"/>
    <s v="Şifremi Unuttum – İnternet Yok Uyarısı"/>
    <x v="9"/>
    <e v="#N/A"/>
    <x v="0"/>
    <s v="-"/>
    <s v="Ürün İş Listesi"/>
    <m/>
  </r>
  <r>
    <s v="Story"/>
    <s v="MU-139"/>
    <x v="1"/>
    <s v="Kep Gönderimden Sonra Giden Kutusu Otomatik Açılması"/>
    <x v="9"/>
    <e v="#N/A"/>
    <x v="0"/>
    <s v="-"/>
    <s v="Ürün İş Listesi"/>
    <m/>
  </r>
  <r>
    <s v="Story"/>
    <s v="MU-140"/>
    <x v="1"/>
    <s v="SMS Doğrulama/ Kod Silindiğin Butonun Pasif Olması"/>
    <x v="9"/>
    <e v="#N/A"/>
    <x v="0"/>
    <s v="-"/>
    <s v="Ürün İş Listesi"/>
    <m/>
  </r>
  <r>
    <s v="Story"/>
    <s v="MU-143"/>
    <x v="1"/>
    <s v="&quot;İleti Detayı (Barkod)&quot; Alanına Bilgilendirme Eklenmesi"/>
    <x v="9"/>
    <e v="#N/A"/>
    <x v="0"/>
    <s v="-"/>
    <s v="Ürün İş Listesi"/>
    <m/>
  </r>
  <r>
    <s v="Story"/>
    <s v="CRM-682"/>
    <x v="6"/>
    <s v="E-Belge Entegrasyon Yönetimi Alanı Düzenleme"/>
    <x v="0"/>
    <s v="TO TEST"/>
    <x v="1"/>
    <s v="Gelecek Sprint"/>
    <s v="Devam Eden ve Gelecek Sprint"/>
    <n v="2"/>
  </r>
  <r>
    <s v="Story"/>
    <s v="CRM-677"/>
    <x v="1"/>
    <s v="Ent. Suit Yenileme ve Modül Yenileme Akışının Düzenlenmesi"/>
    <x v="0"/>
    <e v="#N/A"/>
    <x v="0"/>
    <s v="-"/>
    <s v="Ürün İş Listesi"/>
    <m/>
  </r>
  <r>
    <s v="Story"/>
    <s v="UKDS-172"/>
    <x v="1"/>
    <s v="getApplicationsByMobile API’sine Yeni Parametrelerin Eklenmesi"/>
    <x v="15"/>
    <e v="#N/A"/>
    <x v="0"/>
    <s v="-"/>
    <s v="Ürün İş Listesi"/>
    <m/>
  </r>
  <r>
    <s v="Story"/>
    <s v="KEP-302"/>
    <x v="3"/>
    <s v="e-Güven İmzalama API Testi"/>
    <x v="7"/>
    <s v="Development"/>
    <x v="1"/>
    <s v="-"/>
    <s v="Devam Eden Sprint"/>
    <n v="8"/>
  </r>
  <r>
    <s v="Story"/>
    <s v="YZCK-17"/>
    <x v="1"/>
    <s v="Chatbot Webhook Güvenlik Servisi Geliştirmesi"/>
    <x v="23"/>
    <e v="#N/A"/>
    <x v="0"/>
    <s v="-"/>
    <s v="Ürün İş Listesi"/>
    <m/>
  </r>
  <r>
    <s v="Story"/>
    <s v="YZCK-16"/>
    <x v="1"/>
    <s v="Chatbot Mobil Uygulama FrontEnd Geliştirme"/>
    <x v="23"/>
    <e v="#N/A"/>
    <x v="0"/>
    <s v="-"/>
    <s v="Ürün İş Listesi"/>
    <m/>
  </r>
  <r>
    <s v="Story"/>
    <s v="YZCK-15"/>
    <x v="1"/>
    <s v="Araştırma-Max Iteration Hatası – Agent Döngü Problemi ve Çözüm Uygulamaları"/>
    <x v="23"/>
    <e v="#N/A"/>
    <x v="0"/>
    <s v="-"/>
    <s v="Ürün İş Listesi"/>
    <m/>
  </r>
  <r>
    <s v="Story"/>
    <s v="YZCK-10"/>
    <x v="1"/>
    <s v="Chat History Workflow ve PostgreSQL Entegrasyonu"/>
    <x v="23"/>
    <e v="#N/A"/>
    <x v="0"/>
    <s v="-"/>
    <s v="Ürün İş Listesi"/>
    <m/>
  </r>
  <r>
    <s v="Story"/>
    <s v="YZCK-9"/>
    <x v="3"/>
    <s v="Vectorel Veri Tabanında Q&amp;A Verilerinin Artırılması"/>
    <x v="23"/>
    <s v="In Progress"/>
    <x v="0"/>
    <s v="-"/>
    <s v="Ürün İş Listesi"/>
    <m/>
  </r>
  <r>
    <s v="Bug"/>
    <s v="YZCK-8"/>
    <x v="1"/>
    <s v="Excelde Bulunan Linklerin Clickable Olması"/>
    <x v="23"/>
    <e v="#N/A"/>
    <x v="0"/>
    <s v="-"/>
    <s v="Ürün İş Listesi"/>
    <m/>
  </r>
  <r>
    <s v="Story"/>
    <s v="YZCK-7"/>
    <x v="1"/>
    <s v="Chatbot Frontend Geliştirme Yaklaşımı İçin Teknik Araştırma"/>
    <x v="23"/>
    <e v="#N/A"/>
    <x v="0"/>
    <s v="-"/>
    <s v="Ürün İş Listesi"/>
    <m/>
  </r>
  <r>
    <s v="Bug"/>
    <s v="YZCK-6"/>
    <x v="1"/>
    <s v="Promptta Bulunmayan Verilerin Hata Mesajı Düzeltmesi"/>
    <x v="23"/>
    <e v="#N/A"/>
    <x v="0"/>
    <s v="-"/>
    <s v="Ürün İş Listesi"/>
    <m/>
  </r>
  <r>
    <s v="Story"/>
    <s v="YZCK-5"/>
    <x v="1"/>
    <s v="Çağrı Merkezi Senaryolarının Database Node (Qdrant)' a Eklenmesi"/>
    <x v="23"/>
    <e v="#N/A"/>
    <x v="0"/>
    <s v="-"/>
    <s v="Ürün İş Listesi"/>
    <m/>
  </r>
  <r>
    <s v="Bug"/>
    <s v="WIK-627"/>
    <x v="1"/>
    <s v="Kardekod logo ayar ekranı konumların kayması hk."/>
    <x v="16"/>
    <e v="#N/A"/>
    <x v="0"/>
    <s v="-"/>
    <s v="Ürün İş Listesi"/>
    <m/>
  </r>
  <r>
    <s v="Bug"/>
    <s v="WIK-621"/>
    <x v="1"/>
    <s v="Karekod görsel sorunu"/>
    <x v="16"/>
    <e v="#N/A"/>
    <x v="0"/>
    <s v="-"/>
    <s v="Ürün İş Listesi"/>
    <m/>
  </r>
  <r>
    <s v="Bug"/>
    <s v="WIK-612"/>
    <x v="1"/>
    <s v="Duyuru modülü Taslakların güncellenmemesi"/>
    <x v="16"/>
    <e v="#N/A"/>
    <x v="0"/>
    <s v="-"/>
    <s v="Ürün İş Listesi"/>
    <m/>
  </r>
  <r>
    <s v="Bug"/>
    <s v="UKDS-165"/>
    <x v="1"/>
    <s v="Çalışan Ekle Toplu İşlemlerde Paging Sorunu Hk"/>
    <x v="15"/>
    <e v="#N/A"/>
    <x v="0"/>
    <s v="-"/>
    <s v="Ürün İş Listesi"/>
    <m/>
  </r>
  <r>
    <s v="Bug"/>
    <s v="UKDS-122"/>
    <x v="1"/>
    <s v="KİDOS Kurumsal başvurularda VKN hatası"/>
    <x v="15"/>
    <e v="#N/A"/>
    <x v="0"/>
    <s v="-"/>
    <s v="Ürün İş Listesi"/>
    <m/>
  </r>
  <r>
    <s v="Bug"/>
    <s v="MYS-816"/>
    <x v="1"/>
    <s v="MYS(agesa) Görevler Toplu İşlemler Alanında SEP İletileri İçin Toplu Aksiyon Butonları Çalışmıyor "/>
    <x v="12"/>
    <e v="#N/A"/>
    <x v="0"/>
    <s v="-"/>
    <s v="Ürün İş Listesi"/>
    <m/>
  </r>
  <r>
    <s v="Bug"/>
    <s v="MYS-732"/>
    <x v="1"/>
    <s v="SEP İletisi Gönderme Hatası"/>
    <x v="12"/>
    <e v="#N/A"/>
    <x v="0"/>
    <s v="-"/>
    <s v="Ürün İş Listesi"/>
    <m/>
  </r>
  <r>
    <s v="Bug"/>
    <s v="MYS-731"/>
    <x v="1"/>
    <s v="EYP'lerin Taslaklara Kopyalanma Hatası"/>
    <x v="12"/>
    <e v="#N/A"/>
    <x v="0"/>
    <s v="-"/>
    <s v="Ürün İş Listesi"/>
    <m/>
  </r>
  <r>
    <s v="Bug"/>
    <s v="MYS-727"/>
    <x v="1"/>
    <s v="Basılı İleti -&gt; Taslaklar Ekranında Silme İşlemi Sırasında Hata ve Uyarılar"/>
    <x v="12"/>
    <e v="#N/A"/>
    <x v="0"/>
    <s v="-"/>
    <s v="Ürün İş Listesi"/>
    <m/>
  </r>
  <r>
    <s v="Bug"/>
    <s v="MUL-194"/>
    <x v="1"/>
    <s v="Toplu Alıcı Ekleme/Kaydetme Hk."/>
    <x v="11"/>
    <e v="#N/A"/>
    <x v="0"/>
    <s v="-"/>
    <s v="Ürün İş Listesi"/>
    <m/>
  </r>
  <r>
    <s v="Bug"/>
    <s v="MUL-193"/>
    <x v="1"/>
    <s v="Test Servisleri Genel Test Bulguları-2"/>
    <x v="11"/>
    <e v="#N/A"/>
    <x v="0"/>
    <s v="-"/>
    <s v="Ürün İş Listesi"/>
    <m/>
  </r>
  <r>
    <s v="Bug"/>
    <s v="MUL-191"/>
    <x v="1"/>
    <s v="Test Servisleri Genel Test Bulguları"/>
    <x v="11"/>
    <e v="#N/A"/>
    <x v="0"/>
    <s v="-"/>
    <s v="Ürün İş Listesi"/>
    <m/>
  </r>
  <r>
    <s v="Bug"/>
    <s v="MUL-185"/>
    <x v="1"/>
    <s v="Doküman Kişiselleştir Hatası"/>
    <x v="11"/>
    <e v="#N/A"/>
    <x v="0"/>
    <s v="-"/>
    <s v="Ürün İş Listesi"/>
    <m/>
  </r>
  <r>
    <s v="Bug"/>
    <s v="MUL-182"/>
    <x v="1"/>
    <s v="İTO 65K'lık belge yükleme sonrası oluşan hata"/>
    <x v="11"/>
    <e v="#N/A"/>
    <x v="0"/>
    <s v="-"/>
    <s v="Ürün İş Listesi"/>
    <m/>
  </r>
  <r>
    <s v="Bug"/>
    <s v="MUL-181"/>
    <x v="1"/>
    <s v="MKR yüksek ölçekli dosyaların indirilmesinde hata"/>
    <x v="11"/>
    <e v="#N/A"/>
    <x v="0"/>
    <s v="-"/>
    <s v="Ürün İş Listesi"/>
    <m/>
  </r>
  <r>
    <s v="Bug"/>
    <s v="MUL-177"/>
    <x v="1"/>
    <s v="Daha önce silinen belgelerin başka bir belge yüklerken tekrar listelenmesi"/>
    <x v="11"/>
    <e v="#N/A"/>
    <x v="0"/>
    <s v="-"/>
    <s v="Ürün İş Listesi"/>
    <m/>
  </r>
  <r>
    <s v="Bug"/>
    <s v="MUL-84"/>
    <x v="1"/>
    <s v="Kep iletisi içerik alanındaki metinlerin webmail'den görüntülenme düzenlemesi"/>
    <x v="11"/>
    <e v="#N/A"/>
    <x v="0"/>
    <s v="-"/>
    <s v="Ürün İş Listesi"/>
    <m/>
  </r>
  <r>
    <s v="Bug"/>
    <s v="MU-174"/>
    <x v="1"/>
    <s v="KEP Mobil Uygulama HTML İçerik Sorunu "/>
    <x v="9"/>
    <e v="#N/A"/>
    <x v="0"/>
    <s v="-"/>
    <s v="Ürün İş Listesi"/>
    <m/>
  </r>
  <r>
    <s v="Bug"/>
    <s v="MU-173"/>
    <x v="1"/>
    <s v="Yanlış Posta Kutusunda Görünüyor (Gelen Kutusu İken Giden Kutusu Yazıyor)"/>
    <x v="9"/>
    <e v="#N/A"/>
    <x v="0"/>
    <s v="-"/>
    <s v="Ürün İş Listesi"/>
    <m/>
  </r>
  <r>
    <s v="Bug"/>
    <s v="MU-172"/>
    <x v="1"/>
    <s v="Tarih Seçim Bileşeninde Geri Tuşu Kullanımı: Gün Görünümünden Ay Görünümüne Dönülmüyor, Direkt Yıla Atlıyor"/>
    <x v="9"/>
    <e v="#N/A"/>
    <x v="0"/>
    <s v="-"/>
    <s v="Ürün İş Listesi"/>
    <m/>
  </r>
  <r>
    <s v="Bug"/>
    <s v="MU-171"/>
    <x v="1"/>
    <s v="UKDS Başvurusu Onayında Akış Kesintisi: &quot;Hayır İptal Etme&quot; Seçeneği Uygulamadan Atıyor (Logout)"/>
    <x v="9"/>
    <e v="#N/A"/>
    <x v="0"/>
    <s v="-"/>
    <s v="Ürün İş Listesi"/>
    <n v="1"/>
  </r>
  <r>
    <s v="Bug"/>
    <s v="MU-170"/>
    <x v="1"/>
    <s v="Android'de Uygulama İlk Kez Açılırken Bildirim İzni İsteği İki Kez Görünüyor (Reddetmeye Rağmen)"/>
    <x v="9"/>
    <e v="#N/A"/>
    <x v="0"/>
    <s v="-"/>
    <s v="Ürün İş Listesi"/>
    <m/>
  </r>
  <r>
    <s v="Bug"/>
    <s v="MU-169"/>
    <x v="1"/>
    <s v="Oturum Kapatma (Logout) Sonrası Giriş Ekranında Biyometrik Kimlik Doğrulama Otomatik Tetiklenmiyor"/>
    <x v="9"/>
    <e v="#N/A"/>
    <x v="0"/>
    <s v="-"/>
    <s v="Ürün İş Listesi"/>
    <m/>
  </r>
  <r>
    <s v="Bug"/>
    <s v="MU-128"/>
    <x v="1"/>
    <s v="Cihazlarda FCM Token Alma Sürecinde Zaman Zaman Oluşan Hata"/>
    <x v="9"/>
    <s v="Done"/>
    <x v="0"/>
    <s v="-"/>
    <s v="Ürün İş Listesi"/>
    <m/>
  </r>
  <r>
    <s v="Bug"/>
    <s v="MU-123"/>
    <x v="1"/>
    <s v="OTP Doğrulama Alanında Silinen Kod Sonrası &quot;Doğrula&quot; Butonunun Aktif Kalması"/>
    <x v="9"/>
    <e v="#N/A"/>
    <x v="0"/>
    <s v="-"/>
    <s v="Ürün İş Listesi"/>
    <m/>
  </r>
  <r>
    <s v="Bug"/>
    <s v="KEP-169"/>
    <x v="1"/>
    <s v="EYP İndirme Sorunu"/>
    <x v="7"/>
    <e v="#N/A"/>
    <x v="0"/>
    <s v="-"/>
    <s v="Ürün İş Listesi"/>
    <m/>
  </r>
  <r>
    <s v="Bug"/>
    <s v="KEP-104"/>
    <x v="1"/>
    <s v="Desteği Olmayan Web Sunucu Uygulaması"/>
    <x v="7"/>
    <e v="#N/A"/>
    <x v="0"/>
    <s v="-"/>
    <s v="Ürün İş Listesi"/>
    <m/>
  </r>
  <r>
    <s v="Bug"/>
    <s v="KA-1562"/>
    <x v="1"/>
    <s v="Bazı KEP Adreslerinden Gelen İletilerin Ekleri gözükmemektedir."/>
    <x v="6"/>
    <e v="#N/A"/>
    <x v="0"/>
    <s v="-"/>
    <s v="Ürün İş Listesi"/>
    <m/>
  </r>
  <r>
    <s v="Bug"/>
    <s v="KA-1546"/>
    <x v="1"/>
    <s v="Toplu İmza Sürecinde Sıra Atlama ve FaultException Hatası"/>
    <x v="6"/>
    <e v="#N/A"/>
    <x v="0"/>
    <s v="-"/>
    <s v="Ürün İş Listesi"/>
    <m/>
  </r>
  <r>
    <s v="Bug"/>
    <s v="KA-1529"/>
    <x v="1"/>
    <s v="İmzalanan iletilerde &quot;İmzalayanlar&quot; alanında yanlış isim bilgisi görünmesi"/>
    <x v="6"/>
    <e v="#N/A"/>
    <x v="0"/>
    <s v="-"/>
    <s v="Ürün İş Listesi"/>
    <m/>
  </r>
  <r>
    <s v="Bug"/>
    <s v="IEU-281"/>
    <x v="1"/>
    <s v="INT-SUITE Ortamında Bellek Tüketimi Artışı araştırması"/>
    <x v="5"/>
    <e v="#N/A"/>
    <x v="0"/>
    <s v="-"/>
    <s v="Ürün İş Listesi"/>
    <n v="3"/>
  </r>
  <r>
    <s v="Bug"/>
    <s v="IEU-279"/>
    <x v="1"/>
    <s v="KEP Hesaplarında Onay Sürecindeki Login Hatası"/>
    <x v="5"/>
    <e v="#N/A"/>
    <x v="0"/>
    <s v="-"/>
    <s v="Ürün İş Listesi"/>
    <m/>
  </r>
  <r>
    <s v="Bug"/>
    <s v="IEU-277"/>
    <x v="0"/>
    <s v="Servisde Listeleme Sorunu: İletilerin Eksik Görüntülenmesi"/>
    <x v="5"/>
    <e v="#N/A"/>
    <x v="0"/>
    <s v="-"/>
    <s v="Ürün İş Listesi"/>
    <m/>
  </r>
  <r>
    <s v="Bug"/>
    <s v="IEU-243"/>
    <x v="1"/>
    <s v="EYP 2.0 Formatındaki Dosyanın Parse Edilirken Hata Alınması"/>
    <x v="5"/>
    <e v="#N/A"/>
    <x v="0"/>
    <s v="-"/>
    <s v="Ürün İş Listesi"/>
    <m/>
  </r>
  <r>
    <s v="Bug"/>
    <s v="IEU-242"/>
    <x v="1"/>
    <s v="-_x0009_EYP 1.3’te gerçek kişi oluştururken hata alınması"/>
    <x v="5"/>
    <e v="#N/A"/>
    <x v="0"/>
    <s v="-"/>
    <s v="Ürün İş Listesi"/>
    <m/>
  </r>
  <r>
    <s v="Bug"/>
    <s v="IEU-237"/>
    <x v="0"/>
    <s v="HSM İmzalamalardaki Hatalar"/>
    <x v="5"/>
    <e v="#N/A"/>
    <x v="0"/>
    <s v="-"/>
    <s v="Ürün İş Listesi"/>
    <m/>
  </r>
  <r>
    <s v="Bug"/>
    <s v="IEU-118"/>
    <x v="1"/>
    <s v="Mutabakat metodunda gelen ileti adetlerinin sorgu sonucuna yansıtılamaması"/>
    <x v="5"/>
    <e v="#N/A"/>
    <x v="0"/>
    <s v="-"/>
    <s v="Ürün İş Listesi"/>
    <m/>
  </r>
  <r>
    <s v="Bug"/>
    <s v="IEU-108"/>
    <x v="1"/>
    <s v="Yüksek boyutlu KEP iletisi oluşturma hatası hakkında"/>
    <x v="5"/>
    <e v="#N/A"/>
    <x v="0"/>
    <s v="-"/>
    <s v="Ürün İş Listesi"/>
    <m/>
  </r>
  <r>
    <s v="Bug"/>
    <s v="EFT-2308"/>
    <x v="1"/>
    <s v="e-Arşiv ve e-Fatura Gönderilen Faturalar Sayfalarından 'e-Posta Gönder' Butonunun Kaldırılması"/>
    <x v="4"/>
    <e v="#N/A"/>
    <x v="0"/>
    <s v="-"/>
    <s v="Ürün İş Listesi"/>
    <m/>
  </r>
  <r>
    <s v="Bug"/>
    <s v="EFT-2301"/>
    <x v="1"/>
    <s v="Pasif Olan Kullanıcılara Bildirim Maillerinin Gönderilmemesi"/>
    <x v="4"/>
    <e v="#N/A"/>
    <x v="0"/>
    <s v="-"/>
    <s v="Ürün İş Listesi"/>
    <m/>
  </r>
  <r>
    <s v="Bug"/>
    <s v="EFT-2067"/>
    <x v="1"/>
    <s v="Konnektörde Seçilen Faturanın Mail Olarak Gönderilememesi"/>
    <x v="4"/>
    <e v="#N/A"/>
    <x v="0"/>
    <s v="-"/>
    <s v="Ürün İş Listesi"/>
    <m/>
  </r>
  <r>
    <s v="Bug"/>
    <s v="EFT-2055"/>
    <x v="1"/>
    <s v="E-Fatura Portal Hizmet Sözleşmesi Alanında Belge Yükleme Limit Kaldırılması"/>
    <x v="4"/>
    <e v="#N/A"/>
    <x v="0"/>
    <s v="-"/>
    <s v="Ürün İş Listesi"/>
    <m/>
  </r>
  <r>
    <s v="Bug"/>
    <s v="EFT-2022"/>
    <x v="1"/>
    <s v="Konnektörde İrsaliye Oluşturma Ekranında “Cari Seç” ve “Ürün Seç” Butonlarının Kısayollarında ki Hata Hk. "/>
    <x v="4"/>
    <e v="#N/A"/>
    <x v="0"/>
    <s v="-"/>
    <s v="Ürün İş Listesi"/>
    <m/>
  </r>
  <r>
    <s v="Bug"/>
    <s v="EFT-1996"/>
    <x v="1"/>
    <s v="Portalde Fatura Girişte 'Hesaplanan KDV' değeri ile Fatura Kesildikten Sonra ki 'Hesaplanan KDV' Değeri Arasında ki Fark "/>
    <x v="4"/>
    <e v="#N/A"/>
    <x v="0"/>
    <s v="-"/>
    <s v="Ürün İş Listesi"/>
    <m/>
  </r>
  <r>
    <s v="Bug"/>
    <s v="EDF-791"/>
    <x v="1"/>
    <s v="Ondalık Birim Nokta Olduğu Defter XML'lerinin Düzeltilmesi"/>
    <x v="3"/>
    <e v="#N/A"/>
    <x v="0"/>
    <s v="-"/>
    <s v="Ürün İş Listesi"/>
    <n v="2"/>
  </r>
  <r>
    <s v="Bug"/>
    <s v="EDF-789"/>
    <x v="1"/>
    <s v="Şifre Hatırlat Link Düzeltmesi"/>
    <x v="3"/>
    <e v="#N/A"/>
    <x v="0"/>
    <s v="-"/>
    <s v="Ürün İş Listesi"/>
    <m/>
  </r>
  <r>
    <s v="Bug"/>
    <s v="EDF-738"/>
    <x v="1"/>
    <s v="Scheduler Servis İyileştirmesi"/>
    <x v="3"/>
    <e v="#N/A"/>
    <x v="0"/>
    <s v="-"/>
    <s v="Ürün İş Listesi"/>
    <m/>
  </r>
  <r>
    <s v="Bug"/>
    <s v="EDF-737"/>
    <x v="1"/>
    <s v="Veritabanında Open Transaction Uyarısı Hk."/>
    <x v="3"/>
    <e v="#N/A"/>
    <x v="0"/>
    <s v="-"/>
    <s v="Ürün İş Listesi"/>
    <m/>
  </r>
  <r>
    <s v="Bug"/>
    <s v="EDF-735"/>
    <x v="1"/>
    <s v="Bloke Olan Kullanıcı 'Şifre Hatırlat' Butonuna Tıkladığında Ekranda Uyarı Mesajı"/>
    <x v="3"/>
    <e v="#N/A"/>
    <x v="0"/>
    <s v="-"/>
    <s v="Ürün İş Listesi"/>
    <m/>
  </r>
  <r>
    <s v="Bug"/>
    <s v="EDF-701"/>
    <x v="1"/>
    <s v="Defter Raporu Kuyrukta Bekleme Sorunu "/>
    <x v="3"/>
    <e v="#N/A"/>
    <x v="0"/>
    <s v="-"/>
    <s v="Ürün İş Listesi"/>
    <m/>
  </r>
  <r>
    <s v="Bug"/>
    <s v="DP-274"/>
    <x v="1"/>
    <s v="KEP-Assist Kep İmza İşlemleri"/>
    <x v="1"/>
    <e v="#N/A"/>
    <x v="0"/>
    <s v="-"/>
    <s v="Ürün İş Listesi"/>
    <m/>
  </r>
  <r>
    <s v="Bug"/>
    <s v="DP-265"/>
    <x v="1"/>
    <s v="Gönderilen E-Fatura ve E-İrsaliye'de 1163 Olup İçinde 2004 Durumlu Zarf Olanlarda Hata Alması"/>
    <x v="1"/>
    <e v="#N/A"/>
    <x v="0"/>
    <s v="-"/>
    <s v="Ürün İş Listesi"/>
    <m/>
  </r>
  <r>
    <s v="Bug"/>
    <s v="DP-264"/>
    <x v="1"/>
    <s v="E-Fatura&gt;İptal Firma Modülü Timeout Hata"/>
    <x v="1"/>
    <e v="#N/A"/>
    <x v="0"/>
    <s v="-"/>
    <s v="Ürün İş Listesi"/>
    <m/>
  </r>
  <r>
    <s v="Bug"/>
    <s v="DP-263"/>
    <x v="1"/>
    <s v="E-Fatura Modülünde Toplu Zarf Sorgulama Ebasebulka İşlem Yapılamaması"/>
    <x v="1"/>
    <e v="#N/A"/>
    <x v="0"/>
    <s v="-"/>
    <s v="Ürün İş Listesi"/>
    <m/>
  </r>
  <r>
    <s v="Bug"/>
    <s v="DP-261"/>
    <x v="1"/>
    <s v="Gönderilen Faturalarda 1163 Faturaların Zarf Kontrolde 1000 Durumuna Gelmesi"/>
    <x v="1"/>
    <e v="#N/A"/>
    <x v="0"/>
    <s v="-"/>
    <s v="Ürün İş Listesi"/>
    <m/>
  </r>
  <r>
    <s v="Bug"/>
    <s v="DP-260"/>
    <x v="1"/>
    <s v="E-Fatura&gt;Gelen Faturalarda Yanıt Zarf Kontrolü "/>
    <x v="1"/>
    <e v="#N/A"/>
    <x v="0"/>
    <s v="-"/>
    <s v="Ürün İş Listesi"/>
    <m/>
  </r>
  <r>
    <s v="Bug"/>
    <s v="DP-259"/>
    <x v="1"/>
    <s v="Rapor &gt; E-Fatura Sayfasında Sorgulama Hatası"/>
    <x v="1"/>
    <e v="#N/A"/>
    <x v="0"/>
    <s v="-"/>
    <s v="Ürün İş Listesi"/>
    <m/>
  </r>
  <r>
    <s v="Bug"/>
    <s v="DP-258"/>
    <x v="1"/>
    <s v="E-Fatura&gt; Gönderilen Fatura İşlemleri&gt; 1163 Faturaları Hk."/>
    <x v="1"/>
    <e v="#N/A"/>
    <x v="0"/>
    <s v="-"/>
    <s v="Ürün İş Listesi"/>
    <m/>
  </r>
  <r>
    <s v="Bug"/>
    <s v="DP-253"/>
    <x v="1"/>
    <s v="Raporlar Modülünde 2 Günden Fazla Günlerde Alınan Hata "/>
    <x v="1"/>
    <e v="#N/A"/>
    <x v="0"/>
    <s v="-"/>
    <s v="Ürün İş Listesi"/>
    <m/>
  </r>
  <r>
    <s v="Bug"/>
    <s v="CRM-539"/>
    <x v="1"/>
    <s v="Toplu KEP IK Bireysel KEP Açılışlarında Rezerve Tablosunun Kontrolü"/>
    <x v="0"/>
    <e v="#N/A"/>
    <x v="0"/>
    <s v="-"/>
    <s v="Ürün İş Listesi"/>
    <m/>
  </r>
  <r>
    <s v="Bug"/>
    <s v="CRM-523"/>
    <x v="1"/>
    <s v="Pazarama Bug Fix"/>
    <x v="0"/>
    <e v="#N/A"/>
    <x v="0"/>
    <s v="-"/>
    <s v="Ürün İş Listesi"/>
    <m/>
  </r>
  <r>
    <s v="Bug"/>
    <s v="CRM-522"/>
    <x v="1"/>
    <s v="Teklif Onay Sayfasında Özel İndirim Alanı Hk."/>
    <x v="0"/>
    <e v="#N/A"/>
    <x v="0"/>
    <s v="-"/>
    <s v="Ürün İş Listesi"/>
    <m/>
  </r>
  <r>
    <s v="Bug"/>
    <s v="CRM-516"/>
    <x v="1"/>
    <s v="Kısmen İade Tutar Bug"/>
    <x v="0"/>
    <e v="#N/A"/>
    <x v="0"/>
    <s v="-"/>
    <s v="Ürün İş Listesi"/>
    <m/>
  </r>
  <r>
    <s v="Story"/>
    <s v="CRM-718"/>
    <x v="1"/>
    <s v="Üretim Modülü Ek Geliştirme"/>
    <x v="0"/>
    <e v="#N/A"/>
    <x v="0"/>
    <s v="-"/>
    <s v="Ürün İş Listesi"/>
    <n v="1"/>
  </r>
  <r>
    <s v="Story"/>
    <s v="CRM-728"/>
    <x v="1"/>
    <s v="KEP Öneri Metodu Karakter Hatası"/>
    <x v="0"/>
    <e v="#N/A"/>
    <x v="0"/>
    <s v="-"/>
    <s v="Ürün İş Listesi"/>
    <n v="1"/>
  </r>
  <r>
    <s v="Story"/>
    <s v="CRM-732"/>
    <x v="1"/>
    <s v="Ödeme Altyapısının Servis ile UKDS ve MU ile Paylaşılması "/>
    <x v="0"/>
    <s v="Done"/>
    <x v="0"/>
    <s v="-"/>
    <s v="Ürün İş Listesi"/>
    <n v="3"/>
  </r>
  <r>
    <s v="Story"/>
    <s v="CRM-744"/>
    <x v="5"/>
    <s v="Datassist &amp; CRM Entegrasyonu - Kurumsal Müşteri ve Teklif Kayıtları Oluşturma "/>
    <x v="0"/>
    <e v="#N/A"/>
    <x v="0"/>
    <s v="-"/>
    <s v="Ürün İş Listesi"/>
    <n v="3"/>
  </r>
  <r>
    <s v="Story"/>
    <s v="CRM-747"/>
    <x v="1"/>
    <s v="Datassist &amp; CRM Entegrasyonu - Kurumsal Teklif İçin Sipariş Detayı ve Sözleşme Kayıtları Oluşturma"/>
    <x v="0"/>
    <e v="#N/A"/>
    <x v="0"/>
    <s v="-"/>
    <s v="Ürün İş Listesi"/>
    <n v="3"/>
  </r>
  <r>
    <s v="Story"/>
    <s v="CRM-748"/>
    <x v="5"/>
    <s v="Datassist &amp; CRM Entegrasyonu - Bireysel Sipariş Detayı Oluşturma"/>
    <x v="0"/>
    <e v="#N/A"/>
    <x v="0"/>
    <s v="-"/>
    <s v="Ürün İş Listesi"/>
    <n v="3"/>
  </r>
  <r>
    <s v="Story"/>
    <s v="CRM-740"/>
    <x v="1"/>
    <s v="KEP Adresi Açılışında UKDS’ye KEP ID Gönderimi"/>
    <x v="0"/>
    <e v="#N/A"/>
    <x v="0"/>
    <s v="-"/>
    <s v="Ürün İş Listesi"/>
    <n v="2"/>
  </r>
  <r>
    <s v="Story"/>
    <s v="CRM-742"/>
    <x v="1"/>
    <s v="UKDS Servisine API Access Token Gönderimi"/>
    <x v="0"/>
    <e v="#N/A"/>
    <x v="0"/>
    <s v="-"/>
    <s v="Ürün İş Listesi"/>
    <n v="3"/>
  </r>
  <r>
    <s v="Story"/>
    <s v="CRM-743"/>
    <x v="1"/>
    <s v="RezerveKEP Metoduna API Access Token Parametresi Eklenmesi"/>
    <x v="0"/>
    <e v="#N/A"/>
    <x v="0"/>
    <s v="-"/>
    <s v="Ürün İş Listesi"/>
    <n v="2"/>
  </r>
  <r>
    <s v="Story"/>
    <s v="CRM-745"/>
    <x v="1"/>
    <s v="UKDS Kontrol Otomasyonu - E-Devlet Onay İbaresi Alanı Ek Metin"/>
    <x v="0"/>
    <e v="#N/A"/>
    <x v="0"/>
    <s v="-"/>
    <s v="Ürün İş Listesi"/>
    <n v="1"/>
  </r>
  <r>
    <s v="Story"/>
    <s v="CRM-749"/>
    <x v="1"/>
    <s v="KEP Oluştur Butonu - Kuyruk Ayrımı"/>
    <x v="0"/>
    <e v="#N/A"/>
    <x v="0"/>
    <s v="-"/>
    <s v="Ürün İş Listesi"/>
    <n v="1"/>
  </r>
  <r>
    <s v="Story"/>
    <s v="IEU-278"/>
    <x v="1"/>
    <s v="UKDS Metodlarındaki Güncellemelerin Entegrasyon Suit Tarafında Uygulanması"/>
    <x v="5"/>
    <e v="#N/A"/>
    <x v="0"/>
    <s v="-"/>
    <s v="Ürün İş Listesi"/>
    <n v="5"/>
  </r>
  <r>
    <s v="Bug"/>
    <s v="IEU-280"/>
    <x v="1"/>
    <s v="EYP 2.0 Paketine İkinci İmza Ekleme İşleminde &quot;Zaten İmzalıdır&quot; Hatası"/>
    <x v="5"/>
    <e v="#N/A"/>
    <x v="0"/>
    <s v="-"/>
    <s v="Ürün İş Listesi"/>
    <n v="3"/>
  </r>
  <r>
    <s v="Story"/>
    <s v="KA-1563"/>
    <x v="1"/>
    <s v="Word-PDF Dönüşümü APİ (Office + API) Test ve Doğrulaması"/>
    <x v="6"/>
    <e v="#N/A"/>
    <x v="0"/>
    <s v="-"/>
    <s v="Ürün İş Listesi"/>
    <n v="5"/>
  </r>
  <r>
    <s v="Story"/>
    <s v="KA-1564"/>
    <x v="1"/>
    <s v="EvoPDF ile Word → PDF Dönüşüm Aracı Değerlendirmesi"/>
    <x v="6"/>
    <e v="#N/A"/>
    <x v="0"/>
    <s v="-"/>
    <s v="Ürün İş Listesi"/>
    <n v="2"/>
  </r>
  <r>
    <s v="Story"/>
    <s v="MYS-817"/>
    <x v="1"/>
    <s v="Cevap Şablon Modülünün SEP Yanıt Süreç Akışının Sağlanması"/>
    <x v="12"/>
    <e v="#N/A"/>
    <x v="0"/>
    <s v="-"/>
    <s v="Ürün İş Listesi"/>
    <n v="5"/>
  </r>
  <r>
    <s v="Story"/>
    <s v="CRM-741"/>
    <x v="5"/>
    <s v="Tekliflerde İade Faturası Sonrası Eksik Fatura Kontrolü"/>
    <x v="0"/>
    <e v="#N/A"/>
    <x v="0"/>
    <s v="-"/>
    <s v="Ürün İş Listesi"/>
    <n v="5"/>
  </r>
  <r>
    <s v="Story"/>
    <s v="CRM-736"/>
    <x v="1"/>
    <s v="E-Belge Ürünleri Zorunlu Eşitlemeler"/>
    <x v="0"/>
    <e v="#N/A"/>
    <x v="0"/>
    <s v="-"/>
    <s v="Ürün İş Listesi"/>
    <n v="3"/>
  </r>
  <r>
    <s v="Story"/>
    <s v="IEU-282"/>
    <x v="1"/>
    <s v="Araştırma/ İmzalama Sürecinde Aynı Anda Gelen Çoklu İstek Akışının Belirlenmesi"/>
    <x v="5"/>
    <e v="#N/A"/>
    <x v="0"/>
    <s v="-"/>
    <s v="Ürün İş Listesi"/>
    <n v="3"/>
  </r>
  <r>
    <s v="Story"/>
    <s v="IEU-283"/>
    <x v="1"/>
    <s v="Araştırma KEP Gönderim Süreçlerinin Tek Metotta Birleştirilmesi ve Optimizasyonu"/>
    <x v="5"/>
    <e v="#N/A"/>
    <x v="0"/>
    <s v="-"/>
    <s v="Ürün İş Listesi"/>
    <n v="3"/>
  </r>
  <r>
    <s v="Story"/>
    <s v="MU-163"/>
    <x v="1"/>
    <s v="Paket Seçimi Sonrasında Kullanıcının Ödeme Alanına Yönlendirilmesi ve Ödeme Tamamlanmadan Sürece Devam Edilmemesi"/>
    <x v="9"/>
    <s v="Done"/>
    <x v="0"/>
    <s v="-"/>
    <s v="Ürün İş Listesi"/>
    <n v="8"/>
  </r>
  <r>
    <s v="Story"/>
    <s v="MU-176"/>
    <x v="1"/>
    <s v="CRM Onayı Bekleyen KEP Adresleri İçin Yönlendirme Sayfalarının Tasarım Güncellemesi"/>
    <x v="9"/>
    <e v="#N/A"/>
    <x v="0"/>
    <s v="-"/>
    <s v="Ürün İş Listesi"/>
    <n v="2"/>
  </r>
  <r>
    <s v="Story"/>
    <s v="MU-177"/>
    <x v="1"/>
    <s v="CRM Onayı Bekleyen KEP Adresleri İçin Yönlendirme Sayfalarının API Entegrasyonu"/>
    <x v="9"/>
    <e v="#N/A"/>
    <x v="0"/>
    <s v="-"/>
    <s v="Ürün İş Listesi"/>
    <n v="2"/>
  </r>
  <r>
    <s v="Story"/>
    <s v="MYS-821"/>
    <x v="1"/>
    <s v="TEST - E-Tebligat Metninde Satır Başı Sorunu"/>
    <x v="12"/>
    <e v="#N/A"/>
    <x v="0"/>
    <s v="-"/>
    <s v="Ürün İş Listesi"/>
    <m/>
  </r>
  <r>
    <s v="Story"/>
    <s v="MYS-820"/>
    <x v="1"/>
    <s v="KEP-Gelen İleti Listeleme Ekranında Giden İleti ID Gösterimi"/>
    <x v="12"/>
    <e v="#N/A"/>
    <x v="0"/>
    <s v="-"/>
    <s v="Ürün İş Listesi"/>
    <n v="3"/>
  </r>
  <r>
    <s v="Story"/>
    <s v="UKDS-198"/>
    <x v="1"/>
    <s v="UKDS ana servis ve önyüzde yeni tipe göre güncelleme"/>
    <x v="15"/>
    <e v="#N/A"/>
    <x v="0"/>
    <s v="-"/>
    <s v="Ürün İş Listesi"/>
    <n v="2"/>
  </r>
  <r>
    <s v="Story"/>
    <s v="UKDS-189"/>
    <x v="1"/>
    <s v="&quot;Entegrasyon Suit UKDS&quot; servisinin remake çalışması hk"/>
    <x v="15"/>
    <e v="#N/A"/>
    <x v="0"/>
    <s v="-"/>
    <s v="Ürün İş Listesi"/>
    <n v="2"/>
  </r>
  <r>
    <s v="Story"/>
    <s v="UKDS-191"/>
    <x v="1"/>
    <s v="Entegrasyon Suit Üzerinden UKDS Modülü Satıldığında UKDS’ye Bilgi Gönderilecek Yeni Methodun Oluşturulması"/>
    <x v="15"/>
    <e v="#N/A"/>
    <x v="0"/>
    <s v="-"/>
    <s v="Ürün İş Listesi"/>
    <n v="2"/>
  </r>
  <r>
    <s v="Story"/>
    <s v="UKDS-194"/>
    <x v="1"/>
    <s v="Ön Başvuru Oluşturma Metoduna kepid, producttype ve value Parametrelerinin Eklenmesi"/>
    <x v="15"/>
    <e v="#N/A"/>
    <x v="0"/>
    <s v="-"/>
    <s v="Ürün İş Listesi"/>
    <n v="2"/>
  </r>
  <r>
    <s v="Story"/>
    <s v="UKDS-195"/>
    <x v="1"/>
    <s v="Ön Başvuru Düzenleme Metoduna Yeni Parametrelerin Eklenmesi"/>
    <x v="15"/>
    <e v="#N/A"/>
    <x v="0"/>
    <s v="-"/>
    <s v="Ürün İş Listesi"/>
    <n v="1"/>
  </r>
  <r>
    <s v="Story"/>
    <s v="UKDS-197"/>
    <x v="1"/>
    <s v="Get Integration/application/{applicationId} Methodunun Response’una kepid Eklenmesi"/>
    <x v="15"/>
    <e v="#N/A"/>
    <x v="0"/>
    <s v="-"/>
    <s v="Ürün İş Listesi"/>
    <n v="1"/>
  </r>
  <r>
    <s v="Story"/>
    <s v="UKDS-196"/>
    <x v="1"/>
    <s v="Tüm Başvuruları Listeleme Metodunda kepid Zorunluluğunun Kaldırılması"/>
    <x v="15"/>
    <e v="#N/A"/>
    <x v="0"/>
    <s v="-"/>
    <s v="Ürün İş Listesi"/>
    <n v="1"/>
  </r>
  <r>
    <s v="Story"/>
    <s v="UKDS-193"/>
    <x v="1"/>
    <s v="Yeni Bir Başvuru Tipi Eklenmesi: IKENTEGRASYON"/>
    <x v="15"/>
    <e v="#N/A"/>
    <x v="0"/>
    <s v="-"/>
    <s v="Ürün İş Listesi"/>
    <n v="1"/>
  </r>
  <r>
    <s v="Story"/>
    <s v="UKDS-192"/>
    <x v="1"/>
    <s v="changestatuscrm Methoduna ‘kepid’ Parametresinin Eklenmesi"/>
    <x v="15"/>
    <e v="#N/A"/>
    <x v="0"/>
    <s v="-"/>
    <s v="Ürün İş Listesi"/>
    <n v="1"/>
  </r>
  <r>
    <s v="Story"/>
    <s v="YZCK-19"/>
    <x v="1"/>
    <s v="Ara Servis Katmanında IP Kontrolünün Yapılabilmesi"/>
    <x v="23"/>
    <e v="#N/A"/>
    <x v="0"/>
    <s v="-"/>
    <s v="Ürün İş Listesi"/>
    <m/>
  </r>
  <r>
    <s v="Story"/>
    <s v="YZCK-18"/>
    <x v="0"/>
    <s v="Araştırma- Chat Değerlendirme Workflow'da Ürün Bazlı Değerlendirme Sonucu"/>
    <x v="23"/>
    <e v="#N/A"/>
    <x v="0"/>
    <s v="-"/>
    <s v="Ürün İş Listesi"/>
    <m/>
  </r>
  <r>
    <s v="Story"/>
    <s v="UKDS-200"/>
    <x v="1"/>
    <s v="Kidos Ekranlarına Aktif/Pasif Statün Eklenmesi"/>
    <x v="15"/>
    <e v="#N/A"/>
    <x v="0"/>
    <s v="-"/>
    <s v="Ürün İş Listesi"/>
    <m/>
  </r>
  <r>
    <s v="Story"/>
    <s v="UKDS-199"/>
    <x v="0"/>
    <s v="UKDS Paket Seçimi Sonrası Ödeme Adımı Servis Entegrasyonunun Gerçekleştirilmesi"/>
    <x v="15"/>
    <e v="#N/A"/>
    <x v="0"/>
    <s v="-"/>
    <s v="Ürün İş Listesi"/>
    <m/>
  </r>
  <r>
    <s v="Story"/>
    <s v="MU-175"/>
    <x v="6"/>
    <s v="API Bağlantılarındaki Responselar için Model Düzenlemeleri"/>
    <x v="9"/>
    <e v="#N/A"/>
    <x v="0"/>
    <s v="-"/>
    <s v="Ürün İş Listesi"/>
    <n v="5"/>
  </r>
  <r>
    <s v="Sub-task"/>
    <s v="EFT-2311"/>
    <x v="1"/>
    <s v="e-Fatura Portal"/>
    <x v="4"/>
    <e v="#N/A"/>
    <x v="0"/>
    <s v="-"/>
    <s v="Ürün İş Listesi"/>
    <m/>
  </r>
  <r>
    <s v="Story"/>
    <s v="EFT-2310"/>
    <x v="0"/>
    <s v="İlaçTıbbiAçıklama Alanın Tıklanabilir Input Tablosuna Dönüştürülmesi"/>
    <x v="4"/>
    <e v="#N/A"/>
    <x v="0"/>
    <s v="-"/>
    <s v="Ürün İş Listesi"/>
    <m/>
  </r>
  <r>
    <s v="Story"/>
    <s v="EFT-2309"/>
    <x v="0"/>
    <s v="e-Fatura - İlk Aktivasyon Esnasında Mükelleflerin İmza/Mali Mühür Sertifikasyon Başlangıç-Bitiş Tarih Loglama"/>
    <x v="4"/>
    <s v="To Do"/>
    <x v="0"/>
    <s v="-"/>
    <s v="Ürün İş Listesi"/>
    <m/>
  </r>
  <r>
    <s v="Story"/>
    <s v="EFT-2298"/>
    <x v="1"/>
    <s v="GİB - &quot;CurrencyCodeList&quot; Güncellenmesi "/>
    <x v="4"/>
    <e v="#N/A"/>
    <x v="0"/>
    <s v="-"/>
    <s v="Ürün İş Listesi"/>
    <m/>
  </r>
  <r>
    <s v="Story"/>
    <s v="EFT-2297"/>
    <x v="1"/>
    <s v="GİB - ILAC_TIBBICIHAZ Profilinde &quot;AdditionalItemIdentification&quot; Kontrolü "/>
    <x v="4"/>
    <e v="#N/A"/>
    <x v="0"/>
    <s v="-"/>
    <s v="Ürün İş Listesi"/>
    <m/>
  </r>
  <r>
    <s v="Story"/>
    <s v="DP-288"/>
    <x v="1"/>
    <s v="KEP Assist - Hesap Hata Takibi Tablosu Eklenmesi"/>
    <x v="1"/>
    <e v="#N/A"/>
    <x v="0"/>
    <s v="-"/>
    <s v="Ürün İş Listesi"/>
    <m/>
  </r>
  <r>
    <s v="Story"/>
    <s v="CRM-746"/>
    <x v="0"/>
    <s v="Sipariş Detayı Sayfası – İyileştirme Çalışması"/>
    <x v="0"/>
    <e v="#N/A"/>
    <x v="0"/>
    <s v="-"/>
    <s v="Ürün İş Listesi"/>
    <m/>
  </r>
  <r>
    <s v="Story"/>
    <s v="CRM-739"/>
    <x v="1"/>
    <s v="KEP Zorunlu Eşitlemeler"/>
    <x v="0"/>
    <e v="#N/A"/>
    <x v="0"/>
    <s v="-"/>
    <s v="Ürün İş Listesi"/>
    <n v="2"/>
  </r>
  <r>
    <s v="Story"/>
    <s v="CRM-738"/>
    <x v="6"/>
    <s v="KEP Opsiyonel Eşitlemeler"/>
    <x v="0"/>
    <s v="TO TEST"/>
    <x v="1"/>
    <s v="Gelecek Sprint"/>
    <s v="Devam Eden ve Gelecek Sprint"/>
    <m/>
  </r>
  <r>
    <s v="Story"/>
    <s v="CRM-737"/>
    <x v="5"/>
    <s v="Kurumsal Çözümler Zorunlu Eşitlemeler"/>
    <x v="0"/>
    <s v="In Test"/>
    <x v="1"/>
    <s v="Gelecek Sprint"/>
    <s v="Devam Eden ve Gelecek Sprint"/>
    <n v="2"/>
  </r>
  <r>
    <s v="Story"/>
    <s v="CRM-734"/>
    <x v="0"/>
    <s v="KEP IK Başvuru Süreci CRM ve UKDS Sistemleri Arası Doğrulama"/>
    <x v="0"/>
    <e v="#N/A"/>
    <x v="0"/>
    <s v="-"/>
    <s v="Ürün İş Listesi"/>
    <m/>
  </r>
  <r>
    <s v="Story"/>
    <s v="CRM-733"/>
    <x v="0"/>
    <s v="UKDS Kaynaklı Başvuru Durumlarının CRM Sisteminde Görüntülenmesi"/>
    <x v="0"/>
    <e v="#N/A"/>
    <x v="0"/>
    <s v="-"/>
    <s v="Ürün İş Listesi"/>
    <m/>
  </r>
  <r>
    <s v="Story"/>
    <s v="CRM-729"/>
    <x v="0"/>
    <s v="Ent. Suit Sözleşme Bitiş Bildirimi"/>
    <x v="0"/>
    <e v="#N/A"/>
    <x v="0"/>
    <s v="-"/>
    <s v="Ürün İş Listesi"/>
    <m/>
  </r>
  <r>
    <s v="Story"/>
    <s v="UKDS-201"/>
    <x v="1"/>
    <s v="Toplu Çalışan Ekleme – Excel Format Doğrulama Akışındaki Tarih Formatının Kontrolü"/>
    <x v="15"/>
    <e v="#N/A"/>
    <x v="0"/>
    <s v="-"/>
    <s v="Ürün İş Listesi"/>
    <n v="3"/>
  </r>
  <r>
    <s v="Story"/>
    <s v="WIK-741"/>
    <x v="1"/>
    <s v="Çalışan Ekle Ekranında Ad–Soyad Bilgilerinin Tüm Fonksiyonlarda Görüntülenmesi ve Aranabilir Hale Getirilmesi"/>
    <x v="16"/>
    <e v="#N/A"/>
    <x v="0"/>
    <s v="-"/>
    <s v="Ürün İş Listesi"/>
    <n v="5"/>
  </r>
  <r>
    <s v="Story"/>
    <s v="WIK-743"/>
    <x v="1"/>
    <s v="Çalışanlar Ekranına Çalışan Grubu Kolonu Eklenmesi"/>
    <x v="16"/>
    <e v="#N/A"/>
    <x v="0"/>
    <s v="-"/>
    <s v="Ürün İş Listesi"/>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1">
  <r>
    <x v="0"/>
    <s v="CRM-281"/>
    <x v="0"/>
    <s v="Türkkep -E-Güven CRM entegrasyonu Faz 2 "/>
    <x v="0"/>
    <e v="#N/A"/>
    <x v="0"/>
    <s v="-"/>
    <x v="0"/>
    <m/>
  </r>
  <r>
    <x v="0"/>
    <s v="CRM-497"/>
    <x v="1"/>
    <s v="Saklama Kota Yükleme İşlemleri "/>
    <x v="0"/>
    <e v="#N/A"/>
    <x v="0"/>
    <s v="-"/>
    <x v="0"/>
    <m/>
  </r>
  <r>
    <x v="0"/>
    <s v="CRM-533"/>
    <x v="1"/>
    <s v="KEP IK Mahremiyet &amp; CRM Entegrasyonu"/>
    <x v="0"/>
    <e v="#N/A"/>
    <x v="0"/>
    <s v="-"/>
    <x v="0"/>
    <m/>
  </r>
  <r>
    <x v="0"/>
    <s v="CRM-535"/>
    <x v="1"/>
    <s v="KEP IK Blulut NVİ Tamamlanan Çalışanların QR Kodlu Islak İmza Taahhütnamelerinin Üretilmesi"/>
    <x v="0"/>
    <e v="#N/A"/>
    <x v="0"/>
    <s v="-"/>
    <x v="0"/>
    <m/>
  </r>
  <r>
    <x v="0"/>
    <s v="CRM-541_x0009_"/>
    <x v="1"/>
    <s v="Üretim Modülü için Tablo Modellenmesi"/>
    <x v="0"/>
    <e v="#N/A"/>
    <x v="0"/>
    <s v="-"/>
    <x v="0"/>
    <m/>
  </r>
  <r>
    <x v="0"/>
    <s v="CRM-542"/>
    <x v="1"/>
    <s v="Üretim Modülü için Anasayfa Filtre Ekranı"/>
    <x v="0"/>
    <e v="#N/A"/>
    <x v="0"/>
    <s v="-"/>
    <x v="0"/>
    <n v="3"/>
  </r>
  <r>
    <x v="0"/>
    <s v="CRM-543"/>
    <x v="1"/>
    <s v="Üretim Modülü Liste Sayfasının Geliştirmesi"/>
    <x v="0"/>
    <e v="#N/A"/>
    <x v="0"/>
    <s v="-"/>
    <x v="0"/>
    <n v="5"/>
  </r>
  <r>
    <x v="0"/>
    <s v="CRM-544"/>
    <x v="1"/>
    <s v="Üretim Modülü Mütabakat Sürecinin Geliştirmesi"/>
    <x v="0"/>
    <e v="#N/A"/>
    <x v="0"/>
    <s v="-"/>
    <x v="0"/>
    <m/>
  </r>
  <r>
    <x v="0"/>
    <s v="CRM-545"/>
    <x v="1"/>
    <s v="KEP IK Bulut NVİ Tamamlanmayan Çalışanların QR Kodlu Islak İmza Taahhütnamelerinin Üretilmesi için Servis Geliştirmesi"/>
    <x v="0"/>
    <e v="#N/A"/>
    <x v="0"/>
    <s v="-"/>
    <x v="0"/>
    <m/>
  </r>
  <r>
    <x v="0"/>
    <s v="CRM-546"/>
    <x v="1"/>
    <s v="KEP IK Bulut Çalışanların QR Kodlu Islak İmza Taahhütnamelerinin Uygulama İçerisinden Toplu İndirilmesi"/>
    <x v="0"/>
    <e v="#N/A"/>
    <x v="0"/>
    <s v="-"/>
    <x v="0"/>
    <m/>
  </r>
  <r>
    <x v="0"/>
    <s v="CRM-550"/>
    <x v="1"/>
    <s v="Multikep Müşteri Bilgilerinin CRM Sözleşmeden Aktarılması"/>
    <x v="0"/>
    <e v="#N/A"/>
    <x v="0"/>
    <s v="-"/>
    <x v="0"/>
    <m/>
  </r>
  <r>
    <x v="0"/>
    <s v="CRM-551"/>
    <x v="1"/>
    <s v="Multikep Modüllerinin CRM İşlem Kaydından Aktif Edilmesi"/>
    <x v="0"/>
    <e v="#N/A"/>
    <x v="0"/>
    <s v="-"/>
    <x v="0"/>
    <m/>
  </r>
  <r>
    <x v="0"/>
    <s v="CRM-553"/>
    <x v="1"/>
    <s v="Multikep Aktarılan Kullanıcılarının Update Edilmesi"/>
    <x v="0"/>
    <e v="#N/A"/>
    <x v="0"/>
    <s v="-"/>
    <x v="0"/>
    <m/>
  </r>
  <r>
    <x v="0"/>
    <s v="CRM-554"/>
    <x v="1"/>
    <s v="CRM Kurumsal Müşteri Oluşturma MERSİS Entegrasyonu"/>
    <x v="0"/>
    <e v="#N/A"/>
    <x v="0"/>
    <s v="-"/>
    <x v="0"/>
    <n v="5"/>
  </r>
  <r>
    <x v="0"/>
    <s v="CRM-555"/>
    <x v="1"/>
    <s v="KEP IK Toplu Açılış için CRM den Çalışan Listesini Insert Etme"/>
    <x v="0"/>
    <e v="#N/A"/>
    <x v="0"/>
    <s v="-"/>
    <x v="0"/>
    <m/>
  </r>
  <r>
    <x v="0"/>
    <s v="CRM-558"/>
    <x v="1"/>
    <s v="KEP IK Kullanıcı için İşlem Yetkilisi Değişiklikleri"/>
    <x v="0"/>
    <e v="#N/A"/>
    <x v="0"/>
    <s v="-"/>
    <x v="0"/>
    <m/>
  </r>
  <r>
    <x v="0"/>
    <s v="CRM-559"/>
    <x v="1"/>
    <s v="e-İmza UKDS Bilgilendirme Hk."/>
    <x v="0"/>
    <e v="#N/A"/>
    <x v="0"/>
    <s v="-"/>
    <x v="0"/>
    <m/>
  </r>
  <r>
    <x v="0"/>
    <s v="CRM-560"/>
    <x v="1"/>
    <s v="MultiKEP Ek Kullanıcı Aktarılması"/>
    <x v="0"/>
    <e v="#N/A"/>
    <x v="0"/>
    <s v="-"/>
    <x v="0"/>
    <m/>
  </r>
  <r>
    <x v="0"/>
    <s v="CRM-562"/>
    <x v="1"/>
    <s v="Yenileme Hatırlatma Maili Akışına Pasif Kullanıcı Kuralının Eklenmesi"/>
    <x v="0"/>
    <e v="#N/A"/>
    <x v="0"/>
    <s v="-"/>
    <x v="0"/>
    <n v="3"/>
  </r>
  <r>
    <x v="0"/>
    <s v="CRM-565"/>
    <x v="1"/>
    <s v="Toplu Teklif Oluşturma İşlemi"/>
    <x v="0"/>
    <e v="#N/A"/>
    <x v="0"/>
    <s v="-"/>
    <x v="0"/>
    <m/>
  </r>
  <r>
    <x v="0"/>
    <s v="CRM-568"/>
    <x v="1"/>
    <s v="MERSİS Ek Geliştirme"/>
    <x v="0"/>
    <e v="#N/A"/>
    <x v="0"/>
    <s v="-"/>
    <x v="0"/>
    <n v="3"/>
  </r>
  <r>
    <x v="0"/>
    <s v="CRM-569"/>
    <x v="1"/>
    <s v="Satış Rapor Yeni Müşteri Statüsü"/>
    <x v="0"/>
    <e v="#N/A"/>
    <x v="0"/>
    <s v="-"/>
    <x v="0"/>
    <n v="2"/>
  </r>
  <r>
    <x v="1"/>
    <s v="CRM-570"/>
    <x v="1"/>
    <s v="Duplicate Teklif Numarası Hatası"/>
    <x v="0"/>
    <e v="#N/A"/>
    <x v="0"/>
    <s v="-"/>
    <x v="0"/>
    <n v="3"/>
  </r>
  <r>
    <x v="1"/>
    <s v="CRM-571"/>
    <x v="1"/>
    <s v="İş Bankası Sanal POS Api User Değişikliği"/>
    <x v="0"/>
    <e v="#N/A"/>
    <x v="0"/>
    <s v="-"/>
    <x v="0"/>
    <n v="1"/>
  </r>
  <r>
    <x v="1"/>
    <s v="CRM-572"/>
    <x v="1"/>
    <s v="Pazarama Bundle Hatası"/>
    <x v="0"/>
    <e v="#N/A"/>
    <x v="0"/>
    <s v="-"/>
    <x v="0"/>
    <n v="3"/>
  </r>
  <r>
    <x v="0"/>
    <s v="CRM-573"/>
    <x v="1"/>
    <s v="Müşteri Modülünde Mail Adresi İle Müşteri Listeleme"/>
    <x v="0"/>
    <e v="#N/A"/>
    <x v="0"/>
    <s v="-"/>
    <x v="0"/>
    <n v="3"/>
  </r>
  <r>
    <x v="0"/>
    <s v="CRM-574"/>
    <x v="1"/>
    <s v="Güvenlik Grubu Değişiklik Tarihçesi Hk."/>
    <x v="0"/>
    <e v="#N/A"/>
    <x v="0"/>
    <s v="-"/>
    <x v="0"/>
    <n v="3"/>
  </r>
  <r>
    <x v="0"/>
    <s v="CRM-577"/>
    <x v="1"/>
    <s v="Dijikolay Potansiyel Müşteri Entegrasyonu Hk."/>
    <x v="0"/>
    <e v="#N/A"/>
    <x v="0"/>
    <s v="-"/>
    <x v="0"/>
    <n v="1"/>
  </r>
  <r>
    <x v="0"/>
    <s v="CRM-580"/>
    <x v="1"/>
    <s v="KEP IK Toplu Açılış için CRM den Çalışan Listesini Insert Etme Ek Geliştirme"/>
    <x v="0"/>
    <e v="#N/A"/>
    <x v="0"/>
    <s v="-"/>
    <x v="0"/>
    <n v="8"/>
  </r>
  <r>
    <x v="0"/>
    <s v="CRM-581"/>
    <x v="1"/>
    <s v="Toplu IK Excel Yüklemede Hatalı Excelin Export Edilmesi"/>
    <x v="0"/>
    <e v="#N/A"/>
    <x v="0"/>
    <s v="-"/>
    <x v="0"/>
    <n v="3"/>
  </r>
  <r>
    <x v="1"/>
    <s v="CRM-582"/>
    <x v="1"/>
    <s v="Toplu KEP IK Açılış Excelinde Güvenlik Kelimesi"/>
    <x v="0"/>
    <e v="#N/A"/>
    <x v="0"/>
    <s v="-"/>
    <x v="0"/>
    <n v="2"/>
  </r>
  <r>
    <x v="0"/>
    <s v="CRM-583"/>
    <x v="1"/>
    <s v="Toplu KEP IK Açılışlarında Bildirim Gönderilmesi"/>
    <x v="0"/>
    <e v="#N/A"/>
    <x v="0"/>
    <s v="-"/>
    <x v="0"/>
    <n v="3"/>
  </r>
  <r>
    <x v="0"/>
    <s v="CRM-584"/>
    <x v="1"/>
    <s v="KEP Adresi ile Arama"/>
    <x v="0"/>
    <e v="#N/A"/>
    <x v="0"/>
    <s v="-"/>
    <x v="0"/>
    <n v="3"/>
  </r>
  <r>
    <x v="0"/>
    <s v="CRM-587"/>
    <x v="0"/>
    <s v="e-İmza Başvuruları için Dış Servis Yazılması "/>
    <x v="0"/>
    <e v="#N/A"/>
    <x v="0"/>
    <s v="-"/>
    <x v="0"/>
    <m/>
  </r>
  <r>
    <x v="0"/>
    <s v="CRM-588"/>
    <x v="1"/>
    <s v="Üretim Modülü Fatura Tahsilatların İşlenmesi"/>
    <x v="0"/>
    <e v="#N/A"/>
    <x v="0"/>
    <s v="-"/>
    <x v="0"/>
    <n v="3"/>
  </r>
  <r>
    <x v="0"/>
    <s v="CRM-589"/>
    <x v="1"/>
    <s v="Duplicate Teklif Numarası için Alarm Maili Oluşturulması"/>
    <x v="0"/>
    <e v="#N/A"/>
    <x v="0"/>
    <s v="-"/>
    <x v="0"/>
    <n v="1"/>
  </r>
  <r>
    <x v="0"/>
    <s v="CRM-590"/>
    <x v="1"/>
    <s v="Aynı TCKN ye Ait Birden Fazla KEP Adresinin KEP IK Aktarım Süreci "/>
    <x v="0"/>
    <e v="#N/A"/>
    <x v="0"/>
    <s v="-"/>
    <x v="0"/>
    <m/>
  </r>
  <r>
    <x v="0"/>
    <s v="CRM-591"/>
    <x v="1"/>
    <s v="Pasif Olan KEP Adresin Tekrar Aktif Edilmesi (UKDS)"/>
    <x v="0"/>
    <e v="#N/A"/>
    <x v="0"/>
    <s v="-"/>
    <x v="0"/>
    <m/>
  </r>
  <r>
    <x v="0"/>
    <s v="CRM-592"/>
    <x v="1"/>
    <s v="Pasif Olan KEP Hesabın Tekrar Aktif Edilmesi (CRM)"/>
    <x v="0"/>
    <e v="#N/A"/>
    <x v="0"/>
    <s v="-"/>
    <x v="0"/>
    <m/>
  </r>
  <r>
    <x v="0"/>
    <s v="CRM-593"/>
    <x v="1"/>
    <s v="Mersis sorgu sonucunda dönen NACE kodu bilgisinin alınması"/>
    <x v="0"/>
    <e v="#N/A"/>
    <x v="0"/>
    <s v="-"/>
    <x v="0"/>
    <n v="1"/>
  </r>
  <r>
    <x v="0"/>
    <s v="CRM-594"/>
    <x v="0"/>
    <s v="KEP Assist ürün kullanım raporu"/>
    <x v="0"/>
    <e v="#N/A"/>
    <x v="0"/>
    <s v="-"/>
    <x v="0"/>
    <n v="5"/>
  </r>
  <r>
    <x v="0"/>
    <s v="CRM-597"/>
    <x v="1"/>
    <s v="Sipariş detayında MERSİS sorgu sonucu başarılı dönmemesi"/>
    <x v="0"/>
    <e v="#N/A"/>
    <x v="0"/>
    <s v="-"/>
    <x v="0"/>
    <n v="1"/>
  </r>
  <r>
    <x v="0"/>
    <s v="CRM-598"/>
    <x v="1"/>
    <s v="Kamu/Oda/Vakıf/Dernek müşteri tipi için KEP hesap oluşturulabilmesi"/>
    <x v="0"/>
    <e v="#N/A"/>
    <x v="0"/>
    <s v="-"/>
    <x v="0"/>
    <n v="1"/>
  </r>
  <r>
    <x v="0"/>
    <s v="CRM-599"/>
    <x v="1"/>
    <s v="Manuel müşteri kaydı oluşturma"/>
    <x v="0"/>
    <e v="#N/A"/>
    <x v="0"/>
    <s v="-"/>
    <x v="0"/>
    <n v="1"/>
  </r>
  <r>
    <x v="0"/>
    <s v="CRM-600"/>
    <x v="1"/>
    <s v="MERSİS sonucunda eşleşme sağlanamaması"/>
    <x v="0"/>
    <e v="#N/A"/>
    <x v="0"/>
    <s v="-"/>
    <x v="0"/>
    <n v="1"/>
  </r>
  <r>
    <x v="0"/>
    <s v="CRM-601"/>
    <x v="1"/>
    <s v="KEP Assist rapor servisine entegrasyon sağlanması"/>
    <x v="0"/>
    <e v="#N/A"/>
    <x v="0"/>
    <s v="-"/>
    <x v="0"/>
    <n v="1"/>
  </r>
  <r>
    <x v="0"/>
    <s v="CRM-602"/>
    <x v="1"/>
    <s v="KEP Assist organizasyon ID bilgisinin kaydedilmesi"/>
    <x v="0"/>
    <e v="#N/A"/>
    <x v="0"/>
    <s v="-"/>
    <x v="0"/>
    <n v="1"/>
  </r>
  <r>
    <x v="0"/>
    <s v="CRM-603"/>
    <x v="1"/>
    <s v="Sözleşmeler sayfasına kullanım bilgilerinin kaydedilmesi"/>
    <x v="0"/>
    <e v="#N/A"/>
    <x v="0"/>
    <s v="-"/>
    <x v="0"/>
    <n v="5"/>
  </r>
  <r>
    <x v="0"/>
    <s v="CRM-604"/>
    <x v="1"/>
    <s v="Kullanım bilgilerinin güncellenmesi için job yazılması"/>
    <x v="0"/>
    <e v="#N/A"/>
    <x v="0"/>
    <s v="-"/>
    <x v="0"/>
    <n v="2"/>
  </r>
  <r>
    <x v="0"/>
    <s v="CRM-605"/>
    <x v="1"/>
    <s v="Belirli tarih aralığındaki kullanım bilgilerinin gösterilmesi"/>
    <x v="0"/>
    <e v="#N/A"/>
    <x v="0"/>
    <s v="-"/>
    <x v="0"/>
    <n v="3"/>
  </r>
  <r>
    <x v="0"/>
    <s v="CRM-608"/>
    <x v="1"/>
    <s v="Duplicate Fatura Numaraları için Düzenleme"/>
    <x v="0"/>
    <e v="#N/A"/>
    <x v="0"/>
    <s v="-"/>
    <x v="0"/>
    <n v="2"/>
  </r>
  <r>
    <x v="0"/>
    <s v="CRM-609"/>
    <x v="1"/>
    <s v="Müşterinin Oluşturulma Tarihi Düzenlemesi"/>
    <x v="0"/>
    <e v="#N/A"/>
    <x v="0"/>
    <s v="-"/>
    <x v="0"/>
    <n v="1"/>
  </r>
  <r>
    <x v="0"/>
    <s v="CRM-610"/>
    <x v="1"/>
    <s v="Test ortamı MERSİS entegrasyonu kontrol adımları"/>
    <x v="0"/>
    <e v="#N/A"/>
    <x v="0"/>
    <s v="-"/>
    <x v="0"/>
    <n v="2"/>
  </r>
  <r>
    <x v="0"/>
    <s v="CRM-613"/>
    <x v="1"/>
    <s v="Test ortamında NACE kodu bilgisi alanının getirilmesi"/>
    <x v="0"/>
    <e v="#N/A"/>
    <x v="0"/>
    <s v="-"/>
    <x v="0"/>
    <n v="1"/>
  </r>
  <r>
    <x v="0"/>
    <s v="CRM-614"/>
    <x v="1"/>
    <s v="Tobb Mersis servisi bakiye kontrolü için bildirim maili gönderilmesi"/>
    <x v="0"/>
    <e v="#N/A"/>
    <x v="0"/>
    <s v="-"/>
    <x v="0"/>
    <n v="2"/>
  </r>
  <r>
    <x v="0"/>
    <s v="CRM-616"/>
    <x v="1"/>
    <s v="Turmob servis tüketim bilgilerinin kaydedilmesi"/>
    <x v="0"/>
    <e v="#N/A"/>
    <x v="0"/>
    <s v="-"/>
    <x v="0"/>
    <n v="3"/>
  </r>
  <r>
    <x v="0"/>
    <s v="CRM-617"/>
    <x v="1"/>
    <s v="Turmob servis tüketim verilerinin Fatura bakiyesinden düşülmesi"/>
    <x v="0"/>
    <e v="#N/A"/>
    <x v="0"/>
    <s v="-"/>
    <x v="0"/>
    <n v="1"/>
  </r>
  <r>
    <x v="0"/>
    <s v="CRM-618"/>
    <x v="1"/>
    <s v="Fatura tüketim verileri içeren raporların güncellenmesi"/>
    <x v="0"/>
    <e v="#N/A"/>
    <x v="0"/>
    <s v="-"/>
    <x v="0"/>
    <n v="1"/>
  </r>
  <r>
    <x v="0"/>
    <s v="DP-266"/>
    <x v="1"/>
    <s v="İptal Firmaların Veri Teslimi İçin Sorgu Ekranı Eklenmesi"/>
    <x v="1"/>
    <e v="#N/A"/>
    <x v="0"/>
    <s v="-"/>
    <x v="0"/>
    <n v="2"/>
  </r>
  <r>
    <x v="1"/>
    <s v="DP-267"/>
    <x v="1"/>
    <s v="E-Defter Firma Raporu Excelinin Güncellenmesi"/>
    <x v="1"/>
    <e v="#N/A"/>
    <x v="0"/>
    <s v="-"/>
    <x v="0"/>
    <n v="2"/>
  </r>
  <r>
    <x v="0"/>
    <s v="DP-268"/>
    <x v="1"/>
    <s v="KEP Utility Servisi Evidence-controller metotlarının eklenmesi"/>
    <x v="1"/>
    <e v="#N/A"/>
    <x v="0"/>
    <s v="-"/>
    <x v="0"/>
    <n v="2"/>
  </r>
  <r>
    <x v="0"/>
    <s v="DP-269"/>
    <x v="1"/>
    <s v="KEP Utility Servisi Mailbox-controller metotlarının eklenmesi"/>
    <x v="1"/>
    <e v="#N/A"/>
    <x v="0"/>
    <s v="-"/>
    <x v="0"/>
    <n v="2"/>
  </r>
  <r>
    <x v="0"/>
    <s v="DP-270"/>
    <x v="1"/>
    <s v="KEP Utility Servisi Original-controller metotlarının eklenmesi"/>
    <x v="1"/>
    <e v="#N/A"/>
    <x v="0"/>
    <s v="-"/>
    <x v="0"/>
    <n v="5"/>
  </r>
  <r>
    <x v="0"/>
    <s v="DP-271"/>
    <x v="1"/>
    <s v="KEP Utility Servisi quota-controller metotlarının eklenmesi"/>
    <x v="1"/>
    <e v="#N/A"/>
    <x v="0"/>
    <s v="-"/>
    <x v="0"/>
    <n v="2"/>
  </r>
  <r>
    <x v="0"/>
    <s v="DP-272"/>
    <x v="1"/>
    <s v=" KEP Utility Servisi Rem-q-controller metotlarının eklenmesi"/>
    <x v="1"/>
    <e v="#N/A"/>
    <x v="0"/>
    <s v="-"/>
    <x v="0"/>
    <n v="2"/>
  </r>
  <r>
    <x v="0"/>
    <s v="DP-273"/>
    <x v="1"/>
    <s v=" KEP Utility Servisi Web-hr-controller metotlarının eklenmesi"/>
    <x v="1"/>
    <e v="#N/A"/>
    <x v="0"/>
    <s v="-"/>
    <x v="0"/>
    <n v="2"/>
  </r>
  <r>
    <x v="0"/>
    <s v="DS-10"/>
    <x v="1"/>
    <s v="Hata loglarının LogSign üzerinden bildirim olarak gönderilmesi"/>
    <x v="2"/>
    <e v="#N/A"/>
    <x v="0"/>
    <s v="-"/>
    <x v="0"/>
    <n v="3"/>
  </r>
  <r>
    <x v="0"/>
    <s v="EDF-748"/>
    <x v="1"/>
    <s v="e-Defter Kebir Dosyalarının Ocak 2025 Dönemi İtibarı ile GİB Sistemlerine Yüklenmemesi İçin Değişiklik"/>
    <x v="3"/>
    <e v="#N/A"/>
    <x v="0"/>
    <s v="-"/>
    <x v="0"/>
    <m/>
  </r>
  <r>
    <x v="0"/>
    <s v="EDF-750"/>
    <x v="1"/>
    <s v="E-Defter Client Defter İmzalama İçin .jar Dosyasının Güncellenmesi"/>
    <x v="3"/>
    <e v="#N/A"/>
    <x v="0"/>
    <s v="-"/>
    <x v="0"/>
    <m/>
  </r>
  <r>
    <x v="0"/>
    <s v="EDF-751"/>
    <x v="1"/>
    <s v="Büyük Parçalı Firma (LOFT) Portalde İşlem Yapabilmesi İçin Exe Yazılması"/>
    <x v="3"/>
    <e v="#N/A"/>
    <x v="0"/>
    <s v="-"/>
    <x v="0"/>
    <n v="3"/>
  </r>
  <r>
    <x v="0"/>
    <s v="EDF-752"/>
    <x v="1"/>
    <s v="CST_Contract Tablosunda Yer Almayan Müşterinin Portale Girişinin Engellediği Geliştirmenin Geri Alınması"/>
    <x v="3"/>
    <e v="#N/A"/>
    <x v="0"/>
    <s v="-"/>
    <x v="0"/>
    <n v="2"/>
  </r>
  <r>
    <x v="0"/>
    <s v="EDF-755"/>
    <x v="1"/>
    <s v="Sözleşmesi Dolacak Müşteriler İçin Portalde Uyarı Metni Gösterimi"/>
    <x v="3"/>
    <e v="#N/A"/>
    <x v="0"/>
    <s v="-"/>
    <x v="0"/>
    <n v="13"/>
  </r>
  <r>
    <x v="0"/>
    <s v="EFT-1669"/>
    <x v="2"/>
    <s v="Şifreli Tutulan Verilerin SHA-2 Algoritması İle Hashlenmesi"/>
    <x v="4"/>
    <e v="#N/A"/>
    <x v="0"/>
    <s v="-"/>
    <x v="0"/>
    <m/>
  </r>
  <r>
    <x v="0"/>
    <s v="EFT-1934"/>
    <x v="1"/>
    <s v="Sözleşme ve aktivasyon süreçlerinin istemci ile gerçekleştirilmesi"/>
    <x v="4"/>
    <e v="#N/A"/>
    <x v="0"/>
    <s v="-"/>
    <x v="0"/>
    <n v="3"/>
  </r>
  <r>
    <x v="0"/>
    <s v="EFT-2043"/>
    <x v="1"/>
    <s v="Kamu Faturaları Düzenlemeleri"/>
    <x v="4"/>
    <e v="#N/A"/>
    <x v="0"/>
    <s v="-"/>
    <x v="0"/>
    <n v="2"/>
  </r>
  <r>
    <x v="0"/>
    <s v="EFT-2068"/>
    <x v="1"/>
    <s v="Portalde Excel İle Fatura Yükleme "/>
    <x v="4"/>
    <e v="#N/A"/>
    <x v="0"/>
    <s v="-"/>
    <x v="0"/>
    <m/>
  </r>
  <r>
    <x v="0"/>
    <s v="EFT-2085"/>
    <x v="1"/>
    <s v="İlaç ve Tıbbi Cihaz Fatura Tipinde Fatura Oluşturulup Gönderilmesi"/>
    <x v="4"/>
    <e v="#N/A"/>
    <x v="0"/>
    <s v="-"/>
    <x v="0"/>
    <n v="13"/>
  </r>
  <r>
    <x v="0"/>
    <s v="EFT-2087"/>
    <x v="1"/>
    <s v="DeliveryCustomerParty Alanında TCKN Giriliyorsa Ad Soyad Girme Zorunluluğu Ekleme"/>
    <x v="4"/>
    <e v="#N/A"/>
    <x v="0"/>
    <s v="-"/>
    <x v="0"/>
    <n v="3"/>
  </r>
  <r>
    <x v="0"/>
    <s v="EFT-2094"/>
    <x v="1"/>
    <s v="Portal İlaç ve Tıbbi Cihaz Fatura Tipinde Fatura Oluşturulup Gönderilmesi"/>
    <x v="4"/>
    <e v="#N/A"/>
    <x v="0"/>
    <s v="-"/>
    <x v="0"/>
    <n v="5"/>
  </r>
  <r>
    <x v="1"/>
    <s v="EFT-2095"/>
    <x v="1"/>
    <s v="Ef-Admin Portalde Şifremi Unuttum Alanının Çalışmaması"/>
    <x v="4"/>
    <e v="#N/A"/>
    <x v="0"/>
    <s v="-"/>
    <x v="0"/>
    <n v="3"/>
  </r>
  <r>
    <x v="0"/>
    <s v="EFT-2100"/>
    <x v="1"/>
    <s v="IHRACKAYITLI fatura tipi için GTİP ve Satır Kodu Zorunluluğu"/>
    <x v="4"/>
    <e v="#N/A"/>
    <x v="0"/>
    <s v="-"/>
    <x v="0"/>
    <n v="5"/>
  </r>
  <r>
    <x v="0"/>
    <s v="EFT-2101"/>
    <x v="1"/>
    <s v="İade ve Tevkifatiade Fatura Tiplerinde İadeye Konu Olan Fatura Numarası ve Tarihi Boş Olmaması"/>
    <x v="4"/>
    <e v="#N/A"/>
    <x v="0"/>
    <s v="-"/>
    <x v="0"/>
    <n v="5"/>
  </r>
  <r>
    <x v="0"/>
    <s v="EFT-2102"/>
    <x v="1"/>
    <s v="TaxExemptionReasonCodeType Güncellenmesi"/>
    <x v="4"/>
    <e v="#N/A"/>
    <x v="0"/>
    <s v="-"/>
    <x v="0"/>
    <n v="1"/>
  </r>
  <r>
    <x v="0"/>
    <s v="EFT-2108"/>
    <x v="1"/>
    <s v="ERP Binding Müşterilerine GİB Zorunlulukları İçin Geliştirme"/>
    <x v="4"/>
    <e v="#N/A"/>
    <x v="0"/>
    <s v="-"/>
    <x v="0"/>
    <n v="3"/>
  </r>
  <r>
    <x v="0"/>
    <s v="EFT-2109"/>
    <x v="1"/>
    <s v="MLP İade Faturası Geliştirmesi"/>
    <x v="4"/>
    <e v="#N/A"/>
    <x v="0"/>
    <s v="-"/>
    <x v="0"/>
    <n v="2"/>
  </r>
  <r>
    <x v="0"/>
    <s v="EFT-2114"/>
    <x v="1"/>
    <s v="HSM Lisans Süresini Uzatılması"/>
    <x v="4"/>
    <e v="#N/A"/>
    <x v="0"/>
    <s v="-"/>
    <x v="0"/>
    <n v="1"/>
  </r>
  <r>
    <x v="0"/>
    <s v="EFT-2116"/>
    <x v="1"/>
    <s v="Yapılan Türmob sorgularının veri tablosuna kaydedilmesi"/>
    <x v="4"/>
    <e v="#N/A"/>
    <x v="0"/>
    <s v="-"/>
    <x v="0"/>
    <n v="3"/>
  </r>
  <r>
    <x v="0"/>
    <s v="EFT-2117"/>
    <x v="1"/>
    <s v="Konnektör VKN/TCKN Alanı Minimum 10 Hane ve Ücretlendirme Uyarısı"/>
    <x v="4"/>
    <e v="#N/A"/>
    <x v="0"/>
    <s v="-"/>
    <x v="0"/>
    <n v="1"/>
  </r>
  <r>
    <x v="0"/>
    <s v="EFT-2118"/>
    <x v="1"/>
    <s v="Proxy Servis Metot Geliştirmeleri"/>
    <x v="4"/>
    <e v="#N/A"/>
    <x v="0"/>
    <s v="-"/>
    <x v="0"/>
    <n v="2"/>
  </r>
  <r>
    <x v="0"/>
    <s v="EFT-2119"/>
    <x v="1"/>
    <s v="CRM-Fatura Entegrasyonu Sağlanması"/>
    <x v="4"/>
    <e v="#N/A"/>
    <x v="0"/>
    <s v="-"/>
    <x v="0"/>
    <n v="2"/>
  </r>
  <r>
    <x v="0"/>
    <s v="EFT-2120"/>
    <x v="1"/>
    <s v="Portal VKN/TCKN Alanına Minimum 10 haneli Giriş Zorunluluğu ve Ücretlendirme Uyarısı"/>
    <x v="4"/>
    <e v="#N/A"/>
    <x v="0"/>
    <s v="-"/>
    <x v="0"/>
    <n v="1"/>
  </r>
  <r>
    <x v="0"/>
    <s v="EFT-2121"/>
    <x v="1"/>
    <s v="Portalda Dashboard da TÜRMOB Sorgu Sayısı"/>
    <x v="4"/>
    <e v="#N/A"/>
    <x v="0"/>
    <s v="-"/>
    <x v="0"/>
    <n v="3"/>
  </r>
  <r>
    <x v="1"/>
    <s v="EFT-2122"/>
    <x v="1"/>
    <s v="İrsaliye Web Metotlarında Mersis No ve Ticaret No Zorunluluğu Kaldırma "/>
    <x v="4"/>
    <e v="#N/A"/>
    <x v="0"/>
    <s v="-"/>
    <x v="0"/>
    <n v="1"/>
  </r>
  <r>
    <x v="1"/>
    <s v="EFT-2127"/>
    <x v="1"/>
    <s v="GİB Zorunlulukları Sonrası Konnektörde Harici Excel İle Yüklemede Hata"/>
    <x v="4"/>
    <e v="#N/A"/>
    <x v="0"/>
    <s v="-"/>
    <x v="0"/>
    <n v="2"/>
  </r>
  <r>
    <x v="0"/>
    <s v="EFT-2129"/>
    <x v="1"/>
    <s v="Türmob Geliştirmelerinde Connector Uygulamasının Proxy Servisine Entegre Edilmesi"/>
    <x v="4"/>
    <e v="#N/A"/>
    <x v="0"/>
    <s v="-"/>
    <x v="0"/>
    <n v="1"/>
  </r>
  <r>
    <x v="1"/>
    <s v="EFT-2136"/>
    <x v="1"/>
    <s v="MLP İade Fatura İadeye Konu Fatura Düzeltmesi"/>
    <x v="4"/>
    <e v="#N/A"/>
    <x v="0"/>
    <s v="-"/>
    <x v="0"/>
    <n v="1"/>
  </r>
  <r>
    <x v="0"/>
    <s v="EFT-2137"/>
    <x v="1"/>
    <s v="Ücretlendirme Uyarısının Gösterimi "/>
    <x v="4"/>
    <e v="#N/A"/>
    <x v="0"/>
    <s v="-"/>
    <x v="0"/>
    <n v="1"/>
  </r>
  <r>
    <x v="1"/>
    <s v="EFT-2138"/>
    <x v="1"/>
    <s v="Portalda İade ve Tevkifat İade Faturalarında İadeye Konu Olan Fatura Numarasının Seri Numarası Tarihi Hatası"/>
    <x v="4"/>
    <e v="#N/A"/>
    <x v="0"/>
    <s v="-"/>
    <x v="0"/>
    <n v="1"/>
  </r>
  <r>
    <x v="0"/>
    <s v="EFT-2140"/>
    <x v="1"/>
    <s v="Portal uygulumasına &quot;TEKNOLOJIDESTEK” fatura tipinin eklenmesi._x0009_"/>
    <x v="4"/>
    <e v="#N/A"/>
    <x v="0"/>
    <s v="-"/>
    <x v="0"/>
    <n v="3"/>
  </r>
  <r>
    <x v="0"/>
    <s v="EFT-2141"/>
    <x v="1"/>
    <s v="Konnektör uygulumasına &quot;TEKNOLOJIDESTEK” fatura tipinin eklenmesi."/>
    <x v="4"/>
    <e v="#N/A"/>
    <x v="0"/>
    <s v="-"/>
    <x v="0"/>
    <n v="2"/>
  </r>
  <r>
    <x v="0"/>
    <s v="EFT-2142"/>
    <x v="1"/>
    <s v="Webservis uygulumasına &quot;TEKNOLOJIDESTEK” fatura tipinin eklenmesi."/>
    <x v="4"/>
    <e v="#N/A"/>
    <x v="0"/>
    <s v="-"/>
    <x v="0"/>
    <n v="3"/>
  </r>
  <r>
    <x v="0"/>
    <s v="EFT-2143"/>
    <x v="1"/>
    <s v="Modellerin, servislerin ve SPlerin oluşması "/>
    <x v="4"/>
    <e v="#N/A"/>
    <x v="0"/>
    <s v="-"/>
    <x v="0"/>
    <n v="3"/>
  </r>
  <r>
    <x v="0"/>
    <s v="IEU-114"/>
    <x v="1"/>
    <s v="Pdf hash imza - client"/>
    <x v="5"/>
    <e v="#N/A"/>
    <x v="0"/>
    <s v="-"/>
    <x v="0"/>
    <m/>
  </r>
  <r>
    <x v="0"/>
    <s v="IEU-115"/>
    <x v="1"/>
    <s v="PDF Dosyasının Hash Değerini Alma"/>
    <x v="5"/>
    <e v="#N/A"/>
    <x v="0"/>
    <s v="-"/>
    <x v="0"/>
    <n v="5"/>
  </r>
  <r>
    <x v="0"/>
    <s v="IEU-122"/>
    <x v="1"/>
    <s v="Veritabanının farklı sunucuya taşınması (Hubtest)"/>
    <x v="5"/>
    <e v="#N/A"/>
    <x v="0"/>
    <s v="-"/>
    <x v="0"/>
    <n v="3"/>
  </r>
  <r>
    <x v="1"/>
    <s v="IEU-127"/>
    <x v="0"/>
    <s v="XAdES çoklu imza doğrulama hatası"/>
    <x v="5"/>
    <e v="#N/A"/>
    <x v="0"/>
    <s v="-"/>
    <x v="0"/>
    <m/>
  </r>
  <r>
    <x v="1"/>
    <s v="IEU-128"/>
    <x v="1"/>
    <s v="XAdES çoklu imzalama hatası hakkında"/>
    <x v="5"/>
    <e v="#N/A"/>
    <x v="0"/>
    <s v="-"/>
    <x v="0"/>
    <m/>
  </r>
  <r>
    <x v="0"/>
    <s v="IEU-13"/>
    <x v="1"/>
    <s v="Mobil İmza modülüne XAdES imzalama özelliği eklenmesi"/>
    <x v="5"/>
    <e v="#N/A"/>
    <x v="0"/>
    <s v="-"/>
    <x v="0"/>
    <n v="5"/>
  </r>
  <r>
    <x v="0"/>
    <s v="IEU-149"/>
    <x v="1"/>
    <s v="UETS servisinin Hubtest'e alınması"/>
    <x v="5"/>
    <e v="#N/A"/>
    <x v="0"/>
    <s v="-"/>
    <x v="0"/>
    <m/>
  </r>
  <r>
    <x v="0"/>
    <s v="IEU-151"/>
    <x v="1"/>
    <s v="Webmail ile Mobil İmza Entegrasyonu"/>
    <x v="5"/>
    <e v="#N/A"/>
    <x v="0"/>
    <s v="-"/>
    <x v="0"/>
    <m/>
  </r>
  <r>
    <x v="0"/>
    <s v="IEU-153"/>
    <x v="1"/>
    <s v="/api/v1/crg/search/account-info Metodunun Yeniden Yapılandırılması"/>
    <x v="5"/>
    <e v="#N/A"/>
    <x v="0"/>
    <s v="-"/>
    <x v="0"/>
    <m/>
  </r>
  <r>
    <x v="0"/>
    <s v="IEU-154"/>
    <x v="1"/>
    <s v="Son Ui Getiren Metotların Hubtest'e Alınması"/>
    <x v="5"/>
    <e v="#N/A"/>
    <x v="0"/>
    <s v="-"/>
    <x v="0"/>
    <n v="3"/>
  </r>
  <r>
    <x v="0"/>
    <s v="IEU-155"/>
    <x v="0"/>
    <s v="İmzalama servislerinde toplu imzalama imkanı"/>
    <x v="5"/>
    <e v="#N/A"/>
    <x v="0"/>
    <s v="-"/>
    <x v="0"/>
    <m/>
  </r>
  <r>
    <x v="0"/>
    <s v="IEU-158"/>
    <x v="1"/>
    <s v="KEP Rehber - Genel Adres Doğrulama Metodunun Eklenmesi"/>
    <x v="5"/>
    <e v="#N/A"/>
    <x v="0"/>
    <s v="-"/>
    <x v="0"/>
    <n v="3"/>
  </r>
  <r>
    <x v="0"/>
    <s v="IEU-159"/>
    <x v="1"/>
    <s v="Merkezi KEP Rehberi Metodunda Hatalı Dönüşün Açıklamasının Eklenmesi"/>
    <x v="5"/>
    <e v="#N/A"/>
    <x v="0"/>
    <s v="-"/>
    <x v="0"/>
    <n v="3"/>
  </r>
  <r>
    <x v="0"/>
    <s v="IEU-160"/>
    <x v="1"/>
    <s v="İmzaClient Güncellemesi"/>
    <x v="5"/>
    <e v="#N/A"/>
    <x v="0"/>
    <s v="-"/>
    <x v="0"/>
    <n v="3"/>
  </r>
  <r>
    <x v="1"/>
    <s v="IEU-162"/>
    <x v="1"/>
    <s v="Mobil imza cades tipinde imzalanan belgenin imzalı datasını çağırma hk."/>
    <x v="5"/>
    <e v="#N/A"/>
    <x v="0"/>
    <s v="-"/>
    <x v="0"/>
    <n v="3"/>
  </r>
  <r>
    <x v="0"/>
    <s v="IEU-164"/>
    <x v="1"/>
    <s v="TCKN ve VKN ile Kep Adresi Sorgulama"/>
    <x v="5"/>
    <e v="#N/A"/>
    <x v="0"/>
    <s v="-"/>
    <x v="0"/>
    <m/>
  </r>
  <r>
    <x v="0"/>
    <s v="IEU-165"/>
    <x v="1"/>
    <s v="/api/v1/sign/multi metoduna api-access-token parametresi eklenmesi"/>
    <x v="5"/>
    <e v="#N/A"/>
    <x v="0"/>
    <s v="-"/>
    <x v="0"/>
    <m/>
  </r>
  <r>
    <x v="1"/>
    <s v="IEU-166"/>
    <x v="1"/>
    <s v="list-by-folder-name metodu hk."/>
    <x v="5"/>
    <e v="#N/A"/>
    <x v="0"/>
    <s v="-"/>
    <x v="0"/>
    <n v="3"/>
  </r>
  <r>
    <x v="0"/>
    <s v="IEU-171"/>
    <x v="1"/>
    <s v="İmzalı Hash Değeri ile Orijinal PDF'yi Birleştirme Metodu Geliştirilmesi"/>
    <x v="5"/>
    <e v="#N/A"/>
    <x v="0"/>
    <s v="-"/>
    <x v="0"/>
    <n v="5"/>
  </r>
  <r>
    <x v="1"/>
    <s v="IEU-172"/>
    <x v="1"/>
    <s v="Hubtest metotlardaki hatalar hk."/>
    <x v="5"/>
    <e v="#N/A"/>
    <x v="0"/>
    <s v="-"/>
    <x v="0"/>
    <n v="3"/>
  </r>
  <r>
    <x v="1"/>
    <s v="IEU-174"/>
    <x v="1"/>
    <s v="İmza Client - E-Fatura"/>
    <x v="5"/>
    <e v="#N/A"/>
    <x v="0"/>
    <s v="-"/>
    <x v="0"/>
    <n v="3"/>
  </r>
  <r>
    <x v="1"/>
    <s v="IEU-176"/>
    <x v="3"/>
    <s v="Pades Es-A İmzalarda Çift Zaman Damgası Basılması"/>
    <x v="5"/>
    <e v="#N/A"/>
    <x v="0"/>
    <s v="-"/>
    <x v="0"/>
    <n v="3"/>
  </r>
  <r>
    <x v="1"/>
    <s v="IEU-177"/>
    <x v="1"/>
    <s v="Hubtest /api/v1/eyp/composer/v13/paket/imza/ekle metodu hk."/>
    <x v="5"/>
    <e v="#N/A"/>
    <x v="0"/>
    <s v="-"/>
    <x v="0"/>
    <n v="2"/>
  </r>
  <r>
    <x v="0"/>
    <s v="IEU-181"/>
    <x v="1"/>
    <s v="Metotlardan Dönen Hata Yanıtlarının Kontrol Edilmesi ve Listelenmesi"/>
    <x v="5"/>
    <e v="#N/A"/>
    <x v="0"/>
    <s v="-"/>
    <x v="0"/>
    <n v="3"/>
  </r>
  <r>
    <x v="0"/>
    <s v="IEU-182"/>
    <x v="1"/>
    <s v="Entegrasyon Suit Servis (Rest Api) Dokümanı Güncelleme"/>
    <x v="5"/>
    <e v="#N/A"/>
    <x v="0"/>
    <s v="-"/>
    <x v="0"/>
    <n v="5"/>
  </r>
  <r>
    <x v="1"/>
    <s v="IEU-183"/>
    <x v="1"/>
    <s v="rems-by-folder-name metodu hk."/>
    <x v="5"/>
    <e v="#N/A"/>
    <x v="0"/>
    <s v="-"/>
    <x v="0"/>
    <n v="3"/>
  </r>
  <r>
    <x v="0"/>
    <s v="KA-1359"/>
    <x v="0"/>
    <s v="Mobil İmza Servis Entegrasyonu"/>
    <x v="6"/>
    <e v="#N/A"/>
    <x v="0"/>
    <s v="-"/>
    <x v="0"/>
    <m/>
  </r>
  <r>
    <x v="0"/>
    <s v="KA-1445"/>
    <x v="1"/>
    <s v="Organizasyon kullanıcılarının customerAdmin tarafından tanımlanması"/>
    <x v="6"/>
    <e v="#N/A"/>
    <x v="0"/>
    <s v="-"/>
    <x v="0"/>
    <m/>
  </r>
  <r>
    <x v="0"/>
    <s v="KA-1447"/>
    <x v="1"/>
    <s v="Otomatik yanıtlanan iletilerin eklerine ek dosya eklenmesi"/>
    <x v="6"/>
    <e v="#N/A"/>
    <x v="0"/>
    <s v="-"/>
    <x v="0"/>
    <m/>
  </r>
  <r>
    <x v="0"/>
    <s v="KA-1448"/>
    <x v="1"/>
    <s v="Kep iletisi oluşturan kişinin gönderimin sınırlandırılması"/>
    <x v="6"/>
    <e v="#N/A"/>
    <x v="0"/>
    <s v="-"/>
    <x v="0"/>
    <m/>
  </r>
  <r>
    <x v="0"/>
    <s v="KA-1452"/>
    <x v="1"/>
    <s v="Pasife alınan kullanıcı yerine kullanıcı eklenebilmesi"/>
    <x v="6"/>
    <e v="#N/A"/>
    <x v="0"/>
    <s v="-"/>
    <x v="0"/>
    <m/>
  </r>
  <r>
    <x v="0"/>
    <s v="KA-1453"/>
    <x v="1"/>
    <s v="Update sorgusu hazırlanması EYP_SECURITYCODE tablosu"/>
    <x v="6"/>
    <e v="#N/A"/>
    <x v="0"/>
    <s v="-"/>
    <x v="0"/>
    <m/>
  </r>
  <r>
    <x v="0"/>
    <s v="KA-1454"/>
    <x v="1"/>
    <s v="Kullanım Raporu (Faz-1)"/>
    <x v="6"/>
    <e v="#N/A"/>
    <x v="0"/>
    <s v="-"/>
    <x v="0"/>
    <m/>
  </r>
  <r>
    <x v="1"/>
    <s v="KA-1455"/>
    <x v="1"/>
    <s v="Eyp Şablon Yetkili Sorunu Hk."/>
    <x v="6"/>
    <e v="#N/A"/>
    <x v="0"/>
    <s v="-"/>
    <x v="0"/>
    <m/>
  </r>
  <r>
    <x v="0"/>
    <s v="KA-1456"/>
    <x v="1"/>
    <s v="Kullanım Raporu (Faz-2)"/>
    <x v="6"/>
    <e v="#N/A"/>
    <x v="0"/>
    <s v="-"/>
    <x v="0"/>
    <m/>
  </r>
  <r>
    <x v="0"/>
    <s v="KA-1465x"/>
    <x v="1"/>
    <s v="CRM Entegrasyonu İçin Organizasyonları Listeleyen Servis Geliştirilmesi"/>
    <x v="6"/>
    <e v="#N/A"/>
    <x v="0"/>
    <s v="-"/>
    <x v="0"/>
    <m/>
  </r>
  <r>
    <x v="0"/>
    <s v="KA-1469"/>
    <x v="1"/>
    <s v="CRM Entegrasyonu İçin Kullanım Raporu Metodu Geliştirilmesi - Faz 1"/>
    <x v="6"/>
    <e v="#N/A"/>
    <x v="0"/>
    <s v="-"/>
    <x v="0"/>
    <m/>
  </r>
  <r>
    <x v="0"/>
    <s v="KA-1470"/>
    <x v="1"/>
    <s v="CRM Entegrasyonu İçin Kullanım Raporu Metodu Geliştirilmesi - Faz 2"/>
    <x v="6"/>
    <e v="#N/A"/>
    <x v="0"/>
    <s v="-"/>
    <x v="0"/>
    <m/>
  </r>
  <r>
    <x v="0"/>
    <s v="KA-1471"/>
    <x v="1"/>
    <s v="Gelen KEP İletileri Excel Raporunda EYP Belge Numaralarının Eklenmesi"/>
    <x v="6"/>
    <e v="#N/A"/>
    <x v="0"/>
    <s v="-"/>
    <x v="0"/>
    <m/>
  </r>
  <r>
    <x v="0"/>
    <s v="KA-1472"/>
    <x v="1"/>
    <s v="Güncelleme Paketi Hazırlanması"/>
    <x v="6"/>
    <e v="#N/A"/>
    <x v="0"/>
    <s v="-"/>
    <x v="0"/>
    <n v="3"/>
  </r>
  <r>
    <x v="0"/>
    <s v="KA-1476"/>
    <x v="1"/>
    <s v="UETS Gelen Kutusu İşlem Statüsü ve Süreçteki Adım Sütunları Hk."/>
    <x v="6"/>
    <e v="#N/A"/>
    <x v="0"/>
    <s v="-"/>
    <x v="0"/>
    <n v="1"/>
  </r>
  <r>
    <x v="1"/>
    <s v="KA-1482"/>
    <x v="1"/>
    <s v="Etys Süreçlerinde Veritabanı Deadlock Hatası hk."/>
    <x v="6"/>
    <e v="#N/A"/>
    <x v="0"/>
    <s v="-"/>
    <x v="0"/>
    <n v="5"/>
  </r>
  <r>
    <x v="0"/>
    <s v="KA-1485"/>
    <x v="1"/>
    <s v="Hatalı delillerin tekrar tetiklenmesi için sorgu hazırlanması"/>
    <x v="6"/>
    <e v="#N/A"/>
    <x v="0"/>
    <s v="-"/>
    <x v="0"/>
    <n v="1"/>
  </r>
  <r>
    <x v="0"/>
    <s v="KA-1488"/>
    <x v="1"/>
    <s v="Hatalı Delillerin Tekrar Tetiklenmesi İçin Worker Çalışması"/>
    <x v="6"/>
    <e v="#N/A"/>
    <x v="0"/>
    <s v="-"/>
    <x v="0"/>
    <n v="3"/>
  </r>
  <r>
    <x v="0"/>
    <s v="KA-1491"/>
    <x v="1"/>
    <s v="Kep Assist - Crm Kullanım Raporu Servisi Kullanım Alanları Birim Değişikliği"/>
    <x v="6"/>
    <e v="#N/A"/>
    <x v="0"/>
    <s v="-"/>
    <x v="0"/>
    <n v="1"/>
  </r>
  <r>
    <x v="0"/>
    <s v="KEP-101"/>
    <x v="1"/>
    <s v="Dovecot DB geçişi"/>
    <x v="7"/>
    <e v="#N/A"/>
    <x v="0"/>
    <s v="-"/>
    <x v="0"/>
    <m/>
  </r>
  <r>
    <x v="0"/>
    <s v="KEP-113"/>
    <x v="1"/>
    <s v="Webmail E-Tebligat Kutusu Belge İndirme ve Okundu Sayılma"/>
    <x v="7"/>
    <e v="#N/A"/>
    <x v="0"/>
    <s v="-"/>
    <x v="0"/>
    <n v="3"/>
  </r>
  <r>
    <x v="0"/>
    <s v="KEP-132"/>
    <x v="1"/>
    <s v="Teslim Edilemedi Delili Mail Bildirimi"/>
    <x v="7"/>
    <e v="#N/A"/>
    <x v="0"/>
    <s v="-"/>
    <x v="0"/>
    <n v="5"/>
  </r>
  <r>
    <x v="0"/>
    <s v="KEP-251"/>
    <x v="1"/>
    <s v="Log kayıtlarının kolay erişilebilir yapıda tutulması"/>
    <x v="7"/>
    <e v="#N/A"/>
    <x v="0"/>
    <s v="-"/>
    <x v="0"/>
    <m/>
  </r>
  <r>
    <x v="0"/>
    <s v="KEP-258"/>
    <x v="1"/>
    <s v="Merkezi KEP Rehberi Servis Geliştirmesi"/>
    <x v="7"/>
    <e v="#N/A"/>
    <x v="0"/>
    <s v="-"/>
    <x v="0"/>
    <m/>
  </r>
  <r>
    <x v="0"/>
    <s v="KEP-259"/>
    <x v="1"/>
    <s v="CRM Servisi Geliştirmesi"/>
    <x v="7"/>
    <e v="#N/A"/>
    <x v="0"/>
    <s v="-"/>
    <x v="0"/>
    <n v="13"/>
  </r>
  <r>
    <x v="0"/>
    <s v="KEP-260"/>
    <x v="1"/>
    <s v="Lisans Güncellemesi Hk."/>
    <x v="7"/>
    <e v="#N/A"/>
    <x v="0"/>
    <s v="-"/>
    <x v="0"/>
    <m/>
  </r>
  <r>
    <x v="0"/>
    <s v="KEP-261"/>
    <x v="1"/>
    <s v="Webmail PDF Görüntüleme İşlemi "/>
    <x v="7"/>
    <e v="#N/A"/>
    <x v="0"/>
    <s v="-"/>
    <x v="0"/>
    <n v="3"/>
  </r>
  <r>
    <x v="1"/>
    <s v="KEP-262"/>
    <x v="1"/>
    <s v="Webmail Giden Kutusu Listeleme "/>
    <x v="7"/>
    <e v="#N/A"/>
    <x v="0"/>
    <s v="-"/>
    <x v="0"/>
    <n v="3"/>
  </r>
  <r>
    <x v="0"/>
    <s v="KEP-263"/>
    <x v="1"/>
    <s v="Webmail CTRL Tuşu İle Birden Fazla İleti Seçme"/>
    <x v="7"/>
    <e v="#N/A"/>
    <x v="0"/>
    <s v="-"/>
    <x v="0"/>
    <m/>
  </r>
  <r>
    <x v="0"/>
    <s v="KEP-264"/>
    <x v="1"/>
    <s v="UETS Mail bildirim kayıtlarının Utility servis üzerinden sorgulanması"/>
    <x v="7"/>
    <e v="#N/A"/>
    <x v="0"/>
    <s v="-"/>
    <x v="0"/>
    <m/>
  </r>
  <r>
    <x v="0"/>
    <s v="KEP-265"/>
    <x v="1"/>
    <s v="UETS SMS bildirim kayıtlarının Utility servis üzerinden sorgulanması"/>
    <x v="7"/>
    <e v="#N/A"/>
    <x v="0"/>
    <s v="-"/>
    <x v="0"/>
    <m/>
  </r>
  <r>
    <x v="1"/>
    <s v="KEP-266"/>
    <x v="1"/>
    <s v="Web mail dosya boyut sınırı"/>
    <x v="7"/>
    <e v="#N/A"/>
    <x v="0"/>
    <s v="-"/>
    <x v="0"/>
    <m/>
  </r>
  <r>
    <x v="0"/>
    <s v="KEP-267"/>
    <x v="1"/>
    <s v="Vodafone mobil imza seçeneğinin eklenmesi"/>
    <x v="7"/>
    <e v="#N/A"/>
    <x v="0"/>
    <s v="-"/>
    <x v="0"/>
    <n v="5"/>
  </r>
  <r>
    <x v="0"/>
    <s v="KEP-268"/>
    <x v="1"/>
    <s v="Mobil İmza Entegrasyonlarının Değiştirmesi Hk"/>
    <x v="7"/>
    <e v="#N/A"/>
    <x v="0"/>
    <s v="-"/>
    <x v="0"/>
    <n v="8"/>
  </r>
  <r>
    <x v="0"/>
    <s v="KEP-269"/>
    <x v="1"/>
    <s v="Yeni Açılan KEP Adreslerinin Yeni Altyapı Tarafında Açılması Hk (CRM Geliştirmesi)"/>
    <x v="7"/>
    <e v="#N/A"/>
    <x v="0"/>
    <s v="-"/>
    <x v="0"/>
    <n v="3"/>
  </r>
  <r>
    <x v="0"/>
    <s v="KEP-270"/>
    <x v="1"/>
    <s v="e-Saklama Modulü Tarih Filtresi Alanında Sorguya Ait Değerin Getirilmesi"/>
    <x v="7"/>
    <e v="#N/A"/>
    <x v="0"/>
    <s v="-"/>
    <x v="0"/>
    <n v="2"/>
  </r>
  <r>
    <x v="0"/>
    <s v="KEP-271"/>
    <x v="1"/>
    <s v="Delil Arşiv Sunucusu Taşınması "/>
    <x v="7"/>
    <e v="#N/A"/>
    <x v="0"/>
    <s v="-"/>
    <x v="0"/>
    <n v="5"/>
  </r>
  <r>
    <x v="0"/>
    <s v="KEP-272"/>
    <x v="1"/>
    <s v="İşlem Yetkilisi Bilgi Güncelle Ekranında Yapılan Yetki Kısıtlamaları Çalışmıyor"/>
    <x v="7"/>
    <e v="#N/A"/>
    <x v="0"/>
    <s v="-"/>
    <x v="0"/>
    <n v="5"/>
  </r>
  <r>
    <x v="0"/>
    <s v="KEP-273"/>
    <x v="1"/>
    <s v="BTK Sorgulamalarında Bir Yerine Birden Fazla Kuyruk Oluşturma"/>
    <x v="7"/>
    <e v="#N/A"/>
    <x v="0"/>
    <s v="-"/>
    <x v="0"/>
    <m/>
  </r>
  <r>
    <x v="0"/>
    <s v="KEP-274"/>
    <x v="1"/>
    <s v="BTK Rehber Servisine Rehber Bildirimlerinin Aylık Yerine Anlık Yapılması"/>
    <x v="7"/>
    <e v="#N/A"/>
    <x v="0"/>
    <s v="-"/>
    <x v="0"/>
    <n v="13"/>
  </r>
  <r>
    <x v="0"/>
    <s v="KEP-275"/>
    <x v="1"/>
    <s v="Eliptik Eğri Güncel Sürümün Test Edilmesi"/>
    <x v="7"/>
    <e v="#N/A"/>
    <x v="0"/>
    <s v="-"/>
    <x v="0"/>
    <n v="5"/>
  </r>
  <r>
    <x v="0"/>
    <s v="KEP-277"/>
    <x v="1"/>
    <s v="KEP Webmail Yetkilerinin Düzenlenmesi"/>
    <x v="7"/>
    <e v="#N/A"/>
    <x v="0"/>
    <s v="-"/>
    <x v="0"/>
    <m/>
  </r>
  <r>
    <x v="0"/>
    <s v="KEP-278"/>
    <x v="1"/>
    <s v="Adalet Bakanlığı'na Gönderilen KEP'lerde Detsis Numarası Eksik Olanlar için Verilen Uyarı Mesajında Detsis Güncellemesi"/>
    <x v="7"/>
    <e v="#N/A"/>
    <x v="0"/>
    <s v="-"/>
    <x v="0"/>
    <n v="1"/>
  </r>
  <r>
    <x v="0"/>
    <s v="KW-1"/>
    <x v="1"/>
    <s v="SSL/TLS SERTİFİKA DEĞİŞİKLİĞİ"/>
    <x v="8"/>
    <e v="#N/A"/>
    <x v="0"/>
    <s v="-"/>
    <x v="0"/>
    <n v="1"/>
  </r>
  <r>
    <x v="0"/>
    <s v="KW-2"/>
    <x v="1"/>
    <s v="Utility - Delil İndirme Servisi Hk."/>
    <x v="8"/>
    <e v="#N/A"/>
    <x v="0"/>
    <s v="-"/>
    <x v="0"/>
    <n v="3"/>
  </r>
  <r>
    <x v="0"/>
    <s v="KW-3"/>
    <x v="3"/>
    <s v="Akbank KEP hesap mutabakatlarının gerçekleştirilmesi"/>
    <x v="8"/>
    <e v="#N/A"/>
    <x v="0"/>
    <s v="-"/>
    <x v="0"/>
    <n v="3"/>
  </r>
  <r>
    <x v="0"/>
    <s v="KW-4"/>
    <x v="1"/>
    <s v="evidence ve original controller altındaki metotlarda güncelleme talebi"/>
    <x v="8"/>
    <e v="#N/A"/>
    <x v="0"/>
    <s v="-"/>
    <x v="0"/>
    <n v="3"/>
  </r>
  <r>
    <x v="0"/>
    <s v="MU-44"/>
    <x v="1"/>
    <s v="Bildirim servisi geliştirmesi"/>
    <x v="9"/>
    <e v="#N/A"/>
    <x v="0"/>
    <s v="-"/>
    <x v="0"/>
    <m/>
  </r>
  <r>
    <x v="0"/>
    <s v="MU-50"/>
    <x v="1"/>
    <s v="UKDS yeni KİDOS entegrasyon tipinin başvuru ekranlarının düzenlenmesi"/>
    <x v="9"/>
    <e v="#N/A"/>
    <x v="0"/>
    <s v="-"/>
    <x v="0"/>
    <m/>
  </r>
  <r>
    <x v="0"/>
    <s v="MU-51"/>
    <x v="1"/>
    <s v="Bildirim servisi entegrasyonu"/>
    <x v="9"/>
    <e v="#N/A"/>
    <x v="0"/>
    <s v="-"/>
    <x v="0"/>
    <m/>
  </r>
  <r>
    <x v="0"/>
    <s v="MU-52"/>
    <x v="1"/>
    <s v="Bildirim onay ekranı geliştirilmesi"/>
    <x v="9"/>
    <e v="#N/A"/>
    <x v="0"/>
    <s v="-"/>
    <x v="0"/>
    <m/>
  </r>
  <r>
    <x v="0"/>
    <s v="MU-53"/>
    <x v="1"/>
    <s v="Geçmiş bildirimler sayfası geliştirilmesi"/>
    <x v="9"/>
    <e v="#N/A"/>
    <x v="0"/>
    <s v="-"/>
    <x v="0"/>
    <m/>
  </r>
  <r>
    <x v="0"/>
    <s v="MU-54"/>
    <x v="1"/>
    <s v="Pazarama senaryosu için ekran düzenlemeleri"/>
    <x v="9"/>
    <e v="#N/A"/>
    <x v="0"/>
    <s v="-"/>
    <x v="0"/>
    <m/>
  </r>
  <r>
    <x v="0"/>
    <s v="MU-55"/>
    <x v="1"/>
    <s v="UKDS ekranlarında parametre kontrolü eklenmesi"/>
    <x v="9"/>
    <e v="#N/A"/>
    <x v="0"/>
    <s v="-"/>
    <x v="0"/>
    <m/>
  </r>
  <r>
    <x v="0"/>
    <s v="MU-56"/>
    <x v="0"/>
    <s v="Senaryo değişikliklerinde son kullanıcı yönlendirmesi"/>
    <x v="9"/>
    <e v="#N/A"/>
    <x v="0"/>
    <s v="-"/>
    <x v="0"/>
    <m/>
  </r>
  <r>
    <x v="0"/>
    <s v="MU-57"/>
    <x v="1"/>
    <s v="Uygulama Başlangıç Ekranı ve Ayarlar Ekranında Dil Seçeneği Eklenmesi (Türkçe/İngilizce)"/>
    <x v="9"/>
    <e v="#N/A"/>
    <x v="0"/>
    <s v="-"/>
    <x v="0"/>
    <n v="8"/>
  </r>
  <r>
    <x v="0"/>
    <s v="MU-58"/>
    <x v="1"/>
    <s v="Uygulama Bildirim Ekranında Gönderim Tarihini Gösterme"/>
    <x v="9"/>
    <e v="#N/A"/>
    <x v="0"/>
    <s v="-"/>
    <x v="0"/>
    <m/>
  </r>
  <r>
    <x v="0"/>
    <s v="MU-59"/>
    <x v="4"/>
    <s v="Bildirimi kapalı olan kullanıcılara gönderilen mesajların failed-messages tablosunda tutulması"/>
    <x v="9"/>
    <e v="#N/A"/>
    <x v="0"/>
    <s v="-"/>
    <x v="0"/>
    <n v="8"/>
  </r>
  <r>
    <x v="0"/>
    <s v="MU-60"/>
    <x v="1"/>
    <s v="Mobil bildirim açma/kapama hk."/>
    <x v="9"/>
    <e v="#N/A"/>
    <x v="0"/>
    <s v="-"/>
    <x v="0"/>
    <m/>
  </r>
  <r>
    <x v="1"/>
    <s v="MU-61"/>
    <x v="1"/>
    <s v="Siyah Ekran Hatası Hk."/>
    <x v="9"/>
    <e v="#N/A"/>
    <x v="0"/>
    <s v="-"/>
    <x v="0"/>
    <n v="3"/>
  </r>
  <r>
    <x v="1"/>
    <s v="MUL-146"/>
    <x v="1"/>
    <s v="Grup oluşturmada arama düzenlemesi"/>
    <x v="10"/>
    <e v="#N/A"/>
    <x v="0"/>
    <s v="-"/>
    <x v="0"/>
    <m/>
  </r>
  <r>
    <x v="0"/>
    <s v="MUL-176"/>
    <x v="1"/>
    <s v="MKR modülüne firma bazlı kota geliştirmesi"/>
    <x v="10"/>
    <e v="#N/A"/>
    <x v="0"/>
    <s v="-"/>
    <x v="0"/>
    <m/>
  </r>
  <r>
    <x v="0"/>
    <s v="MUL-184"/>
    <x v="1"/>
    <s v="Yeni KEP iletisi oluştur ekranı alıcı arama geliştirmesi"/>
    <x v="10"/>
    <e v="#N/A"/>
    <x v="0"/>
    <s v="-"/>
    <x v="0"/>
    <m/>
  </r>
  <r>
    <x v="0"/>
    <s v="MUL-197"/>
    <x v="1"/>
    <s v="Windows Delil Servis geliştirmesi"/>
    <x v="10"/>
    <e v="#N/A"/>
    <x v="0"/>
    <s v="-"/>
    <x v="0"/>
    <m/>
  </r>
  <r>
    <x v="0"/>
    <s v="MUL-198"/>
    <x v="1"/>
    <s v="MKR Kullanım Kısıtlama Hk."/>
    <x v="10"/>
    <e v="#N/A"/>
    <x v="0"/>
    <s v="-"/>
    <x v="0"/>
    <n v="5"/>
  </r>
  <r>
    <x v="0"/>
    <s v="MUL-199"/>
    <x v="1"/>
    <s v="Müşteri Sözleşme Tanımı Hk"/>
    <x v="10"/>
    <e v="#N/A"/>
    <x v="0"/>
    <s v="-"/>
    <x v="0"/>
    <n v="8"/>
  </r>
  <r>
    <x v="0"/>
    <s v="MUL-200"/>
    <x v="1"/>
    <s v="Yüksek Boyutlu PDF Parçalama İşlemi Hk"/>
    <x v="10"/>
    <e v="#N/A"/>
    <x v="0"/>
    <s v="-"/>
    <x v="0"/>
    <n v="8"/>
  </r>
  <r>
    <x v="0"/>
    <s v="MUL-201"/>
    <x v="1"/>
    <s v="Merkezi KEP Sorgulama Kayıtlarının Silinmesi"/>
    <x v="10"/>
    <e v="#N/A"/>
    <x v="0"/>
    <s v="-"/>
    <x v="0"/>
    <n v="5"/>
  </r>
  <r>
    <x v="0"/>
    <s v="MUL-202"/>
    <x v="1"/>
    <s v="Yeni KEP İletisi Oluştur Ekranı Gönder Düğmesi Simgesinin Değiştirilmesi "/>
    <x v="10"/>
    <e v="#N/A"/>
    <x v="0"/>
    <s v="-"/>
    <x v="0"/>
    <n v="1"/>
  </r>
  <r>
    <x v="0"/>
    <s v="MUL-203"/>
    <x v="1"/>
    <s v="Excel ile KEP Gönderim Ekranında Ek Dosya Eklendikten Sonra Dosyanın Silinebilmesi "/>
    <x v="10"/>
    <e v="#N/A"/>
    <x v="0"/>
    <s v="-"/>
    <x v="0"/>
    <n v="3"/>
  </r>
  <r>
    <x v="0"/>
    <s v="MUL-204"/>
    <x v="1"/>
    <s v="Refactor Çalışması Hk"/>
    <x v="10"/>
    <e v="#N/A"/>
    <x v="0"/>
    <s v="-"/>
    <x v="0"/>
    <n v="5"/>
  </r>
  <r>
    <x v="0"/>
    <s v="MUL-205"/>
    <x v="1"/>
    <s v="Taslaklar üzerinde Simge (icon) Değişikliği"/>
    <x v="10"/>
    <e v="#N/A"/>
    <x v="0"/>
    <s v="-"/>
    <x v="0"/>
    <n v="2"/>
  </r>
  <r>
    <x v="0"/>
    <s v="MUL-206"/>
    <x v="1"/>
    <s v="Jar Güncellemesi Hk."/>
    <x v="10"/>
    <e v="#N/A"/>
    <x v="0"/>
    <s v="-"/>
    <x v="0"/>
    <n v="2"/>
  </r>
  <r>
    <x v="0"/>
    <s v="MUL-207"/>
    <x v="1"/>
    <s v="MultiKEP Dashboard Çalışması"/>
    <x v="11"/>
    <e v="#N/A"/>
    <x v="0"/>
    <s v="-"/>
    <x v="0"/>
    <n v="8"/>
  </r>
  <r>
    <x v="0"/>
    <s v="MUL-208"/>
    <x v="1"/>
    <s v="MKR modülünde Süreç İyileştirme"/>
    <x v="11"/>
    <e v="#N/A"/>
    <x v="0"/>
    <s v="-"/>
    <x v="0"/>
    <m/>
  </r>
  <r>
    <x v="0"/>
    <s v="MUL-209"/>
    <x v="1"/>
    <s v="Alıcıları Listeleyen Süreçte Performans Geliştirmesi"/>
    <x v="11"/>
    <e v="#N/A"/>
    <x v="0"/>
    <s v="-"/>
    <x v="0"/>
    <m/>
  </r>
  <r>
    <x v="1"/>
    <s v="MYS-401"/>
    <x v="1"/>
    <s v="Güncel Olmayan JavaScript Kütüphanesi Kullanımı"/>
    <x v="12"/>
    <e v="#N/A"/>
    <x v="0"/>
    <s v="-"/>
    <x v="0"/>
    <m/>
  </r>
  <r>
    <x v="0"/>
    <s v="MYS-739"/>
    <x v="1"/>
    <s v="Sep Gelen Kutusuna Süreç No Bilgisinin Getirilmesi"/>
    <x v="12"/>
    <e v="#N/A"/>
    <x v="0"/>
    <s v="-"/>
    <x v="0"/>
    <n v="1"/>
  </r>
  <r>
    <x v="0"/>
    <s v="MYS-740"/>
    <x v="1"/>
    <s v="Sep Giden Kutusuna Süreç No Bilgisinin Getirilmesi"/>
    <x v="12"/>
    <e v="#N/A"/>
    <x v="0"/>
    <s v="-"/>
    <x v="0"/>
    <n v="1"/>
  </r>
  <r>
    <x v="1"/>
    <s v="MYS-741"/>
    <x v="1"/>
    <s v="Hatalı Süreçler Ekranı Kayıt Listeleme Sorunu"/>
    <x v="12"/>
    <e v="#N/A"/>
    <x v="0"/>
    <s v="-"/>
    <x v="0"/>
    <n v="1"/>
  </r>
  <r>
    <x v="0"/>
    <s v="MYS-744"/>
    <x v="1"/>
    <s v="İşlem yetkilisi ayarları sayfası"/>
    <x v="12"/>
    <e v="#N/A"/>
    <x v="0"/>
    <s v="-"/>
    <x v="0"/>
    <n v="3"/>
  </r>
  <r>
    <x v="0"/>
    <s v="MYS-745"/>
    <x v="1"/>
    <s v="UETS Gelen Kutusuna Süreçteki Adım kolonu eklenmesi"/>
    <x v="12"/>
    <e v="#N/A"/>
    <x v="0"/>
    <s v="-"/>
    <x v="0"/>
    <n v="1"/>
  </r>
  <r>
    <x v="0"/>
    <s v="MYS-746"/>
    <x v="1"/>
    <s v="Profil Ekranına Cep Numarası Girilmesi"/>
    <x v="12"/>
    <e v="#N/A"/>
    <x v="0"/>
    <s v="-"/>
    <x v="0"/>
    <n v="1"/>
  </r>
  <r>
    <x v="0"/>
    <s v="MYS-747"/>
    <x v="1"/>
    <s v="Profil Ekranına Kimlik Numarası Girilmesi"/>
    <x v="12"/>
    <e v="#N/A"/>
    <x v="0"/>
    <s v="-"/>
    <x v="0"/>
    <n v="1"/>
  </r>
  <r>
    <x v="0"/>
    <s v="MYS-748"/>
    <x v="1"/>
    <s v="Profil Ekranına E-Posta Girilmesi"/>
    <x v="12"/>
    <e v="#N/A"/>
    <x v="0"/>
    <s v="-"/>
    <x v="0"/>
    <n v="1"/>
  </r>
  <r>
    <x v="1"/>
    <s v="MYS-749"/>
    <x v="1"/>
    <s v="Şifre Güncellenmesi Hk."/>
    <x v="12"/>
    <e v="#N/A"/>
    <x v="0"/>
    <s v="-"/>
    <x v="0"/>
    <n v="1"/>
  </r>
  <r>
    <x v="1"/>
    <s v="MYS-752"/>
    <x v="1"/>
    <s v="Basılı İleti Güncelleme Sorunu Hk."/>
    <x v="12"/>
    <e v="#N/A"/>
    <x v="0"/>
    <s v="-"/>
    <x v="0"/>
    <n v="1"/>
  </r>
  <r>
    <x v="0"/>
    <s v="MYS-753"/>
    <x v="1"/>
    <s v="Sep İletilerinin Statüsünün Güncellenmesi İçin Worker Çalışması Hk."/>
    <x v="12"/>
    <e v="#N/A"/>
    <x v="0"/>
    <s v="-"/>
    <x v="0"/>
    <n v="3"/>
  </r>
  <r>
    <x v="1"/>
    <s v="MYS-756"/>
    <x v="1"/>
    <s v="Sütunlardaki Filtreleme Sorunu"/>
    <x v="12"/>
    <e v="#N/A"/>
    <x v="0"/>
    <s v="-"/>
    <x v="0"/>
    <n v="1"/>
  </r>
  <r>
    <x v="1"/>
    <s v="MYS-757"/>
    <x v="1"/>
    <s v="SEP İleti -&gt; Taslaklar ekranındaki sütunların kaldırılması"/>
    <x v="12"/>
    <e v="#N/A"/>
    <x v="0"/>
    <s v="-"/>
    <x v="0"/>
    <n v="1"/>
  </r>
  <r>
    <x v="0"/>
    <s v="MYS-759"/>
    <x v="1"/>
    <s v="Hatalı Delillerin Tekrar Tetiklenmesi İçin Worker Çalışması"/>
    <x v="12"/>
    <e v="#N/A"/>
    <x v="0"/>
    <s v="-"/>
    <x v="0"/>
    <n v="3"/>
  </r>
  <r>
    <x v="0"/>
    <s v="MYS-761"/>
    <x v="1"/>
    <s v="Güncelleme Paketi Hazırlanması - 03122024-08042025"/>
    <x v="12"/>
    <e v="#N/A"/>
    <x v="0"/>
    <s v="-"/>
    <x v="0"/>
    <n v="2"/>
  </r>
  <r>
    <x v="1"/>
    <s v="TIM-189"/>
    <x v="2"/>
    <s v="Güncel Olmayan JavaScript Kütüphanesi Kullanımı"/>
    <x v="13"/>
    <e v="#N/A"/>
    <x v="0"/>
    <s v="-"/>
    <x v="0"/>
    <m/>
  </r>
  <r>
    <x v="0"/>
    <s v="TIM-304"/>
    <x v="1"/>
    <s v="Servis dönen hataların ön yüzde kullanıcı dostu şekilde gösterilmesi"/>
    <x v="13"/>
    <e v="#N/A"/>
    <x v="0"/>
    <s v="-"/>
    <x v="0"/>
    <m/>
  </r>
  <r>
    <x v="0"/>
    <s v="TIM-308"/>
    <x v="1"/>
    <s v="Varsayılan imzalama formatı geliştirmesi"/>
    <x v="13"/>
    <e v="#N/A"/>
    <x v="0"/>
    <s v="-"/>
    <x v="0"/>
    <m/>
  </r>
  <r>
    <x v="0"/>
    <s v="TIM-373"/>
    <x v="1"/>
    <s v="Toplu işlemlerde çoklu onay verilmesi"/>
    <x v="13"/>
    <e v="#N/A"/>
    <x v="0"/>
    <s v="-"/>
    <x v="0"/>
    <n v="5"/>
  </r>
  <r>
    <x v="0"/>
    <s v="TIM-381"/>
    <x v="1"/>
    <s v="Mobil İmzada Tarihçe düzenlemesi"/>
    <x v="13"/>
    <e v="#N/A"/>
    <x v="0"/>
    <s v="-"/>
    <x v="0"/>
    <m/>
  </r>
  <r>
    <x v="0"/>
    <s v="TIM-411"/>
    <x v="1"/>
    <s v="İmza Logo Seçiminde Belge Sayfalarının Yatay ya da Hem Yatay Hem Dikey Yönlendirilmesi Seçeneklerinin de Sağlanması"/>
    <x v="13"/>
    <e v="#N/A"/>
    <x v="0"/>
    <s v="-"/>
    <x v="0"/>
    <n v="8"/>
  </r>
  <r>
    <x v="0"/>
    <s v="TIM-416"/>
    <x v="2"/>
    <s v="Dış imzacı mail bildiriminin SMS olarak da iletilmesi"/>
    <x v="13"/>
    <e v="#N/A"/>
    <x v="0"/>
    <s v="-"/>
    <x v="0"/>
    <m/>
  </r>
  <r>
    <x v="0"/>
    <s v="TIM-417"/>
    <x v="0"/>
    <s v="Paket ve Admin Yönetimi"/>
    <x v="13"/>
    <e v="#N/A"/>
    <x v="0"/>
    <s v="-"/>
    <x v="0"/>
    <m/>
  </r>
  <r>
    <x v="0"/>
    <s v="TIM-420"/>
    <x v="1"/>
    <s v="Yeni arayüz talebi"/>
    <x v="13"/>
    <e v="#N/A"/>
    <x v="0"/>
    <s v="-"/>
    <x v="0"/>
    <m/>
  </r>
  <r>
    <x v="0"/>
    <s v="TIM-422"/>
    <x v="1"/>
    <s v="Admin panelden firmaların farklı bir kullanıcısına admin yetkisi verilmesi geliştirmesi"/>
    <x v="13"/>
    <e v="#N/A"/>
    <x v="0"/>
    <s v="-"/>
    <x v="0"/>
    <m/>
  </r>
  <r>
    <x v="0"/>
    <s v="TIM-423"/>
    <x v="1"/>
    <s v="İmza client iyileştirmeleri"/>
    <x v="13"/>
    <e v="#N/A"/>
    <x v="0"/>
    <s v="-"/>
    <x v="0"/>
    <m/>
  </r>
  <r>
    <x v="1"/>
    <s v="TIM-428"/>
    <x v="1"/>
    <s v="Dış imzacı ret maili düzenleme"/>
    <x v="13"/>
    <e v="#N/A"/>
    <x v="0"/>
    <s v="-"/>
    <x v="0"/>
    <m/>
  </r>
  <r>
    <x v="1"/>
    <s v="TIM-429"/>
    <x v="1"/>
    <s v="Belge Silme Adımı Yazım Hatası"/>
    <x v="13"/>
    <e v="#N/A"/>
    <x v="0"/>
    <s v="-"/>
    <x v="0"/>
    <m/>
  </r>
  <r>
    <x v="0"/>
    <s v="TIM-431"/>
    <x v="0"/>
    <s v="Türkkep İmza Dış İmzacı Karekod/Doğrulama Kodu Eklenmesi "/>
    <x v="13"/>
    <e v="#N/A"/>
    <x v="0"/>
    <s v="-"/>
    <x v="0"/>
    <m/>
  </r>
  <r>
    <x v="0"/>
    <s v="TIM-432"/>
    <x v="2"/>
    <s v="İmzalamada vekil atama özelliği"/>
    <x v="13"/>
    <e v="#N/A"/>
    <x v="0"/>
    <s v="-"/>
    <x v="0"/>
    <m/>
  </r>
  <r>
    <x v="0"/>
    <s v="TIM-433"/>
    <x v="1"/>
    <s v="Sftp ile gönderilen evrakların statü takibi"/>
    <x v="13"/>
    <e v="#N/A"/>
    <x v="0"/>
    <s v="-"/>
    <x v="0"/>
    <m/>
  </r>
  <r>
    <x v="0"/>
    <s v="TIM-434"/>
    <x v="2"/>
    <s v="Aynı Hedef Sunucuya Tek Seferde Seçimle Toplu SFTP Gönderimi"/>
    <x v="13"/>
    <e v="#N/A"/>
    <x v="0"/>
    <s v="-"/>
    <x v="0"/>
    <m/>
  </r>
  <r>
    <x v="0"/>
    <s v="TIM-435"/>
    <x v="2"/>
    <s v="İşlem Bekleyen Belgeler Ekranındaki İmza İstekleri İçin Hatırlatma Yapılması "/>
    <x v="13"/>
    <e v="#N/A"/>
    <x v="0"/>
    <s v="-"/>
    <x v="0"/>
    <m/>
  </r>
  <r>
    <x v="0"/>
    <s v="TIM-436"/>
    <x v="2"/>
    <s v="Paralel imzalamada sıra gözetmeksizin imzalama özelliği"/>
    <x v="13"/>
    <e v="#N/A"/>
    <x v="0"/>
    <s v="-"/>
    <x v="0"/>
    <m/>
  </r>
  <r>
    <x v="1"/>
    <s v="TIM-437"/>
    <x v="2"/>
    <s v="İmzalanmış belgede birden fazla sayfa varsa ilk sayfa dışındakilere karekod/logo gelmesi"/>
    <x v="13"/>
    <e v="#N/A"/>
    <x v="0"/>
    <s v="-"/>
    <x v="0"/>
    <m/>
  </r>
  <r>
    <x v="0"/>
    <s v="TIM-439"/>
    <x v="1"/>
    <s v="DB Tablolarının Oluşturulması."/>
    <x v="13"/>
    <e v="#N/A"/>
    <x v="0"/>
    <s v="-"/>
    <x v="0"/>
    <n v="5"/>
  </r>
  <r>
    <x v="0"/>
    <s v="TIM-440"/>
    <x v="1"/>
    <s v="Dış İmzacı Seçiminde Dosya Ataması"/>
    <x v="13"/>
    <e v="#N/A"/>
    <x v="0"/>
    <s v="-"/>
    <x v="0"/>
    <n v="8"/>
  </r>
  <r>
    <x v="0"/>
    <s v="TIM-441"/>
    <x v="1"/>
    <s v="Dış İmzacı Yeni Servislerinin Oluşturulması"/>
    <x v="13"/>
    <e v="#N/A"/>
    <x v="0"/>
    <s v="-"/>
    <x v="0"/>
    <n v="8"/>
  </r>
  <r>
    <x v="0"/>
    <s v="TIM-442"/>
    <x v="1"/>
    <s v="Dış Doğrulama İçin Yeni Süreç ID'lerinin Kullanılması"/>
    <x v="13"/>
    <e v="#N/A"/>
    <x v="0"/>
    <s v="-"/>
    <x v="0"/>
    <n v="8"/>
  </r>
  <r>
    <x v="0"/>
    <s v="TIM-443"/>
    <x v="1"/>
    <s v="&quot;Gönderilmeyi Bekleyen Belgeler” Ekranında Gönderilmiş Olan Belgelerin Filtre İle Gizlenebilmesi"/>
    <x v="13"/>
    <e v="#N/A"/>
    <x v="0"/>
    <s v="-"/>
    <x v="0"/>
    <n v="3"/>
  </r>
  <r>
    <x v="0"/>
    <s v="UEP-12"/>
    <x v="0"/>
    <s v="VKN’ye ait birden fazla başvuru kontrolü"/>
    <x v="14"/>
    <e v="#N/A"/>
    <x v="0"/>
    <s v="-"/>
    <x v="0"/>
    <m/>
  </r>
  <r>
    <x v="0"/>
    <s v="UEP-6"/>
    <x v="1"/>
    <s v="CRM&amp;UETS Entegrasyonu"/>
    <x v="14"/>
    <e v="#N/A"/>
    <x v="0"/>
    <s v="-"/>
    <x v="0"/>
    <n v="13"/>
  </r>
  <r>
    <x v="0"/>
    <s v="UKDS-109"/>
    <x v="1"/>
    <s v="Islak imza senaryosu için yeni statü ve düzenlemeler"/>
    <x v="15"/>
    <e v="#N/A"/>
    <x v="0"/>
    <s v="-"/>
    <x v="0"/>
    <n v="8"/>
  </r>
  <r>
    <x v="0"/>
    <s v="UKDS-112"/>
    <x v="1"/>
    <s v="SMS metin içeriğine video linki ve e-devlet login seçeneklerinin eklenmesi"/>
    <x v="15"/>
    <e v="#N/A"/>
    <x v="0"/>
    <s v="-"/>
    <x v="0"/>
    <m/>
  </r>
  <r>
    <x v="0"/>
    <s v="UKDS-127"/>
    <x v="1"/>
    <s v="Merkezi KEP Rehberi entegrasyonu"/>
    <x v="15"/>
    <e v="#N/A"/>
    <x v="0"/>
    <s v="-"/>
    <x v="0"/>
    <m/>
  </r>
  <r>
    <x v="0"/>
    <s v="UKDS-131"/>
    <x v="1"/>
    <s v="KİDOS ve KİDOS Entegrasyon sözleşme bitiş tarihlerinin aktarım metoduna eklenmesi"/>
    <x v="15"/>
    <e v="#N/A"/>
    <x v="0"/>
    <s v="-"/>
    <x v="0"/>
    <n v="5"/>
  </r>
  <r>
    <x v="0"/>
    <s v="UKDS-138"/>
    <x v="1"/>
    <s v="WEBİKENTEGRASYON KİDOS ürününe aktif/pasif liste geliştirmesi"/>
    <x v="15"/>
    <e v="#N/A"/>
    <x v="0"/>
    <s v="-"/>
    <x v="0"/>
    <m/>
  </r>
  <r>
    <x v="0"/>
    <s v="UKDS-139"/>
    <x v="0"/>
    <s v="KİDOS'ta UKDS ile e-İmza Başvuru Seçeneğinin Geliştirmesi"/>
    <x v="15"/>
    <e v="#N/A"/>
    <x v="0"/>
    <s v="-"/>
    <x v="0"/>
    <m/>
  </r>
  <r>
    <x v="0"/>
    <s v="UKDS-140"/>
    <x v="1"/>
    <s v="WEBİKENTEGRASYON KİDOS ürününe &quot;Kep Kapatma&quot; geliştirmesi"/>
    <x v="15"/>
    <e v="#N/A"/>
    <x v="0"/>
    <s v="-"/>
    <x v="0"/>
    <m/>
  </r>
  <r>
    <x v="0"/>
    <s v="UKDS-143"/>
    <x v="1"/>
    <s v="Basvuruonay sayfasında loginden önce Pazarlamadan alınacak bilgilendirme görselinin eklenmesi"/>
    <x v="15"/>
    <e v="#N/A"/>
    <x v="0"/>
    <s v="-"/>
    <x v="0"/>
    <m/>
  </r>
  <r>
    <x v="0"/>
    <s v="UKDS-148"/>
    <x v="1"/>
    <s v="UKDS Ön Başvuru Dokümanı e-Posta ve SMS İçeriğinin Yeni Bağlantı Adresleriyle Güncellenmesi"/>
    <x v="15"/>
    <e v="#N/A"/>
    <x v="0"/>
    <s v="-"/>
    <x v="0"/>
    <m/>
  </r>
  <r>
    <x v="0"/>
    <s v="WIK-573"/>
    <x v="0"/>
    <s v="Firma çalışanlarına ait KEP delillerinin indirilmesi geliştirmesi"/>
    <x v="16"/>
    <e v="#N/A"/>
    <x v="0"/>
    <s v="-"/>
    <x v="0"/>
    <m/>
  </r>
  <r>
    <x v="0"/>
    <s v="WIK-598"/>
    <x v="1"/>
    <s v="Belge Raporu ekranının migration sonrası belgeler için de kullanılabilir hale getirilmesi"/>
    <x v="16"/>
    <e v="#N/A"/>
    <x v="0"/>
    <s v="-"/>
    <x v="0"/>
    <n v="5"/>
  </r>
  <r>
    <x v="0"/>
    <s v="WIK-614"/>
    <x v="0"/>
    <s v="KEP İK Sözleşme sürelerinin ve statülerinin tutularak iptal edilen veya süresi dolan organizasyonların girişinin engellenmesi"/>
    <x v="16"/>
    <e v="#N/A"/>
    <x v="0"/>
    <s v="-"/>
    <x v="0"/>
    <m/>
  </r>
  <r>
    <x v="0"/>
    <s v="WIK-619"/>
    <x v="0"/>
    <s v="Çalışan gruplarının İK gönderilerinde kullanılmasi"/>
    <x v="16"/>
    <e v="#N/A"/>
    <x v="0"/>
    <s v="-"/>
    <x v="0"/>
    <m/>
  </r>
  <r>
    <x v="0"/>
    <s v="WIK-625"/>
    <x v="0"/>
    <s v="TÜRKÇE İNGİLİZCE DİL DESTEĞİ"/>
    <x v="16"/>
    <e v="#N/A"/>
    <x v="0"/>
    <s v="-"/>
    <x v="0"/>
    <m/>
  </r>
  <r>
    <x v="0"/>
    <s v="WIK-626"/>
    <x v="1"/>
    <s v="Eşleşmeyenler Alanında Çalışanlar Otomatik Eşleştirilmesi Hk."/>
    <x v="16"/>
    <e v="#N/A"/>
    <x v="0"/>
    <s v="-"/>
    <x v="0"/>
    <n v="5"/>
  </r>
  <r>
    <x v="0"/>
    <s v="WIK-628"/>
    <x v="1"/>
    <s v="Kep İk Özlük İşlemleri Şablon Oluşturma "/>
    <x v="16"/>
    <e v="#N/A"/>
    <x v="0"/>
    <s v="-"/>
    <x v="0"/>
    <n v="5"/>
  </r>
  <r>
    <x v="0"/>
    <s v="WIK-629"/>
    <x v="1"/>
    <s v="Özlük İşlemleri Alıcı Ekleme/Şablon Eşleştirme"/>
    <x v="16"/>
    <e v="#N/A"/>
    <x v="0"/>
    <s v="-"/>
    <x v="0"/>
    <n v="5"/>
  </r>
  <r>
    <x v="0"/>
    <s v="WIK-630"/>
    <x v="1"/>
    <s v="Özlük İşlemleri Gönderim Adımı"/>
    <x v="16"/>
    <e v="#N/A"/>
    <x v="0"/>
    <s v="-"/>
    <x v="0"/>
    <n v="5"/>
  </r>
  <r>
    <x v="0"/>
    <s v="WIK-631"/>
    <x v="1"/>
    <s v="Özlük İşlemleri Robot Yönlendirme ve Listelenmesi"/>
    <x v="16"/>
    <e v="#N/A"/>
    <x v="0"/>
    <s v="-"/>
    <x v="0"/>
    <n v="5"/>
  </r>
  <r>
    <x v="0"/>
    <s v="WIK-633"/>
    <x v="0"/>
    <s v="Çalışan Ekle Ekranında &quot;İptal&quot; Durumundaki Kayıtların Yeniden Kullanıcı Ekleme Sürecine Dahil Edilmesi"/>
    <x v="16"/>
    <e v="#N/A"/>
    <x v="0"/>
    <s v="-"/>
    <x v="0"/>
    <m/>
  </r>
  <r>
    <x v="0"/>
    <s v="WIK-634"/>
    <x v="1"/>
    <s v="Çalışan Ekle Ekranında &quot;İptal&quot; Durumundaki Kayıtların Filtre İle Gizlenmesi "/>
    <x v="16"/>
    <e v="#N/A"/>
    <x v="0"/>
    <s v="-"/>
    <x v="0"/>
    <n v="8"/>
  </r>
  <r>
    <x v="0"/>
    <s v="WIK-635"/>
    <x v="1"/>
    <s v="Duyuru Modülü Gönderimleri İçin Raporlama Seçeneği"/>
    <x v="16"/>
    <e v="#N/A"/>
    <x v="0"/>
    <s v="-"/>
    <x v="0"/>
    <n v="8"/>
  </r>
  <r>
    <x v="0"/>
    <s v="WIK-637"/>
    <x v="1"/>
    <s v="Özlük Belgeler Alıcı TCKN Ekleme İşlemi "/>
    <x v="16"/>
    <e v="#N/A"/>
    <x v="0"/>
    <s v="-"/>
    <x v="0"/>
    <n v="5"/>
  </r>
  <r>
    <x v="0"/>
    <s v="WIK-638"/>
    <x v="1"/>
    <s v="Özlük Belgeleri Reddedilen Belgelerin Tekrar Gönderilmesi"/>
    <x v="16"/>
    <e v="#N/A"/>
    <x v="0"/>
    <s v="-"/>
    <x v="0"/>
    <n v="5"/>
  </r>
  <r>
    <x v="0"/>
    <s v="WIK-639"/>
    <x v="1"/>
    <s v="Özlük Belgeleri Alıcı Yükleme Ekranı Açık Rıza ve KVKK Onaylarının Eklenmesi"/>
    <x v="16"/>
    <e v="#N/A"/>
    <x v="0"/>
    <s v="-"/>
    <x v="0"/>
    <n v="3"/>
  </r>
  <r>
    <x v="0"/>
    <s v="WIK-640"/>
    <x v="1"/>
    <s v="Delil Servislerine Erişilmesi"/>
    <x v="16"/>
    <e v="#N/A"/>
    <x v="0"/>
    <s v="-"/>
    <x v="0"/>
    <n v="5"/>
  </r>
  <r>
    <x v="0"/>
    <s v="WIK-641"/>
    <x v="1"/>
    <s v="Belge Raporu Ekranında İndirme"/>
    <x v="16"/>
    <e v="#N/A"/>
    <x v="0"/>
    <s v="-"/>
    <x v="0"/>
    <n v="5"/>
  </r>
  <r>
    <x v="0"/>
    <s v="WIK-642"/>
    <x v="1"/>
    <s v="Rapor Dosyasının Oluşturulması."/>
    <x v="16"/>
    <e v="#N/A"/>
    <x v="0"/>
    <s v="-"/>
    <x v="0"/>
    <n v="13"/>
  </r>
  <r>
    <x v="0"/>
    <s v="WIK-643"/>
    <x v="1"/>
    <s v="Rapor Dosyasının Teslim edilmesi"/>
    <x v="16"/>
    <e v="#N/A"/>
    <x v="0"/>
    <s v="-"/>
    <x v="0"/>
    <n v="8"/>
  </r>
  <r>
    <x v="0"/>
    <s v="WIK-644"/>
    <x v="1"/>
    <s v="Rapor Talebinin Oluşturulması "/>
    <x v="16"/>
    <e v="#N/A"/>
    <x v="0"/>
    <s v="-"/>
    <x v="0"/>
    <n v="8"/>
  </r>
  <r>
    <x v="0"/>
    <s v="WIK-646"/>
    <x v="1"/>
    <s v="Uygulama Kullanıcı Simgesinin Erkek Yerine Cinsiyetsiz Bir Simge İle Değiştirilmesi"/>
    <x v="16"/>
    <e v="#N/A"/>
    <x v="0"/>
    <s v="-"/>
    <x v="0"/>
    <n v="1"/>
  </r>
  <r>
    <x v="1"/>
    <s v="WIK-649"/>
    <x v="1"/>
    <s v="Çalışan Grupları İçin Yetkilendirme Çalışmıyor"/>
    <x v="16"/>
    <e v="#N/A"/>
    <x v="0"/>
    <s v="-"/>
    <x v="0"/>
    <m/>
  </r>
  <r>
    <x v="0"/>
    <s v="WIK-651"/>
    <x v="1"/>
    <s v="Özlük Belgeleri Yükleme Ekranı Kullanıcı Deneyimi İyileştirmesi"/>
    <x v="16"/>
    <e v="#N/A"/>
    <x v="0"/>
    <s v="-"/>
    <x v="0"/>
    <n v="3"/>
  </r>
  <r>
    <x v="0"/>
    <s v="WIK-653"/>
    <x v="1"/>
    <s v="Silme İşlem Loglarının Tutulması ve Log Listelerinde Sağlanması"/>
    <x v="16"/>
    <e v="#N/A"/>
    <x v="0"/>
    <s v="-"/>
    <x v="0"/>
    <n v="3"/>
  </r>
  <r>
    <x v="0"/>
    <s v="WIK-654"/>
    <x v="1"/>
    <s v="İK Modüllerinde Reddeden Çalışanın Ret Sebebi Açıklama Alanını Doldurmasının Zorunlu Hale Getirilmesi"/>
    <x v="16"/>
    <e v="#N/A"/>
    <x v="0"/>
    <s v="-"/>
    <x v="0"/>
    <n v="2"/>
  </r>
  <r>
    <x v="0"/>
    <s v="EFT-2148"/>
    <x v="1"/>
    <s v="e-fatura Schematron Güncellemesi "/>
    <x v="4"/>
    <e v="#N/A"/>
    <x v="0"/>
    <s v="-"/>
    <x v="0"/>
    <n v="1"/>
  </r>
  <r>
    <x v="0"/>
    <s v="WIK-655"/>
    <x v="1"/>
    <s v="Ara yüzdeki Türkçe Metinlerin Tespit Edilmesi"/>
    <x v="16"/>
    <e v="#N/A"/>
    <x v="0"/>
    <s v="-"/>
    <x v="0"/>
    <n v="5"/>
  </r>
  <r>
    <x v="0"/>
    <s v="KEP-279"/>
    <x v="1"/>
    <s v="Java KEP Api Güncellenmesi ile Procenne HSM Desteği Eklenmesi"/>
    <x v="7"/>
    <e v="#N/A"/>
    <x v="0"/>
    <s v="-"/>
    <x v="0"/>
    <n v="3"/>
  </r>
  <r>
    <x v="0"/>
    <s v="WIK-657"/>
    <x v="1"/>
    <s v="Yapılan çevirilerin yerleştirilmesi"/>
    <x v="16"/>
    <e v="#N/A"/>
    <x v="0"/>
    <s v="-"/>
    <x v="0"/>
    <n v="3"/>
  </r>
  <r>
    <x v="0"/>
    <s v="IEU-189"/>
    <x v="1"/>
    <s v="Turkcell Mobil İmza Servisinde SSL Sertifikası Değişimi - 15 Mayıs 2025"/>
    <x v="5"/>
    <e v="#N/A"/>
    <x v="0"/>
    <s v="-"/>
    <x v="0"/>
    <n v="2"/>
  </r>
  <r>
    <x v="0"/>
    <s v="IEU-187"/>
    <x v="1"/>
    <s v="Zaman Damgalı İmzaların Sayılması"/>
    <x v="5"/>
    <e v="#N/A"/>
    <x v="0"/>
    <s v="-"/>
    <x v="0"/>
    <n v="5"/>
  </r>
  <r>
    <x v="0"/>
    <s v="WIK-659"/>
    <x v="0"/>
    <s v="Alınan Özlük Belgelerinin Türkkep Sistemlerinde Saklanması ve e-Saklama Entegrasyonu"/>
    <x v="16"/>
    <e v="#N/A"/>
    <x v="0"/>
    <s v="-"/>
    <x v="0"/>
    <m/>
  </r>
  <r>
    <x v="0"/>
    <s v="WIK-656"/>
    <x v="1"/>
    <s v="Translate pipe ve önyüz servisinin oluşturulması"/>
    <x v="16"/>
    <e v="#N/A"/>
    <x v="0"/>
    <s v="-"/>
    <x v="0"/>
    <m/>
  </r>
  <r>
    <x v="0"/>
    <s v="TIM-438"/>
    <x v="2"/>
    <s v="İmza süreci tamamlanmış belgelerin silinmemesi"/>
    <x v="13"/>
    <e v="#N/A"/>
    <x v="0"/>
    <s v="-"/>
    <x v="0"/>
    <m/>
  </r>
  <r>
    <x v="0"/>
    <s v="KEP-283"/>
    <x v="1"/>
    <s v="Kapalı Hesaba Giriş Yapıldığında Bilgilendirme Sağlanması"/>
    <x v="7"/>
    <e v="#N/A"/>
    <x v="0"/>
    <s v="-"/>
    <x v="0"/>
    <n v="2"/>
  </r>
  <r>
    <x v="0"/>
    <s v="IEU-188"/>
    <x v="0"/>
    <s v="Basit İmzaların Sayılması"/>
    <x v="5"/>
    <e v="#N/A"/>
    <x v="0"/>
    <s v="-"/>
    <x v="0"/>
    <m/>
  </r>
  <r>
    <x v="0"/>
    <s v="KEP-284"/>
    <x v="1"/>
    <s v="Test Ortamındaki KEP Adreslerinin Yeni Altyapıya Taşınması"/>
    <x v="7"/>
    <e v="#N/A"/>
    <x v="0"/>
    <s v="-"/>
    <x v="0"/>
    <n v="3"/>
  </r>
  <r>
    <x v="0"/>
    <s v="WIK-663"/>
    <x v="1"/>
    <s v="Özlük Belgeleri Alıcı Yükleme Ekranı Açık Rıza ve KVKK Onayı Müşteri Metinlerinin Eklenmesi"/>
    <x v="16"/>
    <e v="#N/A"/>
    <x v="0"/>
    <s v="-"/>
    <x v="0"/>
    <n v="3"/>
  </r>
  <r>
    <x v="0"/>
    <s v="WIK-662"/>
    <x v="1"/>
    <s v="Özlük Belgelerinin KEP İK Sunucusunda Geçici Saklanması"/>
    <x v="16"/>
    <e v="#N/A"/>
    <x v="0"/>
    <s v="-"/>
    <x v="0"/>
    <n v="2"/>
  </r>
  <r>
    <x v="0"/>
    <s v="WIK-661"/>
    <x v="1"/>
    <s v="Ay İçinde Aktif ve Pasif Edilen Çalışanların Durumuna Göre Çalışan Listesinin Güncellenebilmesi"/>
    <x v="16"/>
    <e v="#N/A"/>
    <x v="0"/>
    <s v="-"/>
    <x v="0"/>
    <n v="2"/>
  </r>
  <r>
    <x v="0"/>
    <s v="WIK-660"/>
    <x v="1"/>
    <s v="Ücret Pusulası ve Puantaj Modülleri Yetkilendirme Yapısında Düzenleme"/>
    <x v="16"/>
    <e v="#N/A"/>
    <x v="0"/>
    <s v="-"/>
    <x v="0"/>
    <n v="3"/>
  </r>
  <r>
    <x v="0"/>
    <s v="WIK-652"/>
    <x v="1"/>
    <s v="Özlük Bilgileri Sayfa Karşılaştırma için Gerekli Özlük Servisi-Robot İletişim"/>
    <x v="16"/>
    <e v="#N/A"/>
    <x v="0"/>
    <s v="-"/>
    <x v="0"/>
    <n v="2"/>
  </r>
  <r>
    <x v="0"/>
    <s v="WIK-648"/>
    <x v="1"/>
    <s v="Çalışan Grupları İçin Yetkilendirme Çalışmıyor"/>
    <x v="16"/>
    <e v="#N/A"/>
    <x v="0"/>
    <s v="-"/>
    <x v="0"/>
    <m/>
  </r>
  <r>
    <x v="0"/>
    <s v="WIK-647"/>
    <x v="1"/>
    <s v="Çalışan Ekle ve Çalışanlar Modülleri İçin Kullanıcı Bazlı Yetkilendirme"/>
    <x v="16"/>
    <e v="#N/A"/>
    <x v="0"/>
    <s v="-"/>
    <x v="0"/>
    <m/>
  </r>
  <r>
    <x v="0"/>
    <s v="WIK-632"/>
    <x v="1"/>
    <s v="Bordro gönderim sürecinde aynı ay içinde tekrar çarşaf bordro eklemeye gerek kalmadan yeni eklenen çalışanlar için eşleşmeyenleri ayrıştırarak yeniden göndermeye imkan sağlaması"/>
    <x v="16"/>
    <e v="#N/A"/>
    <x v="0"/>
    <s v="-"/>
    <x v="0"/>
    <m/>
  </r>
  <r>
    <x v="0"/>
    <s v="MYS-765"/>
    <x v="1"/>
    <s v="Original Message Id Değerinin Düzenlenmesi"/>
    <x v="12"/>
    <e v="#N/A"/>
    <x v="0"/>
    <s v="-"/>
    <x v="0"/>
    <n v="2"/>
  </r>
  <r>
    <x v="0"/>
    <s v="KEP-285"/>
    <x v="1"/>
    <s v="CRM KEP Hesapları Yönetimi Servis Geliştirmesi"/>
    <x v="7"/>
    <e v="#N/A"/>
    <x v="0"/>
    <s v="-"/>
    <x v="0"/>
    <n v="3"/>
  </r>
  <r>
    <x v="0"/>
    <s v="KA-1495"/>
    <x v="1"/>
    <s v="KEPAssist CRM Entegrasyonu Kullanım Raporu Servisinin Canlı Ortam İçin Hazırlanması"/>
    <x v="6"/>
    <e v="#N/A"/>
    <x v="0"/>
    <s v="-"/>
    <x v="0"/>
    <n v="2"/>
  </r>
  <r>
    <x v="0"/>
    <s v="KA-1494"/>
    <x v="1"/>
    <s v="Original Message Id Değerinin Düzenlenmesi"/>
    <x v="6"/>
    <e v="#N/A"/>
    <x v="0"/>
    <s v="-"/>
    <x v="0"/>
    <n v="2"/>
  </r>
  <r>
    <x v="1"/>
    <s v="KA-1479"/>
    <x v="1"/>
    <s v="Gelen EYP 1.3 iletilerinin statüsünün güncellenmemesi"/>
    <x v="6"/>
    <e v="#N/A"/>
    <x v="0"/>
    <s v="-"/>
    <x v="0"/>
    <m/>
  </r>
  <r>
    <x v="0"/>
    <s v="KA-1465"/>
    <x v="1"/>
    <s v="CRM Entegrasyonu İçin Organizasyonları Listeleyen Servis Geliştirilmesi"/>
    <x v="6"/>
    <e v="#N/A"/>
    <x v="0"/>
    <s v="-"/>
    <x v="0"/>
    <m/>
  </r>
  <r>
    <x v="0"/>
    <s v="KA-1464"/>
    <x v="1"/>
    <s v="Kullanım Raporu Sp'lerinin Hızlandırılması Hk."/>
    <x v="6"/>
    <e v="#N/A"/>
    <x v="0"/>
    <s v="-"/>
    <x v="0"/>
    <m/>
  </r>
  <r>
    <x v="0"/>
    <s v="KA-1459"/>
    <x v="1"/>
    <s v="Güncelleme Paketi Hazırlanması"/>
    <x v="6"/>
    <e v="#N/A"/>
    <x v="0"/>
    <s v="-"/>
    <x v="0"/>
    <m/>
  </r>
  <r>
    <x v="0"/>
    <s v="IEU-202"/>
    <x v="1"/>
    <s v="CI/CD Kurulumu"/>
    <x v="5"/>
    <e v="#N/A"/>
    <x v="0"/>
    <s v="-"/>
    <x v="0"/>
    <n v="2"/>
  </r>
  <r>
    <x v="0"/>
    <s v="IEU-201"/>
    <x v="1"/>
    <s v="Yeni Geliştirmelerin QA/TEST Ortamına Atılması"/>
    <x v="5"/>
    <e v="#N/A"/>
    <x v="0"/>
    <s v="-"/>
    <x v="0"/>
    <n v="5"/>
  </r>
  <r>
    <x v="0"/>
    <s v="IEU-200"/>
    <x v="1"/>
    <s v="Tek Metot ile Tüm İmza Tipleri İçin Doğrulama Sağlanması - verify-controller "/>
    <x v="5"/>
    <e v="#N/A"/>
    <x v="0"/>
    <s v="-"/>
    <x v="0"/>
    <n v="3"/>
  </r>
  <r>
    <x v="0"/>
    <s v="IEU-199"/>
    <x v="1"/>
    <s v="Zaman Damgalı İmza Sayımı - Admin Panel Düzenlemesi ve Raporlama"/>
    <x v="5"/>
    <e v="#N/A"/>
    <x v="0"/>
    <s v="-"/>
    <x v="0"/>
    <n v="3"/>
  </r>
  <r>
    <x v="0"/>
    <s v="IEU-198"/>
    <x v="1"/>
    <s v="Zaman Damgalı İmza Sayımı - VT - İşlem Kayıtlarının Tutulması"/>
    <x v="5"/>
    <e v="#N/A"/>
    <x v="0"/>
    <s v="-"/>
    <x v="0"/>
    <n v="3"/>
  </r>
  <r>
    <x v="0"/>
    <s v="IEU-197"/>
    <x v="1"/>
    <s v="Zaman Damgalı İmza Sayımı - Auth Service İşlem Kayıtları için Metot Hazırlanması"/>
    <x v="5"/>
    <e v="#N/A"/>
    <x v="0"/>
    <s v="-"/>
    <x v="0"/>
    <n v="3"/>
  </r>
  <r>
    <x v="0"/>
    <s v="IEU-196"/>
    <x v="0"/>
    <s v="Zaman Damgalı İmza Sayımı - Imza-Client-v2 - Exe ve Jar Güncellemesi "/>
    <x v="5"/>
    <e v="#N/A"/>
    <x v="0"/>
    <s v="-"/>
    <x v="0"/>
    <m/>
  </r>
  <r>
    <x v="0"/>
    <s v="IEU-195"/>
    <x v="1"/>
    <s v="Zaman Damgalı İmza Sayımı - Signature-Service İmza Upgrade İşleminin Sayılması"/>
    <x v="5"/>
    <e v="#N/A"/>
    <x v="0"/>
    <s v="-"/>
    <x v="0"/>
    <n v="3"/>
  </r>
  <r>
    <x v="0"/>
    <s v="IEU-194"/>
    <x v="1"/>
    <s v="Java KEP Api Güncellenmesi ile Procenne HSM Desteği Eklenmesi"/>
    <x v="5"/>
    <e v="#N/A"/>
    <x v="0"/>
    <s v="-"/>
    <x v="0"/>
    <m/>
  </r>
  <r>
    <x v="0"/>
    <s v="IEU-167"/>
    <x v="1"/>
    <s v="MKR Sorgulama Frekansı Değişikliği"/>
    <x v="5"/>
    <e v="#N/A"/>
    <x v="0"/>
    <s v="-"/>
    <x v="0"/>
    <m/>
  </r>
  <r>
    <x v="0"/>
    <s v="IEU-161"/>
    <x v="1"/>
    <s v="İmzaClient Jar Güncellemesi"/>
    <x v="5"/>
    <e v="#N/A"/>
    <x v="0"/>
    <s v="-"/>
    <x v="0"/>
    <m/>
  </r>
  <r>
    <x v="0"/>
    <s v="IEU-156"/>
    <x v="1"/>
    <s v="UETS servislerinin bulut olarak da sağlanabilmesi ve servise eklenmesi"/>
    <x v="5"/>
    <e v="#N/A"/>
    <x v="0"/>
    <s v="-"/>
    <x v="0"/>
    <m/>
  </r>
  <r>
    <x v="0"/>
    <s v="IEU-150"/>
    <x v="1"/>
    <s v="MKR Modülü İçin /api/v1/usage Metoduna Tarih Aralığı Filtreleme Özelliği Eklenmesi (CRM Entegrasyonu)"/>
    <x v="5"/>
    <e v="#N/A"/>
    <x v="0"/>
    <s v="-"/>
    <x v="0"/>
    <m/>
  </r>
  <r>
    <x v="0"/>
    <s v="EFT-2159"/>
    <x v="1"/>
    <s v="İmza Süresi Bitiş Kullanıcılara Uyarı Gösterilmesi"/>
    <x v="4"/>
    <e v="#N/A"/>
    <x v="0"/>
    <s v="-"/>
    <x v="0"/>
    <m/>
  </r>
  <r>
    <x v="0"/>
    <s v="EFT-2158"/>
    <x v="1"/>
    <s v="Menü Ağacının Sıralamasının Değiştirilmesi"/>
    <x v="4"/>
    <e v="#N/A"/>
    <x v="0"/>
    <s v="-"/>
    <x v="0"/>
    <n v="1"/>
  </r>
  <r>
    <x v="1"/>
    <s v="EFT-2157"/>
    <x v="1"/>
    <s v="Fatura Ön Eki Hata Uyarısın Düzeltilmesi."/>
    <x v="4"/>
    <e v="#N/A"/>
    <x v="0"/>
    <s v="-"/>
    <x v="0"/>
    <n v="1"/>
  </r>
  <r>
    <x v="0"/>
    <s v="EFT-2156"/>
    <x v="1"/>
    <s v="Hata Alan Faturaların için Çoklu İşlem Fonksiyonu Eklenmesi"/>
    <x v="4"/>
    <e v="#N/A"/>
    <x v="0"/>
    <s v="-"/>
    <x v="0"/>
    <n v="2"/>
  </r>
  <r>
    <x v="0"/>
    <s v="EFT-2155"/>
    <x v="1"/>
    <s v="Türmob Sorgu Bilgisinin Dashboard Ekranında Düzenlemesi."/>
    <x v="4"/>
    <e v="#N/A"/>
    <x v="0"/>
    <s v="-"/>
    <x v="0"/>
    <n v="1"/>
  </r>
  <r>
    <x v="0"/>
    <s v="EFT-2154"/>
    <x v="1"/>
    <s v="Test Ortamında Türmob Sorgu Servisinin Kapatılması."/>
    <x v="4"/>
    <e v="#N/A"/>
    <x v="0"/>
    <s v="-"/>
    <x v="0"/>
    <n v="1"/>
  </r>
  <r>
    <x v="0"/>
    <s v="EFT-2153"/>
    <x v="1"/>
    <s v="Smartcard Bilgilerinin Yeni İmza Client Uygulamasında Saklanması"/>
    <x v="4"/>
    <e v="#N/A"/>
    <x v="0"/>
    <s v="-"/>
    <x v="0"/>
    <n v="2"/>
  </r>
  <r>
    <x v="0"/>
    <s v="EFT-2092"/>
    <x v="1"/>
    <s v="Sözleşme Ve Aktivasyon Kullanılan Setupta .jar Dosyasının Güncellenmesi"/>
    <x v="4"/>
    <e v="#N/A"/>
    <x v="0"/>
    <s v="-"/>
    <x v="0"/>
    <m/>
  </r>
  <r>
    <x v="0"/>
    <s v="EFT-2080"/>
    <x v="1"/>
    <s v="Gelen Faturalar Modülünde Reddedilen Faturalara Arşive Gönder Özelliği Eklenmesi"/>
    <x v="4"/>
    <e v="#N/A"/>
    <x v="0"/>
    <s v="-"/>
    <x v="0"/>
    <m/>
  </r>
  <r>
    <x v="0"/>
    <s v="EDF-757"/>
    <x v="1"/>
    <s v="Kapital Firması/ e-Defter Kebir Dosyalarının GİB Sistemlerine Yüklenmemesi için Değişiklik"/>
    <x v="3"/>
    <e v="#N/A"/>
    <x v="0"/>
    <s v="-"/>
    <x v="0"/>
    <n v="3"/>
  </r>
  <r>
    <x v="1"/>
    <s v="EDF-745"/>
    <x v="1"/>
    <s v="Sızma Testi Bulguları"/>
    <x v="3"/>
    <e v="#N/A"/>
    <x v="0"/>
    <s v="-"/>
    <x v="0"/>
    <m/>
  </r>
  <r>
    <x v="0"/>
    <s v="EDF-744"/>
    <x v="1"/>
    <s v="Portalde Yükleme Araçlar&gt;LUCA Excel Yükleme Modülünde Madde No Kontrolü Ekleme"/>
    <x v="3"/>
    <e v="#N/A"/>
    <x v="0"/>
    <s v="-"/>
    <x v="0"/>
    <m/>
  </r>
  <r>
    <x v="0"/>
    <s v="EDF-743"/>
    <x v="1"/>
    <s v="Kontratı CST_Contract Tablosunda Bulunmayan Müşterilere Uyarı Metni"/>
    <x v="3"/>
    <e v="#N/A"/>
    <x v="0"/>
    <s v="-"/>
    <x v="0"/>
    <m/>
  </r>
  <r>
    <x v="0"/>
    <s v="EDF-731"/>
    <x v="1"/>
    <s v="Hizmet Sözleşmesi Bitecek Müşteri İçin E-Defter Ürünlerinin Ekranında Geri Sayım İçeren Uyarı Metninin Eklenmesi"/>
    <x v="3"/>
    <e v="#N/A"/>
    <x v="0"/>
    <s v="-"/>
    <x v="0"/>
    <m/>
  </r>
  <r>
    <x v="0"/>
    <s v="CRM-629"/>
    <x v="1"/>
    <s v="RezerveKEP metoduna dış servis kullanım senaryosu eklenmesi"/>
    <x v="0"/>
    <e v="#N/A"/>
    <x v="0"/>
    <s v="-"/>
    <x v="0"/>
    <n v="8"/>
  </r>
  <r>
    <x v="1"/>
    <s v="CRM-628"/>
    <x v="1"/>
    <s v="Yüksek boyutlu dosya yükleme hatası"/>
    <x v="0"/>
    <e v="#N/A"/>
    <x v="0"/>
    <s v="-"/>
    <x v="0"/>
    <n v="1"/>
  </r>
  <r>
    <x v="0"/>
    <s v="CRM-627"/>
    <x v="1"/>
    <s v="MERSİS sorgu sonucunda birden fazla münferit yetkili gelmesi"/>
    <x v="0"/>
    <e v="#N/A"/>
    <x v="0"/>
    <s v="-"/>
    <x v="0"/>
    <m/>
  </r>
  <r>
    <x v="0"/>
    <s v="CRM-626"/>
    <x v="1"/>
    <s v="Servisin test ortamında aktif edilmesi"/>
    <x v="0"/>
    <e v="#N/A"/>
    <x v="0"/>
    <s v="-"/>
    <x v="0"/>
    <n v="3"/>
  </r>
  <r>
    <x v="0"/>
    <s v="CRM-623"/>
    <x v="1"/>
    <s v="MERSİS sorgu sonucunda NACE kodu bilgisinin boş gelmesi"/>
    <x v="0"/>
    <e v="#N/A"/>
    <x v="0"/>
    <s v="-"/>
    <x v="0"/>
    <n v="1"/>
  </r>
  <r>
    <x v="0"/>
    <s v="CRM-622"/>
    <x v="0"/>
    <s v="Teklif onay süreci geliştirilmesi"/>
    <x v="0"/>
    <e v="#N/A"/>
    <x v="0"/>
    <s v="-"/>
    <x v="0"/>
    <m/>
  </r>
  <r>
    <x v="0"/>
    <s v="CRM-621"/>
    <x v="0"/>
    <s v="KEP Assist modül yenileme akışının kontrol edilmesi"/>
    <x v="0"/>
    <e v="#N/A"/>
    <x v="0"/>
    <s v="-"/>
    <x v="0"/>
    <m/>
  </r>
  <r>
    <x v="0"/>
    <s v="CRM-561"/>
    <x v="1"/>
    <s v="Multikep Kota Yükleme İşlemleri"/>
    <x v="0"/>
    <e v="#N/A"/>
    <x v="0"/>
    <s v="-"/>
    <x v="0"/>
    <m/>
  </r>
  <r>
    <x v="0"/>
    <s v="CRM-552"/>
    <x v="1"/>
    <s v="Multikep Müşteri Bilgileri Gönderilirken İşlem Yetkililerinden Kullanıcıların Aktarılması"/>
    <x v="0"/>
    <e v="#N/A"/>
    <x v="0"/>
    <s v="-"/>
    <x v="0"/>
    <m/>
  </r>
  <r>
    <x v="0"/>
    <s v="CRM-495"/>
    <x v="1"/>
    <s v="Oluşan QR Kodlu Toplu Evrakların Satışçıya/Bayiye İletilmesi"/>
    <x v="0"/>
    <e v="#N/A"/>
    <x v="0"/>
    <s v="-"/>
    <x v="0"/>
    <m/>
  </r>
  <r>
    <x v="1"/>
    <s v="EDF-759"/>
    <x v="1"/>
    <s v="Defter Portalda İmzalama Sürecinde Client Linkinin Eski Olması"/>
    <x v="3"/>
    <e v="#N/A"/>
    <x v="0"/>
    <s v="-"/>
    <x v="0"/>
    <n v="1"/>
  </r>
  <r>
    <x v="0"/>
    <s v="MYS-768"/>
    <x v="1"/>
    <s v="Güncelleme Paketi Hazırlanması"/>
    <x v="12"/>
    <e v="#N/A"/>
    <x v="0"/>
    <s v="-"/>
    <x v="0"/>
    <n v="2"/>
  </r>
  <r>
    <x v="0"/>
    <s v="KW-7"/>
    <x v="1"/>
    <s v="Üst Yönetim Raporu - KEP İleti Sayılarının Detaylı Kırılımı"/>
    <x v="8"/>
    <e v="#N/A"/>
    <x v="0"/>
    <s v="-"/>
    <x v="0"/>
    <n v="5"/>
  </r>
  <r>
    <x v="1"/>
    <s v="KA-1504"/>
    <x v="1"/>
    <s v="Detsis No Arama Hatası"/>
    <x v="6"/>
    <e v="#N/A"/>
    <x v="0"/>
    <s v="-"/>
    <x v="0"/>
    <n v="2"/>
  </r>
  <r>
    <x v="1"/>
    <s v="KA-1503"/>
    <x v="1"/>
    <s v="Kullanıcı Yönetimi - Kullanıcı Oluşturma Hatası"/>
    <x v="6"/>
    <e v="#N/A"/>
    <x v="0"/>
    <s v="-"/>
    <x v="0"/>
    <n v="3"/>
  </r>
  <r>
    <x v="0"/>
    <s v="IEU-207"/>
    <x v="1"/>
    <s v="SonarQube Kod Taraması Yapılması"/>
    <x v="5"/>
    <e v="#N/A"/>
    <x v="0"/>
    <s v="-"/>
    <x v="0"/>
    <n v="2"/>
  </r>
  <r>
    <x v="0"/>
    <s v="IEU-206"/>
    <x v="1"/>
    <s v="Kod Gözden Geçirme ve Güvenlik İyileştirmesi (SonarQube Analizi Sonuçlarına Göre)"/>
    <x v="5"/>
    <e v="#N/A"/>
    <x v="0"/>
    <s v="-"/>
    <x v="0"/>
    <n v="5"/>
  </r>
  <r>
    <x v="1"/>
    <s v="EFT-2165"/>
    <x v="1"/>
    <s v="Portalda İrsaliye oluştur Ekranında 'Sevk Saati' Alanı Değişikliği"/>
    <x v="4"/>
    <e v="#N/A"/>
    <x v="0"/>
    <s v="-"/>
    <x v="0"/>
    <n v="1"/>
  </r>
  <r>
    <x v="0"/>
    <s v="EFT-2167"/>
    <x v="1"/>
    <s v="Araştırma/ Şematron Hatalarının Kaynaklarının Tespiti"/>
    <x v="4"/>
    <e v="#N/A"/>
    <x v="0"/>
    <s v="-"/>
    <x v="0"/>
    <n v="13"/>
  </r>
  <r>
    <x v="0"/>
    <s v="DP-281"/>
    <x v="1"/>
    <s v="e-Belge Kullanıcı Listelerinin Dışa Aktarılabilir Hale Getirilmesi"/>
    <x v="1"/>
    <e v="#N/A"/>
    <x v="0"/>
    <s v="-"/>
    <x v="0"/>
    <n v="3"/>
  </r>
  <r>
    <x v="0"/>
    <s v="DP-280"/>
    <x v="0"/>
    <s v="Hizmet İptali Olan Firmalar İçin Veri Teslim Talebi"/>
    <x v="1"/>
    <e v="#N/A"/>
    <x v="0"/>
    <s v="-"/>
    <x v="0"/>
    <m/>
  </r>
  <r>
    <x v="0"/>
    <s v="DP-279"/>
    <x v="0"/>
    <s v="Yanlış Mühürle İmzalanan Defterin Durumunun Güncellenmesi"/>
    <x v="1"/>
    <e v="#N/A"/>
    <x v="0"/>
    <s v="-"/>
    <x v="0"/>
    <m/>
  </r>
  <r>
    <x v="0"/>
    <s v="DP-278"/>
    <x v="0"/>
    <s v="Şematron Kontrolünde Kalan Defterin Aktarım Başarılı Durumuna Çekilmesi"/>
    <x v="1"/>
    <e v="#N/A"/>
    <x v="0"/>
    <s v="-"/>
    <x v="0"/>
    <m/>
  </r>
  <r>
    <x v="0"/>
    <s v="DP-277"/>
    <x v="1"/>
    <s v="Defterin Dönem Kapama Durumuna Geçmemesi Halinde Güncelleme Talebi"/>
    <x v="1"/>
    <e v="#N/A"/>
    <x v="0"/>
    <s v="-"/>
    <x v="0"/>
    <n v="3"/>
  </r>
  <r>
    <x v="0"/>
    <s v="DP-276"/>
    <x v="1"/>
    <s v="Silinen Cari Hesabın Geri Alınma İşleminin Portal Üzerinden Yapılması"/>
    <x v="1"/>
    <e v="#N/A"/>
    <x v="0"/>
    <s v="-"/>
    <x v="0"/>
    <n v="2"/>
  </r>
  <r>
    <x v="0"/>
    <s v="EDF-761"/>
    <x v="1"/>
    <s v="E-Defter Gönderim Sürecindeki Hata ve Sorunların Tespiti"/>
    <x v="3"/>
    <e v="#N/A"/>
    <x v="0"/>
    <s v="-"/>
    <x v="0"/>
    <n v="5"/>
  </r>
  <r>
    <x v="0"/>
    <s v="IEU-208"/>
    <x v="1"/>
    <s v="Metotlardan Dönen Hata Yanıtlarının Düzenlenmesi"/>
    <x v="5"/>
    <e v="#N/A"/>
    <x v="0"/>
    <s v="-"/>
    <x v="0"/>
    <n v="3"/>
  </r>
  <r>
    <x v="1"/>
    <s v="MU-64"/>
    <x v="1"/>
    <s v="Genel Responsive Design Düzenlemesi"/>
    <x v="9"/>
    <e v="#N/A"/>
    <x v="0"/>
    <s v="-"/>
    <x v="0"/>
    <n v="3"/>
  </r>
  <r>
    <x v="1"/>
    <s v="MU-63"/>
    <x v="1"/>
    <s v="Mobil Uygulamada Sayfalar Arası Geçişlerde UX Sorunlarının Giderilmesi"/>
    <x v="9"/>
    <e v="#N/A"/>
    <x v="0"/>
    <s v="-"/>
    <x v="0"/>
    <n v="3"/>
  </r>
  <r>
    <x v="1"/>
    <s v="MU-62"/>
    <x v="0"/>
    <s v="Bazı Mobil Cihazlarda &quot;Şifremi Unuttum&quot; Adımında Yaşanan Hata"/>
    <x v="9"/>
    <e v="#N/A"/>
    <x v="0"/>
    <s v="-"/>
    <x v="0"/>
    <n v="5"/>
  </r>
  <r>
    <x v="0"/>
    <s v="WIK-670"/>
    <x v="1"/>
    <s v="Çalışan Ekle Ekranı Sayfalama Yapısının Sağlanması - Arayüz Çalışması"/>
    <x v="16"/>
    <e v="#N/A"/>
    <x v="0"/>
    <s v="-"/>
    <x v="0"/>
    <n v="1"/>
  </r>
  <r>
    <x v="0"/>
    <s v="WIK-671"/>
    <x v="1"/>
    <s v="Özlük Belgeleri Ekranı Sayfalama Yapısının Sağlanması - Servis Çalışması"/>
    <x v="16"/>
    <e v="#N/A"/>
    <x v="0"/>
    <s v="-"/>
    <x v="0"/>
    <n v="2"/>
  </r>
  <r>
    <x v="0"/>
    <s v="WIK-666"/>
    <x v="1"/>
    <s v="Özlük Belgeleri Ekranı Sayfalama Yapısının Sağlanması - Arayüz Çalışması"/>
    <x v="16"/>
    <e v="#N/A"/>
    <x v="0"/>
    <s v="-"/>
    <x v="0"/>
    <n v="1"/>
  </r>
  <r>
    <x v="0"/>
    <s v="UKDS-151"/>
    <x v="1"/>
    <s v="Çalışan Ekle Modülünde Çok Sayıda Kayıt için Excel'e Aktarma Özelliğinin Performans İyileştirmesi"/>
    <x v="15"/>
    <e v="#N/A"/>
    <x v="0"/>
    <s v="-"/>
    <x v="0"/>
    <n v="2"/>
  </r>
  <r>
    <x v="0"/>
    <s v="UKDS-152"/>
    <x v="1"/>
    <s v="Çalışan Ekle Ekranı Sayfalama Yapısının Sağlanması - Servis Çalışması"/>
    <x v="15"/>
    <e v="#N/A"/>
    <x v="0"/>
    <s v="-"/>
    <x v="0"/>
    <n v="3"/>
  </r>
  <r>
    <x v="1"/>
    <s v="TIM-447"/>
    <x v="1"/>
    <s v="Yatay Belge İçerisinde Logonun Doküman İçerisinde Tam Görünmemesi"/>
    <x v="13"/>
    <e v="#N/A"/>
    <x v="0"/>
    <s v="-"/>
    <x v="0"/>
    <n v="1"/>
  </r>
  <r>
    <x v="0"/>
    <s v="KEP-286"/>
    <x v="1"/>
    <s v="Webmail Delil Doğrulama Servisleri Güncellemesi"/>
    <x v="7"/>
    <e v="#N/A"/>
    <x v="0"/>
    <s v="-"/>
    <x v="0"/>
    <n v="3"/>
  </r>
  <r>
    <x v="0"/>
    <s v="KEP-287"/>
    <x v="1"/>
    <s v="Hesap Kapatma İşlemlerinin JNLP yerine Yeni Client ile Gerçekleştirilmesi"/>
    <x v="7"/>
    <e v="#N/A"/>
    <x v="0"/>
    <s v="-"/>
    <x v="0"/>
    <n v="3"/>
  </r>
  <r>
    <x v="0"/>
    <s v="UKDS-156"/>
    <x v="1"/>
    <s v="KİDOS Özelliklerinin Servis Olarak Sağlanması"/>
    <x v="15"/>
    <e v="#N/A"/>
    <x v="0"/>
    <s v="-"/>
    <x v="0"/>
    <m/>
  </r>
  <r>
    <x v="0"/>
    <s v="UKDS-154"/>
    <x v="1"/>
    <s v="KİDOS-MERSİS Entegrasyonu"/>
    <x v="15"/>
    <e v="#N/A"/>
    <x v="0"/>
    <s v="-"/>
    <x v="0"/>
    <n v="5"/>
  </r>
  <r>
    <x v="0"/>
    <s v="DP-282"/>
    <x v="1"/>
    <s v="Faturanın Deleted durumunun Y olarak güncellenmesi"/>
    <x v="1"/>
    <e v="#N/A"/>
    <x v="0"/>
    <s v="-"/>
    <x v="0"/>
    <n v="2"/>
  </r>
  <r>
    <x v="0"/>
    <s v="MU-67"/>
    <x v="1"/>
    <s v="Mobil İmza İle KEP Gönderimi"/>
    <x v="9"/>
    <e v="#N/A"/>
    <x v="0"/>
    <s v="-"/>
    <x v="0"/>
    <n v="5"/>
  </r>
  <r>
    <x v="1"/>
    <s v="IEU-209"/>
    <x v="1"/>
    <s v="EYP Parser Metotlarında Hatalı Doğrulama Sonucu Dönmesi"/>
    <x v="5"/>
    <e v="#N/A"/>
    <x v="0"/>
    <s v="-"/>
    <x v="0"/>
    <n v="3"/>
  </r>
  <r>
    <x v="0"/>
    <s v="EFT-2174"/>
    <x v="1"/>
    <s v="“YOLCU BERABER FATURA” Senaryo Kontrolü"/>
    <x v="4"/>
    <e v="#N/A"/>
    <x v="0"/>
    <s v="-"/>
    <x v="0"/>
    <n v="1"/>
  </r>
  <r>
    <x v="0"/>
    <s v="EFT-2173"/>
    <x v="1"/>
    <s v="“TICARIFATURA” Senaryo Kontrolü"/>
    <x v="4"/>
    <e v="#N/A"/>
    <x v="0"/>
    <s v="-"/>
    <x v="0"/>
    <n v="2"/>
  </r>
  <r>
    <x v="0"/>
    <s v="EFT-2172"/>
    <x v="1"/>
    <s v="“TEMELFATURA&quot; Senaryo Kontrolü"/>
    <x v="4"/>
    <e v="#N/A"/>
    <x v="0"/>
    <s v="-"/>
    <x v="0"/>
    <n v="2"/>
  </r>
  <r>
    <x v="0"/>
    <s v="DP-283"/>
    <x v="1"/>
    <s v="Onay işlemleri açılmayan defterin gib kuyruğuna gönderilmesi"/>
    <x v="1"/>
    <e v="#N/A"/>
    <x v="0"/>
    <s v="-"/>
    <x v="0"/>
    <n v="3"/>
  </r>
  <r>
    <x v="0"/>
    <s v="EDF-764"/>
    <x v="1"/>
    <s v="Yanlış Mühürle İmzalanan Defterin Durumunun Güncellenmesi"/>
    <x v="3"/>
    <e v="#N/A"/>
    <x v="0"/>
    <s v="-"/>
    <x v="0"/>
    <n v="2"/>
  </r>
  <r>
    <x v="1"/>
    <s v="EFT-2192"/>
    <x v="1"/>
    <s v="Web Serviste Vergi Oranı Sınırı"/>
    <x v="4"/>
    <e v="#N/A"/>
    <x v="0"/>
    <s v="-"/>
    <x v="0"/>
    <n v="1"/>
  </r>
  <r>
    <x v="1"/>
    <s v="EFT-2193"/>
    <x v="1"/>
    <s v="Konnektör Vergi Oranı Sınırı"/>
    <x v="4"/>
    <e v="#N/A"/>
    <x v="0"/>
    <s v="-"/>
    <x v="0"/>
    <n v="1"/>
  </r>
  <r>
    <x v="0"/>
    <s v="MYS-771"/>
    <x v="1"/>
    <s v="&quot;KEP İleti -&gt; Hatalı Süreçler&quot; Sayfasında Hata Alan İletilere Ait Detay Bilgilerin Gösterilmesi"/>
    <x v="12"/>
    <e v="#N/A"/>
    <x v="0"/>
    <s v="-"/>
    <x v="0"/>
    <n v="3"/>
  </r>
  <r>
    <x v="1"/>
    <s v="WIK-678"/>
    <x v="1"/>
    <s v="Kayıt defterinde Modül Adlarının Doğru Yazılması"/>
    <x v="16"/>
    <e v="#N/A"/>
    <x v="0"/>
    <s v="-"/>
    <x v="0"/>
    <n v="1"/>
  </r>
  <r>
    <x v="1"/>
    <s v="WIK-675"/>
    <x v="1"/>
    <s v="Dönem/Ay Açılışlarında Geçersiz Ek Dönemlerin Açılması."/>
    <x v="16"/>
    <e v="#N/A"/>
    <x v="0"/>
    <s v="-"/>
    <x v="0"/>
    <n v="2"/>
  </r>
  <r>
    <x v="0"/>
    <s v="WIK-679"/>
    <x v="1"/>
    <s v="Çalışan Ekle ve Özlük Belgeleri işlemlerinin İşlem Kayıt Defterinde Eklenmesi"/>
    <x v="16"/>
    <e v="#N/A"/>
    <x v="0"/>
    <s v="-"/>
    <x v="0"/>
    <n v="3"/>
  </r>
  <r>
    <x v="0"/>
    <s v="WIK-676"/>
    <x v="1"/>
    <s v="Çalışan Ekle ve Özlük Belgeleri Kullanıcı Bazlı Silme İşlemlerinin Loglanması"/>
    <x v="16"/>
    <e v="#N/A"/>
    <x v="0"/>
    <s v="-"/>
    <x v="0"/>
    <n v="2"/>
  </r>
  <r>
    <x v="0"/>
    <s v="WIK-677"/>
    <x v="1"/>
    <s v="Sistem Tarafından Silinen Verinin Loglanması"/>
    <x v="16"/>
    <e v="#N/A"/>
    <x v="0"/>
    <s v="-"/>
    <x v="0"/>
    <n v="2"/>
  </r>
  <r>
    <x v="0"/>
    <s v="WIK-680"/>
    <x v="1"/>
    <s v="Yeni Açılan Dönem/Ay için Hazır Şablon Oluşturulması ve Atanması"/>
    <x v="16"/>
    <e v="#N/A"/>
    <x v="0"/>
    <s v="-"/>
    <x v="0"/>
    <n v="3"/>
  </r>
  <r>
    <x v="1"/>
    <s v="UKDS-157"/>
    <x v="1"/>
    <s v="Firma Ünvanı Uzunluğunun SMS Gönderimini Engellemesi"/>
    <x v="15"/>
    <e v="#N/A"/>
    <x v="0"/>
    <s v="-"/>
    <x v="0"/>
    <n v="2"/>
  </r>
  <r>
    <x v="0"/>
    <s v="UKDS-155"/>
    <x v="1"/>
    <s v="KİDOS ve CRM için MERSİS Entegrasyonu"/>
    <x v="15"/>
    <e v="#N/A"/>
    <x v="0"/>
    <s v="-"/>
    <x v="0"/>
    <m/>
  </r>
  <r>
    <x v="0"/>
    <s v="UKDS-144"/>
    <x v="1"/>
    <s v="Raporlama servisine entegrasyon servisi ile birlikte gelen yeni tiplerin eklenmesi"/>
    <x v="15"/>
    <e v="#N/A"/>
    <x v="0"/>
    <s v="-"/>
    <x v="0"/>
    <n v="3"/>
  </r>
  <r>
    <x v="0"/>
    <s v="UKDS-137"/>
    <x v="1"/>
    <s v="ENTEGRASYON BIREYSEL/KURUMSAL ve Pazarama tipli başvurularda paket gösterimi+seçimi"/>
    <x v="15"/>
    <e v="#N/A"/>
    <x v="0"/>
    <s v="-"/>
    <x v="0"/>
    <n v="13"/>
  </r>
  <r>
    <x v="0"/>
    <s v="UKDS-117"/>
    <x v="1"/>
    <s v="Entegrasyon UKDS Servis Geliştirmesi"/>
    <x v="15"/>
    <e v="#N/A"/>
    <x v="0"/>
    <s v="-"/>
    <x v="0"/>
    <n v="13"/>
  </r>
  <r>
    <x v="1"/>
    <s v="TIM-424"/>
    <x v="1"/>
    <s v="Filtrelemelerde bug fix"/>
    <x v="13"/>
    <e v="#N/A"/>
    <x v="0"/>
    <s v="-"/>
    <x v="0"/>
    <m/>
  </r>
  <r>
    <x v="1"/>
    <s v="TIM-421"/>
    <x v="1"/>
    <s v="Mail bildirimi kapalı userların şifre sıfırlama süreci"/>
    <x v="13"/>
    <e v="#N/A"/>
    <x v="0"/>
    <s v="-"/>
    <x v="0"/>
    <n v="8"/>
  </r>
  <r>
    <x v="1"/>
    <s v="TIM-415"/>
    <x v="1"/>
    <s v="e-imza ile girişte enter tuşu ile login olma"/>
    <x v="13"/>
    <e v="#N/A"/>
    <x v="0"/>
    <s v="-"/>
    <x v="0"/>
    <n v="3"/>
  </r>
  <r>
    <x v="1"/>
    <s v="MU-70"/>
    <x v="1"/>
    <s v="Gelen ve Giden kutularında kayıt tekrarlama sorunu"/>
    <x v="9"/>
    <e v="#N/A"/>
    <x v="0"/>
    <s v="-"/>
    <x v="0"/>
    <n v="3"/>
  </r>
  <r>
    <x v="0"/>
    <s v="MU-69"/>
    <x v="1"/>
    <s v="e-İmza ile Giriş Özelliğinin Sağlanması "/>
    <x v="9"/>
    <e v="#N/A"/>
    <x v="0"/>
    <s v="-"/>
    <x v="0"/>
    <m/>
  </r>
  <r>
    <x v="0"/>
    <s v="MU-68"/>
    <x v="0"/>
    <s v="Mobil İmza ile Giriş Özelliğinin Sağlanması"/>
    <x v="9"/>
    <s v="To Do"/>
    <x v="0"/>
    <s v="-"/>
    <x v="0"/>
    <m/>
  </r>
  <r>
    <x v="0"/>
    <s v="KEP-289"/>
    <x v="0"/>
    <s v="Webmail Giriş Seçeneğinden Bağımsız Olarak KEP İleti Gönderiminde İstenilen İmzalama Yönetiminin Kullanılması"/>
    <x v="7"/>
    <e v="#N/A"/>
    <x v="0"/>
    <s v="-"/>
    <x v="0"/>
    <m/>
  </r>
  <r>
    <x v="0"/>
    <s v="EFT-2191"/>
    <x v="0"/>
    <s v="&quot;e-ARŞİV FATURA&quot; Düzenlenme Kontrolü"/>
    <x v="4"/>
    <e v="#N/A"/>
    <x v="0"/>
    <s v="-"/>
    <x v="0"/>
    <m/>
  </r>
  <r>
    <x v="0"/>
    <s v="EFT-2190"/>
    <x v="0"/>
    <s v="&quot;TEKNOLOJİ DESTEK FATURA TİPİ&quot; Senaryo Kontrolü"/>
    <x v="4"/>
    <e v="#N/A"/>
    <x v="0"/>
    <s v="-"/>
    <x v="0"/>
    <m/>
  </r>
  <r>
    <x v="0"/>
    <s v="EFT-2189"/>
    <x v="0"/>
    <s v=" &quot;ŞARJ ANLIK FATURA TİPİ&quot; Senaryo Kontrolü"/>
    <x v="4"/>
    <e v="#N/A"/>
    <x v="0"/>
    <s v="-"/>
    <x v="0"/>
    <m/>
  </r>
  <r>
    <x v="0"/>
    <s v="EFT-2188"/>
    <x v="0"/>
    <s v="&quot;ŞARJ FATURA TİPİ&quot; Senaryo Kontrolü"/>
    <x v="4"/>
    <e v="#N/A"/>
    <x v="0"/>
    <s v="-"/>
    <x v="0"/>
    <m/>
  </r>
  <r>
    <x v="0"/>
    <s v="EFT-2187"/>
    <x v="0"/>
    <s v="&quot;HAL TİPİ SATIŞ FATURA TİPİ&quot; Senaryo Kontrolü"/>
    <x v="4"/>
    <e v="#N/A"/>
    <x v="0"/>
    <s v="-"/>
    <x v="0"/>
    <m/>
  </r>
  <r>
    <x v="0"/>
    <s v="EFT-2186"/>
    <x v="0"/>
    <s v="&quot;KONAKLAMA VERGİSİ FATURASI&quot; Senaryo Kontrolü"/>
    <x v="4"/>
    <e v="#N/A"/>
    <x v="0"/>
    <s v="-"/>
    <x v="0"/>
    <m/>
  </r>
  <r>
    <x v="0"/>
    <s v="EFT-2185"/>
    <x v="0"/>
    <s v="&quot;SGK’YA DÜZENLENECEK FATURA TİPİ&quot; Senaryo Tipi"/>
    <x v="4"/>
    <e v="#N/A"/>
    <x v="0"/>
    <s v="-"/>
    <x v="0"/>
    <m/>
  </r>
  <r>
    <x v="0"/>
    <s v="EFT-2184"/>
    <x v="0"/>
    <s v=" &quot;İHRAÇ KAYITLI FATURA TİPİ&quot; Senaryo Kontrolü"/>
    <x v="4"/>
    <e v="#N/A"/>
    <x v="0"/>
    <s v="-"/>
    <x v="0"/>
    <m/>
  </r>
  <r>
    <x v="0"/>
    <s v="EFT-2183"/>
    <x v="0"/>
    <s v="&quot;ÖZEL MATRAHLI FATURA TİPİ&quot; Senaryo Kontrolü"/>
    <x v="4"/>
    <e v="#N/A"/>
    <x v="0"/>
    <s v="-"/>
    <x v="0"/>
    <m/>
  </r>
  <r>
    <x v="0"/>
    <s v="EFT-2182"/>
    <x v="0"/>
    <s v="&quot;İSTİSNA FATURA TİPİ&quot; Senaryo Kontrolü"/>
    <x v="4"/>
    <e v="#N/A"/>
    <x v="0"/>
    <s v="-"/>
    <x v="0"/>
    <m/>
  </r>
  <r>
    <x v="0"/>
    <s v="EFT-2181"/>
    <x v="0"/>
    <s v="&quot;TEVKİFATLI İADE FATURA TİPİ&quot; Senaryo Kontrolü"/>
    <x v="4"/>
    <e v="#N/A"/>
    <x v="0"/>
    <s v="-"/>
    <x v="0"/>
    <m/>
  </r>
  <r>
    <x v="0"/>
    <s v="EFT-2180"/>
    <x v="0"/>
    <s v="&quot;TEVKİFAT FATURA TİPİ&quot; Senaryo Kontrolü"/>
    <x v="4"/>
    <e v="#N/A"/>
    <x v="0"/>
    <s v="-"/>
    <x v="0"/>
    <m/>
  </r>
  <r>
    <x v="0"/>
    <s v="EFT-2179"/>
    <x v="0"/>
    <s v="&quot;İADE FATURA TİPİ&quot; Senaryo Kontrolü"/>
    <x v="4"/>
    <e v="#N/A"/>
    <x v="0"/>
    <s v="-"/>
    <x v="0"/>
    <m/>
  </r>
  <r>
    <x v="0"/>
    <s v="EFT-2178"/>
    <x v="1"/>
    <s v="“İLAC_TIBBİCİHAZ” Senaryo Kontrolü"/>
    <x v="4"/>
    <e v="#N/A"/>
    <x v="0"/>
    <s v="-"/>
    <x v="0"/>
    <n v="1"/>
  </r>
  <r>
    <x v="0"/>
    <s v="EFT-2177"/>
    <x v="1"/>
    <s v="“HAL TİPİ FATURA (HKS)” Senaryo Kontrolü"/>
    <x v="4"/>
    <e v="#N/A"/>
    <x v="0"/>
    <s v="-"/>
    <x v="0"/>
    <n v="1"/>
  </r>
  <r>
    <x v="0"/>
    <s v="EFT-2176"/>
    <x v="1"/>
    <s v="“KAMU”  Senaryo Kontrolü"/>
    <x v="4"/>
    <e v="#N/A"/>
    <x v="0"/>
    <s v="-"/>
    <x v="0"/>
    <n v="1"/>
  </r>
  <r>
    <x v="0"/>
    <s v="EFT-2175"/>
    <x v="1"/>
    <s v="“IHRACAT” Senaryo Kontrolü"/>
    <x v="4"/>
    <e v="#N/A"/>
    <x v="0"/>
    <s v="-"/>
    <x v="0"/>
    <n v="1"/>
  </r>
  <r>
    <x v="0"/>
    <s v="EDF-765"/>
    <x v="2"/>
    <s v="Şematron Kontrolünde Kalan Defterin Aktarım Başarılı Durumuna Çekilmesi"/>
    <x v="3"/>
    <e v="#N/A"/>
    <x v="0"/>
    <s v="-"/>
    <x v="0"/>
    <m/>
  </r>
  <r>
    <x v="0"/>
    <s v="WIK-686"/>
    <x v="0"/>
    <s v="Bir Çalışan İçin Birden Fazla Sayfa İçeren PDF Yüklendiğinde Tümünün Tek İleti İle Gönderilebilmesi"/>
    <x v="16"/>
    <e v="#N/A"/>
    <x v="0"/>
    <s v="-"/>
    <x v="0"/>
    <m/>
  </r>
  <r>
    <x v="0"/>
    <s v="WIK-685"/>
    <x v="1"/>
    <s v="Özlük Belgeleri Yüklemeyi Tamamlayan Kişinin Sonuç Ekranına Yönlendirilmesi"/>
    <x v="16"/>
    <e v="#N/A"/>
    <x v="0"/>
    <s v="-"/>
    <x v="0"/>
    <n v="1"/>
  </r>
  <r>
    <x v="1"/>
    <s v="WIK-581"/>
    <x v="1"/>
    <s v="Çalışanlar modülünde başarısız duyuru gönderim gösterimi"/>
    <x v="16"/>
    <e v="#N/A"/>
    <x v="0"/>
    <s v="-"/>
    <x v="0"/>
    <m/>
  </r>
  <r>
    <x v="0"/>
    <s v="WIK-533"/>
    <x v="1"/>
    <s v="CRM servis metotları reponse body düzenlemesi"/>
    <x v="16"/>
    <e v="#N/A"/>
    <x v="0"/>
    <s v="-"/>
    <x v="0"/>
    <m/>
  </r>
  <r>
    <x v="1"/>
    <s v="WIK-524"/>
    <x v="1"/>
    <s v="İmzalamada çıkan progress bar yazısı"/>
    <x v="16"/>
    <e v="#N/A"/>
    <x v="0"/>
    <s v="-"/>
    <x v="0"/>
    <m/>
  </r>
  <r>
    <x v="0"/>
    <s v="WIK-513"/>
    <x v="1"/>
    <s v="İK gönderim dönemlerinin yüklenmesi konusunda iyileştirme çalışması"/>
    <x v="16"/>
    <e v="#N/A"/>
    <x v="0"/>
    <s v="-"/>
    <x v="0"/>
    <m/>
  </r>
  <r>
    <x v="0"/>
    <s v="WIK-510"/>
    <x v="1"/>
    <s v="CRM metotları için yeni servis geliştirmesi "/>
    <x v="16"/>
    <e v="#N/A"/>
    <x v="0"/>
    <s v="-"/>
    <x v="0"/>
    <m/>
  </r>
  <r>
    <x v="0"/>
    <s v="WIK-507"/>
    <x v="1"/>
    <s v="Onay/Ret modül düzenlemesi"/>
    <x v="16"/>
    <e v="#N/A"/>
    <x v="0"/>
    <s v="-"/>
    <x v="0"/>
    <m/>
  </r>
  <r>
    <x v="0"/>
    <s v="UKDS-160"/>
    <x v="1"/>
    <s v="UKDS Süreçlerinde BTK Onayında Bekleyen Kaydın İptal Edilebilmesi"/>
    <x v="15"/>
    <e v="#N/A"/>
    <x v="0"/>
    <s v="-"/>
    <x v="0"/>
    <n v="5"/>
  </r>
  <r>
    <x v="0"/>
    <s v="UKDS-159"/>
    <x v="1"/>
    <s v="E posta Domain Değişikliği"/>
    <x v="15"/>
    <e v="#N/A"/>
    <x v="0"/>
    <s v="-"/>
    <x v="0"/>
    <m/>
  </r>
  <r>
    <x v="0"/>
    <s v="UKDS-120"/>
    <x v="1"/>
    <s v="Çalışan listesindeki pasif çalışanın &quot;Çalışan Ekle&quot; modülü uyarı popup geliştirmesi"/>
    <x v="15"/>
    <e v="#N/A"/>
    <x v="0"/>
    <s v="-"/>
    <x v="0"/>
    <m/>
  </r>
  <r>
    <x v="0"/>
    <s v="UKDS-118"/>
    <x v="1"/>
    <s v="Raporlama servisi için KEP İK başvurularında kep adresi bilgisinin de tutulması"/>
    <x v="15"/>
    <e v="#N/A"/>
    <x v="0"/>
    <s v="-"/>
    <x v="0"/>
    <m/>
  </r>
  <r>
    <x v="0"/>
    <s v="UKDS-57"/>
    <x v="1"/>
    <s v="Mobil tarayıcı pop-up düzenlemesi"/>
    <x v="15"/>
    <e v="#N/A"/>
    <x v="0"/>
    <s v="-"/>
    <x v="0"/>
    <m/>
  </r>
  <r>
    <x v="0"/>
    <s v="UKDS-54"/>
    <x v="1"/>
    <s v="Mobil uygulama üzerinden erişim için uuid bilgisi listeleme metot geliştirmesi"/>
    <x v="15"/>
    <e v="#N/A"/>
    <x v="0"/>
    <s v="-"/>
    <x v="0"/>
    <m/>
  </r>
  <r>
    <x v="0"/>
    <s v="UKDS-50"/>
    <x v="1"/>
    <s v="Pazarlama biriminden talep edilen ön yüz tasarımı için geliştirmeler"/>
    <x v="15"/>
    <e v="#N/A"/>
    <x v="0"/>
    <s v="-"/>
    <x v="0"/>
    <m/>
  </r>
  <r>
    <x v="0"/>
    <s v="UKDS-49"/>
    <x v="1"/>
    <s v="İletişim bilgileri ekranı düzenlemesi"/>
    <x v="15"/>
    <e v="#N/A"/>
    <x v="0"/>
    <s v="-"/>
    <x v="0"/>
    <m/>
  </r>
  <r>
    <x v="0"/>
    <s v="UEP-13"/>
    <x v="1"/>
    <s v="UEP - Bitiş tarihinin PTT response bodysinden alınması"/>
    <x v="14"/>
    <e v="#N/A"/>
    <x v="0"/>
    <s v="-"/>
    <x v="0"/>
    <m/>
  </r>
  <r>
    <x v="0"/>
    <s v="UEP-11"/>
    <x v="1"/>
    <s v="UEP - Türkkep logosunun güncellenmesi"/>
    <x v="14"/>
    <e v="#N/A"/>
    <x v="0"/>
    <s v="-"/>
    <x v="0"/>
    <m/>
  </r>
  <r>
    <x v="0"/>
    <s v="UEP-9"/>
    <x v="1"/>
    <s v="UEP - Yenileme yapılmayan hesaplar için kontrol geliştirmesi"/>
    <x v="14"/>
    <e v="#N/A"/>
    <x v="0"/>
    <s v="-"/>
    <x v="0"/>
    <m/>
  </r>
  <r>
    <x v="0"/>
    <s v="UEP-5"/>
    <x v="1"/>
    <s v="UEP - Alıcı Referans bilgisinin kaydedilmesi"/>
    <x v="14"/>
    <e v="#N/A"/>
    <x v="0"/>
    <s v="-"/>
    <x v="0"/>
    <m/>
  </r>
  <r>
    <x v="0"/>
    <s v="UEP-4"/>
    <x v="1"/>
    <s v="UEP - Jenkins'in UETS Portal entegresi"/>
    <x v="14"/>
    <e v="#N/A"/>
    <x v="0"/>
    <s v="-"/>
    <x v="0"/>
    <m/>
  </r>
  <r>
    <x v="0"/>
    <s v="UEP-3"/>
    <x v="1"/>
    <s v="UEP - UETS API Anahtarı Yenileme Geliştirmesi"/>
    <x v="14"/>
    <e v="#N/A"/>
    <x v="0"/>
    <s v="-"/>
    <x v="0"/>
    <m/>
  </r>
  <r>
    <x v="0"/>
    <s v="UEP-2"/>
    <x v="1"/>
    <s v="UEP - UETS başvuru portal önyüz geliştirmesi"/>
    <x v="14"/>
    <e v="#N/A"/>
    <x v="0"/>
    <s v="-"/>
    <x v="0"/>
    <m/>
  </r>
  <r>
    <x v="0"/>
    <s v="UEP-1"/>
    <x v="1"/>
    <s v="UEP - UETS başvuru portal servis geliştirmesi"/>
    <x v="14"/>
    <e v="#N/A"/>
    <x v="0"/>
    <s v="-"/>
    <x v="0"/>
    <m/>
  </r>
  <r>
    <x v="0"/>
    <s v="TIM-448"/>
    <x v="1"/>
    <s v="E posta Domain Değişikliği"/>
    <x v="13"/>
    <e v="#N/A"/>
    <x v="0"/>
    <s v="-"/>
    <x v="0"/>
    <m/>
  </r>
  <r>
    <x v="1"/>
    <s v="MU-75"/>
    <x v="1"/>
    <s v="Teslim edilemeyen iletinin giden iletiye ait delil detayında teslim edildi olarak görünmesi"/>
    <x v="9"/>
    <e v="#N/A"/>
    <x v="0"/>
    <s v="-"/>
    <x v="0"/>
    <n v="3"/>
  </r>
  <r>
    <x v="1"/>
    <s v="MU-74"/>
    <x v="1"/>
    <s v="Bildirim Servisi Hata Düzenlemeleri"/>
    <x v="9"/>
    <e v="#N/A"/>
    <x v="0"/>
    <s v="-"/>
    <x v="0"/>
    <n v="3"/>
  </r>
  <r>
    <x v="1"/>
    <s v="MU-71"/>
    <x v="1"/>
    <s v="Bildirimler Ekranı Düzenlemeleri"/>
    <x v="9"/>
    <e v="#N/A"/>
    <x v="0"/>
    <s v="-"/>
    <x v="0"/>
    <n v="3"/>
  </r>
  <r>
    <x v="0"/>
    <s v="KEP-295"/>
    <x v="0"/>
    <s v="Görme Yetkisinin Düzenlenmesi"/>
    <x v="7"/>
    <e v="#N/A"/>
    <x v="0"/>
    <s v="-"/>
    <x v="0"/>
    <m/>
  </r>
  <r>
    <x v="0"/>
    <s v="KEP-294"/>
    <x v="1"/>
    <s v="Rehber Servis Güncellemesi"/>
    <x v="7"/>
    <e v="#N/A"/>
    <x v="0"/>
    <s v="-"/>
    <x v="0"/>
    <m/>
  </r>
  <r>
    <x v="0"/>
    <s v="KEP-293"/>
    <x v="0"/>
    <s v="Rehber Sorgulamalarında Kuyruk/Sorgu Çoklama"/>
    <x v="7"/>
    <e v="#N/A"/>
    <x v="0"/>
    <s v="-"/>
    <x v="0"/>
    <m/>
  </r>
  <r>
    <x v="0"/>
    <s v="KEP-292"/>
    <x v="1"/>
    <s v="UETS bildirimlerinin logunun tutulması ve log kayıtlarının kolay erişilebilir yapıda tutulması"/>
    <x v="7"/>
    <e v="#N/A"/>
    <x v="0"/>
    <s v="-"/>
    <x v="0"/>
    <m/>
  </r>
  <r>
    <x v="0"/>
    <s v="KEP-291"/>
    <x v="1"/>
    <s v="IMAP Sunucu Değişikliği "/>
    <x v="7"/>
    <e v="#N/A"/>
    <x v="0"/>
    <s v="-"/>
    <x v="0"/>
    <m/>
  </r>
  <r>
    <x v="0"/>
    <s v="KEP-290"/>
    <x v="0"/>
    <s v="Webmail Posta Kutuları Altında Klasör Oluşturulabilmesi"/>
    <x v="7"/>
    <e v="#N/A"/>
    <x v="0"/>
    <s v="-"/>
    <x v="0"/>
    <m/>
  </r>
  <r>
    <x v="1"/>
    <s v="IEU-213"/>
    <x v="1"/>
    <s v="Crg Service 404 not found hatası - test ortamı"/>
    <x v="17"/>
    <e v="#N/A"/>
    <x v="0"/>
    <s v="-"/>
    <x v="0"/>
    <n v="3"/>
  </r>
  <r>
    <x v="0"/>
    <s v="IEU-143"/>
    <x v="1"/>
    <s v="Güvenlik Bulguları Hk."/>
    <x v="17"/>
    <e v="#N/A"/>
    <x v="0"/>
    <s v="-"/>
    <x v="0"/>
    <m/>
  </r>
  <r>
    <x v="0"/>
    <s v="IEU-141"/>
    <x v="1"/>
    <s v="MKR Modülü için kota tanımlamaları"/>
    <x v="17"/>
    <e v="#N/A"/>
    <x v="0"/>
    <s v="-"/>
    <x v="0"/>
    <m/>
  </r>
  <r>
    <x v="0"/>
    <s v="EFT-2199"/>
    <x v="1"/>
    <s v="Nihai Tüketici Kontrolü "/>
    <x v="4"/>
    <e v="#N/A"/>
    <x v="0"/>
    <s v="-"/>
    <x v="0"/>
    <n v="2"/>
  </r>
  <r>
    <x v="1"/>
    <s v="EFT-2198"/>
    <x v="1"/>
    <s v="Portal/ SGK Tipi Faturalarda &quot;Aracı Kurum&quot; Alanının Kaldırılması"/>
    <x v="4"/>
    <e v="#N/A"/>
    <x v="0"/>
    <s v="-"/>
    <x v="0"/>
    <n v="1"/>
  </r>
  <r>
    <x v="0"/>
    <s v="EDF-767"/>
    <x v="1"/>
    <s v="Muvakatname İşlemleri"/>
    <x v="3"/>
    <e v="#N/A"/>
    <x v="0"/>
    <s v="-"/>
    <x v="0"/>
    <n v="5"/>
  </r>
  <r>
    <x v="0"/>
    <s v="DS-12"/>
    <x v="1"/>
    <s v="DETSİS - İsimle kurum arama zorunlu karakter sayısı değişikliği"/>
    <x v="2"/>
    <e v="#N/A"/>
    <x v="0"/>
    <s v="-"/>
    <x v="0"/>
    <m/>
  </r>
  <r>
    <x v="0"/>
    <s v="DS-11"/>
    <x v="1"/>
    <s v="DETSİS - KEP Asistan uygulaması için kullanıcı tanımlanması"/>
    <x v="2"/>
    <e v="#N/A"/>
    <x v="0"/>
    <s v="-"/>
    <x v="0"/>
    <m/>
  </r>
  <r>
    <x v="0"/>
    <s v="DS-9"/>
    <x v="1"/>
    <s v="DETSİS - Detsis test servis erişim ayarlamaları"/>
    <x v="2"/>
    <e v="#N/A"/>
    <x v="0"/>
    <s v="-"/>
    <x v="0"/>
    <m/>
  </r>
  <r>
    <x v="0"/>
    <s v="DS-8"/>
    <x v="1"/>
    <s v="DETSİS servis - KEP Assist erişim tanımlaması"/>
    <x v="2"/>
    <e v="#N/A"/>
    <x v="0"/>
    <s v="-"/>
    <x v="0"/>
    <m/>
  </r>
  <r>
    <x v="0"/>
    <s v="DS-7"/>
    <x v="1"/>
    <s v="DETSİS - Servis domain adı tanımlanması"/>
    <x v="2"/>
    <e v="#N/A"/>
    <x v="0"/>
    <s v="-"/>
    <x v="0"/>
    <m/>
  </r>
  <r>
    <x v="0"/>
    <s v="DS-4"/>
    <x v="1"/>
    <s v="DETSİS servis projesinin düzenlenmesi ve canlıya aktarımı"/>
    <x v="2"/>
    <e v="#N/A"/>
    <x v="0"/>
    <s v="-"/>
    <x v="0"/>
    <m/>
  </r>
  <r>
    <x v="0"/>
    <s v="DS-3"/>
    <x v="1"/>
    <s v="DETSİS - Rest Servis Geliştirilmesi"/>
    <x v="2"/>
    <e v="#N/A"/>
    <x v="0"/>
    <s v="-"/>
    <x v="0"/>
    <m/>
  </r>
  <r>
    <x v="0"/>
    <s v="DS-2"/>
    <x v="1"/>
    <s v="DETSİS - Veri Tabanının Oluşturulması"/>
    <x v="2"/>
    <e v="#N/A"/>
    <x v="0"/>
    <s v="-"/>
    <x v="0"/>
    <m/>
  </r>
  <r>
    <x v="0"/>
    <s v="DAVS-31"/>
    <x v="1"/>
    <s v="Yazılım Alt Yapının Hazırlanması"/>
    <x v="18"/>
    <e v="#N/A"/>
    <x v="0"/>
    <s v="-"/>
    <x v="0"/>
    <m/>
  </r>
  <r>
    <x v="0"/>
    <s v="DAVS-30"/>
    <x v="1"/>
    <s v="Yazılım Geliştirme Ortamının Belirlenmesi"/>
    <x v="18"/>
    <e v="#N/A"/>
    <x v="0"/>
    <s v="-"/>
    <x v="0"/>
    <m/>
  </r>
  <r>
    <x v="0"/>
    <s v="DAVS-29"/>
    <x v="1"/>
    <s v="Yazılım Alt Yapısının Belirlenmesi"/>
    <x v="18"/>
    <e v="#N/A"/>
    <x v="0"/>
    <s v="-"/>
    <x v="0"/>
    <m/>
  </r>
  <r>
    <x v="0"/>
    <s v="DAVS-28"/>
    <x v="1"/>
    <s v="Kullanıcı Arayüz Tasarımın Oluşturulması"/>
    <x v="18"/>
    <e v="#N/A"/>
    <x v="0"/>
    <s v="-"/>
    <x v="0"/>
    <m/>
  </r>
  <r>
    <x v="0"/>
    <s v="DAVS-27"/>
    <x v="1"/>
    <s v="Webservis Tasarımın Oluşturulması"/>
    <x v="18"/>
    <e v="#N/A"/>
    <x v="0"/>
    <s v="-"/>
    <x v="0"/>
    <m/>
  </r>
  <r>
    <x v="0"/>
    <s v="DAVS-26"/>
    <x v="1"/>
    <s v="Veritabanı Tasarımın Oluşturulması"/>
    <x v="18"/>
    <e v="#N/A"/>
    <x v="0"/>
    <s v="-"/>
    <x v="0"/>
    <m/>
  </r>
  <r>
    <x v="0"/>
    <s v="DAVS-25"/>
    <x v="1"/>
    <s v="Mimari Tasarımın Oluşturulması"/>
    <x v="18"/>
    <e v="#N/A"/>
    <x v="0"/>
    <s v="-"/>
    <x v="0"/>
    <m/>
  </r>
  <r>
    <x v="0"/>
    <s v="CRM-639"/>
    <x v="5"/>
    <s v="KEP İK Kullanıcı Yönetim Modülü Entegrasyonu"/>
    <x v="0"/>
    <s v="In Test"/>
    <x v="1"/>
    <s v="Gelecek Sprint"/>
    <x v="1"/>
    <n v="5"/>
  </r>
  <r>
    <x v="0"/>
    <s v="CRM-638"/>
    <x v="1"/>
    <s v="Entegrasyon üzerinden gelen başvuruların statü güncellenmesi"/>
    <x v="0"/>
    <e v="#N/A"/>
    <x v="0"/>
    <s v="-"/>
    <x v="0"/>
    <n v="3"/>
  </r>
  <r>
    <x v="0"/>
    <s v="CRM-637"/>
    <x v="6"/>
    <s v="Entegrasyon servisinden KEP hesap başvurusunun iptal edilmesi"/>
    <x v="0"/>
    <e v="#N/A"/>
    <x v="0"/>
    <s v="-"/>
    <x v="0"/>
    <n v="3"/>
  </r>
  <r>
    <x v="0"/>
    <s v="CRM-636"/>
    <x v="6"/>
    <s v="KEP İK Özlük Modülü CRM Entegrasyonu"/>
    <x v="0"/>
    <e v="#N/A"/>
    <x v="0"/>
    <s v="-"/>
    <x v="0"/>
    <n v="5"/>
  </r>
  <r>
    <x v="0"/>
    <s v="CRM-633"/>
    <x v="1"/>
    <s v="E-Ödeme için Tutar alanının güncellenmesi"/>
    <x v="0"/>
    <e v="#N/A"/>
    <x v="0"/>
    <s v="-"/>
    <x v="0"/>
    <n v="2"/>
  </r>
  <r>
    <x v="1"/>
    <s v="CRM-632"/>
    <x v="1"/>
    <s v="Sipariş detayında aktif temsilci bilgisi gelmemesi"/>
    <x v="0"/>
    <e v="#N/A"/>
    <x v="0"/>
    <s v="-"/>
    <x v="0"/>
    <n v="1"/>
  </r>
  <r>
    <x v="0"/>
    <s v="IEU-218"/>
    <x v="1"/>
    <s v="HSM ile İmzalama Metotlarında Slot Bilgisinin Parametre Olarak Eklenmesi  "/>
    <x v="5"/>
    <e v="#N/A"/>
    <x v="0"/>
    <s v="-"/>
    <x v="0"/>
    <n v="5"/>
  </r>
  <r>
    <x v="0"/>
    <s v="IEU-217"/>
    <x v="1"/>
    <s v="HSM Üzerinde Tanımlı Olan Sertifikaları Listeleyen token Metodu Geliştirmesi"/>
    <x v="5"/>
    <e v="#N/A"/>
    <x v="0"/>
    <s v="-"/>
    <x v="0"/>
    <n v="3"/>
  </r>
  <r>
    <x v="0"/>
    <s v="MYS-776"/>
    <x v="1"/>
    <s v="Güncelleme Paketi Hazırlanması"/>
    <x v="12"/>
    <e v="#N/A"/>
    <x v="0"/>
    <s v="-"/>
    <x v="0"/>
    <n v="2"/>
  </r>
  <r>
    <x v="0"/>
    <s v="MU-101"/>
    <x v="1"/>
    <s v="KEP İmzalama Adımında Telefon Numarası Girişinin Pratik Hale Getirilmesi"/>
    <x v="9"/>
    <e v="#N/A"/>
    <x v="0"/>
    <s v="-"/>
    <x v="0"/>
    <n v="5"/>
  </r>
  <r>
    <x v="0"/>
    <s v="MU-100"/>
    <x v="0"/>
    <s v="Giden Kutusunda “Teslim Edilemedi” ve “Reddedildi” Delil Türleri İçin Sebep Açıklaması Gösterimi"/>
    <x v="9"/>
    <s v="To Do"/>
    <x v="0"/>
    <s v="Gelecek Sprint"/>
    <x v="2"/>
    <m/>
  </r>
  <r>
    <x v="0"/>
    <s v="MU-99"/>
    <x v="1"/>
    <s v="Posta Kutularında Kaydırma Konumunu Gösteren Scroll Çubuğu Eklenmesi"/>
    <x v="9"/>
    <e v="#N/A"/>
    <x v="0"/>
    <s v="-"/>
    <x v="0"/>
    <n v="3"/>
  </r>
  <r>
    <x v="0"/>
    <s v="MU-98"/>
    <x v="1"/>
    <s v="Uygulama Genelindeki Diyalog (Pop-up) Tasarımlarının Modernize Edilmesi"/>
    <x v="9"/>
    <e v="#N/A"/>
    <x v="0"/>
    <s v="-"/>
    <x v="0"/>
    <n v="5"/>
  </r>
  <r>
    <x v="0"/>
    <s v="MU-97"/>
    <x v="1"/>
    <s v="Login Ekranında KEP Adresi Listeleme Alanının Modernize Edilmesi"/>
    <x v="9"/>
    <e v="#N/A"/>
    <x v="0"/>
    <s v="-"/>
    <x v="0"/>
    <n v="3"/>
  </r>
  <r>
    <x v="0"/>
    <s v="MU-96"/>
    <x v="1"/>
    <s v="Ek Dosya Açılış Sürecinde Kullanıcıya Yönelik Geri Bildirim Eksikliği"/>
    <x v="9"/>
    <e v="#N/A"/>
    <x v="0"/>
    <s v="-"/>
    <x v="0"/>
    <n v="3"/>
  </r>
  <r>
    <x v="0"/>
    <s v="MU-95"/>
    <x v="0"/>
    <s v="Yüksek Boyutlu İletilerinin Açılma Süresinin İyileştirilmesi"/>
    <x v="9"/>
    <s v="To Do"/>
    <x v="0"/>
    <s v="-"/>
    <x v="0"/>
    <n v="5"/>
  </r>
  <r>
    <x v="1"/>
    <s v="MU-94"/>
    <x v="1"/>
    <s v="rem-address-is-active metodunda sender Parametresinin Tutarsız Değer Döndürmesi "/>
    <x v="9"/>
    <e v="#N/A"/>
    <x v="0"/>
    <s v="-"/>
    <x v="0"/>
    <n v="3"/>
  </r>
  <r>
    <x v="1"/>
    <s v="MU-93"/>
    <x v="1"/>
    <s v="Biometrik Doğrulama ile Giriş Süresinin Artması (v2.0.15 (1) Paketi)"/>
    <x v="9"/>
    <e v="#N/A"/>
    <x v="0"/>
    <s v="-"/>
    <x v="0"/>
    <n v="3"/>
  </r>
  <r>
    <x v="1"/>
    <s v="MU-92"/>
    <x v="1"/>
    <s v="Manuel Açılan Posta Kutularının Görüntülenme ve İsimlendirme Sorunu"/>
    <x v="9"/>
    <e v="#N/A"/>
    <x v="0"/>
    <s v="-"/>
    <x v="0"/>
    <n v="3"/>
  </r>
  <r>
    <x v="1"/>
    <s v="MU-91"/>
    <x v="1"/>
    <s v="Uyarı Diyaloglarındaki Yönlendirme Hatalarının Düzenlenmesi"/>
    <x v="9"/>
    <e v="#N/A"/>
    <x v="0"/>
    <s v="-"/>
    <x v="0"/>
    <n v="2"/>
  </r>
  <r>
    <x v="1"/>
    <s v="MU-90"/>
    <x v="1"/>
    <s v="Hatalı Geçici Parola Girişi Durumunda Yanıltıcı Uyarı Mesajı Gösterimi"/>
    <x v="9"/>
    <e v="#N/A"/>
    <x v="0"/>
    <s v="-"/>
    <x v="0"/>
    <n v="1"/>
  </r>
  <r>
    <x v="0"/>
    <s v="MU-89"/>
    <x v="0"/>
    <s v="Merkezi KEP Rehberi Sorgulamasının Yapılması"/>
    <x v="9"/>
    <s v="To Do"/>
    <x v="0"/>
    <s v="Gelecek Sprint"/>
    <x v="2"/>
    <m/>
  </r>
  <r>
    <x v="1"/>
    <s v="MU-88"/>
    <x v="1"/>
    <s v="Alt Menüdeki 'Gelen Kutusu' ve 'Giden Kutusu' Butonlarına Çoklu Tıklama Sorunu"/>
    <x v="9"/>
    <e v="#N/A"/>
    <x v="0"/>
    <s v="-"/>
    <x v="0"/>
    <n v="2"/>
  </r>
  <r>
    <x v="1"/>
    <s v="MU-87"/>
    <x v="1"/>
    <s v="Posta Kutusu Görüntüleme Sonrası Liste Konumunun Korunması"/>
    <x v="9"/>
    <e v="#N/A"/>
    <x v="0"/>
    <s v="-"/>
    <x v="0"/>
    <n v="3"/>
  </r>
  <r>
    <x v="0"/>
    <s v="MU-86"/>
    <x v="0"/>
    <s v="Webmail Adres Defterinin Mobil Uygulamada Eşzamanlı Kullanılması"/>
    <x v="9"/>
    <s v="To Do"/>
    <x v="0"/>
    <s v="-"/>
    <x v="0"/>
    <m/>
  </r>
  <r>
    <x v="0"/>
    <s v="MU-85"/>
    <x v="0"/>
    <s v="Posta Kutularındaki İletiler İçin &quot;Yanıtla&quot;, &quot;İlet&quot; ve &quot;Sil&quot; İşlevlerinin Sağlanması "/>
    <x v="9"/>
    <e v="#N/A"/>
    <x v="0"/>
    <s v="-"/>
    <x v="0"/>
    <m/>
  </r>
  <r>
    <x v="1"/>
    <s v="MU-84"/>
    <x v="1"/>
    <s v="Hatalı TCKN veya Şifre Girişinde Kullanıcı Uyarısının Güncellenmesi"/>
    <x v="9"/>
    <e v="#N/A"/>
    <x v="0"/>
    <s v="-"/>
    <x v="0"/>
    <n v="1"/>
  </r>
  <r>
    <x v="1"/>
    <s v="MU-83"/>
    <x v="1"/>
    <s v="KEP Gönderim Ekranında İletinin Gönderimi Sırasında Paket İçeriğine Müdahalenin Engellenmesi"/>
    <x v="9"/>
    <e v="#N/A"/>
    <x v="0"/>
    <s v="-"/>
    <x v="0"/>
    <n v="3"/>
  </r>
  <r>
    <x v="1"/>
    <s v="MU-82"/>
    <x v="1"/>
    <s v="KEP Başvuru Girişi Sonrası Ana Sayfaya Dönüş Sorununun Giderilmesi"/>
    <x v="9"/>
    <e v="#N/A"/>
    <x v="0"/>
    <s v="-"/>
    <x v="0"/>
    <n v="1"/>
  </r>
  <r>
    <x v="0"/>
    <s v="MU-81"/>
    <x v="1"/>
    <s v="KEP İletisi Gönderim Ekranında Alıcı Adresi Doğrulama Kontrolü"/>
    <x v="9"/>
    <e v="#N/A"/>
    <x v="0"/>
    <s v="-"/>
    <x v="0"/>
    <n v="3"/>
  </r>
  <r>
    <x v="1"/>
    <s v="MU-80"/>
    <x v="1"/>
    <s v="İleti Arama Filtreleme Arayüzü Düzenlemesi"/>
    <x v="9"/>
    <e v="#N/A"/>
    <x v="0"/>
    <s v="-"/>
    <x v="0"/>
    <n v="5"/>
  </r>
  <r>
    <x v="1"/>
    <s v="MU-78"/>
    <x v="1"/>
    <s v="Şifre sıfırlama sonrası giriş ekranında etkileşim problemi"/>
    <x v="9"/>
    <e v="#N/A"/>
    <x v="0"/>
    <s v="-"/>
    <x v="0"/>
    <n v="3"/>
  </r>
  <r>
    <x v="1"/>
    <s v="MU-77"/>
    <x v="1"/>
    <s v="Canlı ve Test Ortamında Ulaşılamayan Mobil Servislerin Erişilebilirliğinin Sağlanması"/>
    <x v="9"/>
    <e v="#N/A"/>
    <x v="0"/>
    <s v="-"/>
    <x v="0"/>
    <m/>
  </r>
  <r>
    <x v="1"/>
    <s v="MU-76"/>
    <x v="1"/>
    <s v="Giden Kutusundan Görüntülenen Mesajlarda 'Geri' Tuşunun Yanlış Ekrana Yönlendirmesi"/>
    <x v="9"/>
    <e v="#N/A"/>
    <x v="0"/>
    <s v="-"/>
    <x v="0"/>
    <m/>
  </r>
  <r>
    <x v="1"/>
    <s v="MU-73"/>
    <x v="1"/>
    <s v="Posta Kutuları Tasarımsal Düzenleme Hk."/>
    <x v="9"/>
    <e v="#N/A"/>
    <x v="0"/>
    <s v="-"/>
    <x v="0"/>
    <m/>
  </r>
  <r>
    <x v="0"/>
    <s v="KEP-299"/>
    <x v="1"/>
    <s v="/ws/evidencelistbyorigmsgid Metodunda Tarih Bilgisinin Dönülmesi"/>
    <x v="7"/>
    <e v="#N/A"/>
    <x v="0"/>
    <s v="-"/>
    <x v="0"/>
    <m/>
  </r>
  <r>
    <x v="0"/>
    <s v="KEP-298"/>
    <x v="1"/>
    <s v="Hesapta Tanımlı Olandan Farklı Bir Telefon Numarası ile Mobil İmzalama Yapılabilmesi "/>
    <x v="7"/>
    <e v="#N/A"/>
    <x v="0"/>
    <s v="-"/>
    <x v="0"/>
    <m/>
  </r>
  <r>
    <x v="0"/>
    <s v="KEP-296"/>
    <x v="0"/>
    <s v="MKR Sorgusunda Bulunamayan KEP Adresleri için Anlaşılır Uyarı Gösterilmesi"/>
    <x v="7"/>
    <e v="#N/A"/>
    <x v="0"/>
    <s v="-"/>
    <x v="0"/>
    <m/>
  </r>
  <r>
    <x v="0"/>
    <s v="DAVS-35"/>
    <x v="0"/>
    <s v="Sisteme Giriş Loglarının Tutulması"/>
    <x v="18"/>
    <s v="To Do"/>
    <x v="0"/>
    <s v="-"/>
    <x v="0"/>
    <m/>
  </r>
  <r>
    <x v="0"/>
    <s v="DAVS-34"/>
    <x v="1"/>
    <s v="Alternatif Giriş Yöntemleri/ Elektronik İmza "/>
    <x v="18"/>
    <e v="#N/A"/>
    <x v="0"/>
    <s v="-"/>
    <x v="0"/>
    <m/>
  </r>
  <r>
    <x v="0"/>
    <s v="DAVS-33"/>
    <x v="0"/>
    <s v="Alternatif Giriş Yöntemleri/Mobil İmza"/>
    <x v="18"/>
    <s v="To Do"/>
    <x v="0"/>
    <s v="-"/>
    <x v="0"/>
    <m/>
  </r>
  <r>
    <x v="0"/>
    <s v="DAVS-32"/>
    <x v="1"/>
    <s v="Kullanıcıların e-Posta/ TCKN ve Parola Bilgisi ile Portala Giriş Yapabilmesi."/>
    <x v="18"/>
    <e v="#N/A"/>
    <x v="0"/>
    <s v="-"/>
    <x v="0"/>
    <m/>
  </r>
  <r>
    <x v="0"/>
    <s v="CRM-642"/>
    <x v="1"/>
    <s v="Entegrasyon Suit trafik bilgilerinin kaydedilmesi"/>
    <x v="0"/>
    <e v="#N/A"/>
    <x v="0"/>
    <s v="-"/>
    <x v="0"/>
    <n v="3"/>
  </r>
  <r>
    <x v="0"/>
    <s v="EFT-2208"/>
    <x v="1"/>
    <s v="SAP - Gelen İrsaliyeleri İndir (UUID) Metodunun Sağlanması"/>
    <x v="4"/>
    <e v="#N/A"/>
    <x v="0"/>
    <s v="-"/>
    <x v="0"/>
    <n v="2"/>
  </r>
  <r>
    <x v="0"/>
    <s v="EFT-2207"/>
    <x v="1"/>
    <s v="SAP - Gelen İrsaliyeleri İndir (ZIP UBL) Metodunun Sağlanması"/>
    <x v="4"/>
    <e v="#N/A"/>
    <x v="0"/>
    <s v="-"/>
    <x v="0"/>
    <n v="2"/>
  </r>
  <r>
    <x v="0"/>
    <s v="EFT-2206"/>
    <x v="1"/>
    <s v="SAP - Gelen İrsaliyeleri Listeleyen Metot Sağlanması"/>
    <x v="4"/>
    <e v="#N/A"/>
    <x v="0"/>
    <s v="-"/>
    <x v="0"/>
    <n v="2"/>
  </r>
  <r>
    <x v="0"/>
    <s v="CRM-649"/>
    <x v="6"/>
    <s v="E-Fatura ve E-Arşiv Ürünleri Trafik Bilgileri Detay Görünüm"/>
    <x v="0"/>
    <s v="TO TEST"/>
    <x v="1"/>
    <s v="Gelecek Sprint"/>
    <x v="1"/>
    <n v="3"/>
  </r>
  <r>
    <x v="0"/>
    <s v="CRM-650"/>
    <x v="1"/>
    <s v="Tevkifatlı Fatura Sınırı Güncelleme"/>
    <x v="0"/>
    <e v="#N/A"/>
    <x v="0"/>
    <s v="-"/>
    <x v="0"/>
    <n v="1"/>
  </r>
  <r>
    <x v="1"/>
    <s v="WIK-689"/>
    <x v="1"/>
    <s v="Özlük Belgeleri KVKK Aydınlatma Metinin İçerisinde Ünvanın Sayfa İçerisine Sığmaması"/>
    <x v="16"/>
    <e v="#N/A"/>
    <x v="0"/>
    <s v="-"/>
    <x v="0"/>
    <n v="2"/>
  </r>
  <r>
    <x v="1"/>
    <s v="MU-105"/>
    <x v="1"/>
    <s v="Mobil Uygulamada Cihaz Ekran Boyutlarına Göre Görsel Oran Uyumsuzluklarının Düzenlenmesi"/>
    <x v="9"/>
    <e v="#N/A"/>
    <x v="0"/>
    <s v="-"/>
    <x v="0"/>
    <n v="5"/>
  </r>
  <r>
    <x v="1"/>
    <s v="MU-104"/>
    <x v="1"/>
    <s v="Kurumsal Ön Başvuru Belge Yükleme Alanında Dosya Format Kontrolü ve Galeri Erişimi"/>
    <x v="9"/>
    <e v="#N/A"/>
    <x v="0"/>
    <s v="-"/>
    <x v="0"/>
    <n v="5"/>
  </r>
  <r>
    <x v="1"/>
    <s v="MU-103"/>
    <x v="1"/>
    <s v="Kurumsal Ön Başvuru Belge Yükleme Alanında Yüklenen Belgelerin Anlık Görüntülenmemesi"/>
    <x v="9"/>
    <e v="#N/A"/>
    <x v="0"/>
    <s v="-"/>
    <x v="0"/>
    <n v="3"/>
  </r>
  <r>
    <x v="1"/>
    <s v="MU-102"/>
    <x v="1"/>
    <s v="Ön Başvuru Onaylama Sayfasında Tekrarlı Gönderimlerin Engellenmesi"/>
    <x v="9"/>
    <e v="#N/A"/>
    <x v="0"/>
    <s v="-"/>
    <x v="0"/>
    <n v="3"/>
  </r>
  <r>
    <x v="1"/>
    <s v="KW-8"/>
    <x v="1"/>
    <s v="rem-address-is-active Metodunda &quot;hesapDurum&quot; Değerinin Düzeltilmesi"/>
    <x v="8"/>
    <e v="#N/A"/>
    <x v="0"/>
    <s v="-"/>
    <x v="0"/>
    <n v="3"/>
  </r>
  <r>
    <x v="1"/>
    <s v="TIM-450"/>
    <x v="1"/>
    <s v="Onaylama Adımından Sonra Karekod Doğrulama Kodunun Gelmemesi"/>
    <x v="13"/>
    <e v="#N/A"/>
    <x v="0"/>
    <s v="-"/>
    <x v="0"/>
    <n v="3"/>
  </r>
  <r>
    <x v="1"/>
    <s v="MU-108"/>
    <x v="1"/>
    <s v="Okunmamış İletilerin Okundu Olarak İşaretlenmesi Gerçek Zamanlı Güncellenmiyor"/>
    <x v="9"/>
    <s v="Done"/>
    <x v="0"/>
    <s v="-"/>
    <x v="0"/>
    <n v="3"/>
  </r>
  <r>
    <x v="1"/>
    <s v="MU-107"/>
    <x v="1"/>
    <s v="Login İşleminde API 500 Hatası Alındığında Anlaşılır Hata Bildirimi Gösterilmiyor"/>
    <x v="9"/>
    <e v="#N/A"/>
    <x v="0"/>
    <s v="-"/>
    <x v="0"/>
    <n v="2"/>
  </r>
  <r>
    <x v="1"/>
    <s v="KA-1514"/>
    <x v="1"/>
    <s v="Taslaklardan EYP eki silerken alınan hata"/>
    <x v="6"/>
    <e v="#N/A"/>
    <x v="0"/>
    <s v="-"/>
    <x v="0"/>
    <n v="3"/>
  </r>
  <r>
    <x v="0"/>
    <s v="EFT-2213"/>
    <x v="1"/>
    <s v="e-İrsaliye SAP Metotları Test Sürecini Kolaylaştıran Uygulamanın Yazılması"/>
    <x v="4"/>
    <e v="#N/A"/>
    <x v="0"/>
    <s v="-"/>
    <x v="0"/>
    <n v="3"/>
  </r>
  <r>
    <x v="0"/>
    <s v="EFT-2205"/>
    <x v="1"/>
    <s v="İlaç Tıbbi Cihaz Teslimlerine İlişkin Fatura Teknik Kılavuzu 1.2 Sürümü Değişiklikleri "/>
    <x v="4"/>
    <e v="#N/A"/>
    <x v="0"/>
    <s v="-"/>
    <x v="0"/>
    <n v="1"/>
  </r>
  <r>
    <x v="0"/>
    <s v="EDF-771"/>
    <x v="1"/>
    <s v="Ayyıldız İmza Şematron Sorunu Çözüm Araştırması"/>
    <x v="3"/>
    <e v="#N/A"/>
    <x v="0"/>
    <s v="-"/>
    <x v="0"/>
    <n v="2"/>
  </r>
  <r>
    <x v="0"/>
    <s v="DAVS-47"/>
    <x v="1"/>
    <s v="&quot;Giden e-İrsaliye Faturalar&quot;ın Listelenmesi"/>
    <x v="18"/>
    <e v="#N/A"/>
    <x v="0"/>
    <s v="-"/>
    <x v="0"/>
    <m/>
  </r>
  <r>
    <x v="0"/>
    <s v="DAVS-46"/>
    <x v="1"/>
    <s v="&quot;Gelen e-İrsaliye Faturalar&quot;ın Listelenmesi"/>
    <x v="18"/>
    <e v="#N/A"/>
    <x v="0"/>
    <s v="-"/>
    <x v="0"/>
    <m/>
  </r>
  <r>
    <x v="0"/>
    <s v="DAVS-45"/>
    <x v="1"/>
    <s v="&quot;Gönderilen e-Arşiv Faturaların&quot; Listelenmesi."/>
    <x v="18"/>
    <e v="#N/A"/>
    <x v="0"/>
    <s v="-"/>
    <x v="0"/>
    <m/>
  </r>
  <r>
    <x v="0"/>
    <s v="DAVS-44"/>
    <x v="1"/>
    <s v="Fatura Uygulamasından Gelen, Giden ve E-arşiv Faturaların Saklama Uygulamasına Aktarılması için Entegrasyon Servisi Geliştirilmesi"/>
    <x v="18"/>
    <e v="#N/A"/>
    <x v="0"/>
    <s v="-"/>
    <x v="0"/>
    <m/>
  </r>
  <r>
    <x v="0"/>
    <s v="DAVS-43"/>
    <x v="1"/>
    <s v="&quot;Giden Faturalar” ların Listelenmesi"/>
    <x v="18"/>
    <e v="#N/A"/>
    <x v="0"/>
    <s v="-"/>
    <x v="0"/>
    <m/>
  </r>
  <r>
    <x v="0"/>
    <s v="DAVS-42"/>
    <x v="1"/>
    <s v="&quot;Gelen Faturalar” ların Listelenmesi"/>
    <x v="18"/>
    <e v="#N/A"/>
    <x v="0"/>
    <s v="-"/>
    <x v="0"/>
    <m/>
  </r>
  <r>
    <x v="0"/>
    <s v="DAVS-41"/>
    <x v="0"/>
    <s v="Gelişmiş Filtreleme Alanlarının Eklenmesi"/>
    <x v="18"/>
    <s v="To Do"/>
    <x v="0"/>
    <s v="-"/>
    <x v="0"/>
    <m/>
  </r>
  <r>
    <x v="0"/>
    <s v="DAVS-40"/>
    <x v="1"/>
    <s v="KEP Uygulamasından Verilerin Alınarak Saklama Uygulamasına Aktarılması için Entegrasyon Servisi Geliştirilmesi"/>
    <x v="18"/>
    <e v="#N/A"/>
    <x v="0"/>
    <s v="-"/>
    <x v="0"/>
    <m/>
  </r>
  <r>
    <x v="0"/>
    <s v="DAVS-39"/>
    <x v="1"/>
    <s v="Birden Fazla KEP Hesabı Olan Kullanıcının Hesap Seçimi Yapabilmesi ve İlk Adımda Seçim Zorunluluğu"/>
    <x v="18"/>
    <e v="#N/A"/>
    <x v="0"/>
    <s v="-"/>
    <x v="0"/>
    <m/>
  </r>
  <r>
    <x v="0"/>
    <s v="DAVS-38"/>
    <x v="1"/>
    <s v="&quot;Delil&quot;lerin Listelenmesi"/>
    <x v="18"/>
    <e v="#N/A"/>
    <x v="0"/>
    <s v="-"/>
    <x v="0"/>
    <m/>
  </r>
  <r>
    <x v="0"/>
    <s v="DAVS-37"/>
    <x v="1"/>
    <s v="&quot;Giden İletiler&quot;in Listelenmesi"/>
    <x v="18"/>
    <e v="#N/A"/>
    <x v="0"/>
    <s v="-"/>
    <x v="0"/>
    <m/>
  </r>
  <r>
    <x v="0"/>
    <s v="DAVS-36"/>
    <x v="1"/>
    <s v="&quot;Gelen İletiler&quot;in Listelenmesi "/>
    <x v="18"/>
    <e v="#N/A"/>
    <x v="0"/>
    <s v="-"/>
    <x v="0"/>
    <m/>
  </r>
  <r>
    <x v="0"/>
    <s v="CRM-654"/>
    <x v="1"/>
    <s v="E-Defter Uygulamasına Organizasyon ID ve Periyod Bilgisi Gönderimi"/>
    <x v="0"/>
    <e v="#N/A"/>
    <x v="0"/>
    <s v="-"/>
    <x v="0"/>
    <n v="3"/>
  </r>
  <r>
    <x v="0"/>
    <s v="CRM-653"/>
    <x v="1"/>
    <s v="E-Belge Ürünleri için Açılan Görev Kayıtlarının Düzenlenmesi"/>
    <x v="0"/>
    <e v="#N/A"/>
    <x v="0"/>
    <s v="-"/>
    <x v="0"/>
    <n v="3"/>
  </r>
  <r>
    <x v="1"/>
    <s v="MYS-779"/>
    <x v="1"/>
    <s v="Basılı İletilerde Açıklama Alanında Karakter Sınırı Aşıldığında Uygun Uyarı Mesajı Gösterilmemesi"/>
    <x v="12"/>
    <e v="#N/A"/>
    <x v="0"/>
    <s v="-"/>
    <x v="0"/>
    <n v="2"/>
  </r>
  <r>
    <x v="1"/>
    <s v="MU-114"/>
    <x v="1"/>
    <s v="Ön Başvuru Geri Dönüş Akışında 'Doğrulama Kodu Gönder' Butonu Pasif Kalıyor"/>
    <x v="9"/>
    <e v="#N/A"/>
    <x v="0"/>
    <s v="-"/>
    <x v="0"/>
    <n v="2"/>
  </r>
  <r>
    <x v="1"/>
    <s v="MU-113"/>
    <x v="1"/>
    <s v="Ön başvuru Onay Giriş İşleminde API 500 Hatası Alındığında Anlaşılır Hata Bildirimi Gösterilmiyor"/>
    <x v="9"/>
    <e v="#N/A"/>
    <x v="0"/>
    <s v="-"/>
    <x v="0"/>
    <n v="2"/>
  </r>
  <r>
    <x v="1"/>
    <s v="MU-112"/>
    <x v="1"/>
    <s v="Kep İletisi Gönderiminde Parmak İzi Numarasının Kullanıcı Arayüzünde Görüntülenmemesi"/>
    <x v="9"/>
    <e v="#N/A"/>
    <x v="0"/>
    <s v="-"/>
    <x v="0"/>
    <n v="2"/>
  </r>
  <r>
    <x v="0"/>
    <s v="MU-111"/>
    <x v="1"/>
    <s v="Android Target SDK Versiyonunun 35'e Güncellenmesi"/>
    <x v="9"/>
    <e v="#N/A"/>
    <x v="0"/>
    <s v="-"/>
    <x v="0"/>
    <n v="8"/>
  </r>
  <r>
    <x v="0"/>
    <s v="IEU-229"/>
    <x v="1"/>
    <s v="Yük Testi Süreçlerinin Gözden Geçirilmesi "/>
    <x v="5"/>
    <e v="#N/A"/>
    <x v="0"/>
    <s v="-"/>
    <x v="0"/>
    <n v="3"/>
  </r>
  <r>
    <x v="0"/>
    <s v="IEU-228"/>
    <x v="1"/>
    <s v=" Entegrasyon Suit Servisleri İçin Müşteriye Sunulabilir Standart Metot Dokümanının Oluşturulması"/>
    <x v="5"/>
    <e v="#N/A"/>
    <x v="0"/>
    <s v="-"/>
    <x v="0"/>
    <n v="3"/>
  </r>
  <r>
    <x v="0"/>
    <s v="IEU-227"/>
    <x v="1"/>
    <s v="Araştırma-  api/v1/sign/multi Metodunun Lisans ve Access Token Kontrolleri Açısından İncelenmesi"/>
    <x v="5"/>
    <e v="#N/A"/>
    <x v="0"/>
    <s v="-"/>
    <x v="0"/>
    <n v="3"/>
  </r>
  <r>
    <x v="0"/>
    <s v="CRM-655"/>
    <x v="1"/>
    <s v="E-İrsaliye Ürünü Maliyet Raporu Güncellenmesi"/>
    <x v="0"/>
    <e v="#N/A"/>
    <x v="0"/>
    <s v="-"/>
    <x v="0"/>
    <n v="1"/>
  </r>
  <r>
    <x v="0"/>
    <s v="CRM-656"/>
    <x v="1"/>
    <s v="Sözleşmeler Modülünde Trafik Bilgileri Alanı Gönderi Bilgisi Getir Butonu"/>
    <x v="0"/>
    <e v="#N/A"/>
    <x v="0"/>
    <s v="-"/>
    <x v="0"/>
    <n v="1"/>
  </r>
  <r>
    <x v="0"/>
    <s v="CRM-657"/>
    <x v="1"/>
    <s v="SuggestKEP Metoduna Parametre Eklenmesi"/>
    <x v="0"/>
    <e v="#N/A"/>
    <x v="0"/>
    <s v="-"/>
    <x v="0"/>
    <n v="1"/>
  </r>
  <r>
    <x v="0"/>
    <s v="CRM-658"/>
    <x v="1"/>
    <s v="İptal Durumdaki KEP Adresinin Tekrar Aktif Edilmesi"/>
    <x v="0"/>
    <e v="#N/A"/>
    <x v="0"/>
    <s v="-"/>
    <x v="0"/>
    <n v="5"/>
  </r>
  <r>
    <x v="1"/>
    <s v="EFT-2215"/>
    <x v="1"/>
    <s v="Default İrsaliye Tasarımının Yeni Dinamik Kalem Destekli Şablon ile Güncellenmesi"/>
    <x v="4"/>
    <e v="#N/A"/>
    <x v="0"/>
    <s v="-"/>
    <x v="0"/>
    <n v="5"/>
  </r>
  <r>
    <x v="1"/>
    <s v="EFT-2214"/>
    <x v="1"/>
    <s v="Yolcu Beraber Fatura Senaryosunda KDV Alanının Açılması ve Vergi Muafiyet Kodunun Düzenlenmesi"/>
    <x v="4"/>
    <e v="#N/A"/>
    <x v="0"/>
    <s v="-"/>
    <x v="0"/>
    <n v="2"/>
  </r>
  <r>
    <x v="0"/>
    <s v="WIK-692"/>
    <x v="1"/>
    <s v="Araştırma- Bir Çalışan İçin Birden Fazla Sayfa İçeren PDF Yüklendiğinde Tümünün Tek İleti İle Gönderilebilmesi"/>
    <x v="16"/>
    <e v="#N/A"/>
    <x v="0"/>
    <s v="-"/>
    <x v="0"/>
    <n v="2"/>
  </r>
  <r>
    <x v="0"/>
    <s v="WIK-693"/>
    <x v="1"/>
    <s v="Özlük Belgesi Yükleme Mailin Domain İsim Değişikliği"/>
    <x v="16"/>
    <e v="#N/A"/>
    <x v="0"/>
    <s v="-"/>
    <x v="0"/>
    <n v="2"/>
  </r>
  <r>
    <x v="1"/>
    <s v="MU-117"/>
    <x v="1"/>
    <s v="KEP Ön Başvuru Giriş Uyarı Mesajlarının Tasarıma Uygun Hale Getirilmesi"/>
    <x v="9"/>
    <e v="#N/A"/>
    <x v="0"/>
    <s v="-"/>
    <x v="0"/>
    <n v="2"/>
  </r>
  <r>
    <x v="0"/>
    <s v="MU-116"/>
    <x v="1"/>
    <s v="Bildirim Servisinin İncelenmesi ve Sistem Dokumantasyonu Hazırlanması"/>
    <x v="9"/>
    <e v="#N/A"/>
    <x v="0"/>
    <s v="-"/>
    <x v="0"/>
    <n v="5"/>
  </r>
  <r>
    <x v="1"/>
    <s v="MU-109"/>
    <x v="1"/>
    <s v="Drawer Menü Tasarımı ve Kullanılabilirliği Düzenleme"/>
    <x v="9"/>
    <e v="#N/A"/>
    <x v="0"/>
    <s v="-"/>
    <x v="0"/>
    <n v="3"/>
  </r>
  <r>
    <x v="1"/>
    <s v="IEU-233"/>
    <x v="1"/>
    <s v="tkiletisimbilgisi Parametresinin Swagger Sayfasında Hatalı İsimlendirilmesi"/>
    <x v="5"/>
    <e v="#N/A"/>
    <x v="0"/>
    <s v="-"/>
    <x v="0"/>
    <n v="2"/>
  </r>
  <r>
    <x v="0"/>
    <s v="CRM-663"/>
    <x v="1"/>
    <s v="E-Defter Uygulamasına Tüm Organizasyon ID ve Periyod Bilgisi Gönderimi"/>
    <x v="0"/>
    <e v="#N/A"/>
    <x v="0"/>
    <s v="-"/>
    <x v="0"/>
    <n v="5"/>
  </r>
  <r>
    <x v="0"/>
    <s v="WIK-696"/>
    <x v="1"/>
    <s v="Test Robot Ortamının Kurulması"/>
    <x v="16"/>
    <e v="#N/A"/>
    <x v="0"/>
    <s v="-"/>
    <x v="0"/>
    <n v="3"/>
  </r>
  <r>
    <x v="0"/>
    <s v="TIM-451"/>
    <x v="1"/>
    <s v="Türkkep İmza- Zaman Damgası Değişikliği"/>
    <x v="13"/>
    <e v="#N/A"/>
    <x v="0"/>
    <s v="-"/>
    <x v="0"/>
    <n v="1"/>
  </r>
  <r>
    <x v="1"/>
    <s v="MYS-785"/>
    <x v="1"/>
    <s v="Toplu İşlemler Menüsünün Türkçeleştirilmesi"/>
    <x v="12"/>
    <e v="#N/A"/>
    <x v="0"/>
    <s v="-"/>
    <x v="0"/>
    <n v="1"/>
  </r>
  <r>
    <x v="0"/>
    <s v="MYS-782"/>
    <x v="1"/>
    <s v="KEP ve UETS Servislerinden Gelen İletilerde Takvimleme Mekanizması"/>
    <x v="12"/>
    <e v="#N/A"/>
    <x v="0"/>
    <s v="-"/>
    <x v="0"/>
    <n v="5"/>
  </r>
  <r>
    <x v="0"/>
    <s v="MU-120"/>
    <x v="1"/>
    <s v="Dil Seçim Menüsü için Animasyonlu Tasarım"/>
    <x v="9"/>
    <e v="#N/A"/>
    <x v="0"/>
    <s v="-"/>
    <x v="0"/>
    <n v="1"/>
  </r>
  <r>
    <x v="0"/>
    <s v="MU-119"/>
    <x v="1"/>
    <s v="Boş Posta Kutusu Durumu için Tasarım Değişikliği"/>
    <x v="9"/>
    <e v="#N/A"/>
    <x v="0"/>
    <s v="-"/>
    <x v="0"/>
    <n v="2"/>
  </r>
  <r>
    <x v="0"/>
    <s v="KA-1517"/>
    <x v="1"/>
    <s v="Gelen Kutusu ve Görevlerim Ekranlarına Toplu EYP/EML İndirme Butonu Eklenmesi"/>
    <x v="6"/>
    <e v="#N/A"/>
    <x v="0"/>
    <s v="-"/>
    <x v="0"/>
    <n v="3"/>
  </r>
  <r>
    <x v="0"/>
    <s v="CRM-661"/>
    <x v="1"/>
    <s v="Üst Yönetim Raporu - KEP İleti Sayılarının Detaylı Kırılımı"/>
    <x v="0"/>
    <e v="#N/A"/>
    <x v="0"/>
    <s v="-"/>
    <x v="0"/>
    <n v="5"/>
  </r>
  <r>
    <x v="0"/>
    <s v="CRM-662"/>
    <x v="1"/>
    <s v="Sözleşmeler - Trafik Bilgileri Ekranı Güncelleme"/>
    <x v="0"/>
    <e v="#N/A"/>
    <x v="0"/>
    <s v="-"/>
    <x v="0"/>
    <n v="1"/>
  </r>
  <r>
    <x v="0"/>
    <s v="CRM-664"/>
    <x v="1"/>
    <s v="E-Belge Başarısız Aktivasyon Raporunun İlgili Kişilere İletilmesi"/>
    <x v="0"/>
    <e v="#N/A"/>
    <x v="0"/>
    <s v="-"/>
    <x v="0"/>
    <n v="2"/>
  </r>
  <r>
    <x v="0"/>
    <s v="WIK-699"/>
    <x v="1"/>
    <s v="Duyuru Modülündeki Uyarı Metninin Güncellenmesi ve Tasarım Düzenlemesi"/>
    <x v="16"/>
    <e v="#N/A"/>
    <x v="0"/>
    <s v="-"/>
    <x v="0"/>
    <n v="1"/>
  </r>
  <r>
    <x v="0"/>
    <s v="WIK-697"/>
    <x v="1"/>
    <s v="Tüm &quot;Eminim&quot; Butonlarının &quot;Evet&quot; Olarak Güncellenmesi"/>
    <x v="16"/>
    <e v="#N/A"/>
    <x v="0"/>
    <s v="-"/>
    <x v="0"/>
    <n v="1"/>
  </r>
  <r>
    <x v="0"/>
    <s v="WIK-698"/>
    <x v="1"/>
    <s v="PIN Girişi Eksikliği ve E-İmza Bloke Durumunda Gösterilen Uyarı Mesajlarının Düzenlenmesi"/>
    <x v="16"/>
    <e v="#N/A"/>
    <x v="0"/>
    <s v="-"/>
    <x v="0"/>
    <n v="1"/>
  </r>
  <r>
    <x v="0"/>
    <s v="WIK-703"/>
    <x v="1"/>
    <s v="Birden Fazla TCKN Kontrolü Yapılması"/>
    <x v="16"/>
    <e v="#N/A"/>
    <x v="0"/>
    <s v="-"/>
    <x v="0"/>
    <n v="3"/>
  </r>
  <r>
    <x v="0"/>
    <s v="WIK-702"/>
    <x v="1"/>
    <s v="Yüklenen PDF te Sayfa Sayısı Kontrolü"/>
    <x v="16"/>
    <e v="#N/A"/>
    <x v="0"/>
    <s v="-"/>
    <x v="0"/>
    <n v="2"/>
  </r>
  <r>
    <x v="0"/>
    <s v="UKDS-163"/>
    <x v="1"/>
    <s v="Araştırma- UKDS Toplu Excel Alma İşlemleri için Kuyruk/Asenkron Yapı Önerisi"/>
    <x v="15"/>
    <e v="#N/A"/>
    <x v="0"/>
    <s v="-"/>
    <x v="0"/>
    <n v="3"/>
  </r>
  <r>
    <x v="0"/>
    <s v="WIK-704"/>
    <x v="1"/>
    <s v="Dosya Okunması ve Eşleştirilmesi"/>
    <x v="16"/>
    <e v="#N/A"/>
    <x v="0"/>
    <s v="-"/>
    <x v="0"/>
    <n v="5"/>
  </r>
  <r>
    <x v="0"/>
    <s v="WIK-701"/>
    <x v="1"/>
    <s v="Yükleme Ekranı Geliştirmesi"/>
    <x v="16"/>
    <e v="#N/A"/>
    <x v="0"/>
    <s v="-"/>
    <x v="0"/>
    <n v="3"/>
  </r>
  <r>
    <x v="0"/>
    <s v="WIK-700"/>
    <x v="0"/>
    <s v="Araştırma- DB Partitioning İşleminin Teknik Değerlendirilmesi"/>
    <x v="16"/>
    <e v="#N/A"/>
    <x v="0"/>
    <s v="-"/>
    <x v="0"/>
    <m/>
  </r>
  <r>
    <x v="1"/>
    <s v="TIM-452"/>
    <x v="1"/>
    <s v="Mobil İmzalama Adımında Türkçe Karakterli Kullanıcı Adı Sorunu Hk"/>
    <x v="13"/>
    <e v="#N/A"/>
    <x v="0"/>
    <s v="-"/>
    <x v="0"/>
    <m/>
  </r>
  <r>
    <x v="0"/>
    <s v="MU-110"/>
    <x v="1"/>
    <s v="KEP Açılış Ön Başvuru Ekranlarında Tasarımsal ve Kullanılabilirlik Sorunları"/>
    <x v="9"/>
    <e v="#N/A"/>
    <x v="0"/>
    <s v="-"/>
    <x v="0"/>
    <n v="5"/>
  </r>
  <r>
    <x v="0"/>
    <s v="EFT-2229"/>
    <x v="1"/>
    <s v="SAP WS Kılavuz Hazırlanması"/>
    <x v="4"/>
    <e v="#N/A"/>
    <x v="0"/>
    <s v="-"/>
    <x v="0"/>
    <n v="2"/>
  </r>
  <r>
    <x v="0"/>
    <s v="EFT-2227"/>
    <x v="1"/>
    <s v="Konnektör Mail Parametrelerinin OTAdmin ile Yönetilmesi"/>
    <x v="4"/>
    <e v="#N/A"/>
    <x v="0"/>
    <s v="-"/>
    <x v="0"/>
    <n v="3"/>
  </r>
  <r>
    <x v="0"/>
    <s v="EFT-2226"/>
    <x v="1"/>
    <s v="Smartcard Bilgilerinin Tutulduğu Tablodaki Verilerin CRM'e Aktarımı için Metot Hazırlanması"/>
    <x v="4"/>
    <e v="#N/A"/>
    <x v="0"/>
    <s v="-"/>
    <x v="0"/>
    <m/>
  </r>
  <r>
    <x v="0"/>
    <s v="EFT-2225"/>
    <x v="0"/>
    <s v="SmartCard Bilgilerinin Şifreli (Encrypted) Saklanması"/>
    <x v="4"/>
    <e v="#N/A"/>
    <x v="0"/>
    <s v="-"/>
    <x v="0"/>
    <m/>
  </r>
  <r>
    <x v="0"/>
    <s v="EFT-2223"/>
    <x v="1"/>
    <s v="9900 TL ve Üzeri Tutarlı Faturalar için Eklenen Kontrollerden TCKN &quot;11111111111&quot; ve Alıcı Adı/Soyadı &quot;Muhtelif Kullancılar&quot; Kontrollerinin Kaldırılması"/>
    <x v="4"/>
    <e v="#N/A"/>
    <x v="0"/>
    <s v="-"/>
    <x v="0"/>
    <n v="1"/>
  </r>
  <r>
    <x v="0"/>
    <s v="EFT-2218"/>
    <x v="1"/>
    <s v="Nihai Tüketici Kontrol Tutarının 9.900TL ve Üzeri Tutarlı Faturalar İçin Yapılması"/>
    <x v="4"/>
    <e v="#N/A"/>
    <x v="0"/>
    <s v="-"/>
    <x v="0"/>
    <n v="3"/>
  </r>
  <r>
    <x v="1"/>
    <s v="EFT-2217"/>
    <x v="1"/>
    <s v="Web Serviste e-Mail Hatalarının Düzelmesi için Regex Kontrolü"/>
    <x v="4"/>
    <e v="#N/A"/>
    <x v="0"/>
    <s v="-"/>
    <x v="0"/>
    <n v="2"/>
  </r>
  <r>
    <x v="0"/>
    <s v="EFT-2216"/>
    <x v="1"/>
    <s v="Projelerin GITLAB Platformuna Taşınması"/>
    <x v="4"/>
    <e v="#N/A"/>
    <x v="0"/>
    <s v="-"/>
    <x v="0"/>
    <n v="5"/>
  </r>
  <r>
    <x v="0"/>
    <s v="EDF-773"/>
    <x v="1"/>
    <s v="Araştırma - Tekrar Denemelerde Her Seferinde Aynı Hatayı Alan Parçaların Sistemin Defter İşlemlerini Aksatmasını Engellemesi"/>
    <x v="3"/>
    <e v="#N/A"/>
    <x v="0"/>
    <s v="-"/>
    <x v="0"/>
    <n v="2"/>
  </r>
  <r>
    <x v="0"/>
    <s v="DAVS-63"/>
    <x v="1"/>
    <s v="Backend Çalışması"/>
    <x v="18"/>
    <e v="#N/A"/>
    <x v="0"/>
    <s v="-"/>
    <x v="0"/>
    <m/>
  </r>
  <r>
    <x v="0"/>
    <s v="DAVS-62"/>
    <x v="1"/>
    <s v="Arayüz Ön Çalışma"/>
    <x v="18"/>
    <e v="#N/A"/>
    <x v="0"/>
    <s v="-"/>
    <x v="0"/>
    <m/>
  </r>
  <r>
    <x v="0"/>
    <s v="DAVS-61"/>
    <x v="1"/>
    <s v="Dokümanların Görüntülenmesi"/>
    <x v="18"/>
    <e v="#N/A"/>
    <x v="0"/>
    <s v="-"/>
    <x v="0"/>
    <m/>
  </r>
  <r>
    <x v="0"/>
    <s v="DAVS-60"/>
    <x v="1"/>
    <s v="Yeni Klasör Oluşturma"/>
    <x v="18"/>
    <e v="#N/A"/>
    <x v="0"/>
    <s v="-"/>
    <x v="0"/>
    <m/>
  </r>
  <r>
    <x v="0"/>
    <s v="DAVS-59"/>
    <x v="1"/>
    <s v="Yeni Doküman Ekleme"/>
    <x v="18"/>
    <e v="#N/A"/>
    <x v="0"/>
    <s v="-"/>
    <x v="0"/>
    <m/>
  </r>
  <r>
    <x v="0"/>
    <s v="DAVS-58"/>
    <x v="1"/>
    <s v="Sürükle-bırak Fonksiyonun Sağlanması"/>
    <x v="18"/>
    <e v="#N/A"/>
    <x v="0"/>
    <s v="-"/>
    <x v="0"/>
    <m/>
  </r>
  <r>
    <x v="0"/>
    <s v="DAVS-57"/>
    <x v="1"/>
    <s v="Klasör ve Dokümanların İndirilmesi"/>
    <x v="18"/>
    <e v="#N/A"/>
    <x v="0"/>
    <s v="-"/>
    <x v="0"/>
    <m/>
  </r>
  <r>
    <x v="0"/>
    <s v="DAVS-56"/>
    <x v="1"/>
    <s v="Klasör ve Dokümanların Listelenmesi"/>
    <x v="18"/>
    <e v="#N/A"/>
    <x v="0"/>
    <s v="-"/>
    <x v="0"/>
    <m/>
  </r>
  <r>
    <x v="0"/>
    <s v="DAVS-55"/>
    <x v="1"/>
    <s v="&quot;Giden Faturalar” ların İndirilmesi"/>
    <x v="18"/>
    <e v="#N/A"/>
    <x v="0"/>
    <s v="-"/>
    <x v="0"/>
    <m/>
  </r>
  <r>
    <x v="0"/>
    <s v="DAVS-54"/>
    <x v="1"/>
    <s v="&quot;Gelen Faturalar” ların İndirilmesi"/>
    <x v="18"/>
    <e v="#N/A"/>
    <x v="0"/>
    <s v="-"/>
    <x v="0"/>
    <m/>
  </r>
  <r>
    <x v="0"/>
    <s v="DAVS-53"/>
    <x v="1"/>
    <s v="&quot;Gönderilen e-Arşiv Faturaların&quot; İndirilmesi"/>
    <x v="18"/>
    <e v="#N/A"/>
    <x v="0"/>
    <s v="-"/>
    <x v="0"/>
    <m/>
  </r>
  <r>
    <x v="0"/>
    <s v="DAVS-52"/>
    <x v="1"/>
    <s v="&quot;Giden e-İrsaliye Faturalar&quot;ın İndirilmesi"/>
    <x v="18"/>
    <e v="#N/A"/>
    <x v="0"/>
    <s v="-"/>
    <x v="0"/>
    <m/>
  </r>
  <r>
    <x v="0"/>
    <s v="DAVS-51"/>
    <x v="1"/>
    <s v="&quot;Gelen e-İrsaliye Faturalar&quot;ın  İndirilmesi"/>
    <x v="18"/>
    <e v="#N/A"/>
    <x v="0"/>
    <s v="-"/>
    <x v="0"/>
    <m/>
  </r>
  <r>
    <x v="0"/>
    <s v="DAVS-50"/>
    <x v="1"/>
    <s v="&quot;Delil&quot;lerin İndirilmesi "/>
    <x v="18"/>
    <e v="#N/A"/>
    <x v="0"/>
    <s v="-"/>
    <x v="0"/>
    <m/>
  </r>
  <r>
    <x v="0"/>
    <s v="DAVS-49"/>
    <x v="1"/>
    <s v="&quot;Giden İleti&quot;lerin İndirilmesi "/>
    <x v="18"/>
    <e v="#N/A"/>
    <x v="0"/>
    <s v="-"/>
    <x v="0"/>
    <m/>
  </r>
  <r>
    <x v="0"/>
    <s v="DAVS-48"/>
    <x v="1"/>
    <s v="&quot;Gelen İleti&quot;lerin İndirilmesi"/>
    <x v="18"/>
    <e v="#N/A"/>
    <x v="0"/>
    <s v="-"/>
    <x v="0"/>
    <m/>
  </r>
  <r>
    <x v="0"/>
    <s v="UKDS-169"/>
    <x v="1"/>
    <s v="Başvuru önyüz geliştirmesi"/>
    <x v="15"/>
    <e v="#N/A"/>
    <x v="0"/>
    <s v="-"/>
    <x v="0"/>
    <n v="3"/>
  </r>
  <r>
    <x v="0"/>
    <s v="UKDS-170"/>
    <x v="1"/>
    <s v="Başvuru Servislerinin Geliştirmesi"/>
    <x v="15"/>
    <e v="#N/A"/>
    <x v="0"/>
    <s v="-"/>
    <x v="0"/>
    <n v="3"/>
  </r>
  <r>
    <x v="0"/>
    <s v="IEU-238"/>
    <x v="1"/>
    <s v="UKDS Servislerinin Entegrasyon Suit Üzerinden Sunulması"/>
    <x v="17"/>
    <e v="#N/A"/>
    <x v="0"/>
    <s v="-"/>
    <x v="0"/>
    <n v="3"/>
  </r>
  <r>
    <x v="0"/>
    <s v="KAN-60"/>
    <x v="1"/>
    <s v="Test Ortamında Domain Geçiş Hazırlıkları ve Geçiş "/>
    <x v="19"/>
    <e v="#N/A"/>
    <x v="0"/>
    <s v="-"/>
    <x v="0"/>
    <n v="3"/>
  </r>
  <r>
    <x v="0"/>
    <s v="KA-1521"/>
    <x v="1"/>
    <s v="2025-BTA-013 FKM'ne Geçiş Projesi Test Ortamında Domain Geçiş Hazırlıkları ve Geçiş "/>
    <x v="6"/>
    <e v="#N/A"/>
    <x v="0"/>
    <s v="-"/>
    <x v="0"/>
    <n v="3"/>
  </r>
  <r>
    <x v="0"/>
    <s v="KA-1523"/>
    <x v="1"/>
    <s v="Güncelleme Paketi hazırlanması"/>
    <x v="6"/>
    <e v="#N/A"/>
    <x v="0"/>
    <s v="-"/>
    <x v="0"/>
    <n v="3"/>
  </r>
  <r>
    <x v="0"/>
    <s v="MU-133"/>
    <x v="1"/>
    <s v="KEP Gönderme Ekranında Geri Tuşu Uyarı Mekanizması"/>
    <x v="9"/>
    <e v="#N/A"/>
    <x v="0"/>
    <s v="-"/>
    <x v="0"/>
    <n v="1"/>
  </r>
  <r>
    <x v="0"/>
    <s v="MU-132"/>
    <x v="1"/>
    <s v="KEP Gönderme Ekranında Alan Sıralamasının Düzenlenmesi"/>
    <x v="9"/>
    <e v="#N/A"/>
    <x v="0"/>
    <s v="-"/>
    <x v="0"/>
    <n v="1"/>
  </r>
  <r>
    <x v="1"/>
    <s v="MU-130"/>
    <x v="1"/>
    <s v="Android Cihazlarda UKDS Kurumsal Başvuruda JPEG Dosya Yükleme Sorunu"/>
    <x v="9"/>
    <e v="#N/A"/>
    <x v="0"/>
    <s v="-"/>
    <x v="0"/>
    <n v="3"/>
  </r>
  <r>
    <x v="1"/>
    <s v="MU-129"/>
    <x v="1"/>
    <s v="Android Cihazlarda &quot;Firma Çalışanı Değilim&quot; Seçeneğinde Yönlendirme Sorunu"/>
    <x v="9"/>
    <e v="#N/A"/>
    <x v="0"/>
    <s v="-"/>
    <x v="0"/>
    <n v="3"/>
  </r>
  <r>
    <x v="0"/>
    <s v="MU-122"/>
    <x v="1"/>
    <s v="Gelen Kutusunda Okunmayan İletilerin Sayısının Gösterilmesi"/>
    <x v="9"/>
    <e v="#N/A"/>
    <x v="0"/>
    <s v="-"/>
    <x v="0"/>
    <n v="3"/>
  </r>
  <r>
    <x v="0"/>
    <s v="MYS-787"/>
    <x v="1"/>
    <s v="Güncelleme Paketi hazırlanması"/>
    <x v="12"/>
    <e v="#N/A"/>
    <x v="0"/>
    <s v="-"/>
    <x v="0"/>
    <n v="2"/>
  </r>
  <r>
    <x v="0"/>
    <s v="MYS-788"/>
    <x v="1"/>
    <s v="Takvimleme Methodu Hata Alma Senaryosu"/>
    <x v="12"/>
    <e v="#N/A"/>
    <x v="0"/>
    <s v="-"/>
    <x v="0"/>
    <n v="3"/>
  </r>
  <r>
    <x v="0"/>
    <s v="MYS-789"/>
    <x v="1"/>
    <s v="Test Ortamında Domain Geçiş Hazırlıkları ve Geçiş "/>
    <x v="12"/>
    <e v="#N/A"/>
    <x v="0"/>
    <s v="-"/>
    <x v="0"/>
    <n v="3"/>
  </r>
  <r>
    <x v="0"/>
    <s v="CRM-667"/>
    <x v="1"/>
    <s v="KEP İleti Sayıları CRM Sistemine Data Aktarımı"/>
    <x v="0"/>
    <e v="#N/A"/>
    <x v="0"/>
    <s v="-"/>
    <x v="0"/>
    <n v="3"/>
  </r>
  <r>
    <x v="0"/>
    <s v="CRM-668"/>
    <x v="1"/>
    <s v="İptal Durumdan Aktif Duruma Alınan KEP IK Hesapları Düzenleme"/>
    <x v="0"/>
    <e v="#N/A"/>
    <x v="0"/>
    <s v="-"/>
    <x v="0"/>
    <n v="2"/>
  </r>
  <r>
    <x v="0"/>
    <s v="CRM-669"/>
    <x v="0"/>
    <s v="İptal Durumdan Aktif Duruma Alınacak KEP IK Hesapları Ek Geliştirme"/>
    <x v="0"/>
    <e v="#N/A"/>
    <x v="0"/>
    <s v="-"/>
    <x v="0"/>
    <n v="3"/>
  </r>
  <r>
    <x v="0"/>
    <s v="CRM-670"/>
    <x v="1"/>
    <s v="Mersis Sorgulama İçin EndPoint Paylaşımı"/>
    <x v="0"/>
    <e v="#N/A"/>
    <x v="0"/>
    <s v="-"/>
    <x v="0"/>
    <n v="2"/>
  </r>
  <r>
    <x v="0"/>
    <s v="CRM-671"/>
    <x v="1"/>
    <s v="Mersis Sorgu Sonucu Ek Geliştirme"/>
    <x v="0"/>
    <e v="#N/A"/>
    <x v="0"/>
    <s v="-"/>
    <x v="0"/>
    <n v="2"/>
  </r>
  <r>
    <x v="0"/>
    <s v="EFT-2241"/>
    <x v="1"/>
    <s v="2025-BTA-013 FKM'ne Geçiş Projesi Test Ortamı Domain Geçiş Hazırlıkları ve Geçiş"/>
    <x v="4"/>
    <e v="#N/A"/>
    <x v="0"/>
    <s v="-"/>
    <x v="0"/>
    <n v="2"/>
  </r>
  <r>
    <x v="0"/>
    <s v="EFT-2240"/>
    <x v="1"/>
    <s v="ERP Bağımlı Konnektör Metotlarında e-Fatura Oluşturmada Zorunlu Olmayan Yeni Alanların Eklenmesi - Aselsan"/>
    <x v="4"/>
    <e v="#N/A"/>
    <x v="0"/>
    <s v="-"/>
    <x v="0"/>
    <n v="2"/>
  </r>
  <r>
    <x v="0"/>
    <s v="EFT-2237"/>
    <x v="1"/>
    <s v="Bağımsız Konnektörde e-Fatura Oluşturmada Zorunlu Olmayan Yeni Alanların Eklenmesi"/>
    <x v="4"/>
    <e v="#N/A"/>
    <x v="0"/>
    <s v="-"/>
    <x v="0"/>
    <n v="3"/>
  </r>
  <r>
    <x v="0"/>
    <s v="EFT-2236"/>
    <x v="1"/>
    <s v="Web Servis Metotlarında e-Fatura Oluşturmada Zorunlu Olmayan Yeni Alanların Eklenmesi - Aselsan"/>
    <x v="4"/>
    <e v="#N/A"/>
    <x v="0"/>
    <s v="-"/>
    <x v="0"/>
    <n v="3"/>
  </r>
  <r>
    <x v="0"/>
    <s v="EFT-2235"/>
    <x v="1"/>
    <s v="Portal Üzerinde e-Fatura Oluşturmada Zorunlu Olmayan Yeni Alanların Eklenmesi - Aselsan"/>
    <x v="4"/>
    <e v="#N/A"/>
    <x v="0"/>
    <s v="-"/>
    <x v="0"/>
    <n v="5"/>
  </r>
  <r>
    <x v="0"/>
    <s v="EDF-776"/>
    <x v="1"/>
    <s v="2025-BTA-013 FKM'ne Geçiş Projesi Test Ortam Domain Geçiş Hazırlıkları ve Geçiş"/>
    <x v="3"/>
    <e v="#N/A"/>
    <x v="0"/>
    <s v="-"/>
    <x v="0"/>
    <n v="2"/>
  </r>
  <r>
    <x v="1"/>
    <s v="MU-135"/>
    <x v="1"/>
    <s v="KEP Gönderme Ekranında “Vazgeç” Aksiyonlarının Hatalı Yönlendirmelere Sebep Olması"/>
    <x v="9"/>
    <e v="#N/A"/>
    <x v="0"/>
    <s v="-"/>
    <x v="0"/>
    <n v="3"/>
  </r>
  <r>
    <x v="1"/>
    <s v="MU-124"/>
    <x v="1"/>
    <s v="Şifremi Unuttum Akışında Geri Tuşu ile Bilgilerin Silinmesi ve Yanlış Ekrana Yönlendirmesi"/>
    <x v="9"/>
    <e v="#N/A"/>
    <x v="0"/>
    <s v="-"/>
    <x v="0"/>
    <n v="3"/>
  </r>
  <r>
    <x v="1"/>
    <s v="MU-131"/>
    <x v="1"/>
    <s v="İmzala ve Gönder Butonuna Çoklu Tıklama ile Mobil İmza Talebinin Tekrarlanması"/>
    <x v="9"/>
    <e v="#N/A"/>
    <x v="0"/>
    <s v="-"/>
    <x v="0"/>
    <n v="2"/>
  </r>
  <r>
    <x v="0"/>
    <s v="CRM-674"/>
    <x v="1"/>
    <s v="Toplu Açılış Excel Aktarım Ek Geliştirme"/>
    <x v="0"/>
    <e v="#N/A"/>
    <x v="0"/>
    <s v="-"/>
    <x v="0"/>
    <n v="1"/>
  </r>
  <r>
    <x v="0"/>
    <s v="CRM-675"/>
    <x v="1"/>
    <s v="Sipariş Detayı Mersis Süreci Münferit Müşteri E-Devlet Onaya Gönderme"/>
    <x v="0"/>
    <e v="#N/A"/>
    <x v="0"/>
    <s v="-"/>
    <x v="0"/>
    <n v="1"/>
  </r>
  <r>
    <x v="0"/>
    <s v="CRM-676"/>
    <x v="1"/>
    <s v="Sipariş Detayı Ekranı Mersis Sorgulama"/>
    <x v="0"/>
    <e v="#N/A"/>
    <x v="0"/>
    <s v="-"/>
    <x v="0"/>
    <n v="1"/>
  </r>
  <r>
    <x v="0"/>
    <s v="CRM-679"/>
    <x v="1"/>
    <s v="Trendyol Projesi Bireysel ve Kurumsal Promosyon Tanımlama"/>
    <x v="0"/>
    <e v="#N/A"/>
    <x v="0"/>
    <s v="-"/>
    <x v="0"/>
    <n v="2"/>
  </r>
  <r>
    <x v="0"/>
    <s v="CRM-680"/>
    <x v="1"/>
    <s v="Trendyol Projesi DIŞ Bireysel ve Kurumsal Promosyon CRM Sisteminde Tanımlama"/>
    <x v="0"/>
    <e v="#N/A"/>
    <x v="0"/>
    <s v="-"/>
    <x v="0"/>
    <n v="2"/>
  </r>
  <r>
    <x v="0"/>
    <s v="CRM-681"/>
    <x v="1"/>
    <s v="Trendyol Projesi Ödeme İşlemi Link Gönderimi"/>
    <x v="0"/>
    <e v="#N/A"/>
    <x v="0"/>
    <s v="-"/>
    <x v="0"/>
    <n v="2"/>
  </r>
  <r>
    <x v="0"/>
    <s v="MUL-210"/>
    <x v="1"/>
    <s v="2025-BTA-013 FKM'ne Geçiş Projesi Test Ortamında Domain Geçiş Hazırlıkları ve Geçiş"/>
    <x v="11"/>
    <e v="#N/A"/>
    <x v="0"/>
    <s v="-"/>
    <x v="0"/>
    <n v="3"/>
  </r>
  <r>
    <x v="0"/>
    <s v="KIK-153"/>
    <x v="1"/>
    <s v="2025-BTA-013 FKM'ne Geçiş Projesi Test Ortamında Domain Geçiş Hazırlıkları ve Geçiş"/>
    <x v="20"/>
    <e v="#N/A"/>
    <x v="0"/>
    <s v="-"/>
    <x v="0"/>
    <n v="3"/>
  </r>
  <r>
    <x v="0"/>
    <s v="DS-14"/>
    <x v="1"/>
    <s v="2025-BTA-013 FKM'ne Geçiş Projesi Canlı Ortamı Domain Geçiş Hazırlıkları ve Geçiş"/>
    <x v="2"/>
    <e v="#N/A"/>
    <x v="0"/>
    <s v="-"/>
    <x v="0"/>
    <n v="2"/>
  </r>
  <r>
    <x v="0"/>
    <s v="IEU-244"/>
    <x v="1"/>
    <s v="192.168.224.224 Sunucusunda /tkapp Diskinden /tklog Diskine Log Yönlendirmesi"/>
    <x v="17"/>
    <e v="#N/A"/>
    <x v="0"/>
    <s v="-"/>
    <x v="0"/>
    <n v="2"/>
  </r>
  <r>
    <x v="0"/>
    <s v="EFT-2249"/>
    <x v="1"/>
    <s v="e-İrsaliye SAP Servisi Gelen İrsaliyeleri Listele Metodunda Düzenleme"/>
    <x v="4"/>
    <e v="#N/A"/>
    <x v="0"/>
    <s v="-"/>
    <x v="0"/>
    <n v="1"/>
  </r>
  <r>
    <x v="0"/>
    <s v="EFT-2248"/>
    <x v="1"/>
    <s v="e-Arsiv Teknik Kilavuzu V.1.18 ve earsiv paket v1.1_4 İncelemesi"/>
    <x v="4"/>
    <e v="#N/A"/>
    <x v="0"/>
    <s v="-"/>
    <x v="0"/>
    <n v="3"/>
  </r>
  <r>
    <x v="0"/>
    <s v="EFT-2239"/>
    <x v="0"/>
    <s v="Nihai Tüketici İfadesi Kullanım Kuralı"/>
    <x v="4"/>
    <e v="#N/A"/>
    <x v="0"/>
    <s v="-"/>
    <x v="0"/>
    <n v="2"/>
  </r>
  <r>
    <x v="0"/>
    <s v="EFT-2238"/>
    <x v="0"/>
    <s v="Muhtelif Müşteriler İfadesi Kullanım Kuralı"/>
    <x v="4"/>
    <e v="#N/A"/>
    <x v="0"/>
    <s v="-"/>
    <x v="0"/>
    <n v="2"/>
  </r>
  <r>
    <x v="0"/>
    <s v="EFT-2243"/>
    <x v="1"/>
    <s v="2025-BTA-013 FKM'ne Geçiş Projesi Canlı Ortamı Domain Geçiş Hazırlıkları ve Geçiş"/>
    <x v="4"/>
    <e v="#N/A"/>
    <x v="0"/>
    <s v="-"/>
    <x v="0"/>
    <n v="3"/>
  </r>
  <r>
    <x v="0"/>
    <s v="MYS-793"/>
    <x v="1"/>
    <s v="Gelen İletiler EYP 2.0 Görüntüleme Desteği ve Ek Alanların Gösterimi"/>
    <x v="12"/>
    <e v="#N/A"/>
    <x v="0"/>
    <s v="-"/>
    <x v="0"/>
    <n v="3"/>
  </r>
  <r>
    <x v="0"/>
    <s v="UKDS-174"/>
    <x v="1"/>
    <s v="Mobil İmza Aşamasında Operatör Seçeneklerinin Eklenmesi"/>
    <x v="15"/>
    <e v="#N/A"/>
    <x v="0"/>
    <s v="-"/>
    <x v="0"/>
    <m/>
  </r>
  <r>
    <x v="0"/>
    <s v="MYS-795"/>
    <x v="1"/>
    <s v="Güncelleme Paketi hazırlanması"/>
    <x v="12"/>
    <e v="#N/A"/>
    <x v="0"/>
    <s v="-"/>
    <x v="0"/>
    <m/>
  </r>
  <r>
    <x v="0"/>
    <s v="MUL-211"/>
    <x v="1"/>
    <s v="2025-BTA-013 FKM'ne Geçiş Projesi Canlı Ortamı Domain Geçiş Hazırlıkları ve Geçiş"/>
    <x v="11"/>
    <e v="#N/A"/>
    <x v="0"/>
    <s v="-"/>
    <x v="0"/>
    <n v="3"/>
  </r>
  <r>
    <x v="0"/>
    <s v="MU-142"/>
    <x v="1"/>
    <s v="Okunmamış KEP Gönderileri İçin Kırmızı Gösterge (Badge) Tasarımı"/>
    <x v="9"/>
    <e v="#N/A"/>
    <x v="0"/>
    <s v="-"/>
    <x v="0"/>
    <m/>
  </r>
  <r>
    <x v="0"/>
    <s v="KIK-155"/>
    <x v="1"/>
    <s v="2025-BTA-013 FKM'ne Geçiş Projesi Canlı Ortamı Domain Geçiş Hazırlıkları ve Geçiş"/>
    <x v="16"/>
    <e v="#N/A"/>
    <x v="0"/>
    <s v="-"/>
    <x v="0"/>
    <n v="3"/>
  </r>
  <r>
    <x v="2"/>
    <s v="KA-1536"/>
    <x v="1"/>
    <s v="Sub-Task Veritabanı ve Servis Geliştirmesi Hk."/>
    <x v="6"/>
    <e v="#N/A"/>
    <x v="0"/>
    <s v="-"/>
    <x v="0"/>
    <m/>
  </r>
  <r>
    <x v="1"/>
    <s v="IEU-251"/>
    <x v="1"/>
    <s v="EYP 2.0 oluşturma sırasında aciklama parametresi boş bırakıldığında parser hatası oluşuyor"/>
    <x v="5"/>
    <e v="#N/A"/>
    <x v="0"/>
    <s v="-"/>
    <x v="0"/>
    <m/>
  </r>
  <r>
    <x v="0"/>
    <s v="ES-302"/>
    <x v="1"/>
    <s v="2025-BTA-013 FKM'ne Geçiş Projesi Canlı Ortam Domain Geçiş Hazırlıkları ve Geçiş"/>
    <x v="21"/>
    <e v="#N/A"/>
    <x v="0"/>
    <s v="-"/>
    <x v="0"/>
    <n v="2"/>
  </r>
  <r>
    <x v="0"/>
    <s v="ES-301"/>
    <x v="1"/>
    <s v="2025-BTA-013 FKM'ne Geçiş Projesi Test Ortam Domain Geçiş Hazırlıkları ve Geçiş "/>
    <x v="21"/>
    <e v="#N/A"/>
    <x v="0"/>
    <s v="-"/>
    <x v="0"/>
    <n v="2"/>
  </r>
  <r>
    <x v="0"/>
    <s v="EFT-2260"/>
    <x v="1"/>
    <s v="GİB Güncellemesi – Yeni İstisna Kodu (344) için Düzenlemeler"/>
    <x v="4"/>
    <e v="#N/A"/>
    <x v="0"/>
    <s v="-"/>
    <x v="0"/>
    <n v="2"/>
  </r>
  <r>
    <x v="0"/>
    <s v="EFT-2258"/>
    <x v="1"/>
    <s v="Konnektör Bağımsız/ 702 Kodlu İhraç Kayıtlı Faturalarda Değişiklik"/>
    <x v="4"/>
    <e v="#N/A"/>
    <x v="0"/>
    <s v="-"/>
    <x v="0"/>
    <n v="3"/>
  </r>
  <r>
    <x v="0"/>
    <s v="EFT-2257"/>
    <x v="1"/>
    <s v="Konnektör Bağımlı/ 702 Kodlu İhraç Kayıtlı Faturalarda Değişiklik "/>
    <x v="4"/>
    <e v="#N/A"/>
    <x v="0"/>
    <s v="-"/>
    <x v="0"/>
    <n v="2"/>
  </r>
  <r>
    <x v="0"/>
    <s v="EFT-2256"/>
    <x v="1"/>
    <s v="Portal/ 702 Kodlu İhraç Kayıtlı Faturalarda Değişiklik "/>
    <x v="4"/>
    <e v="#N/A"/>
    <x v="0"/>
    <s v="-"/>
    <x v="0"/>
    <n v="3"/>
  </r>
  <r>
    <x v="0"/>
    <s v="EFT-2255"/>
    <x v="1"/>
    <s v="e- Fatura Paket Güncellemesi"/>
    <x v="4"/>
    <e v="#N/A"/>
    <x v="0"/>
    <s v="-"/>
    <x v="0"/>
    <n v="2"/>
  </r>
  <r>
    <x v="0"/>
    <s v="EFT-2254"/>
    <x v="1"/>
    <s v="GIB Web Servisleri Test ve Doğrulama Süreci"/>
    <x v="4"/>
    <e v="#N/A"/>
    <x v="0"/>
    <s v="-"/>
    <x v="0"/>
    <m/>
  </r>
  <r>
    <x v="0"/>
    <s v="EDF-777"/>
    <x v="1"/>
    <s v="2025-BTA-013 FKM'ne Geçiş Projesi Canlı Ortam Domain Geçiş Hazırlıkları ve Geçiş "/>
    <x v="3"/>
    <e v="#N/A"/>
    <x v="0"/>
    <s v="-"/>
    <x v="0"/>
    <n v="3"/>
  </r>
  <r>
    <x v="0"/>
    <s v="EDF-774"/>
    <x v="2"/>
    <s v="Araştırma - İmzalama Sürecinde Defterlerde Yaşanan Hatalar "/>
    <x v="3"/>
    <e v="#N/A"/>
    <x v="0"/>
    <s v="-"/>
    <x v="0"/>
    <m/>
  </r>
  <r>
    <x v="0"/>
    <s v="DAVS-137"/>
    <x v="1"/>
    <s v="File Service – Klasör İçeriğinin Dosya Tipine Göre Getirme Endpoint'i Geliştirilmesi"/>
    <x v="18"/>
    <e v="#N/A"/>
    <x v="0"/>
    <s v="-"/>
    <x v="0"/>
    <m/>
  </r>
  <r>
    <x v="0"/>
    <s v="DAVS-134"/>
    <x v="1"/>
    <s v="Dosyaların silinmesi"/>
    <x v="18"/>
    <e v="#N/A"/>
    <x v="0"/>
    <s v="-"/>
    <x v="0"/>
    <m/>
  </r>
  <r>
    <x v="0"/>
    <s v="DAVS-133"/>
    <x v="1"/>
    <s v="Dosya isminin güncellenmesi"/>
    <x v="18"/>
    <e v="#N/A"/>
    <x v="0"/>
    <s v="-"/>
    <x v="0"/>
    <m/>
  </r>
  <r>
    <x v="0"/>
    <s v="DAVS-132"/>
    <x v="1"/>
    <s v="File Service – Çöp Kutusundaki Tüm Verileri Kalıcı Silme Endpoint'i Geliştirilmesi"/>
    <x v="18"/>
    <e v="#N/A"/>
    <x v="0"/>
    <s v="-"/>
    <x v="0"/>
    <m/>
  </r>
  <r>
    <x v="0"/>
    <s v="DAVS-131"/>
    <x v="1"/>
    <s v="File Service – Çöp Kutusundaki Tüm Verileri Geri Taşıma Endpoint'i Geliştirilmesi"/>
    <x v="18"/>
    <e v="#N/A"/>
    <x v="0"/>
    <s v="-"/>
    <x v="0"/>
    <m/>
  </r>
  <r>
    <x v="0"/>
    <s v="DAVS-130"/>
    <x v="1"/>
    <s v="Uygulama açılış sayfası geliştirilmesi"/>
    <x v="18"/>
    <e v="#N/A"/>
    <x v="0"/>
    <s v="-"/>
    <x v="0"/>
    <m/>
  </r>
  <r>
    <x v="2"/>
    <s v="DAVS-129"/>
    <x v="1"/>
    <s v="File Service – Çöp kutusunda olan Klasör İçeriğini Getirme Endpoint'i Geliştirilmesi"/>
    <x v="18"/>
    <e v="#N/A"/>
    <x v="0"/>
    <s v="-"/>
    <x v="0"/>
    <m/>
  </r>
  <r>
    <x v="0"/>
    <s v="DAVS-128"/>
    <x v="1"/>
    <s v="Çöp kutusundaki verilerin tamamen silinmesi"/>
    <x v="18"/>
    <e v="#N/A"/>
    <x v="0"/>
    <s v="-"/>
    <x v="0"/>
    <m/>
  </r>
  <r>
    <x v="0"/>
    <s v="DAVS-127"/>
    <x v="1"/>
    <s v="Çöp kutusundaki verilerin geri yüklenmesi"/>
    <x v="18"/>
    <e v="#N/A"/>
    <x v="0"/>
    <s v="-"/>
    <x v="0"/>
    <m/>
  </r>
  <r>
    <x v="0"/>
    <s v="DAVS-126"/>
    <x v="1"/>
    <s v="Çöp Kutusu sayfasındaki verilerin listelenmesi"/>
    <x v="18"/>
    <e v="#N/A"/>
    <x v="0"/>
    <s v="-"/>
    <x v="0"/>
    <m/>
  </r>
  <r>
    <x v="0"/>
    <s v="DAVS-125"/>
    <x v="1"/>
    <s v="Çöp Kutusu sayfası tasarımsal düzenlemeler"/>
    <x v="18"/>
    <e v="#N/A"/>
    <x v="0"/>
    <s v="-"/>
    <x v="0"/>
    <m/>
  </r>
  <r>
    <x v="0"/>
    <s v="DAVS-124"/>
    <x v="1"/>
    <s v="User Service – Parola Güncelleme Endpoint'i Geliştirilmesi"/>
    <x v="18"/>
    <e v="#N/A"/>
    <x v="0"/>
    <s v="-"/>
    <x v="0"/>
    <m/>
  </r>
  <r>
    <x v="0"/>
    <s v="DAVS-123"/>
    <x v="1"/>
    <s v="User Service – Parola Sıfırlama Endpoint'i Geliştirilmesi"/>
    <x v="18"/>
    <e v="#N/A"/>
    <x v="0"/>
    <s v="-"/>
    <x v="0"/>
    <m/>
  </r>
  <r>
    <x v="0"/>
    <s v="DAVS-122"/>
    <x v="1"/>
    <s v="Frontend Geliştirme- Destek Merkezi / SSS "/>
    <x v="18"/>
    <e v="#N/A"/>
    <x v="0"/>
    <s v="-"/>
    <x v="0"/>
    <m/>
  </r>
  <r>
    <x v="0"/>
    <s v="DAVS-121"/>
    <x v="1"/>
    <s v="Frontend Geliştirme- Doğrulama Kodu Giriş Ekranı  "/>
    <x v="18"/>
    <e v="#N/A"/>
    <x v="0"/>
    <s v="-"/>
    <x v="0"/>
    <m/>
  </r>
  <r>
    <x v="0"/>
    <s v="DAVS-120"/>
    <x v="1"/>
    <s v="Frontend Geliştirme- Giriş Sayfası "/>
    <x v="18"/>
    <e v="#N/A"/>
    <x v="0"/>
    <s v="-"/>
    <x v="0"/>
    <m/>
  </r>
  <r>
    <x v="2"/>
    <s v="DAVS-116"/>
    <x v="1"/>
    <s v="Sayfa içi fonksiyon ve tasarım çalışmaları/Sprint3"/>
    <x v="18"/>
    <e v="#N/A"/>
    <x v="0"/>
    <s v="-"/>
    <x v="0"/>
    <m/>
  </r>
  <r>
    <x v="2"/>
    <s v="DAVS-115"/>
    <x v="1"/>
    <s v="Sayfa içi fonksiyon ve tasarım çalışmaları/Sprint3"/>
    <x v="18"/>
    <e v="#N/A"/>
    <x v="0"/>
    <s v="-"/>
    <x v="0"/>
    <m/>
  </r>
  <r>
    <x v="2"/>
    <s v="DAVS-113"/>
    <x v="1"/>
    <s v="Sayfa içi fonksiyon ve tasarım çalışmaları/Sprint3"/>
    <x v="18"/>
    <e v="#N/A"/>
    <x v="0"/>
    <s v="-"/>
    <x v="0"/>
    <m/>
  </r>
  <r>
    <x v="0"/>
    <s v="DAVS-108"/>
    <x v="1"/>
    <s v="Invoices Service – E-Fatura Aktarım Durumu Sorgulama Endpoint’inin Geliştirilmesi"/>
    <x v="18"/>
    <e v="#N/A"/>
    <x v="0"/>
    <s v="-"/>
    <x v="0"/>
    <m/>
  </r>
  <r>
    <x v="0"/>
    <s v="DAVS-107"/>
    <x v="1"/>
    <s v="Invoices Service – E-Fatura Dosyası Gönderme Endpoint’inin Geliştirilmesi"/>
    <x v="18"/>
    <e v="#N/A"/>
    <x v="0"/>
    <s v="-"/>
    <x v="0"/>
    <m/>
  </r>
  <r>
    <x v="0"/>
    <s v="DAVS-106"/>
    <x v="1"/>
    <s v="Rem Service – KEP Dosya Aktarım Durumu Sorgulama Endpoint’i Geliştirilmesi"/>
    <x v="18"/>
    <e v="#N/A"/>
    <x v="0"/>
    <s v="-"/>
    <x v="0"/>
    <m/>
  </r>
  <r>
    <x v="0"/>
    <s v="DAVS-105"/>
    <x v="1"/>
    <s v="Rem Service – KEP Üzerinden Dosya Gönderimi Endpoint’i Geliştirilmesi"/>
    <x v="18"/>
    <e v="#N/A"/>
    <x v="0"/>
    <s v="-"/>
    <x v="0"/>
    <m/>
  </r>
  <r>
    <x v="0"/>
    <s v="DAVS-101"/>
    <x v="1"/>
    <s v="Integrations Service – İrsaliye Kayıtlarını Filtreleme Endpoint’i Geliştirilmesi"/>
    <x v="18"/>
    <e v="#N/A"/>
    <x v="0"/>
    <s v="-"/>
    <x v="0"/>
    <m/>
  </r>
  <r>
    <x v="0"/>
    <s v="DAVS-100"/>
    <x v="1"/>
    <s v="Integrations Service – İrsaliye Listeleme Endpoint’i Geliştirilmesi"/>
    <x v="18"/>
    <e v="#N/A"/>
    <x v="0"/>
    <s v="-"/>
    <x v="0"/>
    <m/>
  </r>
  <r>
    <x v="0"/>
    <s v="DAVS-99"/>
    <x v="1"/>
    <s v="Integrations Service – Fatura Kayıtlarını Filtreleme Endpoint’i Geliştirilmesi"/>
    <x v="18"/>
    <e v="#N/A"/>
    <x v="0"/>
    <s v="-"/>
    <x v="0"/>
    <m/>
  </r>
  <r>
    <x v="0"/>
    <s v="DAVS-98"/>
    <x v="1"/>
    <s v="Integrations Service – Fatura Listeleme Endpoint’i Geliştirilmesi"/>
    <x v="18"/>
    <e v="#N/A"/>
    <x v="0"/>
    <s v="-"/>
    <x v="0"/>
    <m/>
  </r>
  <r>
    <x v="0"/>
    <s v="DAVS-97"/>
    <x v="1"/>
    <s v="Integrations Service – KEP İletilerini Filtreleme Endpoint’i Geliştirilmesi"/>
    <x v="18"/>
    <e v="#N/A"/>
    <x v="0"/>
    <s v="-"/>
    <x v="0"/>
    <m/>
  </r>
  <r>
    <x v="0"/>
    <s v="DAVS-96"/>
    <x v="1"/>
    <s v="Integrations Service – KEP İletilerini Listeleme Endpoint’i Geliştirilmesi"/>
    <x v="18"/>
    <e v="#N/A"/>
    <x v="0"/>
    <s v="-"/>
    <x v="0"/>
    <m/>
  </r>
  <r>
    <x v="0"/>
    <s v="DAVS-95"/>
    <x v="1"/>
    <s v="Integrations Service – KEP Hesaplarını Listeleme Endpoint’i Geliştirilmesi"/>
    <x v="18"/>
    <e v="#N/A"/>
    <x v="0"/>
    <s v="-"/>
    <x v="0"/>
    <m/>
  </r>
  <r>
    <x v="0"/>
    <s v="DAVS-94"/>
    <x v="1"/>
    <s v="Integrations Service – Entegrasyon Modüllerini Getirme Endpoint’i Geliştirilmesi"/>
    <x v="18"/>
    <e v="#N/A"/>
    <x v="0"/>
    <s v="-"/>
    <x v="0"/>
    <m/>
  </r>
  <r>
    <x v="0"/>
    <s v="DAVS-93"/>
    <x v="1"/>
    <s v="Document Operations Service – Parçalı Yüklemeyi Tamamlama Endpoint’i Geliştirilmesi"/>
    <x v="18"/>
    <e v="#N/A"/>
    <x v="0"/>
    <s v="-"/>
    <x v="0"/>
    <m/>
  </r>
  <r>
    <x v="0"/>
    <s v="DAVS-91"/>
    <x v="1"/>
    <s v="Document Operations Service – Dosya Yükleme Endpoint’i Geliştirilmesi"/>
    <x v="18"/>
    <e v="#N/A"/>
    <x v="0"/>
    <s v="-"/>
    <x v="0"/>
    <m/>
  </r>
  <r>
    <x v="0"/>
    <s v="DAVS-89"/>
    <x v="1"/>
    <s v="File Service – Çöp Kutusu Kalıcı Silme Endpoint'i Geliştirilmesi"/>
    <x v="18"/>
    <e v="#N/A"/>
    <x v="0"/>
    <s v="-"/>
    <x v="0"/>
    <m/>
  </r>
  <r>
    <x v="0"/>
    <s v="DAVS-88"/>
    <x v="1"/>
    <s v="File Service – Çöp Kutusundan Geri Taşıma Endpoint'i Geliştirilmesi"/>
    <x v="18"/>
    <e v="#N/A"/>
    <x v="0"/>
    <s v="-"/>
    <x v="0"/>
    <m/>
  </r>
  <r>
    <x v="0"/>
    <s v="DAVS-86"/>
    <x v="1"/>
    <s v="File Service – Dosya İsmini Güncelleme Endpoint'i Geliştirilmesi"/>
    <x v="18"/>
    <e v="#N/A"/>
    <x v="0"/>
    <s v="-"/>
    <x v="0"/>
    <m/>
  </r>
  <r>
    <x v="0"/>
    <s v="DAVS-85"/>
    <x v="1"/>
    <s v="File Service – Dosya Kopyalama Endpoint'i Geliştirilmesi"/>
    <x v="18"/>
    <e v="#N/A"/>
    <x v="0"/>
    <s v="-"/>
    <x v="0"/>
    <m/>
  </r>
  <r>
    <x v="0"/>
    <s v="DAVS-84"/>
    <x v="1"/>
    <s v="File Service – Dosya Taşıma Endpoint'i Geliştirilmesi"/>
    <x v="18"/>
    <e v="#N/A"/>
    <x v="0"/>
    <s v="-"/>
    <x v="0"/>
    <m/>
  </r>
  <r>
    <x v="0"/>
    <s v="DAVS-83"/>
    <x v="1"/>
    <s v="File Service – Dosyayı Çöp Kutusuna Taşıma Endpoint'i Geliştirilmesi"/>
    <x v="18"/>
    <e v="#N/A"/>
    <x v="0"/>
    <s v="-"/>
    <x v="0"/>
    <m/>
  </r>
  <r>
    <x v="0"/>
    <s v="DAVS-79"/>
    <x v="1"/>
    <s v="File Service – Dosya Arama Endpoint'i Geliştirilmesi"/>
    <x v="18"/>
    <e v="#N/A"/>
    <x v="0"/>
    <s v="-"/>
    <x v="0"/>
    <m/>
  </r>
  <r>
    <x v="0"/>
    <s v="DAVS-78"/>
    <x v="1"/>
    <s v="File Service – Ana Klasördeki Dosyaları Getirme Endpoint'i Geliştirilmesi"/>
    <x v="18"/>
    <e v="#N/A"/>
    <x v="0"/>
    <s v="-"/>
    <x v="0"/>
    <m/>
  </r>
  <r>
    <x v="0"/>
    <s v="DAVS-77"/>
    <x v="1"/>
    <s v="File Service – Önerilen Belgeleri Getirme Endpoint'i Geliştirilmesi"/>
    <x v="18"/>
    <e v="#N/A"/>
    <x v="0"/>
    <s v="-"/>
    <x v="0"/>
    <m/>
  </r>
  <r>
    <x v="0"/>
    <s v="DAVS-75"/>
    <x v="1"/>
    <s v="User Service – OTP Doğrulama ve Token Oluşturma Endpoint'i Geliştirilmesi"/>
    <x v="18"/>
    <e v="#N/A"/>
    <x v="0"/>
    <s v="-"/>
    <x v="0"/>
    <m/>
  </r>
  <r>
    <x v="0"/>
    <s v="DAVS-74"/>
    <x v="1"/>
    <s v="User Service – Giriş ve OTP Gönderimi Endpoint'i Geliştirilmesi"/>
    <x v="18"/>
    <e v="#N/A"/>
    <x v="0"/>
    <s v="-"/>
    <x v="0"/>
    <m/>
  </r>
  <r>
    <x v="0"/>
    <s v="DAVS-73"/>
    <x v="1"/>
    <s v="User Service – Organizasyona Ait Kullanıcıları Getirme Endpoint'i Geliştirilmesi"/>
    <x v="18"/>
    <e v="#N/A"/>
    <x v="0"/>
    <s v="-"/>
    <x v="0"/>
    <m/>
  </r>
  <r>
    <x v="0"/>
    <s v="DAVS-72"/>
    <x v="1"/>
    <s v="User Service – Kullanıcıyı Pasife Çekme Endpoint'i Geliştirilmesi"/>
    <x v="18"/>
    <e v="#N/A"/>
    <x v="0"/>
    <s v="-"/>
    <x v="0"/>
    <m/>
  </r>
  <r>
    <x v="0"/>
    <s v="DAVS-71"/>
    <x v="1"/>
    <s v="User Service – Kullanıcı Bilgisi Güncelleme Endpoint'i Geliştirilmesi"/>
    <x v="18"/>
    <e v="#N/A"/>
    <x v="0"/>
    <s v="-"/>
    <x v="0"/>
    <m/>
  </r>
  <r>
    <x v="0"/>
    <s v="DAVS-70"/>
    <x v="1"/>
    <s v="User Service – Yeni Kullanıcı Oluşturma Endpoint'i Geliştirilmesi"/>
    <x v="18"/>
    <e v="#N/A"/>
    <x v="0"/>
    <s v="-"/>
    <x v="0"/>
    <m/>
  </r>
  <r>
    <x v="0"/>
    <s v="DAVS-69"/>
    <x v="1"/>
    <s v="User Service – Kullanıcının Bilgilerini Getirme Endpoint'i Geliştirilmesi"/>
    <x v="18"/>
    <e v="#N/A"/>
    <x v="0"/>
    <s v="-"/>
    <x v="0"/>
    <m/>
  </r>
  <r>
    <x v="0"/>
    <s v="DAVS-68"/>
    <x v="1"/>
    <s v="Organization Service – Kota ve Kullanım Bilgisi Getirme Endpoint'i Geliştirilmesi"/>
    <x v="18"/>
    <e v="#N/A"/>
    <x v="0"/>
    <s v="-"/>
    <x v="0"/>
    <m/>
  </r>
  <r>
    <x v="0"/>
    <s v="CRM-691"/>
    <x v="1"/>
    <s v="Kurumsal KEP Öneri Firma Adı Karakter Sınırı Güncelleme"/>
    <x v="0"/>
    <e v="#N/A"/>
    <x v="0"/>
    <s v="-"/>
    <x v="0"/>
    <n v="1"/>
  </r>
  <r>
    <x v="0"/>
    <s v="CRM-689"/>
    <x v="1"/>
    <s v="Başvuru Formları CRM İçerisinde Güncellenmesi"/>
    <x v="0"/>
    <e v="#N/A"/>
    <x v="0"/>
    <s v="-"/>
    <x v="0"/>
    <n v="1"/>
  </r>
  <r>
    <x v="0"/>
    <s v="CRM-688"/>
    <x v="0"/>
    <s v="Müşteriye Askıda Olan Siparişi İçin Hatırlatma "/>
    <x v="0"/>
    <e v="#N/A"/>
    <x v="0"/>
    <s v="-"/>
    <x v="0"/>
    <m/>
  </r>
  <r>
    <x v="0"/>
    <s v="CRM-687"/>
    <x v="1"/>
    <s v="E-Ödeme Test Sunucusunun Kurulumu"/>
    <x v="0"/>
    <e v="#N/A"/>
    <x v="0"/>
    <s v="-"/>
    <x v="0"/>
    <n v="2"/>
  </r>
  <r>
    <x v="0"/>
    <s v="CRM-683"/>
    <x v="1"/>
    <s v="E-İmza Aktivasyon SMS'nin Türkkep CRM Üzerinden Tetiklenmesi"/>
    <x v="0"/>
    <e v="#N/A"/>
    <x v="0"/>
    <s v="-"/>
    <x v="0"/>
    <n v="5"/>
  </r>
  <r>
    <x v="0"/>
    <s v="CRM-690"/>
    <x v="0"/>
    <s v="Trendyol'dan Gelen Başvuruların Ayrıştırılması"/>
    <x v="0"/>
    <e v="#N/A"/>
    <x v="0"/>
    <s v="-"/>
    <x v="0"/>
    <n v="2"/>
  </r>
  <r>
    <x v="0"/>
    <s v="KA-1537"/>
    <x v="1"/>
    <s v="Uygulamada İngilizce İfadelerin Türkçeleştirilmesi"/>
    <x v="6"/>
    <e v="#N/A"/>
    <x v="0"/>
    <s v="-"/>
    <x v="0"/>
    <n v="3"/>
  </r>
  <r>
    <x v="0"/>
    <s v="MYS-798"/>
    <x v="1"/>
    <s v="Uygulamada İngilizce İfadelerin Türkçeleştirilmesi"/>
    <x v="12"/>
    <e v="#N/A"/>
    <x v="0"/>
    <s v="-"/>
    <x v="0"/>
    <n v="2"/>
  </r>
  <r>
    <x v="0"/>
    <s v="MU-146"/>
    <x v="1"/>
    <s v="UKDS Giriş Ekranı Alan Gösterimi"/>
    <x v="9"/>
    <e v="#N/A"/>
    <x v="0"/>
    <s v="-"/>
    <x v="0"/>
    <n v="3"/>
  </r>
  <r>
    <x v="0"/>
    <s v="MU-147"/>
    <x v="1"/>
    <s v="UKDS Güncellemeleri Mobil Uygulama Uyumlandırması ve Trendyol Başvuru Süreçleri"/>
    <x v="9"/>
    <e v="#N/A"/>
    <x v="0"/>
    <s v="-"/>
    <x v="0"/>
    <n v="8"/>
  </r>
  <r>
    <x v="0"/>
    <s v="WIK-713"/>
    <x v="1"/>
    <s v="Doğum Tarihi Alanının Tüm Bölgesini Tıklanabilir Olması"/>
    <x v="16"/>
    <e v="#N/A"/>
    <x v="0"/>
    <s v="-"/>
    <x v="0"/>
    <n v="2"/>
  </r>
  <r>
    <x v="0"/>
    <s v="WIK-715"/>
    <x v="1"/>
    <s v="Örnek Excel Formatındaki E-Posta Adresinin Güncellenmesi"/>
    <x v="16"/>
    <e v="#N/A"/>
    <x v="0"/>
    <s v="-"/>
    <x v="0"/>
    <n v="1"/>
  </r>
  <r>
    <x v="0"/>
    <s v="WIK-716"/>
    <x v="1"/>
    <s v="Islak İmza Sürecinde Gösterilen Uyarı Mesajı Kutusunun Boyutunun Küçültülmesi"/>
    <x v="16"/>
    <e v="#N/A"/>
    <x v="0"/>
    <s v="-"/>
    <x v="0"/>
    <n v="1"/>
  </r>
  <r>
    <x v="0"/>
    <s v="IEU-252"/>
    <x v="1"/>
    <s v="EYP 1.3 Dokümana Uygunluk Kapsamında Eksik Kontrollerin Tamamlanması"/>
    <x v="5"/>
    <e v="#N/A"/>
    <x v="0"/>
    <s v="-"/>
    <x v="0"/>
    <n v="3"/>
  </r>
  <r>
    <x v="0"/>
    <s v="IEU-253"/>
    <x v="1"/>
    <s v="EYP 2.0 Dokümana Uygunluk Kapsamında Eksik Kontrollerin Tamamlanması"/>
    <x v="5"/>
    <e v="#N/A"/>
    <x v="0"/>
    <s v="-"/>
    <x v="0"/>
    <n v="3"/>
  </r>
  <r>
    <x v="1"/>
    <s v="IEU-257"/>
    <x v="1"/>
    <s v="Kota hesaplama servisinde bazı hesapların kotası veri tabanına yazılmaması"/>
    <x v="5"/>
    <e v="#N/A"/>
    <x v="0"/>
    <s v="-"/>
    <x v="0"/>
    <n v="1"/>
  </r>
  <r>
    <x v="0"/>
    <s v="MU-149"/>
    <x v="1"/>
    <s v="UKDS Süreç Takibi ve Hata Giderme Çalışmaları"/>
    <x v="9"/>
    <e v="#N/A"/>
    <x v="0"/>
    <s v="-"/>
    <x v="0"/>
    <n v="5"/>
  </r>
  <r>
    <x v="0"/>
    <s v="EFT-2266"/>
    <x v="1"/>
    <s v="Mevcut QR Code Image Alanlarının Kaldırılması – Sadece JavaScript ile Devam Edilmesi"/>
    <x v="4"/>
    <e v="#N/A"/>
    <x v="0"/>
    <s v="-"/>
    <x v="0"/>
    <n v="5"/>
  </r>
  <r>
    <x v="0"/>
    <s v="EFT-2261"/>
    <x v="1"/>
    <s v="Araştırma-Gelen Faturaların Sistem Üzerinde Görünmemesi Durumunun İncelenmesi"/>
    <x v="4"/>
    <e v="#N/A"/>
    <x v="0"/>
    <s v="-"/>
    <x v="0"/>
    <n v="5"/>
  </r>
  <r>
    <x v="0"/>
    <s v="EFT-2259"/>
    <x v="1"/>
    <s v="Web Servis/ 702 Kodlu İhraç Kayıtlı Faturalarda Değişiklik"/>
    <x v="4"/>
    <e v="#N/A"/>
    <x v="0"/>
    <s v="-"/>
    <x v="0"/>
    <n v="2"/>
  </r>
  <r>
    <x v="1"/>
    <s v="EDF-781"/>
    <x v="1"/>
    <s v="Onaylı Defter Silme İşleminde GİB Kontrolü"/>
    <x v="3"/>
    <e v="#N/A"/>
    <x v="0"/>
    <s v="-"/>
    <x v="0"/>
    <n v="1"/>
  </r>
  <r>
    <x v="0"/>
    <s v="KA-1541"/>
    <x v="1"/>
    <s v="OverFrame – AllowedHosts IP Bağımlılığı Sorunu"/>
    <x v="6"/>
    <e v="#N/A"/>
    <x v="0"/>
    <s v="-"/>
    <x v="0"/>
    <n v="5"/>
  </r>
  <r>
    <x v="1"/>
    <s v="EFT-2270"/>
    <x v="1"/>
    <s v="Web Serviste YeniGelenFaturalarıListele Metodu Şahıs Şirketi Bilgileri"/>
    <x v="4"/>
    <e v="#N/A"/>
    <x v="0"/>
    <s v="-"/>
    <x v="0"/>
    <n v="2"/>
  </r>
  <r>
    <x v="1"/>
    <s v="EFT-2269"/>
    <x v="1"/>
    <s v="Web Serviste FaturaGonder Metodu 00 ile Başlayan TaxID Düzeltmesi"/>
    <x v="4"/>
    <e v="#N/A"/>
    <x v="0"/>
    <s v="-"/>
    <x v="0"/>
    <n v="2"/>
  </r>
  <r>
    <x v="0"/>
    <s v="EFT-2268"/>
    <x v="1"/>
    <s v="Konnektör – E-Fatura/İrsaliye Ekranlarında Notlar Alanında Scroll Fonksiyonun Eklenmesi"/>
    <x v="4"/>
    <e v="#N/A"/>
    <x v="0"/>
    <s v="-"/>
    <x v="0"/>
    <n v="1"/>
  </r>
  <r>
    <x v="1"/>
    <s v="EFT-2267"/>
    <x v="1"/>
    <s v="Tüm XSLT’lerde GİB logosu güncellemesi"/>
    <x v="4"/>
    <e v="#N/A"/>
    <x v="0"/>
    <s v="-"/>
    <x v="0"/>
    <n v="1"/>
  </r>
  <r>
    <x v="0"/>
    <s v="DP-285"/>
    <x v="1"/>
    <s v="&quot;Harici Olarak İşaretleme&quot; ve Arşiv Bilgisi Alanlarin Eklenmesi"/>
    <x v="1"/>
    <e v="#N/A"/>
    <x v="0"/>
    <s v="-"/>
    <x v="0"/>
    <n v="1"/>
  </r>
  <r>
    <x v="0"/>
    <s v="CRM-692"/>
    <x v="1"/>
    <s v="Rest Servisinde Kullanılan Zaman Damgası Kullanıcısının Değiştirimesi"/>
    <x v="0"/>
    <e v="#N/A"/>
    <x v="0"/>
    <s v="-"/>
    <x v="0"/>
    <n v="1"/>
  </r>
  <r>
    <x v="0"/>
    <s v="CRM-693"/>
    <x v="1"/>
    <s v="Kurumsal KEP Adresi Öneri Güncelleme"/>
    <x v="0"/>
    <e v="#N/A"/>
    <x v="0"/>
    <s v="-"/>
    <x v="0"/>
    <n v="2"/>
  </r>
  <r>
    <x v="0"/>
    <s v="CRM-702"/>
    <x v="1"/>
    <s v="CRM Sözleşme PDF'i Unvan Uzunlukları ve Adres Formatı"/>
    <x v="0"/>
    <e v="#N/A"/>
    <x v="0"/>
    <s v="-"/>
    <x v="0"/>
    <n v="1"/>
  </r>
  <r>
    <x v="0"/>
    <s v="CRM-700"/>
    <x v="1"/>
    <s v="UKDS Bireysel KEP Kontrol Otomasyonu"/>
    <x v="0"/>
    <e v="#N/A"/>
    <x v="0"/>
    <s v="-"/>
    <x v="0"/>
    <n v="5"/>
  </r>
  <r>
    <x v="0"/>
    <s v="CRM-701"/>
    <x v="1"/>
    <s v="UKDS Kurumsal KEP Kontrol Otomasyonu"/>
    <x v="0"/>
    <e v="#N/A"/>
    <x v="0"/>
    <s v="-"/>
    <x v="0"/>
    <n v="3"/>
  </r>
  <r>
    <x v="0"/>
    <s v="WIK-717"/>
    <x v="1"/>
    <s v="Uygulama İçindeki “KEP Sender” İfadesinin Türkçeleştirilmesi"/>
    <x v="16"/>
    <e v="#N/A"/>
    <x v="0"/>
    <s v="-"/>
    <x v="0"/>
    <n v="1"/>
  </r>
  <r>
    <x v="0"/>
    <s v="WIK-721"/>
    <x v="1"/>
    <s v="İnceleme-Kütüphane Değişliği"/>
    <x v="16"/>
    <e v="#N/A"/>
    <x v="0"/>
    <s v="-"/>
    <x v="0"/>
    <n v="3"/>
  </r>
  <r>
    <x v="0"/>
    <s v="UKDS-176"/>
    <x v="1"/>
    <s v="Test Robot Ortamının Kurulması"/>
    <x v="16"/>
    <e v="#N/A"/>
    <x v="0"/>
    <s v="-"/>
    <x v="0"/>
    <n v="3"/>
  </r>
  <r>
    <x v="0"/>
    <s v="MU-127"/>
    <x v="1"/>
    <s v="Şifremi Unuttum” Ekranında Sayfa Geçişlerinde Oluşan Katmanlama Hatası"/>
    <x v="9"/>
    <e v="#N/A"/>
    <x v="0"/>
    <s v="-"/>
    <x v="0"/>
    <n v="3"/>
  </r>
  <r>
    <x v="1"/>
    <s v="IEU-262"/>
    <x v="1"/>
    <s v="API Entegrasyonu: SBM Firması Yanıtında Türkçe Karakter Kodlama Sorunu (UTF-8)"/>
    <x v="5"/>
    <e v="#N/A"/>
    <x v="0"/>
    <s v="-"/>
    <x v="0"/>
    <n v="3"/>
  </r>
  <r>
    <x v="0"/>
    <s v="MYS-803"/>
    <x v="1"/>
    <s v="İngilizce Metinlerin Türkçeleştirilmesi"/>
    <x v="12"/>
    <e v="#N/A"/>
    <x v="0"/>
    <s v="-"/>
    <x v="0"/>
    <n v="3"/>
  </r>
  <r>
    <x v="1"/>
    <s v="KA-1547"/>
    <x v="1"/>
    <s v="Toplu Dosya İmzalama İşleminde Chrome Performans Sorunu"/>
    <x v="6"/>
    <e v="#N/A"/>
    <x v="0"/>
    <s v="-"/>
    <x v="0"/>
    <n v="3"/>
  </r>
  <r>
    <x v="1"/>
    <s v="KA-1548"/>
    <x v="1"/>
    <s v="Çoklu KEP İletisi Oluşturulduğunda İmzalama Hatası"/>
    <x v="6"/>
    <e v="#N/A"/>
    <x v="0"/>
    <s v="-"/>
    <x v="0"/>
    <n v="3"/>
  </r>
  <r>
    <x v="1"/>
    <s v="MU-126"/>
    <x v="1"/>
    <s v="UKDS Login Ekranında Sayfa Geçişlerinde Görülen Katmanlama Hatası"/>
    <x v="9"/>
    <e v="#N/A"/>
    <x v="0"/>
    <s v="-"/>
    <x v="0"/>
    <n v="3"/>
  </r>
  <r>
    <x v="0"/>
    <s v="MU-152"/>
    <x v="1"/>
    <s v="Deferred Deep Link Entegrasyonu: Teknik Analiz ve MVP Uygulaması"/>
    <x v="9"/>
    <e v="#N/A"/>
    <x v="0"/>
    <s v="-"/>
    <x v="0"/>
    <n v="5"/>
  </r>
  <r>
    <x v="0"/>
    <s v="MU-153"/>
    <x v="0"/>
    <s v="Kullanıcı Davranış Analizi İçin Mobil Uygulama Event'lerinin Entegrasyonu"/>
    <x v="9"/>
    <e v="#N/A"/>
    <x v="0"/>
    <s v="-"/>
    <x v="0"/>
    <n v="5"/>
  </r>
  <r>
    <x v="1"/>
    <s v="ES-303"/>
    <x v="1"/>
    <s v="Yetkilendirme Düzeltmesi"/>
    <x v="21"/>
    <e v="#N/A"/>
    <x v="0"/>
    <s v="-"/>
    <x v="0"/>
    <n v="1"/>
  </r>
  <r>
    <x v="2"/>
    <s v="EFT-2277"/>
    <x v="1"/>
    <s v="EFT-2267 Mevcut default xslt dosyalarının GIB logosunun güncellenmesi"/>
    <x v="4"/>
    <e v="#N/A"/>
    <x v="0"/>
    <s v="-"/>
    <x v="0"/>
    <n v="1"/>
  </r>
  <r>
    <x v="0"/>
    <s v="EFT-2278"/>
    <x v="1"/>
    <s v="e-Fatura portalda parent yapısı için kullanılan imzalamanın set-up güncellemesi"/>
    <x v="4"/>
    <e v="#N/A"/>
    <x v="0"/>
    <s v="-"/>
    <x v="0"/>
    <n v="2"/>
  </r>
  <r>
    <x v="1"/>
    <s v="EFT-2276"/>
    <x v="1"/>
    <s v="Regex Kurallarının Düzenlenmesi"/>
    <x v="4"/>
    <e v="#N/A"/>
    <x v="0"/>
    <s v="-"/>
    <x v="0"/>
    <n v="1"/>
  </r>
  <r>
    <x v="0"/>
    <s v="IEU-263"/>
    <x v="1"/>
    <s v="Entegrasyon Suit - UKDS Servis Uyarılarının Ortaklaştırılması"/>
    <x v="5"/>
    <e v="#N/A"/>
    <x v="0"/>
    <s v="-"/>
    <x v="0"/>
    <n v="5"/>
  </r>
  <r>
    <x v="0"/>
    <s v="EFT-2281"/>
    <x v="1"/>
    <s v="Prod Ortamda Xslt Dosyalarının Script Olması"/>
    <x v="4"/>
    <e v="#N/A"/>
    <x v="0"/>
    <s v="-"/>
    <x v="0"/>
    <n v="5"/>
  </r>
  <r>
    <x v="0"/>
    <s v="EFT-2279"/>
    <x v="1"/>
    <s v="Mail Gönderimlerinin Ortaklaştırılması"/>
    <x v="4"/>
    <e v="#N/A"/>
    <x v="0"/>
    <s v="-"/>
    <x v="0"/>
    <n v="3"/>
  </r>
  <r>
    <x v="0"/>
    <s v="EFT-2280"/>
    <x v="1"/>
    <s v="Kullanıcı Bildirim Stratejisinin Analizi ve Uygulama Bazında Dokümantasyonu"/>
    <x v="4"/>
    <e v="#N/A"/>
    <x v="0"/>
    <s v="-"/>
    <x v="0"/>
    <n v="2"/>
  </r>
  <r>
    <x v="0"/>
    <s v="EFT-2282"/>
    <x v="1"/>
    <s v="SAP Servisleri / Gelenirsliyeindir ve Gelenirsliyelistele Metodlarının İncelenmesi"/>
    <x v="4"/>
    <e v="#N/A"/>
    <x v="0"/>
    <s v="-"/>
    <x v="0"/>
    <n v="2"/>
  </r>
  <r>
    <x v="0"/>
    <s v="CRM-696"/>
    <x v="1"/>
    <s v="E-İmza Siparişleri Ek Düzenleme"/>
    <x v="0"/>
    <e v="#N/A"/>
    <x v="0"/>
    <s v="-"/>
    <x v="0"/>
    <n v="3"/>
  </r>
  <r>
    <x v="0"/>
    <s v="CRM-712"/>
    <x v="1"/>
    <s v="E-Ödeme Linki Gönderiminde Onay Süreci Şartı"/>
    <x v="0"/>
    <e v="#N/A"/>
    <x v="0"/>
    <s v="-"/>
    <x v="0"/>
    <n v="1"/>
  </r>
  <r>
    <x v="0"/>
    <s v="CRM-708"/>
    <x v="1"/>
    <s v="Halkbank Projesi için Statü Kodlarının Eklenmesi"/>
    <x v="0"/>
    <e v="#N/A"/>
    <x v="0"/>
    <s v="-"/>
    <x v="0"/>
    <n v="5"/>
  </r>
  <r>
    <x v="0"/>
    <s v="CRM-709"/>
    <x v="1"/>
    <s v="UKDS Kontrol Otomasyon Raporu"/>
    <x v="0"/>
    <e v="#N/A"/>
    <x v="0"/>
    <s v="-"/>
    <x v="0"/>
    <n v="1"/>
  </r>
  <r>
    <x v="0"/>
    <s v="CRM-710"/>
    <x v="1"/>
    <s v="UKDS Kontrol Otomasyonu Kurumsal KEP Öneri"/>
    <x v="0"/>
    <e v="#N/A"/>
    <x v="0"/>
    <s v="-"/>
    <x v="0"/>
    <n v="3"/>
  </r>
  <r>
    <x v="0"/>
    <s v="CRM-711"/>
    <x v="1"/>
    <s v="MERSİS Sonuç Dokümanı ile CRM Müşteri Ekranı VKN Eşleştirmesi"/>
    <x v="0"/>
    <e v="#N/A"/>
    <x v="0"/>
    <s v="-"/>
    <x v="0"/>
    <n v="3"/>
  </r>
  <r>
    <x v="0"/>
    <s v="UKDS-180"/>
    <x v="1"/>
    <s v="UKDS e- Devlet Onay Linki Süreci İçin Hatırlatma Bildirimleri"/>
    <x v="15"/>
    <e v="#N/A"/>
    <x v="0"/>
    <s v="-"/>
    <x v="0"/>
    <m/>
  </r>
  <r>
    <x v="0"/>
    <s v="WIK-732"/>
    <x v="1"/>
    <s v="Araştırma- Kep İK Servisleri İçin DB Partitioning İşleminin Teknik Değerlendirilmesi"/>
    <x v="16"/>
    <e v="#N/A"/>
    <x v="0"/>
    <s v="-"/>
    <x v="0"/>
    <m/>
  </r>
  <r>
    <x v="0"/>
    <s v="WIK-724"/>
    <x v="1"/>
    <s v="Uyarı Gösteriminde PrimeNG Kütüphanesi Entegrasyonunun Sağlanması"/>
    <x v="16"/>
    <e v="#N/A"/>
    <x v="0"/>
    <s v="-"/>
    <x v="0"/>
    <n v="8"/>
  </r>
  <r>
    <x v="0"/>
    <s v="WIK-725"/>
    <x v="1"/>
    <s v="Toast Mesajlarının Gruplandırmaya Göre Yeniden Düzenlenmesi ve Metinlerin İyileştirilmesi"/>
    <x v="16"/>
    <e v="#N/A"/>
    <x v="0"/>
    <s v="-"/>
    <x v="0"/>
    <n v="3"/>
  </r>
  <r>
    <x v="1"/>
    <s v="KEP-304"/>
    <x v="1"/>
    <s v="KEP Adresi Arama Alanında EYP Görüntüleme Sorunu"/>
    <x v="7"/>
    <e v="#N/A"/>
    <x v="0"/>
    <s v="-"/>
    <x v="0"/>
    <n v="2"/>
  </r>
  <r>
    <x v="0"/>
    <s v="WIK-731"/>
    <x v="1"/>
    <s v="Araştırma- Kullanıcı Yönetimi Ekranı DB Partitioning İşleminin Teknik Değerlendirilmesi"/>
    <x v="16"/>
    <e v="#N/A"/>
    <x v="0"/>
    <s v="-"/>
    <x v="0"/>
    <m/>
  </r>
  <r>
    <x v="0"/>
    <s v="WIK-730"/>
    <x v="1"/>
    <s v="Araştırma- Duyuru Modülü İçin DB Partitioning İşleminin Teknik Değerlendirilmesi"/>
    <x v="16"/>
    <e v="#N/A"/>
    <x v="0"/>
    <s v="-"/>
    <x v="0"/>
    <m/>
  </r>
  <r>
    <x v="0"/>
    <s v="WIK-729"/>
    <x v="1"/>
    <s v="Araştırma- Çalışan Ekle Ekranı İçin DB Partitioning İşleminin Teknik Değerlendirilmesi"/>
    <x v="16"/>
    <e v="#N/A"/>
    <x v="0"/>
    <s v="-"/>
    <x v="0"/>
    <m/>
  </r>
  <r>
    <x v="0"/>
    <s v="WIK-728"/>
    <x v="1"/>
    <s v="Araştırma- Çalışanlar Ekranında DB Partitioning İşleminin Teknik Değerlendirilmesi"/>
    <x v="16"/>
    <e v="#N/A"/>
    <x v="0"/>
    <s v="-"/>
    <x v="0"/>
    <m/>
  </r>
  <r>
    <x v="0"/>
    <s v="WIK-727"/>
    <x v="1"/>
    <s v="Araştırma- İk Gönderimleri DB Partitioning İşleminin Teknik Değerlendirilmesi"/>
    <x v="16"/>
    <e v="#N/A"/>
    <x v="0"/>
    <s v="-"/>
    <x v="0"/>
    <m/>
  </r>
  <r>
    <x v="0"/>
    <s v="WIK-708"/>
    <x v="1"/>
    <s v="Araştırma- Anasayfa  DB Partitioning İşleminin Teknik Değerlendirilmesi"/>
    <x v="16"/>
    <e v="#N/A"/>
    <x v="0"/>
    <s v="-"/>
    <x v="0"/>
    <m/>
  </r>
  <r>
    <x v="0"/>
    <s v="UKDS-181"/>
    <x v="1"/>
    <s v="Kep İK,  Süreçleri İçin Bildirimlerin Ayrıştırılması"/>
    <x v="15"/>
    <e v="#N/A"/>
    <x v="0"/>
    <s v="-"/>
    <x v="0"/>
    <m/>
  </r>
  <r>
    <x v="1"/>
    <s v="MYS-810"/>
    <x v="1"/>
    <s v="KEP İletisi İşlemi Sonrası Görev Statüsünün Hatalı Olarak 'Onay Bekliyor'da Kalması"/>
    <x v="12"/>
    <e v="#N/A"/>
    <x v="0"/>
    <s v="-"/>
    <x v="0"/>
    <n v="2"/>
  </r>
  <r>
    <x v="1"/>
    <s v="MYS-809"/>
    <x v="1"/>
    <s v="SEP Entegrasyonu / Durum  Hatası"/>
    <x v="12"/>
    <e v="#N/A"/>
    <x v="0"/>
    <s v="-"/>
    <x v="0"/>
    <n v="2"/>
  </r>
  <r>
    <x v="0"/>
    <s v="MYS-806"/>
    <x v="1"/>
    <s v="Kullanıcı Yorumu Alanına Tooltip ve Grid Genişletme Fonksiyonun Eklenmesi"/>
    <x v="12"/>
    <e v="#N/A"/>
    <x v="0"/>
    <s v="-"/>
    <x v="0"/>
    <n v="1"/>
  </r>
  <r>
    <x v="0"/>
    <s v="MU-157"/>
    <x v="0"/>
    <s v="Uygulama İçi ve Push Notification Fonksiyonun Eklenmesi"/>
    <x v="9"/>
    <s v="To Do"/>
    <x v="0"/>
    <s v="-"/>
    <x v="0"/>
    <m/>
  </r>
  <r>
    <x v="1"/>
    <s v="MU-156"/>
    <x v="1"/>
    <s v="Tarih Seçimi Format Hatası: Ayın 10. günü &quot;010&quot; olarak formatlanıyor ve doğrulamayı geçemiyor."/>
    <x v="9"/>
    <e v="#N/A"/>
    <x v="0"/>
    <s v="-"/>
    <x v="0"/>
    <n v="1"/>
  </r>
  <r>
    <x v="0"/>
    <s v="MU-155"/>
    <x v="1"/>
    <s v="Webmail erişim Kontrolün Eklenmesi"/>
    <x v="9"/>
    <e v="#N/A"/>
    <x v="0"/>
    <s v="-"/>
    <x v="0"/>
    <n v="1"/>
  </r>
  <r>
    <x v="0"/>
    <s v="MU-141"/>
    <x v="1"/>
    <s v="Araştırma-FCM Token Alma Hatası Durumların Araştırılması"/>
    <x v="9"/>
    <s v="Done"/>
    <x v="0"/>
    <s v="-"/>
    <x v="0"/>
    <m/>
  </r>
  <r>
    <x v="1"/>
    <s v="MU-125"/>
    <x v="1"/>
    <s v="_currentMailBoxData Alanının Başlatılmaması Nedeniyle Oluşan Hata"/>
    <x v="9"/>
    <e v="#N/A"/>
    <x v="0"/>
    <s v="-"/>
    <x v="0"/>
    <n v="5"/>
  </r>
  <r>
    <x v="0"/>
    <s v="KEP-307"/>
    <x v="1"/>
    <s v="Yetki Alanlarının Web ve Mobil Uygulamalarda Doğru Çalışmasının Test Edilmesi"/>
    <x v="7"/>
    <e v="#N/A"/>
    <x v="0"/>
    <s v="-"/>
    <x v="0"/>
    <m/>
  </r>
  <r>
    <x v="0"/>
    <s v="KEP-306"/>
    <x v="1"/>
    <s v="SOAP servislerde &quot;webmail erişim yetkisi&quot; Kontrolünün Mobil Uygulama için Eklenmesi"/>
    <x v="7"/>
    <e v="#N/A"/>
    <x v="0"/>
    <s v="-"/>
    <x v="0"/>
    <n v="3"/>
  </r>
  <r>
    <x v="1"/>
    <s v="KEP-303"/>
    <x v="1"/>
    <s v="Bazı Senaryolarda &quot;Şifremi Unuttum&quot; Adımında Yaşanan Hata"/>
    <x v="7"/>
    <e v="#N/A"/>
    <x v="0"/>
    <s v="-"/>
    <x v="0"/>
    <n v="5"/>
  </r>
  <r>
    <x v="1"/>
    <s v="KA-1554"/>
    <x v="1"/>
    <s v="KEP Assist Gelen Kutusunda EYP 1.3 iletisi görüntülenmek istendiğinde 500 hatası alınıyor ve ekran donuyor"/>
    <x v="6"/>
    <e v="#N/A"/>
    <x v="0"/>
    <s v="-"/>
    <x v="0"/>
    <n v="1"/>
  </r>
  <r>
    <x v="0"/>
    <s v="DP-284"/>
    <x v="1"/>
    <s v="Destek Portal Veritabanı Hostname Geçişi"/>
    <x v="1"/>
    <e v="#N/A"/>
    <x v="0"/>
    <s v="-"/>
    <x v="0"/>
    <n v="1"/>
  </r>
  <r>
    <x v="0"/>
    <s v="DAVS-176"/>
    <x v="1"/>
    <s v="Kullanıcı statüsünün güncellenmesi"/>
    <x v="18"/>
    <e v="#N/A"/>
    <x v="0"/>
    <s v="-"/>
    <x v="0"/>
    <m/>
  </r>
  <r>
    <x v="0"/>
    <s v="DAVS-175"/>
    <x v="1"/>
    <s v="E-Defter modülü Defter Rapor Berat dokümanının indirilmesi"/>
    <x v="18"/>
    <e v="#N/A"/>
    <x v="0"/>
    <s v="-"/>
    <x v="0"/>
    <m/>
  </r>
  <r>
    <x v="0"/>
    <s v="DAVS-174"/>
    <x v="1"/>
    <s v="E-Defter modülü sayfasının oluşturulması"/>
    <x v="18"/>
    <e v="#N/A"/>
    <x v="0"/>
    <s v="-"/>
    <x v="0"/>
    <m/>
  </r>
  <r>
    <x v="0"/>
    <s v="DAVS-173"/>
    <x v="1"/>
    <s v="E-Defter dokümanlarının indirilmesi"/>
    <x v="18"/>
    <e v="#N/A"/>
    <x v="0"/>
    <s v="-"/>
    <x v="0"/>
    <m/>
  </r>
  <r>
    <x v="0"/>
    <s v="DAVS-172"/>
    <x v="1"/>
    <s v="E-Defter kayıtlarının listelenmesi"/>
    <x v="18"/>
    <e v="#N/A"/>
    <x v="0"/>
    <s v="-"/>
    <x v="0"/>
    <m/>
  </r>
  <r>
    <x v="2"/>
    <s v="DAVS-171"/>
    <x v="3"/>
    <s v="Kod refactoring çalışması"/>
    <x v="18"/>
    <e v="#N/A"/>
    <x v="0"/>
    <s v="-"/>
    <x v="0"/>
    <m/>
  </r>
  <r>
    <x v="2"/>
    <s v="DAVS-168"/>
    <x v="1"/>
    <s v="Kod refactoring çalışması"/>
    <x v="18"/>
    <e v="#N/A"/>
    <x v="0"/>
    <s v="-"/>
    <x v="0"/>
    <m/>
  </r>
  <r>
    <x v="2"/>
    <s v="DAVS-166"/>
    <x v="1"/>
    <s v="Kod refactoring çalışması"/>
    <x v="18"/>
    <e v="#N/A"/>
    <x v="0"/>
    <s v="-"/>
    <x v="0"/>
    <m/>
  </r>
  <r>
    <x v="0"/>
    <s v="DAVS-165"/>
    <x v="0"/>
    <s v="Faz-1 geliştirmeleri için kod refactoring çalışması"/>
    <x v="18"/>
    <e v="#N/A"/>
    <x v="0"/>
    <s v="-"/>
    <x v="0"/>
    <m/>
  </r>
  <r>
    <x v="0"/>
    <s v="DAVS-164"/>
    <x v="3"/>
    <s v="Servis dokümanının güncellenmesi"/>
    <x v="18"/>
    <e v="#N/A"/>
    <x v="0"/>
    <s v="-"/>
    <x v="0"/>
    <m/>
  </r>
  <r>
    <x v="0"/>
    <s v="DAVS-163"/>
    <x v="1"/>
    <s v="Entegrasyon modülünün kullanıcı yetkilerine göre erişilmesi - E-Defter"/>
    <x v="18"/>
    <e v="#N/A"/>
    <x v="0"/>
    <s v="-"/>
    <x v="0"/>
    <m/>
  </r>
  <r>
    <x v="0"/>
    <s v="DAVS-104"/>
    <x v="1"/>
    <s v="Integrations Service – Defter Belgesini Getirme Endpoint’i Geliştirilmesi"/>
    <x v="18"/>
    <e v="#N/A"/>
    <x v="0"/>
    <s v="-"/>
    <x v="0"/>
    <m/>
  </r>
  <r>
    <x v="0"/>
    <s v="DAVS-103"/>
    <x v="1"/>
    <s v="Integrations Service – Defter Kayıtlarını Filtreleme Endpoint’i Geliştirilmesi"/>
    <x v="18"/>
    <e v="#N/A"/>
    <x v="0"/>
    <s v="-"/>
    <x v="0"/>
    <m/>
  </r>
  <r>
    <x v="0"/>
    <s v="DAVS-102"/>
    <x v="1"/>
    <s v="Integrations Service – Defter Listeleme Endpoint’i Geliştirilmesi"/>
    <x v="18"/>
    <e v="#N/A"/>
    <x v="0"/>
    <s v="-"/>
    <x v="0"/>
    <m/>
  </r>
  <r>
    <x v="0"/>
    <s v="CRM-717"/>
    <x v="0"/>
    <s v="CRM Satış Raporundaki Olumsuz Durumlar"/>
    <x v="0"/>
    <e v="#N/A"/>
    <x v="0"/>
    <s v="-"/>
    <x v="0"/>
    <m/>
  </r>
  <r>
    <x v="0"/>
    <s v="CRM-716"/>
    <x v="1"/>
    <s v="UKDS Şahıs Şirketi Müşteri Tipi Kontrol Otomasyonu"/>
    <x v="0"/>
    <e v="#N/A"/>
    <x v="0"/>
    <s v="-"/>
    <x v="0"/>
    <n v="3"/>
  </r>
  <r>
    <x v="0"/>
    <s v="CRM-713"/>
    <x v="1"/>
    <s v="UKDS'den Gelen Münferit Kayıtlarda Faaliyet Belgesi ve İmza Sirküsü Zorunluluğunun Kaldırılması"/>
    <x v="0"/>
    <e v="#N/A"/>
    <x v="0"/>
    <s v="-"/>
    <x v="0"/>
    <n v="1"/>
  </r>
  <r>
    <x v="1"/>
    <s v="EFT-2295"/>
    <x v="1"/>
    <s v="'0' Başlayan VKN'lerde Excel Aktarım Hatası Hk."/>
    <x v="4"/>
    <e v="#N/A"/>
    <x v="0"/>
    <s v="-"/>
    <x v="0"/>
    <n v="2"/>
  </r>
  <r>
    <x v="0"/>
    <s v="EFT-2287"/>
    <x v="1"/>
    <s v="140 Sunucusunda &quot;Deleted&quot; Klasörünün Otomatik Temizlenmesi"/>
    <x v="4"/>
    <e v="#N/A"/>
    <x v="0"/>
    <s v="-"/>
    <x v="0"/>
    <n v="3"/>
  </r>
  <r>
    <x v="0"/>
    <s v="DP-287"/>
    <x v="1"/>
    <s v="Template Tablosu İnceleme"/>
    <x v="1"/>
    <e v="#N/A"/>
    <x v="0"/>
    <s v="-"/>
    <x v="0"/>
    <n v="3"/>
  </r>
  <r>
    <x v="0"/>
    <s v="EDF-785"/>
    <x v="1"/>
    <s v="Her Seferinde Aynı Hatayı Alan Parçaların Diğer Defter İşlemlerini Aksatmasının Engellemesi"/>
    <x v="3"/>
    <e v="#N/A"/>
    <x v="0"/>
    <s v="-"/>
    <x v="0"/>
    <n v="3"/>
  </r>
  <r>
    <x v="1"/>
    <s v="WIK-736"/>
    <x v="1"/>
    <s v="KEP İK Delil Raporları Alanında Düzenleme"/>
    <x v="16"/>
    <e v="#N/A"/>
    <x v="0"/>
    <s v="-"/>
    <x v="0"/>
    <n v="5"/>
  </r>
  <r>
    <x v="0"/>
    <s v="WIK-733"/>
    <x v="1"/>
    <s v="Uygulamayı Kullanmadan İptal Eden Müşteriler İçin İptal Süreci Metodu Oluşturulması"/>
    <x v="16"/>
    <e v="#N/A"/>
    <x v="0"/>
    <s v="-"/>
    <x v="0"/>
    <n v="3"/>
  </r>
  <r>
    <x v="0"/>
    <s v="UKDS-187"/>
    <x v="0"/>
    <s v="CRM Üzerinden Açılan UKDS Başvurularında E-Devlet Onayı İçin Hatırlatma Maillerinin Gönderilmesi"/>
    <x v="15"/>
    <e v="#N/A"/>
    <x v="0"/>
    <s v="-"/>
    <x v="0"/>
    <n v="1"/>
  </r>
  <r>
    <x v="0"/>
    <s v="UKDS-186"/>
    <x v="1"/>
    <s v="CRM Süreçlerinde BTK Onayında Bekleyen Kayıtların Otomatik İptali ve “Süresi Geçti” Statüsünün Tanımlanması"/>
    <x v="15"/>
    <e v="#N/A"/>
    <x v="0"/>
    <s v="-"/>
    <x v="0"/>
    <n v="1"/>
  </r>
  <r>
    <x v="0"/>
    <s v="UKDS-185"/>
    <x v="1"/>
    <s v="Paket Seçimi Sonrasında Kullanıcının Ödeme Alanına Yönlendirilmesi ve Ödeme Tamamlanmadan Sürece Devam Edilmemesi"/>
    <x v="15"/>
    <e v="#N/A"/>
    <x v="0"/>
    <s v="-"/>
    <x v="0"/>
    <n v="3"/>
  </r>
  <r>
    <x v="0"/>
    <s v="UKDS-183"/>
    <x v="1"/>
    <s v="Kidos Ekran/ KEP Adres Bilgisi Görüntüleme ve Excel Aktarımı"/>
    <x v="15"/>
    <e v="#N/A"/>
    <x v="0"/>
    <s v="-"/>
    <x v="0"/>
    <m/>
  </r>
  <r>
    <x v="0"/>
    <s v="UKDS-182"/>
    <x v="1"/>
    <s v="Ek İşler Hk"/>
    <x v="15"/>
    <e v="#N/A"/>
    <x v="0"/>
    <s v="-"/>
    <x v="0"/>
    <m/>
  </r>
  <r>
    <x v="0"/>
    <s v="TIM-453"/>
    <x v="1"/>
    <s v="E-İmza Girişinde TCKN Tanımlı Olmayan Kullanıcılarda Hata Bildirimi Gösterilmesi"/>
    <x v="13"/>
    <e v="#N/A"/>
    <x v="0"/>
    <s v="-"/>
    <x v="0"/>
    <m/>
  </r>
  <r>
    <x v="0"/>
    <s v="SMSGW-11"/>
    <x v="1"/>
    <s v="Bakiye Alt Limit Uyarı ve Parametrik Mail Bildirimi"/>
    <x v="22"/>
    <e v="#N/A"/>
    <x v="0"/>
    <s v="-"/>
    <x v="0"/>
    <m/>
  </r>
  <r>
    <x v="0"/>
    <s v="MYS-815"/>
    <x v="1"/>
    <s v="BPA_LST_ATTRIBUTEVALUES_SP"/>
    <x v="12"/>
    <e v="#N/A"/>
    <x v="0"/>
    <s v="-"/>
    <x v="0"/>
    <n v="1"/>
  </r>
  <r>
    <x v="1"/>
    <s v="MU-168"/>
    <x v="1"/>
    <s v="&quot;Şifremi Unuttum&quot; Ekranında KEP Adresi, TCKN ve GSM Alanlarında Format Doğrulaması (Regex Kontrolü) Eksikliği"/>
    <x v="9"/>
    <e v="#N/A"/>
    <x v="0"/>
    <s v="-"/>
    <x v="0"/>
    <n v="5"/>
  </r>
  <r>
    <x v="1"/>
    <s v="MU-167"/>
    <x v="1"/>
    <s v="Posta Kutularında (Inbox) Aşağı Kaydırma Yapıldığında Eski İletiler Yavaş Yükleniyor"/>
    <x v="9"/>
    <s v="Done"/>
    <x v="0"/>
    <s v="-"/>
    <x v="0"/>
    <m/>
  </r>
  <r>
    <x v="0"/>
    <s v="MU-164"/>
    <x v="6"/>
    <s v="Android için Debug Apk Oluşturulması"/>
    <x v="9"/>
    <e v="#N/A"/>
    <x v="0"/>
    <s v="-"/>
    <x v="0"/>
    <n v="2"/>
  </r>
  <r>
    <x v="1"/>
    <s v="MU-162"/>
    <x v="1"/>
    <s v="Face ID (yüz tanıma) ile girişte “Bağlantı sorunu oluştu” hatası"/>
    <x v="9"/>
    <e v="#N/A"/>
    <x v="0"/>
    <s v="-"/>
    <x v="0"/>
    <n v="3"/>
  </r>
  <r>
    <x v="0"/>
    <s v="MU-160"/>
    <x v="1"/>
    <s v="Ayarlar Şifre Değiştirme"/>
    <x v="9"/>
    <e v="#N/A"/>
    <x v="0"/>
    <s v="-"/>
    <x v="0"/>
    <n v="3"/>
  </r>
  <r>
    <x v="0"/>
    <s v="MU-159"/>
    <x v="1"/>
    <s v="App Rate Pop-up Eklenmesi"/>
    <x v="9"/>
    <e v="#N/A"/>
    <x v="0"/>
    <s v="-"/>
    <x v="0"/>
    <n v="2"/>
  </r>
  <r>
    <x v="0"/>
    <s v="KEP-308"/>
    <x v="1"/>
    <s v="SOAP servislerde &quot;görme yetkisi&quot; Kontrolünün Mobil Uygulama için Eklenmesi"/>
    <x v="7"/>
    <e v="#N/A"/>
    <x v="0"/>
    <s v="-"/>
    <x v="0"/>
    <m/>
  </r>
  <r>
    <x v="2"/>
    <s v="KA-1559"/>
    <x v="1"/>
    <s v="Sub-Task Veri Modelleri ve İşlem Akışı Hk."/>
    <x v="6"/>
    <e v="#N/A"/>
    <x v="0"/>
    <s v="-"/>
    <x v="0"/>
    <m/>
  </r>
  <r>
    <x v="0"/>
    <s v="KA-1556"/>
    <x v="1"/>
    <s v="Hesap Hata Takibi "/>
    <x v="6"/>
    <e v="#N/A"/>
    <x v="0"/>
    <s v="-"/>
    <x v="0"/>
    <n v="3"/>
  </r>
  <r>
    <x v="1"/>
    <s v="KA-1555"/>
    <x v="1"/>
    <s v="KEP Assist Otomatik Yanıt Süreç Hatası"/>
    <x v="6"/>
    <e v="#N/A"/>
    <x v="0"/>
    <s v="-"/>
    <x v="0"/>
    <n v="3"/>
  </r>
  <r>
    <x v="0"/>
    <s v="IEU-273"/>
    <x v="1"/>
    <s v="EYP Parser v20 – Alan Eksiklikleri ve Boş Response Sorunları"/>
    <x v="5"/>
    <e v="#N/A"/>
    <x v="0"/>
    <s v="-"/>
    <x v="0"/>
    <n v="3"/>
  </r>
  <r>
    <x v="0"/>
    <s v="IEU-272"/>
    <x v="1"/>
    <s v="EYP Parser v13 – Alan Eksiklikleri ve Boş Response Sorunları"/>
    <x v="5"/>
    <e v="#N/A"/>
    <x v="0"/>
    <s v="-"/>
    <x v="0"/>
    <n v="3"/>
  </r>
  <r>
    <x v="0"/>
    <s v="IEU-264"/>
    <x v="6"/>
    <s v="Entegrasyon Suit - UKDS Web Servis Entegrasyonunun Teknik Dokümantasyonunun Hazırlanması"/>
    <x v="5"/>
    <s v="TO TEST"/>
    <x v="1"/>
    <s v="Gelecek Sprint"/>
    <x v="1"/>
    <n v="2"/>
  </r>
  <r>
    <x v="0"/>
    <s v="IEU-258"/>
    <x v="0"/>
    <s v="İnceleme/ e-Güven İmza Test API’si İncelemesi ve Olası Değişiklik Senaryolarının Değerlendirilmesi"/>
    <x v="5"/>
    <e v="#N/A"/>
    <x v="0"/>
    <s v="-"/>
    <x v="0"/>
    <m/>
  </r>
  <r>
    <x v="1"/>
    <s v="EFT-2296"/>
    <x v="1"/>
    <s v="Gelen Fatura Kalemleri Raporunda PartyName Alanı Yoksa Fatura Kalemi Eklenememesi"/>
    <x v="4"/>
    <e v="#N/A"/>
    <x v="0"/>
    <s v="-"/>
    <x v="0"/>
    <n v="1"/>
  </r>
  <r>
    <x v="0"/>
    <s v="EFT-2290"/>
    <x v="0"/>
    <s v="GİB Sicil Servis Testi ile e-Belge Hizmet İptali"/>
    <x v="4"/>
    <e v="#N/A"/>
    <x v="0"/>
    <s v="-"/>
    <x v="0"/>
    <m/>
  </r>
  <r>
    <x v="0"/>
    <s v="EFT-2289"/>
    <x v="1"/>
    <s v="Gelen Fatura için Otomatik İade Faturası Oluşturma Butonu Eklenmesi"/>
    <x v="4"/>
    <e v="#N/A"/>
    <x v="0"/>
    <s v="-"/>
    <x v="0"/>
    <m/>
  </r>
  <r>
    <x v="0"/>
    <s v="EFT-2288"/>
    <x v="1"/>
    <s v="Fatura Takibi için Okundu-Okunmadı Özelliği Eklenmesi"/>
    <x v="4"/>
    <e v="#N/A"/>
    <x v="0"/>
    <s v="-"/>
    <x v="0"/>
    <m/>
  </r>
  <r>
    <x v="2"/>
    <s v="DAVS-170"/>
    <x v="2"/>
    <s v="Kod refactoring çalışması"/>
    <x v="18"/>
    <e v="#N/A"/>
    <x v="0"/>
    <s v="-"/>
    <x v="0"/>
    <m/>
  </r>
  <r>
    <x v="0"/>
    <s v="CRM-727"/>
    <x v="1"/>
    <s v="Sanal Pos Ödeme Limiti Güncellemesi"/>
    <x v="0"/>
    <e v="#N/A"/>
    <x v="0"/>
    <s v="-"/>
    <x v="0"/>
    <n v="1"/>
  </r>
  <r>
    <x v="0"/>
    <s v="CRM-726"/>
    <x v="1"/>
    <s v="Form Kayıtlarının CRM’de Potansiyel Müşteri Olarak Oluşturulması"/>
    <x v="0"/>
    <e v="#N/A"/>
    <x v="0"/>
    <s v="-"/>
    <x v="0"/>
    <n v="3"/>
  </r>
  <r>
    <x v="0"/>
    <s v="CRM-725"/>
    <x v="1"/>
    <s v="Kısmı İade Fatura Kaydı"/>
    <x v="0"/>
    <e v="#N/A"/>
    <x v="0"/>
    <s v="-"/>
    <x v="0"/>
    <n v="2"/>
  </r>
  <r>
    <x v="0"/>
    <s v="CRM-724"/>
    <x v="1"/>
    <s v="KIDOS Kayıtlarında MERSİS Sorgu Dokümanı Ekleme Hatası"/>
    <x v="0"/>
    <e v="#N/A"/>
    <x v="0"/>
    <s v="-"/>
    <x v="0"/>
    <m/>
  </r>
  <r>
    <x v="0"/>
    <s v="CRM-721"/>
    <x v="0"/>
    <s v="KEP IK KKB Belgesi (PDF) Üretimi"/>
    <x v="0"/>
    <e v="#N/A"/>
    <x v="0"/>
    <s v="-"/>
    <x v="0"/>
    <m/>
  </r>
  <r>
    <x v="0"/>
    <s v="CRM-720"/>
    <x v="1"/>
    <s v="Ödeme Öncelikli Sipariş Yönetimi"/>
    <x v="0"/>
    <e v="#N/A"/>
    <x v="0"/>
    <s v="-"/>
    <x v="0"/>
    <n v="2"/>
  </r>
  <r>
    <x v="0"/>
    <s v="CRM-719"/>
    <x v="1"/>
    <s v="Bireysel ve Kurumsal KEP Sözleşmelerinde(PDF) Eklenecek Bilgiler"/>
    <x v="0"/>
    <e v="#N/A"/>
    <x v="0"/>
    <s v="-"/>
    <x v="0"/>
    <n v="2"/>
  </r>
  <r>
    <x v="0"/>
    <s v="CRM-705"/>
    <x v="1"/>
    <s v="İptal Siparişler Ek Düzenleme"/>
    <x v="0"/>
    <e v="#N/A"/>
    <x v="0"/>
    <s v="-"/>
    <x v="0"/>
    <m/>
  </r>
  <r>
    <x v="0"/>
    <s v="MU-158"/>
    <x v="1"/>
    <s v="Şifre Unuttum Ekranlarının Tasarımlarının Güncellenmesi"/>
    <x v="9"/>
    <e v="#N/A"/>
    <x v="0"/>
    <s v="-"/>
    <x v="0"/>
    <n v="3"/>
  </r>
  <r>
    <x v="0"/>
    <s v="IEU-245"/>
    <x v="1"/>
    <s v="EYP-Service için Teknik Rehbere Göre EYP 1.3 ve 2.0 Testlerinin Gerçekleştirilmesi"/>
    <x v="17"/>
    <e v="#N/A"/>
    <x v="0"/>
    <s v="-"/>
    <x v="0"/>
    <m/>
  </r>
  <r>
    <x v="0"/>
    <s v="IEU-246"/>
    <x v="1"/>
    <s v="timestamp-controller Altındaki Metotlara CloudApiHost Alanının Eklenmesi ve API-Access Token Kontrollü Erişim"/>
    <x v="17"/>
    <e v="#N/A"/>
    <x v="0"/>
    <s v="-"/>
    <x v="0"/>
    <m/>
  </r>
  <r>
    <x v="0"/>
    <s v="IEU-247"/>
    <x v="1"/>
    <s v="Servisteki Hataların Dokümantasyonu"/>
    <x v="17"/>
    <e v="#N/A"/>
    <x v="0"/>
    <s v="-"/>
    <x v="0"/>
    <m/>
  </r>
  <r>
    <x v="0"/>
    <s v="KAN-63"/>
    <x v="1"/>
    <s v="2025-BTA-013 FKM'ne Geçiş Projesi Canlı Ortamı Domain Geçiş Hazırlıkları ve Geçiş"/>
    <x v="19"/>
    <e v="#N/A"/>
    <x v="0"/>
    <s v="-"/>
    <x v="0"/>
    <m/>
  </r>
  <r>
    <x v="0"/>
    <s v="KA-1530"/>
    <x v="1"/>
    <s v="Gelen İletiler EYP 2.0 Görüntüleme Desteği ve Ek Alanların Gösterimi"/>
    <x v="6"/>
    <e v="#N/A"/>
    <x v="0"/>
    <s v="-"/>
    <x v="0"/>
    <m/>
  </r>
  <r>
    <x v="0"/>
    <s v="KA-1531"/>
    <x v="1"/>
    <s v="KEP ve UETS Servislerinden Gelen İletilerde Takvimleme Mekanizması"/>
    <x v="6"/>
    <e v="#N/A"/>
    <x v="0"/>
    <s v="-"/>
    <x v="0"/>
    <m/>
  </r>
  <r>
    <x v="0"/>
    <s v="KA-1533"/>
    <x v="1"/>
    <s v="Güncelleme Paketi hazırlanması"/>
    <x v="6"/>
    <e v="#N/A"/>
    <x v="0"/>
    <s v="-"/>
    <x v="0"/>
    <m/>
  </r>
  <r>
    <x v="0"/>
    <s v="KA-1532"/>
    <x v="1"/>
    <s v="2025-BTA-013 FKM'ne Geçiş Projesi Canlı Ortamı Domain Geçiş Hazırlıkları ve Geçiş"/>
    <x v="6"/>
    <e v="#N/A"/>
    <x v="0"/>
    <s v="-"/>
    <x v="0"/>
    <m/>
  </r>
  <r>
    <x v="0"/>
    <s v="MU-137"/>
    <x v="1"/>
    <s v="Kep Gönderimi – İleti Tipi Seçimini BottomSheet ile Göster"/>
    <x v="9"/>
    <e v="#N/A"/>
    <x v="0"/>
    <s v="-"/>
    <x v="0"/>
    <m/>
  </r>
  <r>
    <x v="0"/>
    <s v="MU-136"/>
    <x v="1"/>
    <s v="Şifremi Unuttum – İnternet Yok Uyarısı"/>
    <x v="9"/>
    <e v="#N/A"/>
    <x v="0"/>
    <s v="-"/>
    <x v="0"/>
    <m/>
  </r>
  <r>
    <x v="0"/>
    <s v="MU-139"/>
    <x v="1"/>
    <s v="Kep Gönderimden Sonra Giden Kutusu Otomatik Açılması"/>
    <x v="9"/>
    <e v="#N/A"/>
    <x v="0"/>
    <s v="-"/>
    <x v="0"/>
    <m/>
  </r>
  <r>
    <x v="0"/>
    <s v="MU-140"/>
    <x v="1"/>
    <s v="SMS Doğrulama/ Kod Silindiğin Butonun Pasif Olması"/>
    <x v="9"/>
    <e v="#N/A"/>
    <x v="0"/>
    <s v="-"/>
    <x v="0"/>
    <m/>
  </r>
  <r>
    <x v="0"/>
    <s v="MU-143"/>
    <x v="1"/>
    <s v="&quot;İleti Detayı (Barkod)&quot; Alanına Bilgilendirme Eklenmesi"/>
    <x v="9"/>
    <e v="#N/A"/>
    <x v="0"/>
    <s v="-"/>
    <x v="0"/>
    <m/>
  </r>
  <r>
    <x v="0"/>
    <s v="CRM-682"/>
    <x v="6"/>
    <s v="E-Belge Entegrasyon Yönetimi Alanı Düzenleme"/>
    <x v="0"/>
    <s v="TO TEST"/>
    <x v="1"/>
    <s v="Gelecek Sprint"/>
    <x v="1"/>
    <n v="2"/>
  </r>
  <r>
    <x v="0"/>
    <s v="CRM-677"/>
    <x v="1"/>
    <s v="Ent. Suit Yenileme ve Modül Yenileme Akışının Düzenlenmesi"/>
    <x v="0"/>
    <e v="#N/A"/>
    <x v="0"/>
    <s v="-"/>
    <x v="0"/>
    <m/>
  </r>
  <r>
    <x v="0"/>
    <s v="UKDS-172"/>
    <x v="1"/>
    <s v="getApplicationsByMobile API’sine Yeni Parametrelerin Eklenmesi"/>
    <x v="15"/>
    <e v="#N/A"/>
    <x v="0"/>
    <s v="-"/>
    <x v="0"/>
    <m/>
  </r>
  <r>
    <x v="0"/>
    <s v="KEP-302"/>
    <x v="3"/>
    <s v="e-Güven İmzalama API Testi"/>
    <x v="7"/>
    <s v="Development"/>
    <x v="1"/>
    <s v="-"/>
    <x v="3"/>
    <n v="8"/>
  </r>
  <r>
    <x v="0"/>
    <s v="YZCK-17"/>
    <x v="1"/>
    <s v="Chatbot Webhook Güvenlik Servisi Geliştirmesi"/>
    <x v="23"/>
    <e v="#N/A"/>
    <x v="0"/>
    <s v="-"/>
    <x v="0"/>
    <m/>
  </r>
  <r>
    <x v="0"/>
    <s v="YZCK-16"/>
    <x v="1"/>
    <s v="Chatbot Mobil Uygulama FrontEnd Geliştirme"/>
    <x v="23"/>
    <e v="#N/A"/>
    <x v="0"/>
    <s v="-"/>
    <x v="0"/>
    <m/>
  </r>
  <r>
    <x v="0"/>
    <s v="YZCK-15"/>
    <x v="1"/>
    <s v="Araştırma-Max Iteration Hatası – Agent Döngü Problemi ve Çözüm Uygulamaları"/>
    <x v="23"/>
    <e v="#N/A"/>
    <x v="0"/>
    <s v="-"/>
    <x v="0"/>
    <m/>
  </r>
  <r>
    <x v="0"/>
    <s v="YZCK-10"/>
    <x v="1"/>
    <s v="Chat History Workflow ve PostgreSQL Entegrasyonu"/>
    <x v="23"/>
    <e v="#N/A"/>
    <x v="0"/>
    <s v="-"/>
    <x v="0"/>
    <m/>
  </r>
  <r>
    <x v="0"/>
    <s v="YZCK-9"/>
    <x v="3"/>
    <s v="Vectorel Veri Tabanında Q&amp;A Verilerinin Artırılması"/>
    <x v="23"/>
    <s v="In Progress"/>
    <x v="0"/>
    <s v="-"/>
    <x v="0"/>
    <m/>
  </r>
  <r>
    <x v="1"/>
    <s v="YZCK-8"/>
    <x v="1"/>
    <s v="Excelde Bulunan Linklerin Clickable Olması"/>
    <x v="23"/>
    <e v="#N/A"/>
    <x v="0"/>
    <s v="-"/>
    <x v="0"/>
    <m/>
  </r>
  <r>
    <x v="0"/>
    <s v="YZCK-7"/>
    <x v="1"/>
    <s v="Chatbot Frontend Geliştirme Yaklaşımı İçin Teknik Araştırma"/>
    <x v="23"/>
    <e v="#N/A"/>
    <x v="0"/>
    <s v="-"/>
    <x v="0"/>
    <m/>
  </r>
  <r>
    <x v="1"/>
    <s v="YZCK-6"/>
    <x v="1"/>
    <s v="Promptta Bulunmayan Verilerin Hata Mesajı Düzeltmesi"/>
    <x v="23"/>
    <e v="#N/A"/>
    <x v="0"/>
    <s v="-"/>
    <x v="0"/>
    <m/>
  </r>
  <r>
    <x v="0"/>
    <s v="YZCK-5"/>
    <x v="1"/>
    <s v="Çağrı Merkezi Senaryolarının Database Node (Qdrant)' a Eklenmesi"/>
    <x v="23"/>
    <e v="#N/A"/>
    <x v="0"/>
    <s v="-"/>
    <x v="0"/>
    <m/>
  </r>
  <r>
    <x v="1"/>
    <s v="WIK-627"/>
    <x v="1"/>
    <s v="Kardekod logo ayar ekranı konumların kayması hk."/>
    <x v="16"/>
    <e v="#N/A"/>
    <x v="0"/>
    <s v="-"/>
    <x v="0"/>
    <m/>
  </r>
  <r>
    <x v="1"/>
    <s v="WIK-621"/>
    <x v="1"/>
    <s v="Karekod görsel sorunu"/>
    <x v="16"/>
    <e v="#N/A"/>
    <x v="0"/>
    <s v="-"/>
    <x v="0"/>
    <m/>
  </r>
  <r>
    <x v="1"/>
    <s v="WIK-612"/>
    <x v="1"/>
    <s v="Duyuru modülü Taslakların güncellenmemesi"/>
    <x v="16"/>
    <e v="#N/A"/>
    <x v="0"/>
    <s v="-"/>
    <x v="0"/>
    <m/>
  </r>
  <r>
    <x v="1"/>
    <s v="UKDS-165"/>
    <x v="1"/>
    <s v="Çalışan Ekle Toplu İşlemlerde Paging Sorunu Hk"/>
    <x v="15"/>
    <e v="#N/A"/>
    <x v="0"/>
    <s v="-"/>
    <x v="0"/>
    <m/>
  </r>
  <r>
    <x v="1"/>
    <s v="UKDS-122"/>
    <x v="1"/>
    <s v="KİDOS Kurumsal başvurularda VKN hatası"/>
    <x v="15"/>
    <e v="#N/A"/>
    <x v="0"/>
    <s v="-"/>
    <x v="0"/>
    <m/>
  </r>
  <r>
    <x v="1"/>
    <s v="MYS-816"/>
    <x v="1"/>
    <s v="MYS(agesa) Görevler Toplu İşlemler Alanında SEP İletileri İçin Toplu Aksiyon Butonları Çalışmıyor "/>
    <x v="12"/>
    <e v="#N/A"/>
    <x v="0"/>
    <s v="-"/>
    <x v="0"/>
    <m/>
  </r>
  <r>
    <x v="1"/>
    <s v="MYS-732"/>
    <x v="1"/>
    <s v="SEP İletisi Gönderme Hatası"/>
    <x v="12"/>
    <e v="#N/A"/>
    <x v="0"/>
    <s v="-"/>
    <x v="0"/>
    <m/>
  </r>
  <r>
    <x v="1"/>
    <s v="MYS-731"/>
    <x v="1"/>
    <s v="EYP'lerin Taslaklara Kopyalanma Hatası"/>
    <x v="12"/>
    <e v="#N/A"/>
    <x v="0"/>
    <s v="-"/>
    <x v="0"/>
    <m/>
  </r>
  <r>
    <x v="1"/>
    <s v="MYS-727"/>
    <x v="1"/>
    <s v="Basılı İleti -&gt; Taslaklar Ekranında Silme İşlemi Sırasında Hata ve Uyarılar"/>
    <x v="12"/>
    <e v="#N/A"/>
    <x v="0"/>
    <s v="-"/>
    <x v="0"/>
    <m/>
  </r>
  <r>
    <x v="1"/>
    <s v="MUL-194"/>
    <x v="1"/>
    <s v="Toplu Alıcı Ekleme/Kaydetme Hk."/>
    <x v="11"/>
    <e v="#N/A"/>
    <x v="0"/>
    <s v="-"/>
    <x v="0"/>
    <m/>
  </r>
  <r>
    <x v="1"/>
    <s v="MUL-193"/>
    <x v="1"/>
    <s v="Test Servisleri Genel Test Bulguları-2"/>
    <x v="11"/>
    <e v="#N/A"/>
    <x v="0"/>
    <s v="-"/>
    <x v="0"/>
    <m/>
  </r>
  <r>
    <x v="1"/>
    <s v="MUL-191"/>
    <x v="1"/>
    <s v="Test Servisleri Genel Test Bulguları"/>
    <x v="11"/>
    <e v="#N/A"/>
    <x v="0"/>
    <s v="-"/>
    <x v="0"/>
    <m/>
  </r>
  <r>
    <x v="1"/>
    <s v="MUL-185"/>
    <x v="1"/>
    <s v="Doküman Kişiselleştir Hatası"/>
    <x v="11"/>
    <e v="#N/A"/>
    <x v="0"/>
    <s v="-"/>
    <x v="0"/>
    <m/>
  </r>
  <r>
    <x v="1"/>
    <s v="MUL-182"/>
    <x v="1"/>
    <s v="İTO 65K'lık belge yükleme sonrası oluşan hata"/>
    <x v="11"/>
    <e v="#N/A"/>
    <x v="0"/>
    <s v="-"/>
    <x v="0"/>
    <m/>
  </r>
  <r>
    <x v="1"/>
    <s v="MUL-181"/>
    <x v="1"/>
    <s v="MKR yüksek ölçekli dosyaların indirilmesinde hata"/>
    <x v="11"/>
    <e v="#N/A"/>
    <x v="0"/>
    <s v="-"/>
    <x v="0"/>
    <m/>
  </r>
  <r>
    <x v="1"/>
    <s v="MUL-177"/>
    <x v="1"/>
    <s v="Daha önce silinen belgelerin başka bir belge yüklerken tekrar listelenmesi"/>
    <x v="11"/>
    <e v="#N/A"/>
    <x v="0"/>
    <s v="-"/>
    <x v="0"/>
    <m/>
  </r>
  <r>
    <x v="1"/>
    <s v="MUL-84"/>
    <x v="1"/>
    <s v="Kep iletisi içerik alanındaki metinlerin webmail'den görüntülenme düzenlemesi"/>
    <x v="11"/>
    <e v="#N/A"/>
    <x v="0"/>
    <s v="-"/>
    <x v="0"/>
    <m/>
  </r>
  <r>
    <x v="1"/>
    <s v="MU-174"/>
    <x v="1"/>
    <s v="KEP Mobil Uygulama HTML İçerik Sorunu "/>
    <x v="9"/>
    <e v="#N/A"/>
    <x v="0"/>
    <s v="-"/>
    <x v="0"/>
    <m/>
  </r>
  <r>
    <x v="1"/>
    <s v="MU-173"/>
    <x v="1"/>
    <s v="Yanlış Posta Kutusunda Görünüyor (Gelen Kutusu İken Giden Kutusu Yazıyor)"/>
    <x v="9"/>
    <e v="#N/A"/>
    <x v="0"/>
    <s v="-"/>
    <x v="0"/>
    <m/>
  </r>
  <r>
    <x v="1"/>
    <s v="MU-172"/>
    <x v="1"/>
    <s v="Tarih Seçim Bileşeninde Geri Tuşu Kullanımı: Gün Görünümünden Ay Görünümüne Dönülmüyor, Direkt Yıla Atlıyor"/>
    <x v="9"/>
    <e v="#N/A"/>
    <x v="0"/>
    <s v="-"/>
    <x v="0"/>
    <m/>
  </r>
  <r>
    <x v="1"/>
    <s v="MU-171"/>
    <x v="1"/>
    <s v="UKDS Başvurusu Onayında Akış Kesintisi: &quot;Hayır İptal Etme&quot; Seçeneği Uygulamadan Atıyor (Logout)"/>
    <x v="9"/>
    <e v="#N/A"/>
    <x v="0"/>
    <s v="-"/>
    <x v="0"/>
    <n v="1"/>
  </r>
  <r>
    <x v="1"/>
    <s v="MU-170"/>
    <x v="1"/>
    <s v="Android'de Uygulama İlk Kez Açılırken Bildirim İzni İsteği İki Kez Görünüyor (Reddetmeye Rağmen)"/>
    <x v="9"/>
    <e v="#N/A"/>
    <x v="0"/>
    <s v="-"/>
    <x v="0"/>
    <m/>
  </r>
  <r>
    <x v="1"/>
    <s v="MU-169"/>
    <x v="1"/>
    <s v="Oturum Kapatma (Logout) Sonrası Giriş Ekranında Biyometrik Kimlik Doğrulama Otomatik Tetiklenmiyor"/>
    <x v="9"/>
    <e v="#N/A"/>
    <x v="0"/>
    <s v="-"/>
    <x v="0"/>
    <m/>
  </r>
  <r>
    <x v="1"/>
    <s v="MU-128"/>
    <x v="1"/>
    <s v="Cihazlarda FCM Token Alma Sürecinde Zaman Zaman Oluşan Hata"/>
    <x v="9"/>
    <s v="Done"/>
    <x v="0"/>
    <s v="-"/>
    <x v="0"/>
    <m/>
  </r>
  <r>
    <x v="1"/>
    <s v="MU-123"/>
    <x v="1"/>
    <s v="OTP Doğrulama Alanında Silinen Kod Sonrası &quot;Doğrula&quot; Butonunun Aktif Kalması"/>
    <x v="9"/>
    <e v="#N/A"/>
    <x v="0"/>
    <s v="-"/>
    <x v="0"/>
    <m/>
  </r>
  <r>
    <x v="1"/>
    <s v="KEP-169"/>
    <x v="1"/>
    <s v="EYP İndirme Sorunu"/>
    <x v="7"/>
    <e v="#N/A"/>
    <x v="0"/>
    <s v="-"/>
    <x v="0"/>
    <m/>
  </r>
  <r>
    <x v="1"/>
    <s v="KEP-104"/>
    <x v="1"/>
    <s v="Desteği Olmayan Web Sunucu Uygulaması"/>
    <x v="7"/>
    <e v="#N/A"/>
    <x v="0"/>
    <s v="-"/>
    <x v="0"/>
    <m/>
  </r>
  <r>
    <x v="1"/>
    <s v="KA-1562"/>
    <x v="1"/>
    <s v="Bazı KEP Adreslerinden Gelen İletilerin Ekleri gözükmemektedir."/>
    <x v="6"/>
    <e v="#N/A"/>
    <x v="0"/>
    <s v="-"/>
    <x v="0"/>
    <m/>
  </r>
  <r>
    <x v="1"/>
    <s v="KA-1546"/>
    <x v="1"/>
    <s v="Toplu İmza Sürecinde Sıra Atlama ve FaultException Hatası"/>
    <x v="6"/>
    <e v="#N/A"/>
    <x v="0"/>
    <s v="-"/>
    <x v="0"/>
    <m/>
  </r>
  <r>
    <x v="1"/>
    <s v="KA-1529"/>
    <x v="1"/>
    <s v="İmzalanan iletilerde &quot;İmzalayanlar&quot; alanında yanlış isim bilgisi görünmesi"/>
    <x v="6"/>
    <e v="#N/A"/>
    <x v="0"/>
    <s v="-"/>
    <x v="0"/>
    <m/>
  </r>
  <r>
    <x v="1"/>
    <s v="IEU-281"/>
    <x v="1"/>
    <s v="INT-SUITE Ortamında Bellek Tüketimi Artışı araştırması"/>
    <x v="5"/>
    <e v="#N/A"/>
    <x v="0"/>
    <s v="-"/>
    <x v="0"/>
    <n v="3"/>
  </r>
  <r>
    <x v="1"/>
    <s v="IEU-279"/>
    <x v="1"/>
    <s v="KEP Hesaplarında Onay Sürecindeki Login Hatası"/>
    <x v="5"/>
    <e v="#N/A"/>
    <x v="0"/>
    <s v="-"/>
    <x v="0"/>
    <m/>
  </r>
  <r>
    <x v="1"/>
    <s v="IEU-277"/>
    <x v="0"/>
    <s v="Servisde Listeleme Sorunu: İletilerin Eksik Görüntülenmesi"/>
    <x v="5"/>
    <e v="#N/A"/>
    <x v="0"/>
    <s v="-"/>
    <x v="0"/>
    <m/>
  </r>
  <r>
    <x v="1"/>
    <s v="IEU-243"/>
    <x v="1"/>
    <s v="EYP 2.0 Formatındaki Dosyanın Parse Edilirken Hata Alınması"/>
    <x v="5"/>
    <e v="#N/A"/>
    <x v="0"/>
    <s v="-"/>
    <x v="0"/>
    <m/>
  </r>
  <r>
    <x v="1"/>
    <s v="IEU-242"/>
    <x v="1"/>
    <s v="-_x0009_EYP 1.3’te gerçek kişi oluştururken hata alınması"/>
    <x v="5"/>
    <e v="#N/A"/>
    <x v="0"/>
    <s v="-"/>
    <x v="0"/>
    <m/>
  </r>
  <r>
    <x v="1"/>
    <s v="IEU-237"/>
    <x v="0"/>
    <s v="HSM İmzalamalardaki Hatalar"/>
    <x v="5"/>
    <e v="#N/A"/>
    <x v="0"/>
    <s v="-"/>
    <x v="0"/>
    <m/>
  </r>
  <r>
    <x v="1"/>
    <s v="IEU-118"/>
    <x v="1"/>
    <s v="Mutabakat metodunda gelen ileti adetlerinin sorgu sonucuna yansıtılamaması"/>
    <x v="5"/>
    <e v="#N/A"/>
    <x v="0"/>
    <s v="-"/>
    <x v="0"/>
    <m/>
  </r>
  <r>
    <x v="1"/>
    <s v="IEU-108"/>
    <x v="1"/>
    <s v="Yüksek boyutlu KEP iletisi oluşturma hatası hakkında"/>
    <x v="5"/>
    <e v="#N/A"/>
    <x v="0"/>
    <s v="-"/>
    <x v="0"/>
    <m/>
  </r>
  <r>
    <x v="1"/>
    <s v="EFT-2308"/>
    <x v="1"/>
    <s v="e-Arşiv ve e-Fatura Gönderilen Faturalar Sayfalarından 'e-Posta Gönder' Butonunun Kaldırılması"/>
    <x v="4"/>
    <e v="#N/A"/>
    <x v="0"/>
    <s v="-"/>
    <x v="0"/>
    <m/>
  </r>
  <r>
    <x v="1"/>
    <s v="EFT-2301"/>
    <x v="1"/>
    <s v="Pasif Olan Kullanıcılara Bildirim Maillerinin Gönderilmemesi"/>
    <x v="4"/>
    <e v="#N/A"/>
    <x v="0"/>
    <s v="-"/>
    <x v="0"/>
    <m/>
  </r>
  <r>
    <x v="1"/>
    <s v="EFT-2067"/>
    <x v="1"/>
    <s v="Konnektörde Seçilen Faturanın Mail Olarak Gönderilememesi"/>
    <x v="4"/>
    <e v="#N/A"/>
    <x v="0"/>
    <s v="-"/>
    <x v="0"/>
    <m/>
  </r>
  <r>
    <x v="1"/>
    <s v="EFT-2055"/>
    <x v="1"/>
    <s v="E-Fatura Portal Hizmet Sözleşmesi Alanında Belge Yükleme Limit Kaldırılması"/>
    <x v="4"/>
    <e v="#N/A"/>
    <x v="0"/>
    <s v="-"/>
    <x v="0"/>
    <m/>
  </r>
  <r>
    <x v="1"/>
    <s v="EFT-2022"/>
    <x v="1"/>
    <s v="Konnektörde İrsaliye Oluşturma Ekranında “Cari Seç” ve “Ürün Seç” Butonlarının Kısayollarında ki Hata Hk. "/>
    <x v="4"/>
    <e v="#N/A"/>
    <x v="0"/>
    <s v="-"/>
    <x v="0"/>
    <m/>
  </r>
  <r>
    <x v="1"/>
    <s v="EFT-1996"/>
    <x v="1"/>
    <s v="Portalde Fatura Girişte 'Hesaplanan KDV' değeri ile Fatura Kesildikten Sonra ki 'Hesaplanan KDV' Değeri Arasında ki Fark "/>
    <x v="4"/>
    <e v="#N/A"/>
    <x v="0"/>
    <s v="-"/>
    <x v="0"/>
    <m/>
  </r>
  <r>
    <x v="1"/>
    <s v="EDF-791"/>
    <x v="1"/>
    <s v="Ondalık Birim Nokta Olduğu Defter XML'lerinin Düzeltilmesi"/>
    <x v="3"/>
    <e v="#N/A"/>
    <x v="0"/>
    <s v="-"/>
    <x v="0"/>
    <n v="2"/>
  </r>
  <r>
    <x v="1"/>
    <s v="EDF-789"/>
    <x v="1"/>
    <s v="Şifre Hatırlat Link Düzeltmesi"/>
    <x v="3"/>
    <e v="#N/A"/>
    <x v="0"/>
    <s v="-"/>
    <x v="0"/>
    <m/>
  </r>
  <r>
    <x v="1"/>
    <s v="EDF-738"/>
    <x v="1"/>
    <s v="Scheduler Servis İyileştirmesi"/>
    <x v="3"/>
    <e v="#N/A"/>
    <x v="0"/>
    <s v="-"/>
    <x v="0"/>
    <m/>
  </r>
  <r>
    <x v="1"/>
    <s v="EDF-737"/>
    <x v="1"/>
    <s v="Veritabanında Open Transaction Uyarısı Hk."/>
    <x v="3"/>
    <e v="#N/A"/>
    <x v="0"/>
    <s v="-"/>
    <x v="0"/>
    <m/>
  </r>
  <r>
    <x v="1"/>
    <s v="EDF-735"/>
    <x v="1"/>
    <s v="Bloke Olan Kullanıcı 'Şifre Hatırlat' Butonuna Tıkladığında Ekranda Uyarı Mesajı"/>
    <x v="3"/>
    <e v="#N/A"/>
    <x v="0"/>
    <s v="-"/>
    <x v="0"/>
    <m/>
  </r>
  <r>
    <x v="1"/>
    <s v="EDF-701"/>
    <x v="1"/>
    <s v="Defter Raporu Kuyrukta Bekleme Sorunu "/>
    <x v="3"/>
    <e v="#N/A"/>
    <x v="0"/>
    <s v="-"/>
    <x v="0"/>
    <m/>
  </r>
  <r>
    <x v="1"/>
    <s v="DP-274"/>
    <x v="1"/>
    <s v="KEP-Assist Kep İmza İşlemleri"/>
    <x v="1"/>
    <e v="#N/A"/>
    <x v="0"/>
    <s v="-"/>
    <x v="0"/>
    <m/>
  </r>
  <r>
    <x v="1"/>
    <s v="DP-265"/>
    <x v="1"/>
    <s v="Gönderilen E-Fatura ve E-İrsaliye'de 1163 Olup İçinde 2004 Durumlu Zarf Olanlarda Hata Alması"/>
    <x v="1"/>
    <e v="#N/A"/>
    <x v="0"/>
    <s v="-"/>
    <x v="0"/>
    <m/>
  </r>
  <r>
    <x v="1"/>
    <s v="DP-264"/>
    <x v="1"/>
    <s v="E-Fatura&gt;İptal Firma Modülü Timeout Hata"/>
    <x v="1"/>
    <e v="#N/A"/>
    <x v="0"/>
    <s v="-"/>
    <x v="0"/>
    <m/>
  </r>
  <r>
    <x v="1"/>
    <s v="DP-263"/>
    <x v="1"/>
    <s v="E-Fatura Modülünde Toplu Zarf Sorgulama Ebasebulka İşlem Yapılamaması"/>
    <x v="1"/>
    <e v="#N/A"/>
    <x v="0"/>
    <s v="-"/>
    <x v="0"/>
    <m/>
  </r>
  <r>
    <x v="1"/>
    <s v="DP-261"/>
    <x v="1"/>
    <s v="Gönderilen Faturalarda 1163 Faturaların Zarf Kontrolde 1000 Durumuna Gelmesi"/>
    <x v="1"/>
    <e v="#N/A"/>
    <x v="0"/>
    <s v="-"/>
    <x v="0"/>
    <m/>
  </r>
  <r>
    <x v="1"/>
    <s v="DP-260"/>
    <x v="1"/>
    <s v="E-Fatura&gt;Gelen Faturalarda Yanıt Zarf Kontrolü "/>
    <x v="1"/>
    <e v="#N/A"/>
    <x v="0"/>
    <s v="-"/>
    <x v="0"/>
    <m/>
  </r>
  <r>
    <x v="1"/>
    <s v="DP-259"/>
    <x v="1"/>
    <s v="Rapor &gt; E-Fatura Sayfasında Sorgulama Hatası"/>
    <x v="1"/>
    <e v="#N/A"/>
    <x v="0"/>
    <s v="-"/>
    <x v="0"/>
    <m/>
  </r>
  <r>
    <x v="1"/>
    <s v="DP-258"/>
    <x v="1"/>
    <s v="E-Fatura&gt; Gönderilen Fatura İşlemleri&gt; 1163 Faturaları Hk."/>
    <x v="1"/>
    <e v="#N/A"/>
    <x v="0"/>
    <s v="-"/>
    <x v="0"/>
    <m/>
  </r>
  <r>
    <x v="1"/>
    <s v="DP-253"/>
    <x v="1"/>
    <s v="Raporlar Modülünde 2 Günden Fazla Günlerde Alınan Hata "/>
    <x v="1"/>
    <e v="#N/A"/>
    <x v="0"/>
    <s v="-"/>
    <x v="0"/>
    <m/>
  </r>
  <r>
    <x v="1"/>
    <s v="CRM-539"/>
    <x v="1"/>
    <s v="Toplu KEP IK Bireysel KEP Açılışlarında Rezerve Tablosunun Kontrolü"/>
    <x v="0"/>
    <e v="#N/A"/>
    <x v="0"/>
    <s v="-"/>
    <x v="0"/>
    <m/>
  </r>
  <r>
    <x v="1"/>
    <s v="CRM-523"/>
    <x v="1"/>
    <s v="Pazarama Bug Fix"/>
    <x v="0"/>
    <e v="#N/A"/>
    <x v="0"/>
    <s v="-"/>
    <x v="0"/>
    <m/>
  </r>
  <r>
    <x v="1"/>
    <s v="CRM-522"/>
    <x v="1"/>
    <s v="Teklif Onay Sayfasında Özel İndirim Alanı Hk."/>
    <x v="0"/>
    <e v="#N/A"/>
    <x v="0"/>
    <s v="-"/>
    <x v="0"/>
    <m/>
  </r>
  <r>
    <x v="1"/>
    <s v="CRM-516"/>
    <x v="1"/>
    <s v="Kısmen İade Tutar Bug"/>
    <x v="0"/>
    <e v="#N/A"/>
    <x v="0"/>
    <s v="-"/>
    <x v="0"/>
    <m/>
  </r>
  <r>
    <x v="0"/>
    <s v="CRM-718"/>
    <x v="1"/>
    <s v="Üretim Modülü Ek Geliştirme"/>
    <x v="0"/>
    <e v="#N/A"/>
    <x v="0"/>
    <s v="-"/>
    <x v="0"/>
    <n v="1"/>
  </r>
  <r>
    <x v="0"/>
    <s v="CRM-728"/>
    <x v="1"/>
    <s v="KEP Öneri Metodu Karakter Hatası"/>
    <x v="0"/>
    <e v="#N/A"/>
    <x v="0"/>
    <s v="-"/>
    <x v="0"/>
    <n v="1"/>
  </r>
  <r>
    <x v="0"/>
    <s v="CRM-732"/>
    <x v="1"/>
    <s v="Ödeme Altyapısının Servis ile UKDS ve MU ile Paylaşılması "/>
    <x v="0"/>
    <s v="Done"/>
    <x v="0"/>
    <s v="-"/>
    <x v="0"/>
    <n v="3"/>
  </r>
  <r>
    <x v="0"/>
    <s v="CRM-744"/>
    <x v="5"/>
    <s v="Datassist &amp; CRM Entegrasyonu - Kurumsal Müşteri ve Teklif Kayıtları Oluşturma "/>
    <x v="0"/>
    <e v="#N/A"/>
    <x v="0"/>
    <s v="-"/>
    <x v="0"/>
    <n v="3"/>
  </r>
  <r>
    <x v="0"/>
    <s v="CRM-747"/>
    <x v="1"/>
    <s v="Datassist &amp; CRM Entegrasyonu - Kurumsal Teklif İçin Sipariş Detayı ve Sözleşme Kayıtları Oluşturma"/>
    <x v="0"/>
    <e v="#N/A"/>
    <x v="0"/>
    <s v="-"/>
    <x v="0"/>
    <n v="3"/>
  </r>
  <r>
    <x v="0"/>
    <s v="CRM-748"/>
    <x v="5"/>
    <s v="Datassist &amp; CRM Entegrasyonu - Bireysel Sipariş Detayı Oluşturma"/>
    <x v="0"/>
    <e v="#N/A"/>
    <x v="0"/>
    <s v="-"/>
    <x v="0"/>
    <n v="3"/>
  </r>
  <r>
    <x v="0"/>
    <s v="CRM-740"/>
    <x v="1"/>
    <s v="KEP Adresi Açılışında UKDS’ye KEP ID Gönderimi"/>
    <x v="0"/>
    <e v="#N/A"/>
    <x v="0"/>
    <s v="-"/>
    <x v="0"/>
    <n v="2"/>
  </r>
  <r>
    <x v="0"/>
    <s v="CRM-742"/>
    <x v="1"/>
    <s v="UKDS Servisine API Access Token Gönderimi"/>
    <x v="0"/>
    <e v="#N/A"/>
    <x v="0"/>
    <s v="-"/>
    <x v="0"/>
    <n v="3"/>
  </r>
  <r>
    <x v="0"/>
    <s v="CRM-743"/>
    <x v="1"/>
    <s v="RezerveKEP Metoduna API Access Token Parametresi Eklenmesi"/>
    <x v="0"/>
    <e v="#N/A"/>
    <x v="0"/>
    <s v="-"/>
    <x v="0"/>
    <n v="2"/>
  </r>
  <r>
    <x v="0"/>
    <s v="CRM-745"/>
    <x v="1"/>
    <s v="UKDS Kontrol Otomasyonu - E-Devlet Onay İbaresi Alanı Ek Metin"/>
    <x v="0"/>
    <e v="#N/A"/>
    <x v="0"/>
    <s v="-"/>
    <x v="0"/>
    <n v="1"/>
  </r>
  <r>
    <x v="0"/>
    <s v="CRM-749"/>
    <x v="1"/>
    <s v="KEP Oluştur Butonu - Kuyruk Ayrımı"/>
    <x v="0"/>
    <e v="#N/A"/>
    <x v="0"/>
    <s v="-"/>
    <x v="0"/>
    <n v="1"/>
  </r>
  <r>
    <x v="0"/>
    <s v="IEU-278"/>
    <x v="1"/>
    <s v="UKDS Metodlarındaki Güncellemelerin Entegrasyon Suit Tarafında Uygulanması"/>
    <x v="5"/>
    <e v="#N/A"/>
    <x v="0"/>
    <s v="-"/>
    <x v="0"/>
    <n v="5"/>
  </r>
  <r>
    <x v="1"/>
    <s v="IEU-280"/>
    <x v="1"/>
    <s v="EYP 2.0 Paketine İkinci İmza Ekleme İşleminde &quot;Zaten İmzalıdır&quot; Hatası"/>
    <x v="5"/>
    <e v="#N/A"/>
    <x v="0"/>
    <s v="-"/>
    <x v="0"/>
    <n v="3"/>
  </r>
  <r>
    <x v="0"/>
    <s v="KA-1563"/>
    <x v="1"/>
    <s v="Word-PDF Dönüşümü APİ (Office + API) Test ve Doğrulaması"/>
    <x v="6"/>
    <e v="#N/A"/>
    <x v="0"/>
    <s v="-"/>
    <x v="0"/>
    <n v="5"/>
  </r>
  <r>
    <x v="0"/>
    <s v="KA-1564"/>
    <x v="1"/>
    <s v="EvoPDF ile Word → PDF Dönüşüm Aracı Değerlendirmesi"/>
    <x v="6"/>
    <e v="#N/A"/>
    <x v="0"/>
    <s v="-"/>
    <x v="0"/>
    <n v="2"/>
  </r>
  <r>
    <x v="0"/>
    <s v="MYS-817"/>
    <x v="1"/>
    <s v="Cevap Şablon Modülünün SEP Yanıt Süreç Akışının Sağlanması"/>
    <x v="12"/>
    <e v="#N/A"/>
    <x v="0"/>
    <s v="-"/>
    <x v="0"/>
    <n v="5"/>
  </r>
  <r>
    <x v="0"/>
    <s v="CRM-741"/>
    <x v="5"/>
    <s v="Tekliflerde İade Faturası Sonrası Eksik Fatura Kontrolü"/>
    <x v="0"/>
    <e v="#N/A"/>
    <x v="0"/>
    <s v="-"/>
    <x v="0"/>
    <n v="5"/>
  </r>
  <r>
    <x v="0"/>
    <s v="CRM-736"/>
    <x v="1"/>
    <s v="E-Belge Ürünleri Zorunlu Eşitlemeler"/>
    <x v="0"/>
    <e v="#N/A"/>
    <x v="0"/>
    <s v="-"/>
    <x v="0"/>
    <n v="3"/>
  </r>
  <r>
    <x v="0"/>
    <s v="IEU-282"/>
    <x v="1"/>
    <s v="Araştırma/ İmzalama Sürecinde Aynı Anda Gelen Çoklu İstek Akışının Belirlenmesi"/>
    <x v="5"/>
    <e v="#N/A"/>
    <x v="0"/>
    <s v="-"/>
    <x v="0"/>
    <n v="3"/>
  </r>
  <r>
    <x v="0"/>
    <s v="IEU-283"/>
    <x v="1"/>
    <s v="Araştırma KEP Gönderim Süreçlerinin Tek Metotta Birleştirilmesi ve Optimizasyonu"/>
    <x v="5"/>
    <e v="#N/A"/>
    <x v="0"/>
    <s v="-"/>
    <x v="0"/>
    <n v="3"/>
  </r>
  <r>
    <x v="0"/>
    <s v="MU-163"/>
    <x v="1"/>
    <s v="Paket Seçimi Sonrasında Kullanıcının Ödeme Alanına Yönlendirilmesi ve Ödeme Tamamlanmadan Sürece Devam Edilmemesi"/>
    <x v="9"/>
    <s v="Done"/>
    <x v="0"/>
    <s v="-"/>
    <x v="0"/>
    <n v="8"/>
  </r>
  <r>
    <x v="0"/>
    <s v="MU-176"/>
    <x v="1"/>
    <s v="CRM Onayı Bekleyen KEP Adresleri İçin Yönlendirme Sayfalarının Tasarım Güncellemesi"/>
    <x v="9"/>
    <e v="#N/A"/>
    <x v="0"/>
    <s v="-"/>
    <x v="0"/>
    <n v="2"/>
  </r>
  <r>
    <x v="0"/>
    <s v="MU-177"/>
    <x v="1"/>
    <s v="CRM Onayı Bekleyen KEP Adresleri İçin Yönlendirme Sayfalarının API Entegrasyonu"/>
    <x v="9"/>
    <e v="#N/A"/>
    <x v="0"/>
    <s v="-"/>
    <x v="0"/>
    <n v="2"/>
  </r>
  <r>
    <x v="0"/>
    <s v="MYS-821"/>
    <x v="1"/>
    <s v="TEST - E-Tebligat Metninde Satır Başı Sorunu"/>
    <x v="12"/>
    <e v="#N/A"/>
    <x v="0"/>
    <s v="-"/>
    <x v="0"/>
    <m/>
  </r>
  <r>
    <x v="0"/>
    <s v="MYS-820"/>
    <x v="1"/>
    <s v="KEP-Gelen İleti Listeleme Ekranında Giden İleti ID Gösterimi"/>
    <x v="12"/>
    <e v="#N/A"/>
    <x v="0"/>
    <s v="-"/>
    <x v="0"/>
    <n v="3"/>
  </r>
  <r>
    <x v="0"/>
    <s v="UKDS-198"/>
    <x v="1"/>
    <s v="UKDS ana servis ve önyüzde yeni tipe göre güncelleme"/>
    <x v="15"/>
    <e v="#N/A"/>
    <x v="0"/>
    <s v="-"/>
    <x v="0"/>
    <n v="2"/>
  </r>
  <r>
    <x v="0"/>
    <s v="UKDS-189"/>
    <x v="1"/>
    <s v="&quot;Entegrasyon Suit UKDS&quot; servisinin remake çalışması hk"/>
    <x v="15"/>
    <e v="#N/A"/>
    <x v="0"/>
    <s v="-"/>
    <x v="0"/>
    <n v="2"/>
  </r>
  <r>
    <x v="0"/>
    <s v="UKDS-191"/>
    <x v="1"/>
    <s v="Entegrasyon Suit Üzerinden UKDS Modülü Satıldığında UKDS’ye Bilgi Gönderilecek Yeni Methodun Oluşturulması"/>
    <x v="15"/>
    <e v="#N/A"/>
    <x v="0"/>
    <s v="-"/>
    <x v="0"/>
    <n v="2"/>
  </r>
  <r>
    <x v="0"/>
    <s v="UKDS-194"/>
    <x v="1"/>
    <s v="Ön Başvuru Oluşturma Metoduna kepid, producttype ve value Parametrelerinin Eklenmesi"/>
    <x v="15"/>
    <e v="#N/A"/>
    <x v="0"/>
    <s v="-"/>
    <x v="0"/>
    <n v="2"/>
  </r>
  <r>
    <x v="0"/>
    <s v="UKDS-195"/>
    <x v="1"/>
    <s v="Ön Başvuru Düzenleme Metoduna Yeni Parametrelerin Eklenmesi"/>
    <x v="15"/>
    <e v="#N/A"/>
    <x v="0"/>
    <s v="-"/>
    <x v="0"/>
    <n v="1"/>
  </r>
  <r>
    <x v="0"/>
    <s v="UKDS-197"/>
    <x v="1"/>
    <s v="Get Integration/application/{applicationId} Methodunun Response’una kepid Eklenmesi"/>
    <x v="15"/>
    <e v="#N/A"/>
    <x v="0"/>
    <s v="-"/>
    <x v="0"/>
    <n v="1"/>
  </r>
  <r>
    <x v="0"/>
    <s v="UKDS-196"/>
    <x v="1"/>
    <s v="Tüm Başvuruları Listeleme Metodunda kepid Zorunluluğunun Kaldırılması"/>
    <x v="15"/>
    <e v="#N/A"/>
    <x v="0"/>
    <s v="-"/>
    <x v="0"/>
    <n v="1"/>
  </r>
  <r>
    <x v="0"/>
    <s v="UKDS-193"/>
    <x v="1"/>
    <s v="Yeni Bir Başvuru Tipi Eklenmesi: IKENTEGRASYON"/>
    <x v="15"/>
    <e v="#N/A"/>
    <x v="0"/>
    <s v="-"/>
    <x v="0"/>
    <n v="1"/>
  </r>
  <r>
    <x v="0"/>
    <s v="UKDS-192"/>
    <x v="1"/>
    <s v="changestatuscrm Methoduna ‘kepid’ Parametresinin Eklenmesi"/>
    <x v="15"/>
    <e v="#N/A"/>
    <x v="0"/>
    <s v="-"/>
    <x v="0"/>
    <n v="1"/>
  </r>
  <r>
    <x v="0"/>
    <s v="YZCK-19"/>
    <x v="1"/>
    <s v="Ara Servis Katmanında IP Kontrolünün Yapılabilmesi"/>
    <x v="23"/>
    <e v="#N/A"/>
    <x v="0"/>
    <s v="-"/>
    <x v="0"/>
    <m/>
  </r>
  <r>
    <x v="0"/>
    <s v="YZCK-18"/>
    <x v="0"/>
    <s v="Araştırma- Chat Değerlendirme Workflow'da Ürün Bazlı Değerlendirme Sonucu"/>
    <x v="23"/>
    <e v="#N/A"/>
    <x v="0"/>
    <s v="-"/>
    <x v="0"/>
    <m/>
  </r>
  <r>
    <x v="0"/>
    <s v="UKDS-200"/>
    <x v="1"/>
    <s v="Kidos Ekranlarına Aktif/Pasif Statün Eklenmesi"/>
    <x v="15"/>
    <e v="#N/A"/>
    <x v="0"/>
    <s v="-"/>
    <x v="0"/>
    <m/>
  </r>
  <r>
    <x v="0"/>
    <s v="UKDS-199"/>
    <x v="0"/>
    <s v="UKDS Paket Seçimi Sonrası Ödeme Adımı Servis Entegrasyonunun Gerçekleştirilmesi"/>
    <x v="15"/>
    <e v="#N/A"/>
    <x v="0"/>
    <s v="-"/>
    <x v="0"/>
    <m/>
  </r>
  <r>
    <x v="0"/>
    <s v="MU-175"/>
    <x v="6"/>
    <s v="API Bağlantılarındaki Responselar için Model Düzenlemeleri"/>
    <x v="9"/>
    <e v="#N/A"/>
    <x v="0"/>
    <s v="-"/>
    <x v="0"/>
    <n v="5"/>
  </r>
  <r>
    <x v="2"/>
    <s v="EFT-2311"/>
    <x v="1"/>
    <s v="e-Fatura Portal"/>
    <x v="4"/>
    <e v="#N/A"/>
    <x v="0"/>
    <s v="-"/>
    <x v="0"/>
    <m/>
  </r>
  <r>
    <x v="0"/>
    <s v="EFT-2310"/>
    <x v="0"/>
    <s v="İlaçTıbbiAçıklama Alanın Tıklanabilir Input Tablosuna Dönüştürülmesi"/>
    <x v="4"/>
    <e v="#N/A"/>
    <x v="0"/>
    <s v="-"/>
    <x v="0"/>
    <m/>
  </r>
  <r>
    <x v="0"/>
    <s v="EFT-2309"/>
    <x v="0"/>
    <s v="e-Fatura - İlk Aktivasyon Esnasında Mükelleflerin İmza/Mali Mühür Sertifikasyon Başlangıç-Bitiş Tarih Loglama"/>
    <x v="4"/>
    <s v="To Do"/>
    <x v="0"/>
    <s v="-"/>
    <x v="0"/>
    <m/>
  </r>
  <r>
    <x v="0"/>
    <s v="EFT-2298"/>
    <x v="1"/>
    <s v="GİB - &quot;CurrencyCodeList&quot; Güncellenmesi "/>
    <x v="4"/>
    <e v="#N/A"/>
    <x v="0"/>
    <s v="-"/>
    <x v="0"/>
    <m/>
  </r>
  <r>
    <x v="0"/>
    <s v="EFT-2297"/>
    <x v="1"/>
    <s v="GİB - ILAC_TIBBICIHAZ Profilinde &quot;AdditionalItemIdentification&quot; Kontrolü "/>
    <x v="4"/>
    <e v="#N/A"/>
    <x v="0"/>
    <s v="-"/>
    <x v="0"/>
    <m/>
  </r>
  <r>
    <x v="0"/>
    <s v="DP-288"/>
    <x v="1"/>
    <s v="KEP Assist - Hesap Hata Takibi Tablosu Eklenmesi"/>
    <x v="1"/>
    <e v="#N/A"/>
    <x v="0"/>
    <s v="-"/>
    <x v="0"/>
    <m/>
  </r>
  <r>
    <x v="0"/>
    <s v="CRM-746"/>
    <x v="0"/>
    <s v="Sipariş Detayı Sayfası – İyileştirme Çalışması"/>
    <x v="0"/>
    <e v="#N/A"/>
    <x v="0"/>
    <s v="-"/>
    <x v="0"/>
    <m/>
  </r>
  <r>
    <x v="0"/>
    <s v="CRM-739"/>
    <x v="1"/>
    <s v="KEP Zorunlu Eşitlemeler"/>
    <x v="0"/>
    <e v="#N/A"/>
    <x v="0"/>
    <s v="-"/>
    <x v="0"/>
    <n v="2"/>
  </r>
  <r>
    <x v="0"/>
    <s v="CRM-738"/>
    <x v="6"/>
    <s v="KEP Opsiyonel Eşitlemeler"/>
    <x v="0"/>
    <s v="TO TEST"/>
    <x v="1"/>
    <s v="Gelecek Sprint"/>
    <x v="1"/>
    <m/>
  </r>
  <r>
    <x v="0"/>
    <s v="CRM-737"/>
    <x v="5"/>
    <s v="Kurumsal Çözümler Zorunlu Eşitlemeler"/>
    <x v="0"/>
    <s v="In Test"/>
    <x v="1"/>
    <s v="Gelecek Sprint"/>
    <x v="1"/>
    <n v="2"/>
  </r>
  <r>
    <x v="0"/>
    <s v="CRM-734"/>
    <x v="0"/>
    <s v="KEP IK Başvuru Süreci CRM ve UKDS Sistemleri Arası Doğrulama"/>
    <x v="0"/>
    <e v="#N/A"/>
    <x v="0"/>
    <s v="-"/>
    <x v="0"/>
    <m/>
  </r>
  <r>
    <x v="0"/>
    <s v="CRM-733"/>
    <x v="0"/>
    <s v="UKDS Kaynaklı Başvuru Durumlarının CRM Sisteminde Görüntülenmesi"/>
    <x v="0"/>
    <e v="#N/A"/>
    <x v="0"/>
    <s v="-"/>
    <x v="0"/>
    <m/>
  </r>
  <r>
    <x v="0"/>
    <s v="CRM-729"/>
    <x v="0"/>
    <s v="Ent. Suit Sözleşme Bitiş Bildirimi"/>
    <x v="0"/>
    <e v="#N/A"/>
    <x v="0"/>
    <s v="-"/>
    <x v="0"/>
    <m/>
  </r>
  <r>
    <x v="0"/>
    <s v="UKDS-201"/>
    <x v="1"/>
    <s v="Toplu Çalışan Ekleme – Excel Format Doğrulama Akışındaki Tarih Formatının Kontrolü"/>
    <x v="15"/>
    <e v="#N/A"/>
    <x v="0"/>
    <s v="-"/>
    <x v="0"/>
    <n v="3"/>
  </r>
  <r>
    <x v="0"/>
    <s v="WIK-741"/>
    <x v="1"/>
    <s v="Çalışan Ekle Ekranında Ad–Soyad Bilgilerinin Tüm Fonksiyonlarda Görüntülenmesi ve Aranabilir Hale Getirilmesi"/>
    <x v="16"/>
    <e v="#N/A"/>
    <x v="0"/>
    <s v="-"/>
    <x v="0"/>
    <n v="5"/>
  </r>
  <r>
    <x v="0"/>
    <s v="WIK-743"/>
    <x v="1"/>
    <s v="Çalışanlar Ekranına Çalışan Grubu Kolonu Eklenmesi"/>
    <x v="16"/>
    <e v="#N/A"/>
    <x v="0"/>
    <s v="-"/>
    <x v="0"/>
    <n v="5"/>
  </r>
  <r>
    <x v="0"/>
    <s v="EFT-2307"/>
    <x v="1"/>
    <s v="e-Arşiv Fatura - Yatırım Teşvik Belgesi Faturası Oluşturulup Gönderilmesi"/>
    <x v="4"/>
    <e v="#N/A"/>
    <x v="0"/>
    <s v="-"/>
    <x v="0"/>
    <n v="8"/>
  </r>
  <r>
    <x v="0"/>
    <s v="EFT-2306"/>
    <x v="1"/>
    <s v="e-Fatura - Yatırım Teşvik Belgesi Faturası Oluşturulup Gönderilmesi"/>
    <x v="4"/>
    <e v="#N/A"/>
    <x v="0"/>
    <s v="-"/>
    <x v="0"/>
    <n v="8"/>
  </r>
  <r>
    <x v="0"/>
    <s v="EFT-791"/>
    <x v="0"/>
    <s v="Ondalık Birim Nokta Olduğu Defter XML'lerinin Düzeltilmesi"/>
    <x v="4"/>
    <e v="#N/A"/>
    <x v="0"/>
    <s v="-"/>
    <x v="0"/>
    <n v="2"/>
  </r>
  <r>
    <x v="0"/>
    <s v="EDF-788"/>
    <x v="1"/>
    <s v="Araştırma - e-Envanter Defterinin e-Defter Altında Konumlandırılması"/>
    <x v="3"/>
    <e v="#N/A"/>
    <x v="0"/>
    <s v="-"/>
    <x v="0"/>
    <n v="3"/>
  </r>
  <r>
    <x v="0"/>
    <s v="EFT-2300"/>
    <x v="1"/>
    <s v="GİB - e-Arşiv Paket Güncellemesi"/>
    <x v="4"/>
    <e v="#N/A"/>
    <x v="0"/>
    <s v="-"/>
    <x v="0"/>
    <n v="2"/>
  </r>
  <r>
    <x v="0"/>
    <s v="EFT-2299"/>
    <x v="1"/>
    <s v="GİB - e-Fatura Paketi Güncelleme"/>
    <x v="4"/>
    <e v="#N/A"/>
    <x v="0"/>
    <s v="-"/>
    <x v="0"/>
    <n v="1"/>
  </r>
  <r>
    <x v="0"/>
    <s v="EFT-2275"/>
    <x v="1"/>
    <s v="e- Belge “GIB” Ön Ek Düzenlemeleri"/>
    <x v="4"/>
    <e v="#N/A"/>
    <x v="0"/>
    <s v="-"/>
    <x v="0"/>
    <n v="5"/>
  </r>
  <r>
    <x v="1"/>
    <s v="IEU-287"/>
    <x v="1"/>
    <s v="Başarısız işlem hatası- api/v1/eyp/parser/v20/download/ek 401 başarısız işlem"/>
    <x v="5"/>
    <e v="#N/A"/>
    <x v="0"/>
    <s v="-"/>
    <x v="0"/>
    <n v="3"/>
  </r>
  <r>
    <x v="0"/>
    <s v="KA-1567"/>
    <x v="1"/>
    <s v="Güncelleme Paketi Hazırlanması"/>
    <x v="6"/>
    <e v="#N/A"/>
    <x v="0"/>
    <s v="-"/>
    <x v="0"/>
    <n v="3"/>
  </r>
  <r>
    <x v="1"/>
    <s v="KA-1571"/>
    <x v="1"/>
    <s v="Hesap Oluşturma Sırasında Statü Seçilmemesi Sonucu Hesap Ayarları Ekranında Hata Oluşumu"/>
    <x v="6"/>
    <e v="#N/A"/>
    <x v="0"/>
    <s v="-"/>
    <x v="0"/>
    <n v="1"/>
  </r>
  <r>
    <x v="0"/>
    <s v="MU-180"/>
    <x v="1"/>
    <s v="Ilk Onay Gerekiyor Surecinde Sms Doğrulama Adımı"/>
    <x v="9"/>
    <e v="#N/A"/>
    <x v="0"/>
    <s v="-"/>
    <x v="0"/>
    <n v="3"/>
  </r>
  <r>
    <x v="0"/>
    <s v="MU-179"/>
    <x v="1"/>
    <s v="Login Hata Mesajının Güncellenmesi"/>
    <x v="9"/>
    <e v="#N/A"/>
    <x v="0"/>
    <s v="-"/>
    <x v="0"/>
    <n v="1"/>
  </r>
  <r>
    <x v="0"/>
    <s v="MU-183"/>
    <x v="1"/>
    <s v="KEP İletisi Silme Servisi Geliştirme"/>
    <x v="9"/>
    <e v="#N/A"/>
    <x v="0"/>
    <s v="-"/>
    <x v="0"/>
    <n v="3"/>
  </r>
  <r>
    <x v="1"/>
    <s v="EFT-2332"/>
    <x v="1"/>
    <s v="Aselsan Geliştirmesi Sonucu Additional Item Alanında SchemeID Gelmemesi"/>
    <x v="4"/>
    <e v="#N/A"/>
    <x v="0"/>
    <s v="-"/>
    <x v="0"/>
    <n v="1"/>
  </r>
  <r>
    <x v="0"/>
    <s v="EFT-2331"/>
    <x v="1"/>
    <s v="MA3 API e-imza Lisans Güncelleme ve Testi"/>
    <x v="4"/>
    <e v="#N/A"/>
    <x v="0"/>
    <s v="-"/>
    <x v="0"/>
    <n v="1"/>
  </r>
  <r>
    <x v="0"/>
    <s v="EFT-2325"/>
    <x v="0"/>
    <s v="GİB Sicil Servis Test Entegresi"/>
    <x v="4"/>
    <s v="To Do"/>
    <x v="0"/>
    <s v="Gelecek Sprint"/>
    <x v="2"/>
    <n v="8"/>
  </r>
  <r>
    <x v="0"/>
    <s v="EFT-2322"/>
    <x v="0"/>
    <s v="GİB Sicil Servis Canlı Entegresi"/>
    <x v="4"/>
    <s v="To Do"/>
    <x v="0"/>
    <s v="Gelecek Sprint"/>
    <x v="2"/>
    <n v="13"/>
  </r>
  <r>
    <x v="1"/>
    <s v="WIK-749"/>
    <x v="1"/>
    <s v="Çalışan Grubunda Zorunlu Olan Alanların Boş Bırakılması Uyarı Bildirimi"/>
    <x v="16"/>
    <e v="#N/A"/>
    <x v="0"/>
    <s v="-"/>
    <x v="0"/>
    <n v="1"/>
  </r>
  <r>
    <x v="1"/>
    <s v="WIK-748"/>
    <x v="1"/>
    <s v="Belge Raporları Devam Eden Rapor İstekleri Türkçeleştirilmesi"/>
    <x v="16"/>
    <e v="#N/A"/>
    <x v="0"/>
    <s v="-"/>
    <x v="0"/>
    <n v="1"/>
  </r>
  <r>
    <x v="1"/>
    <s v="WIK-747"/>
    <x v="1"/>
    <s v="Belge Raporu Sayfasında Yeni Açılan Dönemlerin Gelmemesi"/>
    <x v="16"/>
    <e v="#N/A"/>
    <x v="0"/>
    <s v="-"/>
    <x v="0"/>
    <n v="2"/>
  </r>
  <r>
    <x v="0"/>
    <s v="WIK-754"/>
    <x v="1"/>
    <s v="Sol Menü Alt Menülerinin Görselleştirilmesinin Local Ortamda Test Edilmesi"/>
    <x v="16"/>
    <e v="#N/A"/>
    <x v="0"/>
    <s v="-"/>
    <x v="0"/>
    <n v="1"/>
  </r>
  <r>
    <x v="0"/>
    <s v="WIK-751"/>
    <x v="1"/>
    <s v="Belirlenen Kütüphanelerin Güncel Versiyonlarının Uygulanması"/>
    <x v="16"/>
    <e v="#N/A"/>
    <x v="0"/>
    <s v="-"/>
    <x v="0"/>
    <n v="3"/>
  </r>
  <r>
    <x v="0"/>
    <s v="WIK-753"/>
    <x v="1"/>
    <s v="Belirlenen Sorguların Güncellenmesi"/>
    <x v="16"/>
    <e v="#N/A"/>
    <x v="0"/>
    <s v="-"/>
    <x v="0"/>
    <n v="3"/>
  </r>
  <r>
    <x v="0"/>
    <s v="UKDS-203"/>
    <x v="1"/>
    <s v="Swagger Açıklamalarının Düzenlenmesi"/>
    <x v="15"/>
    <e v="#N/A"/>
    <x v="0"/>
    <s v="-"/>
    <x v="0"/>
    <n v="1"/>
  </r>
  <r>
    <x v="0"/>
    <s v="CRM-752"/>
    <x v="1"/>
    <s v="Kurumsal KEP Öneri Metodu - Ek Geliştirme"/>
    <x v="0"/>
    <e v="#N/A"/>
    <x v="0"/>
    <s v="-"/>
    <x v="0"/>
    <n v="1"/>
  </r>
  <r>
    <x v="0"/>
    <s v="CRM-753"/>
    <x v="6"/>
    <s v="Datassist &amp; CRM Entegrasyonu - Kurumsal Sözleşme Oluştur Metodu Tanımlanması"/>
    <x v="0"/>
    <e v="#N/A"/>
    <x v="0"/>
    <s v="-"/>
    <x v="0"/>
    <n v="1"/>
  </r>
  <r>
    <x v="0"/>
    <s v="CRM-754"/>
    <x v="6"/>
    <s v="Kurumsal KEP Oluştur Butonunun JOB'a Bağlanması"/>
    <x v="0"/>
    <s v="TO TEST"/>
    <x v="1"/>
    <s v="Gelecek Sprint"/>
    <x v="1"/>
    <n v="1"/>
  </r>
  <r>
    <x v="0"/>
    <s v="CRM-757"/>
    <x v="6"/>
    <s v="UKDS Otomasyonu - Ek Kontrol"/>
    <x v="0"/>
    <e v="#N/A"/>
    <x v="0"/>
    <s v="-"/>
    <x v="0"/>
    <n v="1"/>
  </r>
  <r>
    <x v="0"/>
    <s v="KA-1568"/>
    <x v="1"/>
    <s v="KEPAssist Testi (Paket Öncesi)"/>
    <x v="6"/>
    <e v="#N/A"/>
    <x v="0"/>
    <s v="-"/>
    <x v="0"/>
    <m/>
  </r>
  <r>
    <x v="0"/>
    <s v="MYS-825"/>
    <x v="1"/>
    <s v="E-Tebligat Metninde Satır Başı Sorunu"/>
    <x v="12"/>
    <e v="#N/A"/>
    <x v="0"/>
    <s v="-"/>
    <x v="0"/>
    <n v="3"/>
  </r>
  <r>
    <x v="0"/>
    <s v="MYS-822"/>
    <x v="1"/>
    <s v="Listeleme Ekranlarında Grid Yüksekliğinin Artırılması"/>
    <x v="12"/>
    <e v="#N/A"/>
    <x v="0"/>
    <s v="-"/>
    <x v="0"/>
    <n v="1"/>
  </r>
  <r>
    <x v="0"/>
    <s v="MYS-818"/>
    <x v="1"/>
    <s v="Gelen Basılı İletiler / Editör Alanının Eklenmesi"/>
    <x v="12"/>
    <e v="#N/A"/>
    <x v="0"/>
    <s v="-"/>
    <x v="0"/>
    <n v="5"/>
  </r>
  <r>
    <x v="0"/>
    <s v="MYS-819"/>
    <x v="1"/>
    <s v="Yeniden Çalıştır Akışının Güvercin Onayı Atlanarak Görev Kutusuna Düşmesi"/>
    <x v="12"/>
    <e v="#N/A"/>
    <x v="0"/>
    <s v="-"/>
    <x v="0"/>
    <n v="3"/>
  </r>
  <r>
    <x v="1"/>
    <s v="EFT-2326"/>
    <x v="1"/>
    <s v="GİB Mükellef Listesi Tarih Formatı Hatası Hk."/>
    <x v="4"/>
    <e v="#N/A"/>
    <x v="0"/>
    <s v="-"/>
    <x v="0"/>
    <n v="3"/>
  </r>
  <r>
    <x v="0"/>
    <s v="UKDS-179"/>
    <x v="1"/>
    <s v="Kullanıcı Bildirim Stratejisinin Analizi ve Uygulama Bazında Dokümantasyonu"/>
    <x v="15"/>
    <e v="#N/A"/>
    <x v="0"/>
    <s v="-"/>
    <x v="0"/>
    <n v="2"/>
  </r>
  <r>
    <x v="0"/>
    <s v="CRM-756"/>
    <x v="1"/>
    <s v="UKDS Otomasyon Manuel İşlemler - Rapor"/>
    <x v="0"/>
    <e v="#N/A"/>
    <x v="0"/>
    <s v="-"/>
    <x v="0"/>
    <n v="1"/>
  </r>
  <r>
    <x v="0"/>
    <s v="MYS-832"/>
    <x v="1"/>
    <s v="Güncelleme Paketi hazırlanması"/>
    <x v="12"/>
    <e v="#N/A"/>
    <x v="0"/>
    <s v="-"/>
    <x v="0"/>
    <n v="3"/>
  </r>
  <r>
    <x v="0"/>
    <s v="MYS-826"/>
    <x v="1"/>
    <s v="Haciz Ekleme ve Haciz Kaldırma Metni Alanlarına Karakter Sınırı Uyarısı Eklenmesi"/>
    <x v="12"/>
    <e v="#N/A"/>
    <x v="0"/>
    <s v="-"/>
    <x v="0"/>
    <n v="1"/>
  </r>
  <r>
    <x v="0"/>
    <s v="MYS-827"/>
    <x v="1"/>
    <s v="Haciz Ekleme ve Haciz Kaldırma Metni Alanlarının Default Satır Yüksekliği Düzenlenmesi"/>
    <x v="12"/>
    <e v="#N/A"/>
    <x v="0"/>
    <s v="-"/>
    <x v="0"/>
    <n v="1"/>
  </r>
  <r>
    <x v="0"/>
    <s v="MU-181"/>
    <x v="1"/>
    <s v="Mobil Uygulama / UKDS Süreçlerine Yeni Başvuru Tipi Eklenmesi"/>
    <x v="9"/>
    <e v="#N/A"/>
    <x v="0"/>
    <s v="-"/>
    <x v="0"/>
    <n v="1"/>
  </r>
  <r>
    <x v="0"/>
    <s v="IEU-292"/>
    <x v="1"/>
    <s v="MA3 API Mobil İmza Lisans Güncelleme Teknik Hazırlık ve Testleri"/>
    <x v="5"/>
    <e v="#N/A"/>
    <x v="0"/>
    <s v="-"/>
    <x v="0"/>
    <n v="1"/>
  </r>
  <r>
    <x v="0"/>
    <s v="IEU-294"/>
    <x v="1"/>
    <s v="MA3 API Ent Suit Güncellemeleri hk"/>
    <x v="5"/>
    <e v="#N/A"/>
    <x v="0"/>
    <s v="-"/>
    <x v="0"/>
    <n v="1"/>
  </r>
  <r>
    <x v="0"/>
    <s v="IEU-291"/>
    <x v="1"/>
    <s v="KEP Gönderim Sürecinin Tek Metot Altında Birleştirilmesi"/>
    <x v="5"/>
    <e v="#N/A"/>
    <x v="0"/>
    <s v="-"/>
    <x v="0"/>
    <n v="8"/>
  </r>
  <r>
    <x v="0"/>
    <s v="KA-1575"/>
    <x v="1"/>
    <s v="Docx Dönüşümü Windows Servis/Etys Entegrasyonu"/>
    <x v="6"/>
    <e v="#N/A"/>
    <x v="0"/>
    <s v="-"/>
    <x v="0"/>
    <n v="3"/>
  </r>
  <r>
    <x v="0"/>
    <s v="KA-1574"/>
    <x v="1"/>
    <s v="Docx Dönüşümü Portal Entegrasyonu"/>
    <x v="6"/>
    <e v="#N/A"/>
    <x v="0"/>
    <s v="-"/>
    <x v="0"/>
    <n v="3"/>
  </r>
  <r>
    <x v="0"/>
    <s v="MYS-833"/>
    <x v="1"/>
    <s v="MA3 API Lisans Güncelleme Testleri"/>
    <x v="12"/>
    <e v="#N/A"/>
    <x v="0"/>
    <s v="-"/>
    <x v="0"/>
    <n v="1"/>
  </r>
  <r>
    <x v="0"/>
    <s v="UKDS-206"/>
    <x v="1"/>
    <s v="MA3 API Lisans/DLL Güncelleme Test"/>
    <x v="15"/>
    <e v="#N/A"/>
    <x v="0"/>
    <s v="-"/>
    <x v="0"/>
    <n v="2"/>
  </r>
  <r>
    <x v="0"/>
    <s v="WIK-750"/>
    <x v="1"/>
    <s v="Araştırma- Mevcut Kütüphanelerin Güncellenmesi"/>
    <x v="16"/>
    <e v="#N/A"/>
    <x v="0"/>
    <s v="-"/>
    <x v="0"/>
    <m/>
  </r>
  <r>
    <x v="0"/>
    <s v="WIK-764"/>
    <x v="1"/>
    <s v="MA3 API Lisans/DLL Güncelleme Test"/>
    <x v="16"/>
    <e v="#N/A"/>
    <x v="0"/>
    <s v="-"/>
    <x v="0"/>
    <n v="2"/>
  </r>
  <r>
    <x v="0"/>
    <s v="TIM-455"/>
    <x v="1"/>
    <s v="MA3 API Lisans/DLL Güncelleme Test"/>
    <x v="13"/>
    <e v="#N/A"/>
    <x v="0"/>
    <s v="-"/>
    <x v="0"/>
    <n v="2"/>
  </r>
  <r>
    <x v="0"/>
    <s v="MUL-212"/>
    <x v="1"/>
    <s v="MA3 API Lisans/DLL Güncelleme Test"/>
    <x v="11"/>
    <e v="#N/A"/>
    <x v="0"/>
    <s v="-"/>
    <x v="0"/>
    <n v="3"/>
  </r>
  <r>
    <x v="0"/>
    <s v="KIK-156"/>
    <x v="1"/>
    <s v="MA3 API Lisans/DLL Güncelleme Test"/>
    <x v="16"/>
    <e v="#N/A"/>
    <x v="0"/>
    <s v="-"/>
    <x v="0"/>
    <n v="3"/>
  </r>
  <r>
    <x v="0"/>
    <s v="CRM-763"/>
    <x v="6"/>
    <s v="CRM Satış Raporuna Hatalı Yansıyan Kayıt Tiplerinin İncelenmesi"/>
    <x v="0"/>
    <s v="TO TEST"/>
    <x v="1"/>
    <s v="Gelecek Sprint"/>
    <x v="1"/>
    <n v="5"/>
  </r>
  <r>
    <x v="1"/>
    <s v="EFT-2344"/>
    <x v="1"/>
    <s v="İnternet Satış Faturalarnın e-Arşiv Raporunda Zorunlu Alanlar Hk."/>
    <x v="4"/>
    <e v="#N/A"/>
    <x v="0"/>
    <s v="-"/>
    <x v="0"/>
    <n v="2"/>
  </r>
  <r>
    <x v="1"/>
    <s v="EFT-2343"/>
    <x v="1"/>
    <s v="InternetDetail Portalda Taslaklara Kopyalandığında Bilgilerin Sıfırlanması"/>
    <x v="4"/>
    <e v="#N/A"/>
    <x v="0"/>
    <s v="-"/>
    <x v="0"/>
    <n v="1"/>
  </r>
  <r>
    <x v="1"/>
    <s v="EDF-794"/>
    <x v="1"/>
    <s v="Muvafakatname Beratların İmzalanması Hk."/>
    <x v="3"/>
    <e v="#N/A"/>
    <x v="0"/>
    <s v="-"/>
    <x v="0"/>
    <n v="2"/>
  </r>
  <r>
    <x v="1"/>
    <s v="EFT-2342"/>
    <x v="1"/>
    <s v="e-Arşiv Rapor İnternet Satış Bilgilerinde Gönderici VKN ile İlgili Düzeltme"/>
    <x v="4"/>
    <e v="#N/A"/>
    <x v="0"/>
    <s v="-"/>
    <x v="0"/>
    <n v="2"/>
  </r>
  <r>
    <x v="1"/>
    <s v="EFT-2341"/>
    <x v="1"/>
    <s v="XML Note alanında YatırımTesvik Faturalarda KDV'li Halini Yazıyor"/>
    <x v="4"/>
    <e v="#N/A"/>
    <x v="0"/>
    <s v="-"/>
    <x v="0"/>
    <n v="1"/>
  </r>
  <r>
    <x v="1"/>
    <s v="EFT-2340"/>
    <x v="1"/>
    <s v="Portalda Taslak Fatura Güncellemede BuyerCustomerParty'nin XML'e Eklenmesi"/>
    <x v="4"/>
    <e v="#N/A"/>
    <x v="0"/>
    <s v="-"/>
    <x v="0"/>
    <n v="1"/>
  </r>
  <r>
    <x v="0"/>
    <s v="EFT-2339"/>
    <x v="1"/>
    <s v="e-Arşiv Fatura - Schematron Paketinin Güncellenmesi"/>
    <x v="4"/>
    <e v="#N/A"/>
    <x v="0"/>
    <s v="-"/>
    <x v="0"/>
    <n v="1"/>
  </r>
  <r>
    <x v="0"/>
    <s v="KA-1573"/>
    <x v="1"/>
    <s v="EYP Oluşturma – Dağıtım Listesi Tablosunda Kolonların Genişletilmesi"/>
    <x v="6"/>
    <e v="#N/A"/>
    <x v="0"/>
    <s v="-"/>
    <x v="0"/>
    <n v="1"/>
  </r>
  <r>
    <x v="0"/>
    <s v="MU-184"/>
    <x v="1"/>
    <s v="KEP İletisi Yanıtla Fonksiyonun Eklenmesi"/>
    <x v="9"/>
    <e v="#N/A"/>
    <x v="0"/>
    <s v="-"/>
    <x v="0"/>
    <n v="5"/>
  </r>
  <r>
    <x v="0"/>
    <s v="MU-185"/>
    <x v="1"/>
    <s v="KEP İletisi İletme Fonksiyonun Eklenmesi"/>
    <x v="9"/>
    <e v="#N/A"/>
    <x v="0"/>
    <s v="-"/>
    <x v="0"/>
    <n v="5"/>
  </r>
  <r>
    <x v="1"/>
    <s v="WIK-760"/>
    <x v="1"/>
    <s v="KEP Delil Servisinde Yüksek Boyutların Servisten İndirilmesi"/>
    <x v="16"/>
    <e v="#N/A"/>
    <x v="0"/>
    <s v="-"/>
    <x v="0"/>
    <n v="3"/>
  </r>
  <r>
    <x v="1"/>
    <s v="WIK-759"/>
    <x v="1"/>
    <s v="KEP Delil Raporunda Silme İşleminin Başarısız Olması"/>
    <x v="16"/>
    <e v="#N/A"/>
    <x v="0"/>
    <s v="-"/>
    <x v="0"/>
    <n v="2"/>
  </r>
  <r>
    <x v="1"/>
    <s v="WIK-761"/>
    <x v="1"/>
    <s v="KEP İK Girişinde Pasif Hesapların Gözükmesi"/>
    <x v="16"/>
    <e v="#N/A"/>
    <x v="0"/>
    <s v="-"/>
    <x v="0"/>
    <n v="2"/>
  </r>
  <r>
    <x v="1"/>
    <s v="WIK-763"/>
    <x v="0"/>
    <s v="Toplu PDF Parçalama İçerisinde Kontrol Adımı"/>
    <x v="16"/>
    <e v="#N/A"/>
    <x v="0"/>
    <s v="-"/>
    <x v="0"/>
    <n v="2"/>
  </r>
  <r>
    <x v="0"/>
    <s v="WIK-765"/>
    <x v="1"/>
    <s v="Duyuru Raporlama Ekranında Filtreleme Alanlarının Düzenlenmesi"/>
    <x v="16"/>
    <e v="#N/A"/>
    <x v="0"/>
    <s v="-"/>
    <x v="0"/>
    <n v="3"/>
  </r>
  <r>
    <x v="0"/>
    <s v="WIK-767"/>
    <x v="0"/>
    <s v="Duyuru Modülünde Çalışan Grubu Bazlı Gönderim İlişki Kurulması"/>
    <x v="16"/>
    <e v="#N/A"/>
    <x v="0"/>
    <s v="-"/>
    <x v="0"/>
    <n v="3"/>
  </r>
  <r>
    <x v="0"/>
    <s v="WIK-768"/>
    <x v="5"/>
    <s v="Yeni Filtreleme Alanlarına Yönelik Excel Fonksiyon Güncellemeleri"/>
    <x v="16"/>
    <e v="#N/A"/>
    <x v="0"/>
    <s v="-"/>
    <x v="0"/>
    <n v="2"/>
  </r>
  <r>
    <x v="0"/>
    <s v="UKDS-205"/>
    <x v="1"/>
    <s v="şlem Belgesinin PAdES-LTV formatında oluşturulması"/>
    <x v="15"/>
    <e v="#N/A"/>
    <x v="0"/>
    <s v="-"/>
    <x v="0"/>
    <n v="1"/>
  </r>
  <r>
    <x v="0"/>
    <s v="CRM-766"/>
    <x v="6"/>
    <s v="E-Güven Servis"/>
    <x v="0"/>
    <s v="TO TEST"/>
    <x v="1"/>
    <s v="Gelecek Sprint"/>
    <x v="1"/>
    <n v="3"/>
  </r>
  <r>
    <x v="0"/>
    <s v="EFT-2324"/>
    <x v="5"/>
    <s v="e-İrsaliye - Web Portal - İnşaat Demiri İzleme Sistemi (IDIS) Faturası Oluşturulup Gönderilmesi"/>
    <x v="4"/>
    <e v="#N/A"/>
    <x v="0"/>
    <s v="-"/>
    <x v="0"/>
    <n v="2"/>
  </r>
  <r>
    <x v="0"/>
    <s v="EFT-2330"/>
    <x v="5"/>
    <s v="e-İrsaliye - Web Servis - İnşaat Demiri İzleme Sistemi (IDIS) Faturası Oluşturulup Gönderilmesi"/>
    <x v="4"/>
    <e v="#N/A"/>
    <x v="0"/>
    <s v="-"/>
    <x v="0"/>
    <n v="2"/>
  </r>
  <r>
    <x v="0"/>
    <s v="EFT-2329"/>
    <x v="6"/>
    <s v="e-İrsaliye - Konektör - İnşaat Demiri İzleme Sistemi (IDIS) Faturası Oluşturulup Gönderilmesi"/>
    <x v="4"/>
    <e v="#N/A"/>
    <x v="0"/>
    <s v="-"/>
    <x v="0"/>
    <n v="3"/>
  </r>
  <r>
    <x v="0"/>
    <s v="EFT-2328"/>
    <x v="5"/>
    <s v="e-Fatura - Web Servis - İnşaat Demiri İzleme Sistemi (IDIS) Faturası Oluşturulup Gönderilmesi"/>
    <x v="4"/>
    <e v="#N/A"/>
    <x v="0"/>
    <s v="-"/>
    <x v="0"/>
    <n v="2"/>
  </r>
  <r>
    <x v="0"/>
    <s v="EFT-2323"/>
    <x v="1"/>
    <s v="e-Fatura - Web Portal - İnşaat Demiri İzleme Sistemi (IDIS) Faturası Oluşturulup Gönderilmesi"/>
    <x v="4"/>
    <e v="#N/A"/>
    <x v="0"/>
    <s v="-"/>
    <x v="0"/>
    <n v="2"/>
  </r>
  <r>
    <x v="0"/>
    <s v="EFT-2327"/>
    <x v="5"/>
    <s v="e-Fatura - Konektör - İnşaat Demiri İzleme Sistemi (IDIS) Faturası Oluşturulup Gönderilmesi"/>
    <x v="4"/>
    <e v="#N/A"/>
    <x v="0"/>
    <s v="-"/>
    <x v="0"/>
    <n v="3"/>
  </r>
  <r>
    <x v="1"/>
    <s v="DP-290"/>
    <x v="1"/>
    <s v="Raporlar&gt;Kullanıcı Raporları&gt;e-Fatura Raporlarını Alırken Hata Yaşanması"/>
    <x v="1"/>
    <e v="#N/A"/>
    <x v="0"/>
    <s v="-"/>
    <x v="0"/>
    <n v="2"/>
  </r>
  <r>
    <x v="0"/>
    <s v="EFT-2346"/>
    <x v="1"/>
    <s v="IDIS-Schematron Paketinin Güncellenmesi"/>
    <x v="4"/>
    <e v="#N/A"/>
    <x v="0"/>
    <s v="-"/>
    <x v="0"/>
    <n v="1"/>
  </r>
  <r>
    <x v="0"/>
    <s v="EFT-2345"/>
    <x v="6"/>
    <s v="IDIS için DB, Model,Servis,XML Gösterim İşlemleri"/>
    <x v="4"/>
    <e v="#N/A"/>
    <x v="0"/>
    <s v="-"/>
    <x v="0"/>
    <n v="5"/>
  </r>
  <r>
    <x v="0"/>
    <s v="MU-186"/>
    <x v="1"/>
    <s v="Ayarlar Ekranının Menü Yapısına Dönüştürülmesi"/>
    <x v="9"/>
    <e v="#N/A"/>
    <x v="0"/>
    <s v="-"/>
    <x v="0"/>
    <n v="3"/>
  </r>
  <r>
    <x v="1"/>
    <s v="MU-193"/>
    <x v="3"/>
    <s v="Web üzerinden Çöp Kutusundan Gelen Kutusuna geri taşınan iletiler Mobil uygulamada listelenmiyor"/>
    <x v="9"/>
    <e v="#N/A"/>
    <x v="0"/>
    <s v="-"/>
    <x v="0"/>
    <n v="3"/>
  </r>
  <r>
    <x v="1"/>
    <s v="MU-192"/>
    <x v="1"/>
    <s v="İK e-postalarındaki HTML yönlendirme (&quot;Sayfaya Git&quot;) butonu görüntülenmiyo"/>
    <x v="9"/>
    <e v="#N/A"/>
    <x v="0"/>
    <s v="-"/>
    <x v="0"/>
    <n v="2"/>
  </r>
  <r>
    <x v="0"/>
    <s v="MU-190"/>
    <x v="1"/>
    <s v="KEP İletisi Silme Yetkisi ve Onay Akışı"/>
    <x v="9"/>
    <e v="#N/A"/>
    <x v="0"/>
    <s v="-"/>
    <x v="0"/>
    <n v="3"/>
  </r>
  <r>
    <x v="0"/>
    <s v="KA-1578"/>
    <x v="1"/>
    <s v="API v2.4 POC'un İncelemesi ve Olası Değişiklik Senaryolarının Değerlendirilmesi"/>
    <x v="6"/>
    <e v="#N/A"/>
    <x v="0"/>
    <s v="-"/>
    <x v="0"/>
    <m/>
  </r>
  <r>
    <x v="0"/>
    <s v="IEU-299"/>
    <x v="1"/>
    <s v="API v2.4 POC'un İncelemesi ve Olası Değişiklik Senaryolarının Değerlendirilmesi"/>
    <x v="5"/>
    <e v="#N/A"/>
    <x v="0"/>
    <s v="-"/>
    <x v="0"/>
    <n v="8"/>
  </r>
  <r>
    <x v="0"/>
    <s v="MU-188"/>
    <x v="1"/>
    <s v="Şifremi Unuttum/ KEP Adres Seçimine Göre Şifre Değişikliği"/>
    <x v="9"/>
    <s v="Done"/>
    <x v="1"/>
    <s v="-"/>
    <x v="3"/>
    <m/>
  </r>
  <r>
    <x v="0"/>
    <s v="MU-198"/>
    <x v="0"/>
    <s v="Uzaktan Kimlik Doğrulama Deeplink Akış Güncellemesi"/>
    <x v="9"/>
    <e v="#N/A"/>
    <x v="0"/>
    <s v="-"/>
    <x v="0"/>
    <n v="1"/>
  </r>
  <r>
    <x v="1"/>
    <s v="MU-197"/>
    <x v="1"/>
    <s v="Mobil ve Web Mail Geçmiş İleti Senkronizasyonu Kontrolü"/>
    <x v="9"/>
    <e v="#N/A"/>
    <x v="0"/>
    <s v="-"/>
    <x v="0"/>
    <m/>
  </r>
  <r>
    <x v="0"/>
    <s v="MU-200"/>
    <x v="0"/>
    <s v="Araştırma- Mobil Uygulamada KEP İletisin Çöp Kutusu Taşınması"/>
    <x v="9"/>
    <e v="#N/A"/>
    <x v="0"/>
    <s v="-"/>
    <x v="0"/>
    <n v="8"/>
  </r>
  <r>
    <x v="0"/>
    <s v="CRM-767"/>
    <x v="1"/>
    <s v="MA3 API Güncelleme - CRM"/>
    <x v="0"/>
    <e v="#N/A"/>
    <x v="0"/>
    <s v="-"/>
    <x v="0"/>
    <n v="2"/>
  </r>
  <r>
    <x v="0"/>
    <s v="EDF-795"/>
    <x v="1"/>
    <s v="Lisans XML Güncellemesi Sonrası Yeni İmza Client .jar Yüklemesi"/>
    <x v="3"/>
    <e v="#N/A"/>
    <x v="0"/>
    <s v="-"/>
    <x v="0"/>
    <n v="1"/>
  </r>
  <r>
    <x v="0"/>
    <s v="MYS-837"/>
    <x v="1"/>
    <s v="Toplu İmzalama İşleminde Buton İsim Kontrolünün Kaldırılması ve Akışın İyileştirilmesi"/>
    <x v="12"/>
    <e v="#N/A"/>
    <x v="0"/>
    <s v="-"/>
    <x v="0"/>
    <n v="1"/>
  </r>
  <r>
    <x v="0"/>
    <s v="KA-1579"/>
    <x v="1"/>
    <s v="Deliller Ekranı/ KEP İşlemleri Sütunu İçeriğinin Güncellenmesi"/>
    <x v="6"/>
    <e v="#N/A"/>
    <x v="0"/>
    <s v="-"/>
    <x v="0"/>
    <n v="1"/>
  </r>
  <r>
    <x v="0"/>
    <s v="CRM-769"/>
    <x v="0"/>
    <s v="Ent. Suit Sözleşme Ekranı - Tutar ve İlgili Kalem Alanları Düzeltme"/>
    <x v="0"/>
    <e v="#N/A"/>
    <x v="0"/>
    <s v="-"/>
    <x v="0"/>
    <n v="2"/>
  </r>
  <r>
    <x v="0"/>
    <s v="CRM-771"/>
    <x v="1"/>
    <s v="Halkbank Projesi – İptal Statüsü Servis Tetikleme"/>
    <x v="0"/>
    <e v="#N/A"/>
    <x v="0"/>
    <s v="-"/>
    <x v="0"/>
    <n v="2"/>
  </r>
  <r>
    <x v="0"/>
    <s v="CRM-775"/>
    <x v="1"/>
    <s v="Halkbank Projesi - Servis Statü Tetikleme"/>
    <x v="0"/>
    <e v="#N/A"/>
    <x v="0"/>
    <s v="-"/>
    <x v="0"/>
    <n v="2"/>
  </r>
  <r>
    <x v="0"/>
    <s v="CRM-764"/>
    <x v="6"/>
    <s v="KİDOS - Hesap Durum Bildirimi"/>
    <x v="0"/>
    <s v="TO TEST"/>
    <x v="1"/>
    <s v="Gelecek Sprint"/>
    <x v="1"/>
    <n v="3"/>
  </r>
  <r>
    <x v="0"/>
    <s v="CRM-765"/>
    <x v="1"/>
    <s v="Müşterek Müşterilerde Doküman Onay Tipi Sınırlandırması"/>
    <x v="0"/>
    <e v="#N/A"/>
    <x v="0"/>
    <s v="-"/>
    <x v="0"/>
    <m/>
  </r>
  <r>
    <x v="0"/>
    <s v="EDF-797"/>
    <x v="3"/>
    <s v="Araştırma-Büyük Boyutlu Defterlerin Şematron Kontrollerinin Hızlanması Hakkında "/>
    <x v="3"/>
    <e v="#N/A"/>
    <x v="0"/>
    <s v="-"/>
    <x v="0"/>
    <m/>
  </r>
  <r>
    <x v="0"/>
    <s v="YZCK-33"/>
    <x v="1"/>
    <s v="SonarQube Kod Analizi"/>
    <x v="23"/>
    <e v="#N/A"/>
    <x v="0"/>
    <s v="-"/>
    <x v="0"/>
    <m/>
  </r>
  <r>
    <x v="0"/>
    <s v="YZCK-28"/>
    <x v="0"/>
    <s v="Prompt Güncellemesi"/>
    <x v="23"/>
    <e v="#N/A"/>
    <x v="0"/>
    <s v="-"/>
    <x v="0"/>
    <m/>
  </r>
  <r>
    <x v="1"/>
    <s v="WIK-785"/>
    <x v="1"/>
    <s v="Gönderi Durum Raporu Tarih Aralığı Görüntülenmesi"/>
    <x v="16"/>
    <e v="#N/A"/>
    <x v="0"/>
    <s v="-"/>
    <x v="0"/>
    <m/>
  </r>
  <r>
    <x v="1"/>
    <s v="WIK-784"/>
    <x v="1"/>
    <s v="Çalışan Grubu Excel yükleme Adımı"/>
    <x v="16"/>
    <e v="#N/A"/>
    <x v="0"/>
    <s v="-"/>
    <x v="0"/>
    <m/>
  </r>
  <r>
    <x v="0"/>
    <s v="WIK-783"/>
    <x v="0"/>
    <s v="API v2.4 POC'un İncelemesi ve Olası Değişiklik Senaryolarının Değerlendirilmesi"/>
    <x v="16"/>
    <s v="To Do"/>
    <x v="1"/>
    <s v="-"/>
    <x v="3"/>
    <m/>
  </r>
  <r>
    <x v="0"/>
    <s v="WIK-782"/>
    <x v="1"/>
    <s v="Gönderi Durum Raporu Sayfasında Tamamlanan Raporların Listenin Başına Taşınması"/>
    <x v="16"/>
    <e v="#N/A"/>
    <x v="0"/>
    <s v="-"/>
    <x v="0"/>
    <m/>
  </r>
  <r>
    <x v="0"/>
    <s v="WIK-781"/>
    <x v="1"/>
    <s v="Gönderi Durumu Raporu Buton Başlığının Güncellenmesi"/>
    <x v="16"/>
    <e v="#N/A"/>
    <x v="0"/>
    <s v="-"/>
    <x v="0"/>
    <m/>
  </r>
  <r>
    <x v="0"/>
    <s v="WIK-780"/>
    <x v="1"/>
    <s v="Çoklu PDF Yükle Butonu Tooltip Ekleme"/>
    <x v="16"/>
    <e v="#N/A"/>
    <x v="0"/>
    <s v="-"/>
    <x v="0"/>
    <m/>
  </r>
  <r>
    <x v="0"/>
    <s v="WIK-779"/>
    <x v="0"/>
    <s v="Araştırma/ Ön Yüz Problemlerinin İncelenmesi"/>
    <x v="16"/>
    <e v="#N/A"/>
    <x v="0"/>
    <s v="-"/>
    <x v="0"/>
    <m/>
  </r>
  <r>
    <x v="1"/>
    <s v="WIK-778"/>
    <x v="1"/>
    <s v="Arama Alanı İngilizce Terim Düzenlemesi ve Gönder Tuşunun Pasif Edilmesi"/>
    <x v="16"/>
    <e v="#N/A"/>
    <x v="0"/>
    <s v="-"/>
    <x v="0"/>
    <m/>
  </r>
  <r>
    <x v="2"/>
    <s v="WIK-777"/>
    <x v="1"/>
    <s v="Toplu PDF Parçalama İçerisinde Kontrol Adımı-Önyüz"/>
    <x v="16"/>
    <e v="#N/A"/>
    <x v="0"/>
    <s v="-"/>
    <x v="0"/>
    <m/>
  </r>
  <r>
    <x v="2"/>
    <s v="WIK-776"/>
    <x v="1"/>
    <s v="Backend -Duyuru Raporlama Ekranında Filtreleme Alanlarının Düzenlenmesi"/>
    <x v="16"/>
    <e v="#N/A"/>
    <x v="0"/>
    <s v="-"/>
    <x v="0"/>
    <m/>
  </r>
  <r>
    <x v="2"/>
    <s v="WIK-775"/>
    <x v="1"/>
    <s v="Frontend- Duyuru Raporlama Ekranında Filtreleme Alanlarının Düzenlenmesi"/>
    <x v="16"/>
    <e v="#N/A"/>
    <x v="0"/>
    <s v="-"/>
    <x v="0"/>
    <m/>
  </r>
  <r>
    <x v="1"/>
    <s v="WIK-774"/>
    <x v="1"/>
    <s v="Arama Fonksiyonu Performansı"/>
    <x v="16"/>
    <e v="#N/A"/>
    <x v="0"/>
    <s v="-"/>
    <x v="0"/>
    <m/>
  </r>
  <r>
    <x v="0"/>
    <s v="WIK-773"/>
    <x v="1"/>
    <s v="Duyuru Raporlama Ekranında Filtreleme Alanlarının Düzenlenmesi"/>
    <x v="16"/>
    <e v="#N/A"/>
    <x v="0"/>
    <s v="-"/>
    <x v="0"/>
    <m/>
  </r>
  <r>
    <x v="0"/>
    <s v="WIK-766"/>
    <x v="0"/>
    <s v="Çalışan Grubu Alanının Duyuru Raporlama Filtreleme Ekranına Eklenmesi"/>
    <x v="16"/>
    <e v="#N/A"/>
    <x v="0"/>
    <s v="-"/>
    <x v="0"/>
    <m/>
  </r>
  <r>
    <x v="1"/>
    <s v="WIK-762"/>
    <x v="1"/>
    <s v="Belge Raporlarında Yeni Açılan Dönemlerin Gelmemesi"/>
    <x v="16"/>
    <e v="#N/A"/>
    <x v="0"/>
    <s v="-"/>
    <x v="0"/>
    <m/>
  </r>
  <r>
    <x v="0"/>
    <s v="WIK-726"/>
    <x v="0"/>
    <s v=" Kullanıcı Bildirim Stratejisinin Analizi ve Uygulama Bazında Dokümantasyonu"/>
    <x v="16"/>
    <e v="#N/A"/>
    <x v="0"/>
    <s v="-"/>
    <x v="0"/>
    <m/>
  </r>
  <r>
    <x v="1"/>
    <s v="UKDS-211"/>
    <x v="1"/>
    <s v="Mobil İmza Adımında Sürecin Tamamlanmaması"/>
    <x v="15"/>
    <e v="#N/A"/>
    <x v="0"/>
    <s v="-"/>
    <x v="0"/>
    <m/>
  </r>
  <r>
    <x v="1"/>
    <s v="UKDS-210"/>
    <x v="1"/>
    <s v="Başvuru adımında Mobil İmza ve Başvuru Sahibi TCKN Kontrolü"/>
    <x v="15"/>
    <e v="#N/A"/>
    <x v="0"/>
    <s v="-"/>
    <x v="0"/>
    <m/>
  </r>
  <r>
    <x v="0"/>
    <s v="UKDS-209"/>
    <x v="4"/>
    <s v="Analiz- Müşterek Senaryolarda UKDS Süreçlerinin Dijitalleştirilmesi"/>
    <x v="15"/>
    <e v="#N/A"/>
    <x v="0"/>
    <s v="-"/>
    <x v="0"/>
    <m/>
  </r>
  <r>
    <x v="1"/>
    <s v="UKDS-208"/>
    <x v="1"/>
    <s v="UKDS HSM İmza Kuyruk Yapısında Düzenleme"/>
    <x v="15"/>
    <e v="#N/A"/>
    <x v="0"/>
    <s v="-"/>
    <x v="0"/>
    <m/>
  </r>
  <r>
    <x v="0"/>
    <s v="UEP-14"/>
    <x v="1"/>
    <s v="Yeni satış/yenileme işlem kaydının iptali"/>
    <x v="14"/>
    <e v="#N/A"/>
    <x v="0"/>
    <s v="-"/>
    <x v="0"/>
    <m/>
  </r>
  <r>
    <x v="0"/>
    <s v="TIM-456"/>
    <x v="0"/>
    <s v="API v2.4 POC'un İncelemesi ve Olası Değişiklik Senaryolarının Değerlendirilmesi"/>
    <x v="13"/>
    <e v="#N/A"/>
    <x v="1"/>
    <s v="-"/>
    <x v="3"/>
    <m/>
  </r>
  <r>
    <x v="0"/>
    <s v="SMSGW-13"/>
    <x v="0"/>
    <s v="Admin Controller Altına SMS Detay Durum Sorgulama Metodu Eklenmesi"/>
    <x v="22"/>
    <e v="#N/A"/>
    <x v="0"/>
    <s v="-"/>
    <x v="0"/>
    <m/>
  </r>
  <r>
    <x v="0"/>
    <s v="SMSGW-5"/>
    <x v="0"/>
    <s v="Ortak sms servisi için kuyruk yapısı"/>
    <x v="22"/>
    <e v="#N/A"/>
    <x v="0"/>
    <s v="-"/>
    <x v="0"/>
    <m/>
  </r>
  <r>
    <x v="0"/>
    <s v="MYS-836"/>
    <x v="1"/>
    <s v="API v2.4 POC'un İncelemesi ve Olası Değişiklik Senaryolarının Değerlendirilmesi"/>
    <x v="12"/>
    <e v="#N/A"/>
    <x v="0"/>
    <s v="-"/>
    <x v="0"/>
    <m/>
  </r>
  <r>
    <x v="0"/>
    <s v="MUL-213"/>
    <x v="1"/>
    <s v="API v2.4 POC'un İncelemesi ve Olası Değişiklik Senaryolarının Değerlendirilmesi"/>
    <x v="11"/>
    <e v="#N/A"/>
    <x v="0"/>
    <s v="-"/>
    <x v="0"/>
    <m/>
  </r>
  <r>
    <x v="1"/>
    <s v="MU-196"/>
    <x v="1"/>
    <s v="Geçici Şifre Senkronizasyon ve Statü Kontrolü Test"/>
    <x v="9"/>
    <s v="Done"/>
    <x v="0"/>
    <s v="-"/>
    <x v="0"/>
    <m/>
  </r>
  <r>
    <x v="1"/>
    <s v="MU-195"/>
    <x v="1"/>
    <s v="Geçici Şifre Senkronizasyon Hatası"/>
    <x v="9"/>
    <s v="Done"/>
    <x v="0"/>
    <s v="-"/>
    <x v="0"/>
    <m/>
  </r>
  <r>
    <x v="1"/>
    <s v="MU-194"/>
    <x v="1"/>
    <s v="Geçmiş İletilerin Listelenmemesi"/>
    <x v="9"/>
    <e v="#N/A"/>
    <x v="0"/>
    <s v="-"/>
    <x v="0"/>
    <m/>
  </r>
  <r>
    <x v="0"/>
    <s v="MU-191"/>
    <x v="0"/>
    <s v="Çöp Kutusu Klasörü Eklenmesi"/>
    <x v="9"/>
    <e v="#N/A"/>
    <x v="0"/>
    <s v="-"/>
    <x v="0"/>
    <m/>
  </r>
  <r>
    <x v="0"/>
    <s v="MU-182"/>
    <x v="1"/>
    <s v="BE - Paket Seçimi Sonrasında Kullanıcının Ödeme Alanına Yönlendirilmesi ve Ödeme Tamamlanmadan Sürece Devam Edilmemesi"/>
    <x v="9"/>
    <e v="#N/A"/>
    <x v="0"/>
    <s v="-"/>
    <x v="0"/>
    <m/>
  </r>
  <r>
    <x v="0"/>
    <s v="KEP-315"/>
    <x v="3"/>
    <s v="API v2.4 POC'un İncelemesi ve Olası Değişiklik Senaryolarının Değerlendirilmesi"/>
    <x v="7"/>
    <s v="Development"/>
    <x v="1"/>
    <s v="-"/>
    <x v="3"/>
    <m/>
  </r>
  <r>
    <x v="0"/>
    <s v="KEP-313"/>
    <x v="1"/>
    <s v="KEP CORE MA3 API Versiyon ve Lisans güncellemesi"/>
    <x v="7"/>
    <e v="#N/A"/>
    <x v="0"/>
    <s v="-"/>
    <x v="0"/>
    <m/>
  </r>
  <r>
    <x v="0"/>
    <s v="KEP-310"/>
    <x v="1"/>
    <s v="Yeni Kepapi Versiyonunun Çıkarılması"/>
    <x v="7"/>
    <e v="#N/A"/>
    <x v="0"/>
    <s v="-"/>
    <x v="0"/>
    <m/>
  </r>
  <r>
    <x v="2"/>
    <s v="KA-1580"/>
    <x v="1"/>
    <s v="Sub-Task Kolon Düzenlemesi ve Controller Yapısı Hk."/>
    <x v="6"/>
    <e v="#N/A"/>
    <x v="0"/>
    <s v="-"/>
    <x v="0"/>
    <m/>
  </r>
  <r>
    <x v="0"/>
    <s v="KA-1572"/>
    <x v="1"/>
    <s v="MA3 API Lisans Güncelleme Testleri"/>
    <x v="6"/>
    <e v="#N/A"/>
    <x v="0"/>
    <s v="-"/>
    <x v="0"/>
    <m/>
  </r>
  <r>
    <x v="0"/>
    <s v="EFT-2351"/>
    <x v="3"/>
    <s v="API v2.4 POC'un İncelemesi ve Olası Değişiklik Senaryolarının Değerlendirilmesi"/>
    <x v="4"/>
    <s v="Development"/>
    <x v="1"/>
    <s v="Gelecek Sprint"/>
    <x v="1"/>
    <m/>
  </r>
  <r>
    <x v="0"/>
    <s v="EDF-796"/>
    <x v="0"/>
    <s v="API v2.4 POC'un İncelemesi ve Olası Değişiklik Senaryolarının Değerlendirilmesi"/>
    <x v="3"/>
    <e v="#N/A"/>
    <x v="0"/>
    <s v="-"/>
    <x v="0"/>
    <m/>
  </r>
  <r>
    <x v="0"/>
    <s v="CRM-777"/>
    <x v="0"/>
    <s v="Gri Liste - Ek Geliştirme"/>
    <x v="0"/>
    <s v="To Do"/>
    <x v="1"/>
    <s v="Gelecek Sprint"/>
    <x v="1"/>
    <m/>
  </r>
  <r>
    <x v="0"/>
    <s v="CRM-776"/>
    <x v="1"/>
    <s v="Cep Telefonu Alanında +90 Ülke Kodu Tanımlanması"/>
    <x v="0"/>
    <e v="#N/A"/>
    <x v="0"/>
    <s v="-"/>
    <x v="0"/>
    <m/>
  </r>
  <r>
    <x v="0"/>
    <s v="CRM-768"/>
    <x v="1"/>
    <s v="Müşteri Ekranı | E-posta Alanı Zorunluluk Kontrolü"/>
    <x v="0"/>
    <e v="#N/A"/>
    <x v="0"/>
    <s v="-"/>
    <x v="0"/>
    <m/>
  </r>
  <r>
    <x v="0"/>
    <s v="CRM-759"/>
    <x v="1"/>
    <s v="Datassist &amp; CRM Entegrasyon Özlük Numarası"/>
    <x v="0"/>
    <e v="#N/A"/>
    <x v="0"/>
    <s v="-"/>
    <x v="0"/>
    <m/>
  </r>
  <r>
    <x v="0"/>
    <s v="CRM-758"/>
    <x v="6"/>
    <s v="Kurumsal KEP - Ek İşlem Yetkilisi"/>
    <x v="0"/>
    <s v="TO TEST"/>
    <x v="1"/>
    <s v="Gelecek Sprint"/>
    <x v="1"/>
    <m/>
  </r>
  <r>
    <x v="0"/>
    <s v="CRM-698"/>
    <x v="1"/>
    <s v="E-Defter Finansal Yıl Alanı"/>
    <x v="0"/>
    <e v="#N/A"/>
    <x v="0"/>
    <s v="-"/>
    <x v="0"/>
    <m/>
  </r>
  <r>
    <x v="0"/>
    <s v="CRM-783"/>
    <x v="1"/>
    <s v="Halkbank Projesi - Firma Cep No Alanı"/>
    <x v="0"/>
    <e v="#N/A"/>
    <x v="0"/>
    <s v="-"/>
    <x v="0"/>
    <n v="1"/>
  </r>
  <r>
    <x v="0"/>
    <s v="CRM-784"/>
    <x v="1"/>
    <s v="Ent. Suit Modül Ekleme - İşlem Kaydı Sözleşme Zorunluluğu"/>
    <x v="0"/>
    <e v="#N/A"/>
    <x v="0"/>
    <s v="-"/>
    <x v="0"/>
    <n v="1"/>
  </r>
  <r>
    <x v="0"/>
    <s v="CRM-786"/>
    <x v="1"/>
    <s v="Üretim Modülü Ek Geliştirme - Tip Alanı"/>
    <x v="0"/>
    <e v="#N/A"/>
    <x v="0"/>
    <s v="-"/>
    <x v="0"/>
    <n v="2"/>
  </r>
  <r>
    <x v="0"/>
    <s v="CRM-787"/>
    <x v="1"/>
    <s v="Kısmi İade Fatura - Ek Düzenleme"/>
    <x v="0"/>
    <e v="#N/A"/>
    <x v="0"/>
    <s v="-"/>
    <x v="0"/>
    <n v="3"/>
  </r>
  <r>
    <x v="0"/>
    <s v="CRM-780"/>
    <x v="6"/>
    <s v="E-Güven Servis - İmza Yenileme Tarihi"/>
    <x v="0"/>
    <s v="TO TEST"/>
    <x v="1"/>
    <s v="Gelecek Sprint"/>
    <x v="1"/>
    <n v="5"/>
  </r>
  <r>
    <x v="1"/>
    <s v="WIK-790"/>
    <x v="1"/>
    <s v="Kullanıcı Yetkilendirme Modülü Kullanan Yetkisi Kısıtlı Müşterilerde Aynı Aya Ait Dönemlerin Birden Fazla Gözükmesi"/>
    <x v="16"/>
    <e v="#N/A"/>
    <x v="0"/>
    <s v="-"/>
    <x v="0"/>
    <m/>
  </r>
  <r>
    <x v="0"/>
    <s v="EDF-803"/>
    <x v="0"/>
    <s v="Envanter Defteri Sekmelerinin Eklenmesi"/>
    <x v="3"/>
    <e v="#N/A"/>
    <x v="0"/>
    <s v="-"/>
    <x v="0"/>
    <n v="5"/>
  </r>
  <r>
    <x v="0"/>
    <s v="EDF-802"/>
    <x v="4"/>
    <s v="e-Defter Paketi Güncellemesi"/>
    <x v="3"/>
    <e v="#N/A"/>
    <x v="0"/>
    <s v="-"/>
    <x v="0"/>
    <n v="2"/>
  </r>
  <r>
    <x v="0"/>
    <s v="EDF-801"/>
    <x v="3"/>
    <s v="e-Defter Alanına Envanter Defteri Alanı"/>
    <x v="3"/>
    <s v="Development"/>
    <x v="0"/>
    <s v="Gelecek Sprint"/>
    <x v="2"/>
    <n v="13"/>
  </r>
  <r>
    <x v="1"/>
    <s v="EDF-799"/>
    <x v="1"/>
    <s v="Muvafakatnamede İmza Hatası Düzeltilmesi"/>
    <x v="3"/>
    <e v="#N/A"/>
    <x v="0"/>
    <s v="-"/>
    <x v="0"/>
    <n v="3"/>
  </r>
  <r>
    <x v="1"/>
    <s v="EFT-2362"/>
    <x v="1"/>
    <s v="Konnektörde Hata Bildir&gt;Hızlı Test Butonu Kaldırma"/>
    <x v="4"/>
    <e v="#N/A"/>
    <x v="0"/>
    <s v="-"/>
    <x v="0"/>
    <n v="1"/>
  </r>
  <r>
    <x v="0"/>
    <s v="EFT-2361"/>
    <x v="0"/>
    <s v="Portal - Excele Döviz Kuru Sütununun Eklenmesi"/>
    <x v="4"/>
    <e v="#N/A"/>
    <x v="0"/>
    <s v="-"/>
    <x v="0"/>
    <n v="1"/>
  </r>
  <r>
    <x v="0"/>
    <s v="EFT-2360"/>
    <x v="1"/>
    <s v="Web Servis - e-Fatura ve e-Arşiv Fatura Yatırım Teşvik Senaryosu ve Tiplerin Eklenmesi"/>
    <x v="4"/>
    <e v="#N/A"/>
    <x v="0"/>
    <s v="-"/>
    <x v="0"/>
    <n v="2"/>
  </r>
  <r>
    <x v="0"/>
    <s v="EFT-2359"/>
    <x v="1"/>
    <s v="Konektör - e-Fatura ve e-Arşiv Fatura Yatırım Teşvik Senaryosu ve Tiplerin Eklenmesi"/>
    <x v="4"/>
    <e v="#N/A"/>
    <x v="0"/>
    <s v="-"/>
    <x v="0"/>
    <n v="3"/>
  </r>
  <r>
    <x v="0"/>
    <s v="EFT-2358"/>
    <x v="1"/>
    <s v="YTB - XSLT Dosyalarının Güncellenmesi"/>
    <x v="4"/>
    <e v="#N/A"/>
    <x v="0"/>
    <s v="-"/>
    <x v="0"/>
    <n v="1"/>
  </r>
  <r>
    <x v="0"/>
    <s v="EFT-2357"/>
    <x v="1"/>
    <s v="GİB - e-Fatura Paketi Güncelleme"/>
    <x v="4"/>
    <e v="#N/A"/>
    <x v="0"/>
    <s v="-"/>
    <x v="0"/>
    <n v="2"/>
  </r>
  <r>
    <x v="0"/>
    <s v="EFT-2356"/>
    <x v="1"/>
    <s v="GİB - e-Arşiv Paket Güncellemesi (v1.1_7)"/>
    <x v="4"/>
    <e v="#N/A"/>
    <x v="0"/>
    <s v="-"/>
    <x v="0"/>
    <n v="2"/>
  </r>
  <r>
    <x v="0"/>
    <s v="CRM-789"/>
    <x v="6"/>
    <s v="CRM&amp;MultiKEP Ent. - Ek Geliştirme"/>
    <x v="0"/>
    <s v="TO TEST"/>
    <x v="1"/>
    <s v="Gelecek Sprint"/>
    <x v="1"/>
    <n v="5"/>
  </r>
  <r>
    <x v="0"/>
    <s v="CRM-788"/>
    <x v="0"/>
    <s v="Sipariş İptal - KEP Adresinin Boşa Çıkarılması"/>
    <x v="0"/>
    <e v="#N/A"/>
    <x v="0"/>
    <s v="-"/>
    <x v="0"/>
    <n v="3"/>
  </r>
  <r>
    <x v="0"/>
    <s v="CRM-782"/>
    <x v="0"/>
    <s v="14 Gün İçerisinde E-Devlet Onayı Verilmeyen Kayıtlar"/>
    <x v="0"/>
    <e v="#N/A"/>
    <x v="0"/>
    <s v="-"/>
    <x v="0"/>
    <n v="5"/>
  </r>
  <r>
    <x v="0"/>
    <s v="CRM-785"/>
    <x v="1"/>
    <s v="İK Entegrasyon Ürünleri - Ent. Suit Entegrasyonu"/>
    <x v="0"/>
    <e v="#N/A"/>
    <x v="0"/>
    <s v="-"/>
    <x v="0"/>
    <n v="3"/>
  </r>
  <r>
    <x v="0"/>
    <s v="CRM-790"/>
    <x v="1"/>
    <s v="Toplu Açılış - Ek Düzenleme"/>
    <x v="0"/>
    <e v="#N/A"/>
    <x v="0"/>
    <s v="-"/>
    <x v="0"/>
    <n v="2"/>
  </r>
  <r>
    <x v="0"/>
    <s v="MU-201"/>
    <x v="1"/>
    <s v="KEP İletisi Detay, Yanıtla ve İlet Akışlarında Eklerin Tıklanabilir, Görüntülenebilir ve Kaldırılabilir Olması"/>
    <x v="9"/>
    <e v="#N/A"/>
    <x v="0"/>
    <s v="-"/>
    <x v="0"/>
    <n v="3"/>
  </r>
  <r>
    <x v="0"/>
    <s v="MU-202"/>
    <x v="1"/>
    <s v="İleti/ Metin Sayfaya Sığmadığında Yatay Scroll Yapılabilir Alanın Kullanıcıya Gösterilmesi"/>
    <x v="9"/>
    <e v="#N/A"/>
    <x v="0"/>
    <s v="-"/>
    <x v="0"/>
    <n v="2"/>
  </r>
  <r>
    <x v="0"/>
    <s v="MU-203"/>
    <x v="1"/>
    <s v="Şifre Değişikliği Ekranında “Güncelle” Butonunun Tüm Cihaz ve Versiyonlarda Doğru Görüntülenmesi"/>
    <x v="9"/>
    <e v="#N/A"/>
    <x v="0"/>
    <s v="-"/>
    <x v="0"/>
    <n v="2"/>
  </r>
  <r>
    <x v="0"/>
    <s v="MU-204"/>
    <x v="1"/>
    <s v="Şifremi Unuttum Akışında UI/UX Düzenlemeleri ve Veri Tutarlılığı İyileştirmeleri"/>
    <x v="9"/>
    <e v="#N/A"/>
    <x v="0"/>
    <s v="-"/>
    <x v="0"/>
    <n v="3"/>
  </r>
  <r>
    <x v="0"/>
    <s v="MU-205"/>
    <x v="1"/>
    <s v="KEP Gönderme Ekranında Eklenen Eklerin İçeriklerinin İndirilmesi"/>
    <x v="9"/>
    <s v="Done"/>
    <x v="0"/>
    <s v="-"/>
    <x v="0"/>
    <n v="3"/>
  </r>
  <r>
    <x v="1"/>
    <s v="IEU-304"/>
    <x v="1"/>
    <s v="MA3 API imza-client-2.1.0.jar Entegrasyon Testleri"/>
    <x v="5"/>
    <e v="#N/A"/>
    <x v="0"/>
    <s v="-"/>
    <x v="0"/>
    <m/>
  </r>
  <r>
    <x v="1"/>
    <s v="IEU-303"/>
    <x v="1"/>
    <s v="Mobil İmza: İmza Tipinin &quot;Tümleşik&quot;ten &quot;Ayrık İmza&quot;ya Dönüştürülmesi"/>
    <x v="5"/>
    <e v="#N/A"/>
    <x v="0"/>
    <s v="-"/>
    <x v="0"/>
    <n v="5"/>
  </r>
  <r>
    <x v="1"/>
    <s v="IEU-306"/>
    <x v="1"/>
    <s v="/api/v1/sign/base64 Metodunda Çoklu E-İmza Seçim Sorunu"/>
    <x v="5"/>
    <e v="#N/A"/>
    <x v="0"/>
    <s v="-"/>
    <x v="0"/>
    <n v="3"/>
  </r>
  <r>
    <x v="1"/>
    <s v="IEU-305"/>
    <x v="1"/>
    <s v="cardType Parametresinin Eklenmesi (Çoklu E-İmza Desteği)"/>
    <x v="5"/>
    <e v="#N/A"/>
    <x v="0"/>
    <s v="-"/>
    <x v="0"/>
    <n v="3"/>
  </r>
  <r>
    <x v="1"/>
    <s v="IEU-307"/>
    <x v="0"/>
    <s v="İmzalama Metotlarında Farklı Formatlı Ardışık İmza Hatası"/>
    <x v="5"/>
    <e v="#N/A"/>
    <x v="0"/>
    <s v="-"/>
    <x v="0"/>
    <n v="3"/>
  </r>
  <r>
    <x v="1"/>
    <s v="IEU-310"/>
    <x v="0"/>
    <s v="Çoklu İmzalama Süreçlerinde PAdES ve XAdES Format Hataları / 500 Internal Error"/>
    <x v="5"/>
    <e v="#N/A"/>
    <x v="0"/>
    <s v="-"/>
    <x v="0"/>
    <n v="3"/>
  </r>
  <r>
    <x v="1"/>
    <s v="IEU-308"/>
    <x v="1"/>
    <s v="Entegrasyon Testleri"/>
    <x v="5"/>
    <e v="#N/A"/>
    <x v="0"/>
    <s v="-"/>
    <x v="0"/>
    <m/>
  </r>
  <r>
    <x v="1"/>
    <s v="IEU-309"/>
    <x v="1"/>
    <s v="HSM Sign Metotlarında Parametreden Bağımsız Sabit &quot;CAdES-BES&quot; İmza Atılması"/>
    <x v="5"/>
    <e v="#N/A"/>
    <x v="0"/>
    <s v="-"/>
    <x v="0"/>
    <n v="1"/>
  </r>
  <r>
    <x v="1"/>
    <s v="IEU-311"/>
    <x v="1"/>
    <s v="HSM Advanced Metodunda Yanlış Parametre İsmi ve Argument Type Hatası"/>
    <x v="5"/>
    <e v="#N/A"/>
    <x v="0"/>
    <s v="-"/>
    <x v="0"/>
    <n v="1"/>
  </r>
  <r>
    <x v="0"/>
    <s v="MU-207"/>
    <x v="1"/>
    <s v="KEP Arama-Filtreleme/ Sonuç Listesine Sağ Scroll Eklenmesi"/>
    <x v="9"/>
    <s v="Done"/>
    <x v="0"/>
    <s v="-"/>
    <x v="0"/>
    <n v="1"/>
  </r>
  <r>
    <x v="0"/>
    <s v="IEU-320"/>
    <x v="1"/>
    <s v="HSM Merkezi İmza Servisi: Linux Sunucu Kurulumu ve imza-client Uygulama Çalışması"/>
    <x v="5"/>
    <e v="#N/A"/>
    <x v="0"/>
    <s v="-"/>
    <x v="0"/>
    <n v="3"/>
  </r>
  <r>
    <x v="0"/>
    <s v="IEU-320"/>
    <x v="1"/>
    <s v="Akbank Haciz Gönderim Servisi Performans Sorunu ve Süre İyileştirmesi Talebi"/>
    <x v="5"/>
    <e v="#N/A"/>
    <x v="0"/>
    <s v="-"/>
    <x v="0"/>
    <n v="5"/>
  </r>
  <r>
    <x v="0"/>
    <s v="IEU-321"/>
    <x v="1"/>
    <s v="Akbank Haciz Gönderim Servisi Performans Sorunu ve Süre İyileştirmesi Talebi"/>
    <x v="5"/>
    <e v="#N/A"/>
    <x v="0"/>
    <s v="-"/>
    <x v="0"/>
    <n v="5"/>
  </r>
  <r>
    <x v="0"/>
    <s v="KA-1587"/>
    <x v="1"/>
    <s v="Client ve PDF Dönüşüm Sunucusu Arasındaki İletişimin Şifrelenmesi"/>
    <x v="6"/>
    <e v="#N/A"/>
    <x v="0"/>
    <s v="-"/>
    <x v="0"/>
    <n v="3"/>
  </r>
  <r>
    <x v="1"/>
    <s v="KA-1585"/>
    <x v="1"/>
    <s v="Bilgilendirme Mailinde Alıcı Kurum Adı #to Alanının Boş Gelmesi Testleri"/>
    <x v="6"/>
    <e v="#N/A"/>
    <x v="0"/>
    <s v="-"/>
    <x v="0"/>
    <m/>
  </r>
  <r>
    <x v="1"/>
    <s v="KA-1586"/>
    <x v="1"/>
    <s v="Bilgilendirme Mailinde Alıcı Kurum Adı (#to) Parametresinin Boş Gelmesi"/>
    <x v="6"/>
    <e v="#N/A"/>
    <x v="0"/>
    <s v="-"/>
    <x v="0"/>
    <n v="1"/>
  </r>
  <r>
    <x v="0"/>
    <s v="MU-209"/>
    <x v="1"/>
    <s v="Doğrulama Kodu Süresi Dolduğunda “Tekrar Kod Gönder” Akışının Eklenmesi"/>
    <x v="9"/>
    <s v="Done"/>
    <x v="0"/>
    <s v="-"/>
    <x v="0"/>
    <n v="5"/>
  </r>
  <r>
    <x v="0"/>
    <s v="MU-211"/>
    <x v="1"/>
    <s v="Desteklenmeyen Ekleri Görüntülenememesiyle ilgili Kullanıcılara Uyarı Gösterilmesi"/>
    <x v="9"/>
    <s v="Done"/>
    <x v="0"/>
    <s v="-"/>
    <x v="0"/>
    <n v="1"/>
  </r>
  <r>
    <x v="0"/>
    <s v="MU-210"/>
    <x v="1"/>
    <s v="Mobil İmzalama Akışında Seçim Yapılan Operatörün Tutulması"/>
    <x v="9"/>
    <s v="Done"/>
    <x v="0"/>
    <s v="-"/>
    <x v="0"/>
    <n v="1"/>
  </r>
  <r>
    <x v="1"/>
    <s v="MYS-843"/>
    <x v="1"/>
    <s v="Posta Kutuları- Excel Aktarım Hatası (Tarih Filtresi ve JS TypeError)"/>
    <x v="12"/>
    <e v="#N/A"/>
    <x v="0"/>
    <s v="-"/>
    <x v="0"/>
    <n v="3"/>
  </r>
  <r>
    <x v="1"/>
    <s v="MYS-844"/>
    <x v="0"/>
    <s v="Ekli Gönderimlerde &quot;500 Internal Server Error&quot; Hatası"/>
    <x v="12"/>
    <e v="#N/A"/>
    <x v="0"/>
    <s v="-"/>
    <x v="0"/>
    <n v="3"/>
  </r>
  <r>
    <x v="0"/>
    <s v="MYS-846"/>
    <x v="1"/>
    <s v="Ana Sayfa Görevlerimin Yetki Bazlı Kaldırılması"/>
    <x v="12"/>
    <e v="#N/A"/>
    <x v="0"/>
    <s v="-"/>
    <x v="0"/>
    <n v="3"/>
  </r>
  <r>
    <x v="1"/>
    <s v="IEU-322"/>
    <x v="0"/>
    <s v="EYP 1.3 Parser Controller: download/ek Metodunda 401 Unauthorized Hatası"/>
    <x v="5"/>
    <e v="#N/A"/>
    <x v="0"/>
    <s v="-"/>
    <x v="0"/>
    <n v="2"/>
  </r>
  <r>
    <x v="1"/>
    <s v="MYS-848"/>
    <x v="1"/>
    <s v="Giden Kutusu EYP Eklerini İndirme Hatası"/>
    <x v="12"/>
    <e v="#N/A"/>
    <x v="0"/>
    <s v="-"/>
    <x v="0"/>
    <m/>
  </r>
  <r>
    <x v="0"/>
    <s v="CRM-799"/>
    <x v="1"/>
    <s v="UKDS ve MU için Geliştirilen Ödeme Servisi - Hata Mesajları"/>
    <x v="0"/>
    <s v="Done"/>
    <x v="0"/>
    <s v="-"/>
    <x v="0"/>
    <n v="2"/>
  </r>
  <r>
    <x v="0"/>
    <s v="EDF-811"/>
    <x v="1"/>
    <s v="e-Envanter Defteri - Envanter İşlemleri"/>
    <x v="3"/>
    <e v="#N/A"/>
    <x v="0"/>
    <s v="-"/>
    <x v="0"/>
    <n v="3"/>
  </r>
  <r>
    <x v="0"/>
    <s v="EDF-813"/>
    <x v="6"/>
    <s v="e-Envanter Defteri - Şematron Kontrolü Alanı"/>
    <x v="3"/>
    <s v="TO TEST"/>
    <x v="1"/>
    <s v="Gelecek Sprint"/>
    <x v="1"/>
    <n v="3"/>
  </r>
  <r>
    <x v="1"/>
    <s v="WIK-794"/>
    <x v="1"/>
    <s v="Duyuru Modülü Sayfası Düzenleme"/>
    <x v="16"/>
    <e v="#N/A"/>
    <x v="0"/>
    <s v="-"/>
    <x v="0"/>
    <n v="1"/>
  </r>
  <r>
    <x v="1"/>
    <s v="WIK-795"/>
    <x v="1"/>
    <s v="Kullanıcı Yetkilendirme Modül İsimlerinin İngilizce Gözükmesi"/>
    <x v="16"/>
    <e v="#N/A"/>
    <x v="0"/>
    <s v="-"/>
    <x v="0"/>
    <n v="1"/>
  </r>
  <r>
    <x v="1"/>
    <s v="WIK-796"/>
    <x v="0"/>
    <s v="E imzalıdır Logosu Bulanık Gelmesi"/>
    <x v="16"/>
    <e v="#N/A"/>
    <x v="0"/>
    <s v="-"/>
    <x v="0"/>
    <n v="1"/>
  </r>
  <r>
    <x v="0"/>
    <s v="WIK-793"/>
    <x v="6"/>
    <s v="Belge Üzerine Eklenen Doğrulama Kodu için Ölçeklendirme"/>
    <x v="16"/>
    <s v="TO TEST"/>
    <x v="1"/>
    <s v="-"/>
    <x v="3"/>
    <n v="3"/>
  </r>
  <r>
    <x v="0"/>
    <s v="UKDS-214"/>
    <x v="1"/>
    <s v="Ana Servis Sunucusunda DB Performans Çalışması"/>
    <x v="15"/>
    <s v="Done"/>
    <x v="0"/>
    <s v="-"/>
    <x v="0"/>
    <n v="5"/>
  </r>
  <r>
    <x v="1"/>
    <s v="IEU-316"/>
    <x v="0"/>
    <s v="Klasör İsim Güncelleme Sorunu"/>
    <x v="5"/>
    <e v="#N/A"/>
    <x v="0"/>
    <s v="-"/>
    <x v="0"/>
    <n v="5"/>
  </r>
  <r>
    <x v="1"/>
    <s v="IEU-317"/>
    <x v="0"/>
    <s v="Türkçe Karakter ve UID Getirme Hatası"/>
    <x v="5"/>
    <e v="#N/A"/>
    <x v="0"/>
    <s v="-"/>
    <x v="0"/>
    <n v="5"/>
  </r>
  <r>
    <x v="1"/>
    <s v="IEU-318"/>
    <x v="0"/>
    <s v="Silinen Klasör Verisinin API Üzerinden Erişilebilir Olması"/>
    <x v="5"/>
    <e v="#N/A"/>
    <x v="0"/>
    <s v="-"/>
    <x v="0"/>
    <n v="5"/>
  </r>
  <r>
    <x v="0"/>
    <s v="IEU-324"/>
    <x v="0"/>
    <s v="Analiz- On-Prem Uygulama Otomatik Deploy Edilebilmesi"/>
    <x v="5"/>
    <e v="#N/A"/>
    <x v="1"/>
    <s v="-"/>
    <x v="3"/>
    <m/>
  </r>
  <r>
    <x v="0"/>
    <s v="KA-1588"/>
    <x v="3"/>
    <s v="Prod ortamda Türkçe olmayan kelimelerin tespit edilmesi ve Türkçeleştirilmesi"/>
    <x v="6"/>
    <s v="Development"/>
    <x v="1"/>
    <s v="Gelecek Sprint"/>
    <x v="1"/>
    <m/>
  </r>
  <r>
    <x v="0"/>
    <s v="CRM-801"/>
    <x v="1"/>
    <s v="Password Alanı Güncelleme"/>
    <x v="0"/>
    <e v="#N/A"/>
    <x v="0"/>
    <s v="-"/>
    <x v="0"/>
    <n v="2"/>
  </r>
  <r>
    <x v="0"/>
    <s v="CRM-800"/>
    <x v="0"/>
    <s v="İK Entegrasyon Ürünleri - Ent. Suit Entegrasyonu Yenileme"/>
    <x v="0"/>
    <e v="#N/A"/>
    <x v="0"/>
    <s v="-"/>
    <x v="0"/>
    <n v="3"/>
  </r>
  <r>
    <x v="0"/>
    <s v="CRM-798"/>
    <x v="0"/>
    <s v="RezervKEP Metoduna Order ID Parametresinin Eklenmesi"/>
    <x v="0"/>
    <e v="#N/A"/>
    <x v="0"/>
    <s v="-"/>
    <x v="0"/>
    <n v="1"/>
  </r>
  <r>
    <x v="0"/>
    <s v="CRM-795"/>
    <x v="1"/>
    <s v="E-Ödeme Servisi - Ek Geliştirme"/>
    <x v="0"/>
    <s v="Done"/>
    <x v="0"/>
    <s v="-"/>
    <x v="0"/>
    <n v="3"/>
  </r>
  <r>
    <x v="0"/>
    <s v="CRM-762"/>
    <x v="6"/>
    <s v="CRM Satış Raporu – Müşteri İlgi Seviyesi Tanımlama Kuralları"/>
    <x v="0"/>
    <s v="TO TEST"/>
    <x v="1"/>
    <s v="Gelecek Sprint"/>
    <x v="1"/>
    <n v="2"/>
  </r>
  <r>
    <x v="0"/>
    <s v="CRM-791"/>
    <x v="0"/>
    <s v="Müşteri Ticari Sicil No Alanı"/>
    <x v="0"/>
    <e v="#N/A"/>
    <x v="0"/>
    <s v="-"/>
    <x v="0"/>
    <n v="2"/>
  </r>
  <r>
    <x v="0"/>
    <s v="EDF-815"/>
    <x v="0"/>
    <s v="e-Envanter Defteri - Client İmzalama İşlemleri"/>
    <x v="3"/>
    <s v="To Do"/>
    <x v="1"/>
    <s v="-"/>
    <x v="3"/>
    <n v="5"/>
  </r>
  <r>
    <x v="1"/>
    <s v="EDF-814"/>
    <x v="0"/>
    <s v="e-Defter Sözleşme Ekranında Link Güncellenmesi"/>
    <x v="3"/>
    <s v="To Do"/>
    <x v="1"/>
    <s v="Gelecek Sprint"/>
    <x v="1"/>
    <n v="1"/>
  </r>
  <r>
    <x v="0"/>
    <s v="EDF-812"/>
    <x v="0"/>
    <s v="Anasayfa - Envanter Defteri Berat Widget Alanı"/>
    <x v="3"/>
    <s v="To Do"/>
    <x v="0"/>
    <s v="Gelecek Sprint"/>
    <x v="2"/>
    <n v="2"/>
  </r>
  <r>
    <x v="0"/>
    <s v="EDF-809"/>
    <x v="0"/>
    <s v="Rapor - Envanter Berat Durum Alanının Eklenmesi"/>
    <x v="3"/>
    <e v="#N/A"/>
    <x v="0"/>
    <s v="-"/>
    <x v="0"/>
    <n v="3"/>
  </r>
  <r>
    <x v="0"/>
    <s v="EDF-808"/>
    <x v="0"/>
    <s v="Anasayfa - Envanter Defteri Widget Alanı"/>
    <x v="3"/>
    <s v="To Do"/>
    <x v="0"/>
    <s v="Gelecek Sprint"/>
    <x v="2"/>
    <n v="3"/>
  </r>
  <r>
    <x v="0"/>
    <s v="EFT-2367"/>
    <x v="1"/>
    <s v="Giden Fatura Kalemleri Raporu Benzeri Bir e-Arşiv Fatura Alanı Açılması"/>
    <x v="4"/>
    <e v="#N/A"/>
    <x v="0"/>
    <s v="-"/>
    <x v="0"/>
    <n v="5"/>
  </r>
  <r>
    <x v="0"/>
    <s v="EFT-2368"/>
    <x v="1"/>
    <s v="GİB Şematron Paketi Birleştirme Sistemi"/>
    <x v="4"/>
    <e v="#N/A"/>
    <x v="0"/>
    <s v="-"/>
    <x v="0"/>
    <n v="5"/>
  </r>
  <r>
    <x v="0"/>
    <s v="UKDS-215"/>
    <x v="7"/>
    <s v="Servis Katmanı Refactor Çalışması"/>
    <x v="15"/>
    <s v="TEST"/>
    <x v="0"/>
    <s v="-"/>
    <x v="0"/>
    <n v="5"/>
  </r>
  <r>
    <x v="0"/>
    <s v="WIK-803"/>
    <x v="0"/>
    <s v="Belirli Filtre Seçimlerinde “Tekrar Gönder” Butonunun Gösterilmemesi"/>
    <x v="16"/>
    <e v="#N/A"/>
    <x v="0"/>
    <s v="-"/>
    <x v="0"/>
    <n v="1"/>
  </r>
  <r>
    <x v="0"/>
    <s v="WIK-800"/>
    <x v="0"/>
    <s v="Çalışan Gönderim Detaylarında 3 aydan Eski Kayıtlar için Bilgilendirme Uyarısı Eklenmesi"/>
    <x v="16"/>
    <e v="#N/A"/>
    <x v="0"/>
    <s v="-"/>
    <x v="0"/>
    <n v="2"/>
  </r>
  <r>
    <x v="0"/>
    <s v="WIK-791"/>
    <x v="3"/>
    <s v="Duyuru Modülünde Çoklu Grup Seçimi ve Grup Dışı Çalışanları Ekleme Özelliği"/>
    <x v="16"/>
    <s v="Development"/>
    <x v="1"/>
    <s v="-"/>
    <x v="3"/>
    <n v="3"/>
  </r>
  <r>
    <x v="0"/>
    <s v="MU-215"/>
    <x v="1"/>
    <s v="Mobil Uygulama UKDS Süreç ve Ödeme Akış Event'lerinin Entegrasyonu"/>
    <x v="9"/>
    <s v="Done"/>
    <x v="0"/>
    <s v="-"/>
    <x v="0"/>
    <n v="3"/>
  </r>
  <r>
    <x v="0"/>
    <s v="KA-1591"/>
    <x v="0"/>
    <s v="Kullanıcı Tanımlamalarının Log İnceleme Talebi"/>
    <x v="6"/>
    <e v="#N/A"/>
    <x v="0"/>
    <s v="-"/>
    <x v="0"/>
    <n v="1"/>
  </r>
  <r>
    <x v="0"/>
    <s v="CRM-807"/>
    <x v="0"/>
    <s v="KEP İK - Toplu PDF Parçalama Modül Tanımı"/>
    <x v="0"/>
    <e v="#N/A"/>
    <x v="0"/>
    <s v="-"/>
    <x v="0"/>
    <n v="5"/>
  </r>
  <r>
    <x v="1"/>
    <s v="MU-217"/>
    <x v="1"/>
    <s v="Mailbox Menü Geçişlerinde Index Hatası"/>
    <x v="9"/>
    <s v="Done"/>
    <x v="0"/>
    <s v="-"/>
    <x v="0"/>
    <n v="3"/>
  </r>
  <r>
    <x v="1"/>
    <s v="MU-216"/>
    <x v="1"/>
    <s v="Bildirim İzni Fonksiyonunun Çift Tetiklenmesi"/>
    <x v="9"/>
    <s v="Done"/>
    <x v="0"/>
    <s v="-"/>
    <x v="0"/>
    <n v="3"/>
  </r>
  <r>
    <x v="1"/>
    <s v="MU-218"/>
    <x v="1"/>
    <s v="Şifremi Unuttum Ekranı &quot;Devam Et&quot; Butonu Null Hatası"/>
    <x v="9"/>
    <s v="Done"/>
    <x v="0"/>
    <s v="-"/>
    <x v="0"/>
    <n v="3"/>
  </r>
  <r>
    <x v="0"/>
    <s v="IEU-323"/>
    <x v="1"/>
    <s v="Araştırma- KEP Gönderim Metotlarında İstek Seviyelerinin Tanımlanabilir Olması"/>
    <x v="5"/>
    <e v="#N/A"/>
    <x v="0"/>
    <s v="-"/>
    <x v="0"/>
    <n v="5"/>
  </r>
  <r>
    <x v="0"/>
    <s v="KA-1595"/>
    <x v="1"/>
    <s v="UETS İletilerinin “Görevlerim” Ekranına Düşmeden Otomatik Olarak Tamamlanması"/>
    <x v="6"/>
    <e v="#N/A"/>
    <x v="0"/>
    <s v="-"/>
    <x v="0"/>
    <n v="2"/>
  </r>
  <r>
    <x v="0"/>
    <s v="KA-1594"/>
    <x v="1"/>
    <s v="KEP İletilerinin “Görevlerim” Ekranına Düşmeden Otomatik Olarak Tamamlanması"/>
    <x v="6"/>
    <e v="#N/A"/>
    <x v="0"/>
    <s v="-"/>
    <x v="0"/>
    <n v="2"/>
  </r>
  <r>
    <x v="0"/>
    <s v="CRM-806"/>
    <x v="1"/>
    <s v="ENTEGRASYONBIREYSEL ve ENTEGRASYONKURUMSAL - UKDS Sistemine Ödeme Bilgisinin Gönderilmesi"/>
    <x v="0"/>
    <e v="#N/A"/>
    <x v="1"/>
    <s v="-"/>
    <x v="3"/>
    <n v="2"/>
  </r>
  <r>
    <x v="0"/>
    <s v="CRM-810"/>
    <x v="1"/>
    <s v="Yeni Ödeme Servisi Kayıt Tipleri – Fatura ve Tahsilat Otomasyon Entegrasyonu"/>
    <x v="0"/>
    <s v="Done"/>
    <x v="1"/>
    <s v="-"/>
    <x v="3"/>
    <n v="5"/>
  </r>
  <r>
    <x v="0"/>
    <s v="CRM-813"/>
    <x v="1"/>
    <s v="UKDS Modülü Uygulama Öncesi Ödeme Tipi Seçim Kontrolü"/>
    <x v="0"/>
    <e v="#N/A"/>
    <x v="1"/>
    <s v="-"/>
    <x v="3"/>
    <n v="3"/>
  </r>
  <r>
    <x v="0"/>
    <s v="CRM-815"/>
    <x v="1"/>
    <s v="ENTEGRASYONBIREYSEL ve ENTEGRASYONKURUMSAL - Ent. Suit Akışı"/>
    <x v="0"/>
    <s v="Done"/>
    <x v="1"/>
    <s v="-"/>
    <x v="3"/>
    <n v="5"/>
  </r>
  <r>
    <x v="0"/>
    <s v="CRM-774"/>
    <x v="6"/>
    <s v="SMM ve MM Sözleşmeleri Uzatma"/>
    <x v="0"/>
    <s v="TO TEST"/>
    <x v="1"/>
    <s v="Gelecek Sprint"/>
    <x v="1"/>
    <n v="3"/>
  </r>
  <r>
    <x v="0"/>
    <s v="CRM-812"/>
    <x v="6"/>
    <s v="E-Fatura - Aynı VKN İçin Aktivasyon Etiketi Tekilleştirme"/>
    <x v="0"/>
    <s v="TO TEST"/>
    <x v="1"/>
    <s v="Gelecek Sprint"/>
    <x v="1"/>
    <n v="3"/>
  </r>
  <r>
    <x v="0"/>
    <s v="UKDS-223"/>
    <x v="1"/>
    <s v="Özel Müşteri Seçiminde CRM rezerv metotuna id gönderilmemesi"/>
    <x v="24"/>
    <s v="Done"/>
    <x v="1"/>
    <s v="-"/>
    <x v="3"/>
    <n v="1"/>
  </r>
  <r>
    <x v="0"/>
    <s v="UKDS-219"/>
    <x v="7"/>
    <s v="Sonradan sisteme dahil olan müşterilerin CRM’den UKDS’ye gelmesi için metot geliştirilmesi"/>
    <x v="24"/>
    <s v="TEST"/>
    <x v="1"/>
    <s v="-"/>
    <x v="3"/>
    <n v="3"/>
  </r>
  <r>
    <x v="0"/>
    <s v="UKDS-221"/>
    <x v="1"/>
    <s v="Yeni başvuru ekleme adımına ‘’Özel Müşteri’’ parametresinin eklemesi."/>
    <x v="24"/>
    <s v="Done"/>
    <x v="1"/>
    <s v="-"/>
    <x v="3"/>
    <n v="2"/>
  </r>
  <r>
    <x v="0"/>
    <s v="UKDS-220"/>
    <x v="1"/>
    <s v="Ön ödemeli/Müşteri Ödemeli seçimleri için metot güncellenmesi"/>
    <x v="24"/>
    <s v="Done"/>
    <x v="1"/>
    <s v="-"/>
    <x v="3"/>
    <n v="1"/>
  </r>
  <r>
    <x v="0"/>
    <s v="UKDS-222"/>
    <x v="1"/>
    <s v="Varsayılan olarak ‘’Ön Ödemeli’’ seçeneği tanımının gelmesi"/>
    <x v="24"/>
    <s v="Done"/>
    <x v="1"/>
    <s v="-"/>
    <x v="3"/>
    <n v="1"/>
  </r>
  <r>
    <x v="1"/>
    <s v="WIK-815"/>
    <x v="1"/>
    <s v="Çalışanlar Modülünün Kullanıcı Yetkilendirme Adımında Sayfanın Açılmaması"/>
    <x v="16"/>
    <e v="#N/A"/>
    <x v="0"/>
    <s v="-"/>
    <x v="0"/>
    <n v="2"/>
  </r>
  <r>
    <x v="0"/>
    <s v="WIK-810"/>
    <x v="1"/>
    <s v="Çalışan Ekle Sayfası – Örnek Excel Formatındaki e-Posta Alanlarının Düzenlenmesi"/>
    <x v="16"/>
    <e v="#N/A"/>
    <x v="0"/>
    <s v="-"/>
    <x v="0"/>
    <n v="1"/>
  </r>
  <r>
    <x v="0"/>
    <s v="WIK-812"/>
    <x v="1"/>
    <s v="Çalışanlar Ekranı – Çalışan Grubu Alanında “i” Bilgi İkonu Gösterim Kuralı"/>
    <x v="16"/>
    <e v="#N/A"/>
    <x v="0"/>
    <s v="-"/>
    <x v="0"/>
    <n v="2"/>
  </r>
  <r>
    <x v="1"/>
    <s v="KEP-317"/>
    <x v="1"/>
    <s v="Webmail Erişim Yetkisi Kısıtlı Kullanıcılarda Şifre Değiştirme Adımı"/>
    <x v="7"/>
    <s v="Done"/>
    <x v="0"/>
    <s v="-"/>
    <x v="0"/>
    <n v="2"/>
  </r>
  <r>
    <x v="0"/>
    <s v="KEP-318"/>
    <x v="1"/>
    <s v="Şifremi Unuttum Akışı – TCKN ve Cep Telefonu ile Adres Listeleme Servisi Geliştirilmesi"/>
    <x v="7"/>
    <s v="Done"/>
    <x v="1"/>
    <s v="-"/>
    <x v="3"/>
    <n v="3"/>
  </r>
  <r>
    <x v="1"/>
    <s v="UKDS-217"/>
    <x v="1"/>
    <s v="Entegrasyon Servisi Süresi Geçen Başvuruları Sürece Dahil Edilmesi"/>
    <x v="24"/>
    <s v="Done"/>
    <x v="0"/>
    <s v="-"/>
    <x v="0"/>
    <n v="1"/>
  </r>
  <r>
    <x v="1"/>
    <s v="EFT-2381"/>
    <x v="1"/>
    <s v="Konnektör YTBISTISNA Faturalarda İstisna Kodu Yazmaması"/>
    <x v="4"/>
    <s v="Done"/>
    <x v="0"/>
    <s v="-"/>
    <x v="0"/>
    <m/>
  </r>
  <r>
    <x v="0"/>
    <s v="EFT-2380"/>
    <x v="1"/>
    <s v="Konnektör İrsaliye Oluşturma Sayfası Kalem Kopyalama Özelliği"/>
    <x v="4"/>
    <e v="#N/A"/>
    <x v="0"/>
    <s v="-"/>
    <x v="0"/>
    <m/>
  </r>
  <r>
    <x v="1"/>
    <s v="EFT-2379"/>
    <x v="1"/>
    <s v="Konnektör IDIS Fatura Taslaklara Kopyalama"/>
    <x v="4"/>
    <e v="#N/A"/>
    <x v="0"/>
    <s v="-"/>
    <x v="0"/>
    <m/>
  </r>
  <r>
    <x v="1"/>
    <s v="EFT-2378"/>
    <x v="1"/>
    <s v="Portalda İhraç Kayıtlı Faturada Muafiyet Nedeni Hatası Hk."/>
    <x v="4"/>
    <e v="#N/A"/>
    <x v="0"/>
    <s v="-"/>
    <x v="0"/>
    <m/>
  </r>
  <r>
    <x v="1"/>
    <s v="EFT-2377"/>
    <x v="1"/>
    <s v="İrsaliye oluşturma sayfası adres alanları mapping ve kopyalama hatası"/>
    <x v="4"/>
    <e v="#N/A"/>
    <x v="0"/>
    <s v="-"/>
    <x v="0"/>
    <m/>
  </r>
  <r>
    <x v="1"/>
    <s v="EFT-2376"/>
    <x v="1"/>
    <s v="Tevkifatlı fatura tipinde satır bazlı tevkifat zorunluluğu hatası"/>
    <x v="4"/>
    <e v="#N/A"/>
    <x v="0"/>
    <s v="-"/>
    <x v="0"/>
    <m/>
  </r>
  <r>
    <x v="0"/>
    <s v="KA-1596"/>
    <x v="1"/>
    <s v="UETS ve KEP Alım Servislerinin Ayrıştırılması"/>
    <x v="6"/>
    <s v="Done"/>
    <x v="1"/>
    <s v="-"/>
    <x v="3"/>
    <m/>
  </r>
  <r>
    <x v="0"/>
    <s v="KA-1597"/>
    <x v="0"/>
    <s v="Güncelleme Paketi hazırlanması"/>
    <x v="6"/>
    <s v="To Do"/>
    <x v="1"/>
    <s v="-"/>
    <x v="3"/>
    <m/>
  </r>
  <r>
    <x v="1"/>
    <s v="KA-1602"/>
    <x v="1"/>
    <s v="İleti Raporu Sayfasında 500 Internal Server Error"/>
    <x v="6"/>
    <e v="#N/A"/>
    <x v="0"/>
    <s v="-"/>
    <x v="0"/>
    <m/>
  </r>
  <r>
    <x v="1"/>
    <s v="KA-1603"/>
    <x v="1"/>
    <s v="Miat&quot; Alanı Boş Olduğunda Oluşan Log Şişmesi"/>
    <x v="6"/>
    <e v="#N/A"/>
    <x v="0"/>
    <s v="-"/>
    <x v="0"/>
    <m/>
  </r>
  <r>
    <x v="1"/>
    <s v="MU-128"/>
    <x v="1"/>
    <s v="Cihazlarda FCM Token Alma Sürecinde Zaman Zaman Oluşan Hata"/>
    <x v="9"/>
    <s v="Done"/>
    <x v="0"/>
    <s v="-"/>
    <x v="0"/>
    <m/>
  </r>
  <r>
    <x v="0"/>
    <s v="CRM-809"/>
    <x v="1"/>
    <s v="Halkbank Projesi - Statü Tetikleme Ek Geliştirme"/>
    <x v="0"/>
    <s v="Done"/>
    <x v="0"/>
    <s v="-"/>
    <x v="0"/>
    <m/>
  </r>
  <r>
    <x v="0"/>
    <s v="CRM-821"/>
    <x v="1"/>
    <s v="Halkbank Projesi - Productlist Ürün Tanımları"/>
    <x v="0"/>
    <e v="#N/A"/>
    <x v="0"/>
    <s v="-"/>
    <x v="0"/>
    <m/>
  </r>
  <r>
    <x v="0"/>
    <s v="ES-306"/>
    <x v="3"/>
    <s v="e-Saklama Code Refactoring"/>
    <x v="21"/>
    <s v="Development"/>
    <x v="1"/>
    <s v="-"/>
    <x v="3"/>
    <m/>
  </r>
  <r>
    <x v="0"/>
    <s v="EDF-824"/>
    <x v="3"/>
    <s v="e-Defter Code Refactoring"/>
    <x v="3"/>
    <s v="Development"/>
    <x v="1"/>
    <s v="Gelecek Sprint"/>
    <x v="1"/>
    <m/>
  </r>
  <r>
    <x v="0"/>
    <s v="ES-305"/>
    <x v="1"/>
    <s v="2FA Fonksiyonun Güncellenmesi"/>
    <x v="21"/>
    <s v="Done"/>
    <x v="1"/>
    <s v="-"/>
    <x v="3"/>
    <m/>
  </r>
  <r>
    <x v="0"/>
    <s v="EDF-822"/>
    <x v="1"/>
    <s v="Defter Ürünü için 2FA Fonksiyonun Güncellenmesi"/>
    <x v="3"/>
    <s v="Done"/>
    <x v="1"/>
    <s v="-"/>
    <x v="3"/>
    <m/>
  </r>
  <r>
    <x v="0"/>
    <s v="EDF-821"/>
    <x v="1"/>
    <s v="Defter Ürünü için 2FA Fonksiyonun Aktifleştirilmesi"/>
    <x v="3"/>
    <e v="#N/A"/>
    <x v="0"/>
    <s v="-"/>
    <x v="0"/>
    <m/>
  </r>
  <r>
    <x v="1"/>
    <s v="IMC-1"/>
    <x v="1"/>
    <s v="İmza Client Jar Test Bulguları"/>
    <x v="25"/>
    <s v="Done"/>
    <x v="1"/>
    <s v="-"/>
    <x v="3"/>
    <m/>
  </r>
  <r>
    <x v="0"/>
    <s v="MU-223"/>
    <x v="1"/>
    <s v="Başvuru ve Ödeme Adımının Parametrik Yönetimi"/>
    <x v="9"/>
    <s v="Done"/>
    <x v="1"/>
    <s v="-"/>
    <x v="3"/>
    <m/>
  </r>
  <r>
    <x v="0"/>
    <s v="x"/>
    <x v="0"/>
    <s v=" 2FA uygulama içi araştırma- Geliştirme öncesi madde"/>
    <x v="6"/>
    <e v="#N/A"/>
    <x v="0"/>
    <s v="-"/>
    <x v="0"/>
    <m/>
  </r>
  <r>
    <x v="0"/>
    <s v="y"/>
    <x v="0"/>
    <s v=" 2FA uygulama içi araştırma- Geliştirme öncesi madde"/>
    <x v="12"/>
    <e v="#N/A"/>
    <x v="0"/>
    <s v="-"/>
    <x v="0"/>
    <m/>
  </r>
  <r>
    <x v="0"/>
    <s v="CRM-817"/>
    <x v="0"/>
    <s v="UKDS Entegrasyonu Kapsamında Mevcut Müşteri Verilerinin CRM Üzerinden Aktarımı"/>
    <x v="0"/>
    <s v="To Do"/>
    <x v="1"/>
    <s v="Gelecek Sprint"/>
    <x v="1"/>
    <m/>
  </r>
  <r>
    <x v="0"/>
    <s v="CRM-811"/>
    <x v="3"/>
    <s v="KEPIK Hesap Açılışında Mükerrerlik ve Sipariş Durumu Kontrolleri"/>
    <x v="0"/>
    <s v="In Progress"/>
    <x v="1"/>
    <s v="Gelecek Sprint"/>
    <x v="1"/>
    <m/>
  </r>
  <r>
    <x v="0"/>
    <s v="CRM-805"/>
    <x v="6"/>
    <s v="UKDS Otomasyonu - Bireysel Otomasyon Ek Kurallar"/>
    <x v="0"/>
    <s v="TO TEST"/>
    <x v="1"/>
    <s v="Gelecek Sprint"/>
    <x v="1"/>
    <m/>
  </r>
  <r>
    <x v="0"/>
    <s v="CRM-822"/>
    <x v="3"/>
    <s v="CRM Sistemine Chat Bot Eklenmesi"/>
    <x v="0"/>
    <s v="In Progress"/>
    <x v="1"/>
    <s v="Gelecek Sprint"/>
    <x v="1"/>
    <m/>
  </r>
  <r>
    <x v="0"/>
    <s v="CRM-814"/>
    <x v="6"/>
    <s v="KEPIK Entegrasyon Sözleşme Tipli ERP Alanı"/>
    <x v="0"/>
    <s v="TO TEST"/>
    <x v="1"/>
    <s v="Gelecek Sprint"/>
    <x v="1"/>
    <m/>
  </r>
  <r>
    <x v="0"/>
    <s v="EFT-2389"/>
    <x v="1"/>
    <s v="Fatura Ürünü için 2FA Fonksiyonun Aktifleştirilmesi"/>
    <x v="4"/>
    <s v="Done"/>
    <x v="1"/>
    <s v="-"/>
    <x v="3"/>
    <m/>
  </r>
  <r>
    <x v="3"/>
    <s v="EFT-2388"/>
    <x v="1"/>
    <s v="Araştırma - Fatura Ürünü için 2FA Fonksiyonunun Araştırılması"/>
    <x v="4"/>
    <s v="Done"/>
    <x v="0"/>
    <s v="-"/>
    <x v="0"/>
    <m/>
  </r>
  <r>
    <x v="0"/>
    <s v="EFT-2390"/>
    <x v="3"/>
    <s v="INVOICEHISTORYID Kolon Kapasite İyileştirme Çalışması"/>
    <x v="4"/>
    <s v="Development"/>
    <x v="1"/>
    <s v="Gelecek Sprint"/>
    <x v="1"/>
    <m/>
  </r>
  <r>
    <x v="0"/>
    <s v="EFT-2395"/>
    <x v="3"/>
    <s v="IIS Sunucularında Gereksiz Dosya ve Dizinlerin Kontrolü ve Temizlenmesi"/>
    <x v="4"/>
    <s v="Development"/>
    <x v="1"/>
    <s v="Gelecek Sprint"/>
    <x v="1"/>
    <m/>
  </r>
  <r>
    <x v="1"/>
    <s v="EFT-2396"/>
    <x v="6"/>
    <s v="Web Servis FaturaGönder / UBLFaturaGönder – KDV %0 Faturalar İçin İstisna Kodu Kontrolü"/>
    <x v="4"/>
    <s v="TO TEST"/>
    <x v="1"/>
    <s v="Gelecek Sprint"/>
    <x v="1"/>
    <m/>
  </r>
  <r>
    <x v="0"/>
    <s v="DP-292"/>
    <x v="7"/>
    <s v="Günlük e-Belge Hata Loglarının Excel Raporu Olarak e-mail ile Gönderilmesi"/>
    <x v="1"/>
    <s v="TEST"/>
    <x v="1"/>
    <s v="Gelecek Sprint"/>
    <x v="1"/>
    <n v="2"/>
  </r>
  <r>
    <x v="0"/>
    <s v="CRM-825"/>
    <x v="1"/>
    <s v="Üretim Modülü Veri Yükleme"/>
    <x v="0"/>
    <s v="Done"/>
    <x v="1"/>
    <s v="-"/>
    <x v="3"/>
    <n v="1"/>
  </r>
  <r>
    <x v="0"/>
    <s v="CRM-828"/>
    <x v="6"/>
    <s v="Halkbank Projesi - Prod Ortam Bağlantısı"/>
    <x v="0"/>
    <s v="TO TEST"/>
    <x v="1"/>
    <s v="Gelecek Sprint"/>
    <x v="1"/>
    <n v="1"/>
  </r>
  <r>
    <x v="0"/>
    <s v="EFT-2397"/>
    <x v="0"/>
    <s v="GİB - e-Fatura Paketi Güncelleme(V 1.42)"/>
    <x v="4"/>
    <s v="To Do"/>
    <x v="0"/>
    <s v="Gelecek Sprint"/>
    <x v="2"/>
    <n v="1"/>
  </r>
  <r>
    <x v="0"/>
    <s v="EFT-2398"/>
    <x v="0"/>
    <s v="Portal - Nace Kodu - 555 İstisna"/>
    <x v="4"/>
    <s v="To Do"/>
    <x v="0"/>
    <s v="Gelecek Sprint"/>
    <x v="2"/>
    <m/>
  </r>
  <r>
    <x v="0"/>
    <s v="EFT-2399"/>
    <x v="0"/>
    <s v="WebServis - Nace Kodu - 555 İstisna"/>
    <x v="4"/>
    <s v="To Do"/>
    <x v="0"/>
    <s v="Gelecek Sprint"/>
    <x v="2"/>
    <m/>
  </r>
  <r>
    <x v="0"/>
    <s v="EFT-2400"/>
    <x v="3"/>
    <s v="Nace Kodu - Veritabanına Yeni Mükellef Detay Tablosu Eklenmesi"/>
    <x v="4"/>
    <s v="Development"/>
    <x v="0"/>
    <s v="Gelecek Sprint"/>
    <x v="2"/>
    <n v="3"/>
  </r>
  <r>
    <x v="0"/>
    <s v="EFT-2401"/>
    <x v="0"/>
    <s v="Konnektör - Nace Kodu - 555 İstisna"/>
    <x v="4"/>
    <s v="To Do"/>
    <x v="0"/>
    <s v="Gelecek Sprint"/>
    <x v="2"/>
    <m/>
  </r>
  <r>
    <x v="0"/>
    <s v="CRM-826"/>
    <x v="0"/>
    <s v="ENTEGRASYONBIREYSEL ve ENTEGRASYONKURUMSAL - ProductType"/>
    <x v="0"/>
    <s v="To Do"/>
    <x v="0"/>
    <s v="Gelecek Sprint"/>
    <x v="2"/>
    <n v="2"/>
  </r>
  <r>
    <x v="0"/>
    <s v="CRM-827"/>
    <x v="0"/>
    <s v="Halkbank Projesi - Statü Kodu Senaryo"/>
    <x v="0"/>
    <s v="To Do"/>
    <x v="0"/>
    <s v="Gelecek Sprint"/>
    <x v="2"/>
    <n v="2"/>
  </r>
  <r>
    <x v="1"/>
    <s v="WIK-832"/>
    <x v="0"/>
    <s v="Çalışan Ekle- Tek Başvuru Ekleme Adımı Karakter ve Parametre Kontrolü"/>
    <x v="16"/>
    <s v="To Do"/>
    <x v="0"/>
    <s v="Gelecek Sprint"/>
    <x v="2"/>
    <n v="2"/>
  </r>
  <r>
    <x v="1"/>
    <s v="WIK-834"/>
    <x v="0"/>
    <s v="KEP Delil Raporlarının Sıralanması"/>
    <x v="16"/>
    <s v="To Do"/>
    <x v="0"/>
    <s v="Gelecek Sprint"/>
    <x v="2"/>
    <n v="1"/>
  </r>
  <r>
    <x v="1"/>
    <s v="WIK-833"/>
    <x v="0"/>
    <s v="Sistem Ayarları Sayfasında ''Kaydet'' Aşamasının Uyarısı"/>
    <x v="16"/>
    <s v="To Do"/>
    <x v="0"/>
    <s v="Gelecek Sprint"/>
    <x v="2"/>
    <n v="1"/>
  </r>
  <r>
    <x v="1"/>
    <s v="UKDS-228"/>
    <x v="0"/>
    <s v="Kampanya Başvuru Sayfası Cep Telefonu Numarası Girişi"/>
    <x v="24"/>
    <s v="To Do"/>
    <x v="0"/>
    <s v="Gelecek Sprint"/>
    <x v="2"/>
    <n v="2"/>
  </r>
  <r>
    <x v="0"/>
    <s v="UKDS-229"/>
    <x v="0"/>
    <s v="IKENTEGRATORBIREYSEL- Ön Başvuru Süreç Linkinde Firma Bilgilerinin Gösterimi"/>
    <x v="24"/>
    <s v="To Do"/>
    <x v="0"/>
    <s v="Gelecek Sprint"/>
    <x v="2"/>
    <n v="3"/>
  </r>
  <r>
    <x v="0"/>
    <s v="WIK-792"/>
    <x v="0"/>
    <s v="Duyurunun Birden Fazla Çalışana Bağlanabilmesi"/>
    <x v="16"/>
    <s v="To Do"/>
    <x v="1"/>
    <s v="-"/>
    <x v="3"/>
    <n v="2"/>
  </r>
  <r>
    <x v="1"/>
    <s v="WIK-823"/>
    <x v="4"/>
    <s v="Yeni Dönem/Ay Açılışında Ayın Başında Mükerrer Dönem Oluşması"/>
    <x v="16"/>
    <s v="Publish"/>
    <x v="1"/>
    <s v="-"/>
    <x v="3"/>
    <n v="2"/>
  </r>
  <r>
    <x v="1"/>
    <s v="WIK-824"/>
    <x v="8"/>
    <s v="E imza Logosunun PDF Dosyası İçerisinde Taşma Sorunu"/>
    <x v="16"/>
    <e v="#N/A"/>
    <x v="1"/>
    <s v="-"/>
    <x v="3"/>
    <n v="3"/>
  </r>
  <r>
    <x v="1"/>
    <s v="WIK-825"/>
    <x v="6"/>
    <s v="KEP İK Dönem Servisi Metotunda Mükerer Çalışan Yüklenmesi"/>
    <x v="16"/>
    <s v="TO TEST"/>
    <x v="1"/>
    <s v="-"/>
    <x v="3"/>
    <n v="3"/>
  </r>
  <r>
    <x v="0"/>
    <s v="MUL-215"/>
    <x v="3"/>
    <s v="2FA Fonksiyonun Geliştirilmesi"/>
    <x v="10"/>
    <s v="Development"/>
    <x v="1"/>
    <s v="-"/>
    <x v="3"/>
    <m/>
  </r>
  <r>
    <x v="0"/>
    <s v="IEU-342"/>
    <x v="0"/>
    <s v="Utify Servisi: Tebligat Dönüşleri Detaylı KEP Adresi Raporu ve Adetleri (Başarısız Olanlar) Eklenmesi"/>
    <x v="5"/>
    <s v="To Do"/>
    <x v="0"/>
    <s v="Gelecek Sprint"/>
    <x v="2"/>
    <n v="2"/>
  </r>
  <r>
    <x v="0"/>
    <s v="IEU-343"/>
    <x v="0"/>
    <s v="Versiyon Sisteminin İncelenmesi"/>
    <x v="5"/>
    <s v="To Do"/>
    <x v="0"/>
    <s v="Gelecek Sprint"/>
    <x v="2"/>
    <n v="5"/>
  </r>
  <r>
    <x v="0"/>
    <s v="KA-1608"/>
    <x v="3"/>
    <s v="IIS Sunucularında Gereksiz Dosya ve Dizinlerin Kontrolü ve Temizlenmesi"/>
    <x v="6"/>
    <s v="Development"/>
    <x v="1"/>
    <s v="Gelecek Sprint"/>
    <x v="1"/>
    <n v="3"/>
  </r>
  <r>
    <x v="0"/>
    <s v="KA-1599"/>
    <x v="0"/>
    <s v="2FA Fonksiyonun Güncellenmesi"/>
    <x v="6"/>
    <s v="To Do"/>
    <x v="0"/>
    <s v="Gelecek Sprint"/>
    <x v="2"/>
    <n v="5"/>
  </r>
  <r>
    <x v="0"/>
    <s v="MYS-853"/>
    <x v="0"/>
    <s v="2FA Fonksiyonun Güncellenmesi"/>
    <x v="12"/>
    <s v="To Do"/>
    <x v="1"/>
    <s v="Gelecek Sprint"/>
    <x v="1"/>
    <n v="8"/>
  </r>
  <r>
    <x v="0"/>
    <s v="MU-230"/>
    <x v="0"/>
    <s v="Mobil Uygulama için Widget ve Unit Testlerin Yazılması (UI ve API Kapsamlı) "/>
    <x v="9"/>
    <s v="To Do"/>
    <x v="0"/>
    <s v="Gelecek Sprint"/>
    <x v="2"/>
    <n v="13"/>
  </r>
  <r>
    <x v="0"/>
    <s v="MU-229"/>
    <x v="0"/>
    <s v="BE- Merkezi KEP Rehberi Sorgulamasının Yapılması"/>
    <x v="9"/>
    <s v="To Do"/>
    <x v="0"/>
    <s v="Gelecek Sprint"/>
    <x v="2"/>
    <n v="3"/>
  </r>
  <r>
    <x v="0"/>
    <s v="MU-228"/>
    <x v="0"/>
    <s v="MU- Giden Kutusunda “Teslim Edilemedi” ve “Reddedildi” Delil Türleri İçin Sebep Açıklaması Gösterimi"/>
    <x v="9"/>
    <s v="To Do"/>
    <x v="0"/>
    <s v="Gelecek Sprint"/>
    <x v="2"/>
    <n v="5"/>
  </r>
  <r>
    <x v="0"/>
    <s v="MU-227"/>
    <x v="0"/>
    <s v="Yüksek Boyutlu İleti Açılış Performans Analizi"/>
    <x v="9"/>
    <s v="To Do"/>
    <x v="0"/>
    <s v="Gelecek Sprint"/>
    <x v="2"/>
    <m/>
  </r>
  <r>
    <x v="0"/>
    <s v="KA-1604"/>
    <x v="1"/>
    <s v="Araştırma- Giriş Süreçlerinde Güvenlik Artırımı için SMS, Captcha ve Parametrik Yönetim Araştırması"/>
    <x v="6"/>
    <s v="Done"/>
    <x v="1"/>
    <s v="-"/>
    <x v="3"/>
    <n v="3"/>
  </r>
  <r>
    <x v="0"/>
    <s v="MYS-856"/>
    <x v="1"/>
    <s v="Araştırma- Giriş Süreçlerinde Güvenlik Artırımı için SMS, Captcha ve Parametrik Yönetim Araştırması"/>
    <x v="12"/>
    <s v="Done"/>
    <x v="1"/>
    <s v="-"/>
    <x v="3"/>
    <n v="3"/>
  </r>
  <r>
    <x v="1"/>
    <s v="KA-1605"/>
    <x v="1"/>
    <s v="İleti Raporu Sayısal Veri Uyuşmazlığı"/>
    <x v="6"/>
    <s v="Done"/>
    <x v="1"/>
    <s v="-"/>
    <x v="3"/>
    <n v="2"/>
  </r>
  <r>
    <x v="1"/>
    <s v="MU-224"/>
    <x v="1"/>
    <s v="Biometrik Giriş Sırasında İnternet Bağlantı Hatası"/>
    <x v="9"/>
    <s v="Done"/>
    <x v="1"/>
    <s v="-"/>
    <x v="3"/>
    <n v="3"/>
  </r>
  <r>
    <x v="0"/>
    <s v="MU-225"/>
    <x v="1"/>
    <s v="Mobil Şifremi unuttum ekranları"/>
    <x v="9"/>
    <s v="Done"/>
    <x v="1"/>
    <s v="-"/>
    <x v="3"/>
    <n v="5"/>
  </r>
  <r>
    <x v="1"/>
    <s v="MU-226"/>
    <x v="1"/>
    <s v="Login / OTP Geri Sayım Sayacının Hatalı Çalışması"/>
    <x v="9"/>
    <s v="Done"/>
    <x v="1"/>
    <s v="-"/>
    <x v="3"/>
    <n v="3"/>
  </r>
  <r>
    <x v="1"/>
    <s v="IMC-2"/>
    <x v="1"/>
    <s v="İmza Clientdaki bulguların sebeplerinin netleştirilmesi- Araştırma"/>
    <x v="25"/>
    <s v="Done"/>
    <x v="1"/>
    <s v="-"/>
    <x v="3"/>
    <n v="3"/>
  </r>
  <r>
    <x v="4"/>
    <m/>
    <x v="8"/>
    <m/>
    <x v="26"/>
    <m/>
    <x v="2"/>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79C4B-9AA3-4229-8459-CEE5BCF66803}" name="PivotTable2"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P4:W17" firstHeaderRow="1" firstDataRow="2" firstDataCol="1" rowPageCount="1" colPageCount="1"/>
  <pivotFields count="10">
    <pivotField showAll="0"/>
    <pivotField showAll="0"/>
    <pivotField axis="axisCol" multipleItemSelectionAllowed="1" showAll="0">
      <items count="11">
        <item h="1" x="2"/>
        <item x="1"/>
        <item x="3"/>
        <item x="4"/>
        <item x="0"/>
        <item x="6"/>
        <item h="1" x="8"/>
        <item x="5"/>
        <item h="1" x="7"/>
        <item h="1" m="1" x="9"/>
        <item t="default"/>
      </items>
    </pivotField>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x="24"/>
        <item h="1" x="26"/>
        <item h="1" x="20"/>
        <item h="1" x="19"/>
        <item h="1" x="21"/>
        <item h="1" x="22"/>
        <item x="23"/>
        <item h="1" x="25"/>
        <item t="default"/>
      </items>
    </pivotField>
    <pivotField showAll="0"/>
    <pivotField axis="axisPage" showAll="0">
      <items count="4">
        <item x="0"/>
        <item x="2"/>
        <item x="1"/>
        <item t="default"/>
      </items>
    </pivotField>
    <pivotField showAll="0"/>
    <pivotField dataField="1" showAll="0"/>
    <pivotField showAll="0"/>
  </pivotFields>
  <rowFields count="1">
    <field x="4"/>
  </rowFields>
  <rowItems count="12">
    <i>
      <x/>
    </i>
    <i>
      <x v="2"/>
    </i>
    <i>
      <x v="3"/>
    </i>
    <i>
      <x v="4"/>
    </i>
    <i>
      <x v="5"/>
    </i>
    <i>
      <x v="6"/>
    </i>
    <i>
      <x v="7"/>
    </i>
    <i>
      <x v="8"/>
    </i>
    <i>
      <x v="9"/>
    </i>
    <i>
      <x v="12"/>
    </i>
    <i>
      <x v="22"/>
    </i>
    <i t="grand">
      <x/>
    </i>
  </rowItems>
  <colFields count="1">
    <field x="2"/>
  </colFields>
  <colItems count="7">
    <i>
      <x v="1"/>
    </i>
    <i>
      <x v="2"/>
    </i>
    <i>
      <x v="3"/>
    </i>
    <i>
      <x v="4"/>
    </i>
    <i>
      <x v="5"/>
    </i>
    <i>
      <x v="7"/>
    </i>
    <i t="grand">
      <x/>
    </i>
  </colItems>
  <pageFields count="1">
    <pageField fld="6" item="2" hier="-1"/>
  </pageFields>
  <dataFields count="1">
    <dataField name="Say Durum" fld="8" subtotal="count" baseField="0" baseItem="0"/>
  </dataFields>
  <formats count="3">
    <format dxfId="154">
      <pivotArea outline="0" collapsedLevelsAreSubtotals="1" fieldPosition="0">
        <references count="1">
          <reference field="2" count="4" selected="0">
            <x v="1"/>
            <x v="3"/>
            <x v="4"/>
            <x v="5"/>
          </reference>
        </references>
      </pivotArea>
    </format>
    <format dxfId="153">
      <pivotArea dataOnly="0" labelOnly="1" fieldPosition="0">
        <references count="1">
          <reference field="2" count="4">
            <x v="1"/>
            <x v="3"/>
            <x v="4"/>
            <x v="5"/>
          </reference>
        </references>
      </pivotArea>
    </format>
    <format dxfId="1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3090C9-A89A-4586-8354-637E30867D8C}" name="PivotTable1"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C4:AK17" firstHeaderRow="1" firstDataRow="2" firstDataCol="1" rowPageCount="1" colPageCount="1"/>
  <pivotFields count="10">
    <pivotField showAll="0"/>
    <pivotField showAll="0"/>
    <pivotField axis="axisCol" multipleItemSelectionAllowed="1" showAll="0">
      <items count="11">
        <item h="1" x="2"/>
        <item x="1"/>
        <item x="3"/>
        <item x="5"/>
        <item x="4"/>
        <item x="0"/>
        <item x="6"/>
        <item x="8"/>
        <item h="1" x="7"/>
        <item h="1" m="1" x="9"/>
        <item t="default"/>
      </items>
    </pivotField>
    <pivotField showAll="0"/>
    <pivotField axis="axisRow" showAll="0">
      <items count="31">
        <item x="0"/>
        <item x="1"/>
        <item x="3"/>
        <item x="4"/>
        <item x="5"/>
        <item x="7"/>
        <item x="6"/>
        <item x="16"/>
        <item x="9"/>
        <item x="12"/>
        <item x="10"/>
        <item x="11"/>
        <item x="13"/>
        <item x="14"/>
        <item x="15"/>
        <item x="8"/>
        <item x="2"/>
        <item h="1" x="17"/>
        <item h="1" x="26"/>
        <item h="1" m="1" x="29"/>
        <item h="1" m="1" x="27"/>
        <item h="1" x="18"/>
        <item h="1" m="1" x="28"/>
        <item h="1" x="24"/>
        <item h="1" x="20"/>
        <item h="1" x="19"/>
        <item h="1" x="21"/>
        <item h="1" x="22"/>
        <item x="23"/>
        <item h="1" x="25"/>
        <item t="default"/>
      </items>
    </pivotField>
    <pivotField showAll="0"/>
    <pivotField axis="axisPage" showAll="0">
      <items count="4">
        <item x="0"/>
        <item x="2"/>
        <item x="1"/>
        <item t="default"/>
      </items>
    </pivotField>
    <pivotField showAll="0"/>
    <pivotField showAll="0"/>
    <pivotField dataField="1" showAll="0"/>
  </pivotFields>
  <rowFields count="1">
    <field x="4"/>
  </rowFields>
  <rowItems count="12">
    <i>
      <x/>
    </i>
    <i>
      <x v="2"/>
    </i>
    <i>
      <x v="3"/>
    </i>
    <i>
      <x v="4"/>
    </i>
    <i>
      <x v="5"/>
    </i>
    <i>
      <x v="6"/>
    </i>
    <i>
      <x v="7"/>
    </i>
    <i>
      <x v="8"/>
    </i>
    <i>
      <x v="9"/>
    </i>
    <i>
      <x v="10"/>
    </i>
    <i>
      <x v="12"/>
    </i>
    <i t="grand">
      <x/>
    </i>
  </rowItems>
  <colFields count="1">
    <field x="2"/>
  </colFields>
  <colItems count="8">
    <i>
      <x v="1"/>
    </i>
    <i>
      <x v="2"/>
    </i>
    <i>
      <x v="3"/>
    </i>
    <i>
      <x v="4"/>
    </i>
    <i>
      <x v="5"/>
    </i>
    <i>
      <x v="6"/>
    </i>
    <i>
      <x v="7"/>
    </i>
    <i t="grand">
      <x/>
    </i>
  </colItems>
  <pageFields count="1">
    <pageField fld="6" item="2" hier="-1"/>
  </pageFields>
  <dataFields count="1">
    <dataField name="Toplam Story Point2" fld="9" baseField="0" baseItem="0"/>
  </dataFields>
  <formats count="3">
    <format dxfId="157">
      <pivotArea outline="0" collapsedLevelsAreSubtotals="1" fieldPosition="0">
        <references count="1">
          <reference field="2" count="4" selected="0">
            <x v="1"/>
            <x v="4"/>
            <x v="5"/>
            <x v="6"/>
          </reference>
        </references>
      </pivotArea>
    </format>
    <format dxfId="156">
      <pivotArea dataOnly="0" labelOnly="1" fieldPosition="0">
        <references count="1">
          <reference field="2" count="4">
            <x v="1"/>
            <x v="4"/>
            <x v="5"/>
            <x v="6"/>
          </reference>
        </references>
      </pivotArea>
    </format>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70D5C-95F2-4227-ABD4-D88BCD9B3424}" name="PivotTable6"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Q4:AT17" firstHeaderRow="1" firstDataRow="2" firstDataCol="1" rowPageCount="2" colPageCount="1"/>
  <pivotFields count="10">
    <pivotField axis="axisCol" showAll="0">
      <items count="9">
        <item x="1"/>
        <item m="1" x="6"/>
        <item x="0"/>
        <item x="2"/>
        <item m="1" x="5"/>
        <item x="3"/>
        <item x="4"/>
        <item m="1" x="7"/>
        <item t="default"/>
      </items>
    </pivotField>
    <pivotField showAll="0"/>
    <pivotField axis="axisPage" multipleItemSelectionAllowed="1" showAll="0">
      <items count="11">
        <item h="1" x="2"/>
        <item m="1" x="9"/>
        <item x="1"/>
        <item x="3"/>
        <item x="5"/>
        <item x="4"/>
        <item x="7"/>
        <item x="0"/>
        <item x="6"/>
        <item h="1" x="8"/>
        <item t="default"/>
      </items>
    </pivotField>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h="1" x="24"/>
        <item h="1" x="26"/>
        <item h="1" x="20"/>
        <item h="1" x="19"/>
        <item h="1" x="21"/>
        <item h="1" x="22"/>
        <item x="23"/>
        <item h="1" x="25"/>
        <item t="default"/>
      </items>
    </pivotField>
    <pivotField showAll="0"/>
    <pivotField axis="axisPage" showAll="0">
      <items count="4">
        <item x="0"/>
        <item x="2"/>
        <item x="1"/>
        <item t="default"/>
      </items>
    </pivotField>
    <pivotField showAll="0"/>
    <pivotField dataField="1" showAll="0"/>
    <pivotField showAll="0"/>
  </pivotFields>
  <rowFields count="1">
    <field x="4"/>
  </rowFields>
  <rowItems count="12">
    <i>
      <x/>
    </i>
    <i>
      <x v="1"/>
    </i>
    <i>
      <x v="2"/>
    </i>
    <i>
      <x v="3"/>
    </i>
    <i>
      <x v="4"/>
    </i>
    <i>
      <x v="5"/>
    </i>
    <i>
      <x v="6"/>
    </i>
    <i>
      <x v="7"/>
    </i>
    <i>
      <x v="8"/>
    </i>
    <i>
      <x v="9"/>
    </i>
    <i>
      <x v="12"/>
    </i>
    <i t="grand">
      <x/>
    </i>
  </rowItems>
  <colFields count="1">
    <field x="0"/>
  </colFields>
  <colItems count="3">
    <i>
      <x/>
    </i>
    <i>
      <x v="2"/>
    </i>
    <i t="grand">
      <x/>
    </i>
  </colItems>
  <pageFields count="2">
    <pageField fld="6" item="2" hier="-1"/>
    <pageField fld="2" hier="-1"/>
  </pageFields>
  <dataFields count="1">
    <dataField name="Say Durum" fld="8" subtotal="count" baseField="0" baseItem="0"/>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DAC35-C17F-46E5-BED0-7215FCA7D224}" name="PivotTable4"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C30:AH48" firstHeaderRow="1" firstDataRow="2" firstDataCol="1" rowPageCount="1" colPageCount="1"/>
  <pivotFields count="10">
    <pivotField showAll="0"/>
    <pivotField showAll="0"/>
    <pivotField axis="axisPage" multipleItemSelectionAllowed="1" showAll="0">
      <items count="11">
        <item h="1" x="2"/>
        <item x="1"/>
        <item x="3"/>
        <item x="5"/>
        <item x="4"/>
        <item x="0"/>
        <item x="6"/>
        <item x="8"/>
        <item h="1" x="7"/>
        <item h="1" m="1" x="9"/>
        <item t="default"/>
      </items>
    </pivotField>
    <pivotField showAll="0"/>
    <pivotField axis="axisRow" showAll="0">
      <items count="31">
        <item x="0"/>
        <item x="1"/>
        <item x="3"/>
        <item x="4"/>
        <item x="5"/>
        <item x="7"/>
        <item x="6"/>
        <item x="16"/>
        <item x="9"/>
        <item x="12"/>
        <item h="1" x="10"/>
        <item h="1" x="11"/>
        <item x="13"/>
        <item x="14"/>
        <item x="15"/>
        <item x="8"/>
        <item x="2"/>
        <item h="1" x="17"/>
        <item h="1" x="26"/>
        <item h="1" m="1" x="29"/>
        <item h="1" m="1" x="27"/>
        <item h="1" x="18"/>
        <item h="1" m="1" x="28"/>
        <item h="1" x="24"/>
        <item h="1" x="20"/>
        <item h="1" x="19"/>
        <item h="1" x="21"/>
        <item h="1" x="22"/>
        <item x="23"/>
        <item h="1" x="25"/>
        <item t="default"/>
      </items>
    </pivotField>
    <pivotField showAll="0"/>
    <pivotField showAll="0"/>
    <pivotField showAll="0"/>
    <pivotField axis="axisCol" dataField="1" showAll="0">
      <items count="6">
        <item x="0"/>
        <item x="4"/>
        <item x="3"/>
        <item x="1"/>
        <item x="2"/>
        <item t="default"/>
      </items>
    </pivotField>
    <pivotField showAll="0"/>
  </pivotFields>
  <rowFields count="1">
    <field x="4"/>
  </rowFields>
  <rowItems count="17">
    <i>
      <x/>
    </i>
    <i>
      <x v="1"/>
    </i>
    <i>
      <x v="2"/>
    </i>
    <i>
      <x v="3"/>
    </i>
    <i>
      <x v="4"/>
    </i>
    <i>
      <x v="5"/>
    </i>
    <i>
      <x v="6"/>
    </i>
    <i>
      <x v="7"/>
    </i>
    <i>
      <x v="8"/>
    </i>
    <i>
      <x v="9"/>
    </i>
    <i>
      <x v="12"/>
    </i>
    <i>
      <x v="13"/>
    </i>
    <i>
      <x v="14"/>
    </i>
    <i>
      <x v="15"/>
    </i>
    <i>
      <x v="16"/>
    </i>
    <i>
      <x v="28"/>
    </i>
    <i t="grand">
      <x/>
    </i>
  </rowItems>
  <colFields count="1">
    <field x="8"/>
  </colFields>
  <colItems count="5">
    <i>
      <x/>
    </i>
    <i>
      <x v="2"/>
    </i>
    <i>
      <x v="3"/>
    </i>
    <i>
      <x v="4"/>
    </i>
    <i t="grand">
      <x/>
    </i>
  </colItems>
  <pageFields count="1">
    <pageField fld="2" hier="-1"/>
  </pageFields>
  <dataFields count="1">
    <dataField name="Say Durum"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EF132-5FE4-4492-A3E0-5FF66DD6D9DC}" name="PivotTable7"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Q30:AV48" firstHeaderRow="1" firstDataRow="2" firstDataCol="1"/>
  <pivotFields count="10">
    <pivotField axis="axisCol" showAll="0">
      <items count="9">
        <item x="1"/>
        <item m="1" x="6"/>
        <item x="0"/>
        <item x="2"/>
        <item m="1" x="5"/>
        <item x="3"/>
        <item x="4"/>
        <item m="1" x="7"/>
        <item t="default"/>
      </items>
    </pivotField>
    <pivotField showAll="0"/>
    <pivotField multipleItemSelectionAllowed="1" showAll="0"/>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h="1" x="24"/>
        <item h="1" x="26"/>
        <item h="1" x="20"/>
        <item h="1" x="19"/>
        <item h="1" x="21"/>
        <item h="1" x="22"/>
        <item x="23"/>
        <item h="1" x="25"/>
        <item t="default"/>
      </items>
    </pivotField>
    <pivotField showAll="0"/>
    <pivotField showAll="0"/>
    <pivotField showAll="0"/>
    <pivotField dataField="1" showAll="0"/>
    <pivotField showAll="0"/>
  </pivotFields>
  <rowFields count="1">
    <field x="4"/>
  </rowFields>
  <rowItems count="17">
    <i>
      <x/>
    </i>
    <i>
      <x v="1"/>
    </i>
    <i>
      <x v="2"/>
    </i>
    <i>
      <x v="3"/>
    </i>
    <i>
      <x v="4"/>
    </i>
    <i>
      <x v="5"/>
    </i>
    <i>
      <x v="6"/>
    </i>
    <i>
      <x v="7"/>
    </i>
    <i>
      <x v="8"/>
    </i>
    <i>
      <x v="9"/>
    </i>
    <i>
      <x v="12"/>
    </i>
    <i>
      <x v="13"/>
    </i>
    <i>
      <x v="14"/>
    </i>
    <i>
      <x v="15"/>
    </i>
    <i>
      <x v="16"/>
    </i>
    <i>
      <x v="28"/>
    </i>
    <i t="grand">
      <x/>
    </i>
  </rowItems>
  <colFields count="1">
    <field x="0"/>
  </colFields>
  <colItems count="5">
    <i>
      <x/>
    </i>
    <i>
      <x v="2"/>
    </i>
    <i>
      <x v="3"/>
    </i>
    <i>
      <x v="5"/>
    </i>
    <i t="grand">
      <x/>
    </i>
  </colItems>
  <dataFields count="1">
    <dataField name="Say Durum" fld="8" subtotal="count" baseField="0" baseItem="0"/>
  </dataFields>
  <formats count="1">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083B4-0009-4E81-89CB-9366279B19E1}" name="PivotTable3"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P29:W48" firstHeaderRow="1" firstDataRow="2" firstDataCol="1" rowPageCount="1" colPageCount="1"/>
  <pivotFields count="10">
    <pivotField showAll="0"/>
    <pivotField showAll="0"/>
    <pivotField axis="axisCol" showAll="0">
      <items count="10">
        <item x="1"/>
        <item x="3"/>
        <item x="5"/>
        <item x="0"/>
        <item x="6"/>
        <item m="1" x="7"/>
        <item h="1" x="2"/>
        <item x="4"/>
        <item h="1" m="1" x="8"/>
        <item t="default"/>
      </items>
    </pivotField>
    <pivotField showAll="0"/>
    <pivotField axis="axisRow" showAll="0">
      <items count="30">
        <item x="0"/>
        <item x="1"/>
        <item x="3"/>
        <item x="4"/>
        <item x="5"/>
        <item x="7"/>
        <item x="6"/>
        <item x="16"/>
        <item x="9"/>
        <item x="12"/>
        <item h="1" x="10"/>
        <item h="1" x="11"/>
        <item x="13"/>
        <item x="14"/>
        <item x="15"/>
        <item x="8"/>
        <item x="2"/>
        <item x="17"/>
        <item h="1" m="1" x="28"/>
        <item h="1" m="1" x="25"/>
        <item h="1" x="18"/>
        <item h="1" m="1" x="26"/>
        <item h="1" m="1" x="27"/>
        <item h="1" x="20"/>
        <item h="1" x="19"/>
        <item h="1" x="21"/>
        <item h="1" x="22"/>
        <item x="23"/>
        <item h="1" m="1" x="24"/>
        <item t="default"/>
      </items>
    </pivotField>
    <pivotField showAll="0"/>
    <pivotField axis="axisPage" showAll="0">
      <items count="3">
        <item x="0"/>
        <item x="1"/>
        <item t="default"/>
      </items>
    </pivotField>
    <pivotField showAll="0"/>
    <pivotField dataField="1" showAll="0"/>
    <pivotField showAll="0"/>
  </pivotFields>
  <rowFields count="1">
    <field x="4"/>
  </rowFields>
  <rowItems count="18">
    <i>
      <x/>
    </i>
    <i>
      <x v="1"/>
    </i>
    <i>
      <x v="2"/>
    </i>
    <i>
      <x v="3"/>
    </i>
    <i>
      <x v="4"/>
    </i>
    <i>
      <x v="5"/>
    </i>
    <i>
      <x v="6"/>
    </i>
    <i>
      <x v="7"/>
    </i>
    <i>
      <x v="8"/>
    </i>
    <i>
      <x v="9"/>
    </i>
    <i>
      <x v="12"/>
    </i>
    <i>
      <x v="13"/>
    </i>
    <i>
      <x v="14"/>
    </i>
    <i>
      <x v="15"/>
    </i>
    <i>
      <x v="16"/>
    </i>
    <i>
      <x v="17"/>
    </i>
    <i>
      <x v="27"/>
    </i>
    <i t="grand">
      <x/>
    </i>
  </rowItems>
  <colFields count="1">
    <field x="2"/>
  </colFields>
  <colItems count="7">
    <i>
      <x/>
    </i>
    <i>
      <x v="1"/>
    </i>
    <i>
      <x v="2"/>
    </i>
    <i>
      <x v="3"/>
    </i>
    <i>
      <x v="4"/>
    </i>
    <i>
      <x v="7"/>
    </i>
    <i t="grand">
      <x/>
    </i>
  </colItems>
  <pageFields count="1">
    <pageField fld="6" hier="-1"/>
  </pageFields>
  <dataFields count="1">
    <dataField name="Say Durum" fld="8" subtotal="count" baseField="0" baseItem="0"/>
  </dataFields>
  <formats count="3">
    <format dxfId="162">
      <pivotArea outline="0" collapsedLevelsAreSubtotals="1" fieldPosition="0">
        <references count="1">
          <reference field="2" count="6" selected="0">
            <x v="0"/>
            <x v="1"/>
            <x v="2"/>
            <x v="3"/>
            <x v="4"/>
            <x v="7"/>
          </reference>
        </references>
      </pivotArea>
    </format>
    <format dxfId="161">
      <pivotArea dataOnly="0" labelOnly="1" fieldPosition="0">
        <references count="1">
          <reference field="2" count="6">
            <x v="0"/>
            <x v="1"/>
            <x v="2"/>
            <x v="3"/>
            <x v="4"/>
            <x v="7"/>
          </reference>
        </references>
      </pivotArea>
    </format>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BABEDF-71E4-4269-83B2-0A811ABCC6AE}" name="Türkkep_Jira_2026_03_19T08_51_10_02003" displayName="Türkkep_Jira_2026_03_19T08_51_10_02003" ref="A1:EH255" totalsRowShown="0">
  <autoFilter ref="A1:EH255" xr:uid="{49BABEDF-71E4-4269-83B2-0A811ABCC6AE}"/>
  <tableColumns count="138">
    <tableColumn id="1" xr3:uid="{368B308B-D789-4C1D-85FE-8B226E55DC79}" name="Summary" dataDxfId="151"/>
    <tableColumn id="2" xr3:uid="{6EED01DA-FEE5-4FC1-ACB7-3113F28C79EE}" name="Issue key" dataDxfId="150"/>
    <tableColumn id="3" xr3:uid="{3BA207CF-600F-4FE0-B6D5-9CC4DC29E080}" name="Issue id"/>
    <tableColumn id="4" xr3:uid="{9DCA7EAD-42FC-4C9B-8302-76A6B5EC7892}" name="Parent id"/>
    <tableColumn id="5" xr3:uid="{16666AC9-B5FA-4656-861B-CEA8DDAAB5E7}" name="Issue Type" dataDxfId="149"/>
    <tableColumn id="6" xr3:uid="{FB61C05D-37C6-4D0D-95B9-33E35CDF49D9}" name="Status" dataDxfId="148"/>
    <tableColumn id="7" xr3:uid="{F6F0AD6D-1021-424D-BD30-B632628C4820}" name="Project key" dataDxfId="147"/>
    <tableColumn id="8" xr3:uid="{F0D7D29B-C9BB-46EB-842E-021AC8D37B9C}" name="Project name" dataDxfId="146"/>
    <tableColumn id="9" xr3:uid="{9E720FA6-1D3C-4456-B3D7-48B8829C3842}" name="Project type" dataDxfId="145"/>
    <tableColumn id="10" xr3:uid="{40BF4886-0881-4CE3-81F7-7BA7B61498EC}" name="Project lead" dataDxfId="144"/>
    <tableColumn id="11" xr3:uid="{665224A4-B832-4C66-8E4A-CDC75CCF8BC2}" name="Project description" dataDxfId="143"/>
    <tableColumn id="12" xr3:uid="{27094C9B-C55C-4434-9779-131FE13ED220}" name="Project url" dataDxfId="142"/>
    <tableColumn id="13" xr3:uid="{0DEC754F-3895-465B-8015-743BA1404CA2}" name="Priority" dataDxfId="141"/>
    <tableColumn id="14" xr3:uid="{C30D984C-97AF-4CD6-A364-2D678E9F0E9A}" name="Resolution" dataDxfId="140"/>
    <tableColumn id="15" xr3:uid="{481D5E62-66DD-49BD-B3D3-64A6374B39C3}" name="Assignee" dataDxfId="139"/>
    <tableColumn id="16" xr3:uid="{027E4E7E-0FA4-4881-ADBB-199E269E38C1}" name="Reporter" dataDxfId="138"/>
    <tableColumn id="17" xr3:uid="{AC04B8F5-918D-4BD9-826E-CB6213BD2ADF}" name="Creator" dataDxfId="137"/>
    <tableColumn id="18" xr3:uid="{97FC80C7-4A4E-4992-BF7D-3B8BC25BE227}" name="Created" dataDxfId="136"/>
    <tableColumn id="19" xr3:uid="{A0D6D3E3-A83E-41B7-B053-ADE828C004FE}" name="Updated" dataDxfId="135"/>
    <tableColumn id="20" xr3:uid="{A04F4528-C92A-486C-9DA0-ED8D3ECE2C1F}" name="Last Viewed" dataDxfId="134"/>
    <tableColumn id="21" xr3:uid="{E40A3F20-FB3F-4F97-B1E6-AA6643EB4529}" name="Resolved" dataDxfId="133"/>
    <tableColumn id="22" xr3:uid="{1CF99E9D-BD74-42DD-95EA-88CCCFFCD447}" name="Fix Version/s" dataDxfId="132"/>
    <tableColumn id="23" xr3:uid="{2BF2FD88-B3E9-471D-BECE-E2578E9C2305}" name="Component/s" dataDxfId="131"/>
    <tableColumn id="24" xr3:uid="{22827856-BAEA-481E-BCF5-EF0F65C212FD}" name="Due Date" dataDxfId="130"/>
    <tableColumn id="25" xr3:uid="{3608F86E-74CF-4397-A11E-CF9374E82D5F}" name="Votes"/>
    <tableColumn id="26" xr3:uid="{6B1D2759-D705-413C-94CC-14E20C6947F8}" name="Labels" dataDxfId="129"/>
    <tableColumn id="27" xr3:uid="{9C64D5C5-220A-4E9B-A442-203F1D3F2F61}" name="Description" dataDxfId="128"/>
    <tableColumn id="28" xr3:uid="{2BF1EF51-8EA2-40D3-888B-26E7DEEEE9F1}" name="Environment" dataDxfId="127"/>
    <tableColumn id="29" xr3:uid="{44EB243C-7445-40BE-849C-9376CA9AC6E1}" name="Watchers" dataDxfId="126"/>
    <tableColumn id="30" xr3:uid="{86359543-6618-4619-ACC0-CBE43E605447}" name="Watchers_1" dataDxfId="125"/>
    <tableColumn id="31" xr3:uid="{ABEB152C-0CBA-4EA4-A400-B45E5C709E19}" name="Watchers_2" dataDxfId="124"/>
    <tableColumn id="32" xr3:uid="{F9299BC6-E6A5-47DA-9916-A474C652343F}" name="Watchers_3" dataDxfId="123"/>
    <tableColumn id="33" xr3:uid="{77EDEE35-CC8C-4C8E-A0BE-0B3FD665E59A}" name="Watchers_4" dataDxfId="122"/>
    <tableColumn id="34" xr3:uid="{E27C1665-37BD-48E6-A183-2E92F6163794}" name="Log Work" dataDxfId="121"/>
    <tableColumn id="35" xr3:uid="{254D04B1-7B27-4152-B89A-D1311F3B7F74}" name="Log Work_5" dataDxfId="120"/>
    <tableColumn id="36" xr3:uid="{F9FD3E02-C3A3-4C31-9F71-344AC0D92C85}" name="Log Work_6" dataDxfId="119"/>
    <tableColumn id="37" xr3:uid="{646DC40E-4A53-4B53-A6AA-2015983A3DB9}" name="Log Work_7" dataDxfId="118"/>
    <tableColumn id="38" xr3:uid="{F06A2D9C-91D3-45AF-9AEE-CDF15D3CC87E}" name="Log Work_8" dataDxfId="117"/>
    <tableColumn id="39" xr3:uid="{0F99F2C5-4FAC-4F11-B2F1-0C484D6B7F66}" name="Log Work_9" dataDxfId="116"/>
    <tableColumn id="40" xr3:uid="{482D5A02-E31F-4A7A-886F-CE88AA0C911C}" name="Log Work_10" dataDxfId="115"/>
    <tableColumn id="41" xr3:uid="{DBF49990-212D-44EB-967C-75B2D7D388AE}" name="Log Work_11" dataDxfId="114"/>
    <tableColumn id="42" xr3:uid="{E79A04CF-4EA4-4BAE-905E-25D4B63B61B0}" name="Log Work_12" dataDxfId="113"/>
    <tableColumn id="43" xr3:uid="{757E86AD-BB3E-4995-9DCD-0A3A76CFB159}" name="Log Work_13" dataDxfId="112"/>
    <tableColumn id="44" xr3:uid="{80209B18-BE66-4065-AEAF-D70569DBF2D9}" name="Log Work_14" dataDxfId="111"/>
    <tableColumn id="45" xr3:uid="{6B8D820A-23A7-4812-B8EF-D52D3F54A945}" name="Log Work_15" dataDxfId="110"/>
    <tableColumn id="46" xr3:uid="{3A7A8532-DFA4-422F-8908-EF69BC1CCBC0}" name="Log Work_16" dataDxfId="109"/>
    <tableColumn id="47" xr3:uid="{0FFC1CF8-A303-47F6-9951-EDCF708AA88B}" name="Log Work_17" dataDxfId="108"/>
    <tableColumn id="48" xr3:uid="{198F30B5-FD6C-4F9F-8B1E-131533B884C3}" name="Log Work_18" dataDxfId="107"/>
    <tableColumn id="49" xr3:uid="{A874FC9B-199B-4B0F-8594-B778719F0A96}" name="Log Work_19" dataDxfId="106"/>
    <tableColumn id="50" xr3:uid="{061B651C-17DB-4CAC-ADBD-BE24DF9DCA7A}" name="Log Work_20" dataDxfId="105"/>
    <tableColumn id="51" xr3:uid="{39FAA373-1376-4311-9AC4-A6149638753F}" name="Log Work_21" dataDxfId="104"/>
    <tableColumn id="52" xr3:uid="{2E1193A8-E0EB-4A9D-B074-BE4538AE8DF4}" name="Log Work_22" dataDxfId="103"/>
    <tableColumn id="53" xr3:uid="{4BB736A7-8641-4B90-995D-25F8F88FACBE}" name="Log Work_23" dataDxfId="102"/>
    <tableColumn id="54" xr3:uid="{ADCC90E4-C1F7-420B-8A98-A38538008E53}" name="Log Work_24" dataDxfId="101"/>
    <tableColumn id="55" xr3:uid="{29EB650C-8532-4019-955F-90E5BB2D4726}" name="Log Work_25" dataDxfId="100"/>
    <tableColumn id="56" xr3:uid="{2B0FBA89-9443-4261-A328-ED2D1237E859}" name="Log Work_26" dataDxfId="99"/>
    <tableColumn id="57" xr3:uid="{EC43B8DD-11C1-4D0D-ACE0-5D1C851ED4CC}" name="Log Work_27" dataDxfId="98"/>
    <tableColumn id="58" xr3:uid="{47557B31-4750-4414-BE7F-12E578894889}" name="Log Work_28" dataDxfId="97"/>
    <tableColumn id="59" xr3:uid="{E952317C-DF07-44AD-9A77-0EE6F8E5C249}" name="Log Work_29" dataDxfId="96"/>
    <tableColumn id="60" xr3:uid="{786BD183-8F21-45E5-9602-ACA7F11DC8FD}" name="Log Work_30" dataDxfId="95"/>
    <tableColumn id="61" xr3:uid="{1A8FDE64-F4C9-4E50-8812-97FF661BFCF3}" name="Log Work_31" dataDxfId="94"/>
    <tableColumn id="62" xr3:uid="{77AD3699-04BE-456F-A8DA-F2B12D114052}" name="Log Work_32" dataDxfId="93"/>
    <tableColumn id="63" xr3:uid="{18FAC9BC-76D2-4E08-9D85-F4F9C000D080}" name="Log Work_33" dataDxfId="92"/>
    <tableColumn id="64" xr3:uid="{C75D2274-5993-4C61-BE62-0E8DA4E74CFB}" name="Log Work_34" dataDxfId="91"/>
    <tableColumn id="65" xr3:uid="{AB865A91-0442-44B5-9D46-87BC6533E3AA}" name="Log Work_35" dataDxfId="90"/>
    <tableColumn id="66" xr3:uid="{E374C834-E70E-46C2-9E3F-F2C98856AA9C}" name="Log Work_36" dataDxfId="89"/>
    <tableColumn id="67" xr3:uid="{FD3BC2D5-4AF6-46D1-A62A-211B11E8F382}" name="Log Work_37" dataDxfId="88"/>
    <tableColumn id="68" xr3:uid="{8DC1FBF7-263A-41B1-A392-BCCDA612973F}" name="Original Estimate" dataDxfId="87"/>
    <tableColumn id="69" xr3:uid="{5FB0CA74-F569-460C-8337-31D762A2E4A0}" name="Remaining Estimate"/>
    <tableColumn id="70" xr3:uid="{3B22E0FF-D175-4F6C-BCC0-16930F04DD8B}" name="Time Spent"/>
    <tableColumn id="71" xr3:uid="{AAD52631-07FC-454F-B13E-B598C96D0C8F}" name="Work Ratio" dataDxfId="86"/>
    <tableColumn id="72" xr3:uid="{3ADA04ED-34BD-4798-AC84-EB0D7A1DC1C4}" name="Σ Original Estimate" dataDxfId="85"/>
    <tableColumn id="73" xr3:uid="{4539EFED-B6D1-4D96-977F-B615A8734117}" name="Σ Remaining Estimate"/>
    <tableColumn id="74" xr3:uid="{E87DF843-4B86-48F5-A442-EBE9FE6CB037}" name="Σ Time Spent"/>
    <tableColumn id="75" xr3:uid="{E858615E-9887-465D-B920-0321317A9453}" name="Security Level" dataDxfId="84"/>
    <tableColumn id="76" xr3:uid="{425F6D10-B3F9-44FA-A7FF-1555A5FA247C}" name="Outward issue link (Cloners)" dataDxfId="83"/>
    <tableColumn id="77" xr3:uid="{3A8011C1-A6E9-4D01-BBDA-25358907BE44}" name="Outward issue link (Relates)" dataDxfId="82"/>
    <tableColumn id="78" xr3:uid="{534C38F9-9629-4A08-8183-2BFD96D35295}" name="Attachment" dataDxfId="81"/>
    <tableColumn id="79" xr3:uid="{EE515BFB-E91F-4DC7-B15B-B148122462DC}" name="Attachment_38" dataDxfId="80"/>
    <tableColumn id="80" xr3:uid="{3B9DD960-C053-4F99-9000-88CD211B9567}" name="Attachment_39" dataDxfId="79"/>
    <tableColumn id="81" xr3:uid="{2F06F450-AA70-4EEC-97D1-D73CFC27A1AC}" name="Attachment_40" dataDxfId="78"/>
    <tableColumn id="82" xr3:uid="{D6AC2655-3125-4303-AB30-EB95657D34B9}" name="Attachment_41" dataDxfId="77"/>
    <tableColumn id="83" xr3:uid="{0861B60E-CEB7-4E88-B819-9BB03164C586}" name="Attachment_42" dataDxfId="76"/>
    <tableColumn id="84" xr3:uid="{39026177-62C3-4848-A525-9F242D53DFD1}" name="Attachment_43" dataDxfId="75"/>
    <tableColumn id="85" xr3:uid="{8BF4F586-3E1D-4FD8-8B95-C4E371BBE347}" name="Attachment_44" dataDxfId="74"/>
    <tableColumn id="86" xr3:uid="{27CFC8EE-445F-47EB-9FBA-E1635E3E79A9}" name="Attachment_45" dataDxfId="73"/>
    <tableColumn id="87" xr3:uid="{5126F797-CCD0-47E7-A4A4-4D719E9E264A}" name="Attachment_46" dataDxfId="72"/>
    <tableColumn id="88" xr3:uid="{A56FD08A-6DC2-4B32-B1C5-E50A5330F622}" name="Custom field (Analyst)" dataDxfId="71"/>
    <tableColumn id="89" xr3:uid="{97A26152-C721-4B46-8CE7-0FFA9BE883B1}" name="Custom field (Başlama Tarihi)" dataDxfId="70"/>
    <tableColumn id="90" xr3:uid="{3A3AC6CB-3758-4B81-BA5F-FDFD70180616}" name="Custom field (Epic Color)" dataDxfId="69"/>
    <tableColumn id="91" xr3:uid="{0FFF0D51-923C-4799-8179-451C9E7F6239}" name="Custom field (Epic Link)" dataDxfId="68"/>
    <tableColumn id="92" xr3:uid="{E3CF547B-0413-4B07-B524-B7A4101D5326}" name="Custom field (Epic Name)" dataDxfId="67"/>
    <tableColumn id="93" xr3:uid="{92F52ABF-8C43-4D89-B2AD-E97AECBBBE4F}" name="Custom field (Epic Status)" dataDxfId="66"/>
    <tableColumn id="94" xr3:uid="{D78BB976-BAB5-4E7D-8B10-39D9EB21E511}" name="Custom field (Ortak - Kayda Atanan)" dataDxfId="65"/>
    <tableColumn id="95" xr3:uid="{9F11B37F-8BF3-4E61-9AAF-B16D1F2D6945}" name="Custom field (Ortak - Kaydı Açan)" dataDxfId="64"/>
    <tableColumn id="96" xr3:uid="{B36144D3-2569-496E-9578-8702D4D9960D}" name="Custom field (Pending Reason)" dataDxfId="63"/>
    <tableColumn id="97" xr3:uid="{ACA085EE-E01F-462D-8824-2B0EEFA309FE}" name="Custom field (Product Owner)" dataDxfId="62"/>
    <tableColumn id="98" xr3:uid="{13443379-CB3C-49A2-9444-B927A9E9A5CA}" name="Custom field (Rank)" dataDxfId="61"/>
    <tableColumn id="99" xr3:uid="{714940A2-CBAB-40C2-89F0-EF4A90300C43}" name="Sprint" dataDxfId="60"/>
    <tableColumn id="100" xr3:uid="{4CECD561-C5AB-4304-81EA-CDAFA4F76FFF}" name="Sprint_47" dataDxfId="59"/>
    <tableColumn id="101" xr3:uid="{749B86E0-3012-4916-83CF-C86E443F6259}" name="Sprint_48" dataDxfId="58"/>
    <tableColumn id="102" xr3:uid="{8C48B8F6-CB44-4046-B423-77682950C545}" name="Sprint_49" dataDxfId="57"/>
    <tableColumn id="103" xr3:uid="{C00D1DE5-43EC-4CF0-AB99-83521702F66A}" name="Sprint_50" dataDxfId="56"/>
    <tableColumn id="104" xr3:uid="{358506BF-2E5C-4DAE-8457-5230FDB7ED84}" name="Sprint_51" dataDxfId="55"/>
    <tableColumn id="105" xr3:uid="{8C893C2E-3A1F-4433-823E-277784D41E72}" name="Sprint_52" dataDxfId="54"/>
    <tableColumn id="106" xr3:uid="{44D4A18E-AE63-4979-850E-0E16C468542F}" name="Sprint_53" dataDxfId="53"/>
    <tableColumn id="107" xr3:uid="{F455D780-5C42-45BE-A8A2-FBDA2592AD70}" name="Sprint_54" dataDxfId="52"/>
    <tableColumn id="108" xr3:uid="{5ACD8074-FAA8-4093-AC1B-DF9D8A697DB1}" name="Sprint_55" dataDxfId="51"/>
    <tableColumn id="109" xr3:uid="{5721AB2E-05FC-4C33-A776-9CF2550D3EA8}" name="Sprint_56" dataDxfId="50"/>
    <tableColumn id="110" xr3:uid="{BCB06B58-90A8-4D7B-84DC-8C67EEEB5B76}" name="Sprint_57" dataDxfId="49"/>
    <tableColumn id="111" xr3:uid="{C146FA28-5260-4ABF-9B8B-F0852BA07B33}" name="Sprint_58" dataDxfId="48"/>
    <tableColumn id="112" xr3:uid="{BA821D85-2604-472D-A4ED-5E1BF90E6E48}" name="Sprint_59" dataDxfId="47"/>
    <tableColumn id="113" xr3:uid="{B7547D75-08C5-4A61-B204-8C57F8BBA922}" name="Custom field (Story Points)"/>
    <tableColumn id="114" xr3:uid="{2C5BBF6E-683D-4942-9418-B0DDB812619C}" name="Custom field (Talep Sahibi - CRM)" dataDxfId="46"/>
    <tableColumn id="115" xr3:uid="{DDF099AC-2FA8-4CAA-918E-B5D0F9A0DC8C}" name="Custom field (Tester)" dataDxfId="45"/>
    <tableColumn id="116" xr3:uid="{B22D5C74-578F-4C4D-8F91-FCEEC71BF348}" name="Comment" dataDxfId="44"/>
    <tableColumn id="117" xr3:uid="{EE5F3149-7F2B-49C2-B730-2866863E2530}" name="Comment_60" dataDxfId="43"/>
    <tableColumn id="118" xr3:uid="{8326EE90-91DC-47ED-9E45-186657906835}" name="Comment_61" dataDxfId="42"/>
    <tableColumn id="119" xr3:uid="{F53BB128-7864-4BA8-B322-2C92C9631A1F}" name="Comment_62" dataDxfId="41"/>
    <tableColumn id="120" xr3:uid="{93CE7408-C20C-4215-B55F-1705459AA144}" name="Comment_63" dataDxfId="40"/>
    <tableColumn id="121" xr3:uid="{E5E8A150-1803-4A6C-ADC1-F9B692B0E770}" name="Comment_64" dataDxfId="39"/>
    <tableColumn id="122" xr3:uid="{60B7A8A8-9B6C-4849-A5D8-03BFC0E10863}" name="Comment_65" dataDxfId="38"/>
    <tableColumn id="123" xr3:uid="{6C0B6323-4DBF-422E-9E55-7C73C1940F81}" name="Comment_66" dataDxfId="37"/>
    <tableColumn id="124" xr3:uid="{A97EBADD-67D0-4B61-A1FA-588EE700EA1F}" name="Comment_67" dataDxfId="36"/>
    <tableColumn id="125" xr3:uid="{5EE335D6-C570-4FF0-AB39-71B30FD0E714}" name="Comment_68" dataDxfId="35"/>
    <tableColumn id="126" xr3:uid="{B61BC0DE-FD56-4362-9CC5-6FB47E797724}" name="Comment_69" dataDxfId="34"/>
    <tableColumn id="127" xr3:uid="{6D0D4474-0CB5-438F-A572-5319FFE37278}" name="Comment_70" dataDxfId="33"/>
    <tableColumn id="128" xr3:uid="{DF951BE2-5E38-4C40-BBF6-9AB31F16CA70}" name="Comment_71" dataDxfId="32"/>
    <tableColumn id="129" xr3:uid="{7B02C7EC-5FFA-4BF0-8B0E-391569A7E17B}" name="Comment_72" dataDxfId="31"/>
    <tableColumn id="130" xr3:uid="{C3AC5B22-2A38-4C18-A215-DA178AD7ADA8}" name="Comment_73" dataDxfId="30"/>
    <tableColumn id="131" xr3:uid="{4E1A2156-6F6B-496A-A3E3-7EA13EA00542}" name="Comment_74" dataDxfId="29"/>
    <tableColumn id="132" xr3:uid="{773DE009-2BC3-4DF3-9C7C-4A60A29CEF1B}" name="Comment_75" dataDxfId="28"/>
    <tableColumn id="133" xr3:uid="{3AB6C3C6-808F-4778-9066-6A00E3F267C0}" name="Comment_76" dataDxfId="27"/>
    <tableColumn id="134" xr3:uid="{C1A06B3B-B0AB-4347-97E8-F8497E0D29D6}" name="Comment_77" dataDxfId="26"/>
    <tableColumn id="135" xr3:uid="{7B5AA2A6-79E1-4CD4-9C1A-AA54C68F404C}" name="Comment_78" dataDxfId="25"/>
    <tableColumn id="136" xr3:uid="{5FEA8EB8-EC87-490E-AA23-6E3C15E72456}" name="Comment_79" dataDxfId="24"/>
    <tableColumn id="137" xr3:uid="{22A60F82-251D-4613-A8E3-9137C7A5ABE6}" name="Comment_80" dataDxfId="23"/>
    <tableColumn id="138" xr3:uid="{1B9D3112-8950-464D-BE86-C4432ED4919A}" name="Comment_81" dataDxfId="22"/>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25" dT="2025-07-25T14:01:35.69" personId="{DFDD04CB-BF8F-4F24-AEBA-CDD017DE1E0E}" id="{EA88F590-FBB9-4D50-B13E-8258E097B1EC}">
    <text>Uğur Dündar kontrolü bekliyor.</text>
  </threadedComment>
  <threadedComment ref="D175" dT="2025-07-25T14:00:49.88" personId="{DFDD04CB-BF8F-4F24-AEBA-CDD017DE1E0E}" id="{E43BD3DB-4076-4A9B-9384-3223334B3D0A}">
    <text>Madde müşterinin taleplerini takip etmek için açık bırakılıyor. Kapatılmayacak</text>
  </threadedComment>
  <threadedComment ref="D187" dT="2025-07-25T14:01:07.15" personId="{DFDD04CB-BF8F-4F24-AEBA-CDD017DE1E0E}" id="{35C7E3F2-4193-442E-AFCC-19D5921BC04D}">
    <text>Ara verildi. Acil Değil.</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192.168.124.186:8080/browse/WIK-751" TargetMode="External"/><Relationship Id="rId21" Type="http://schemas.openxmlformats.org/officeDocument/2006/relationships/hyperlink" Target="http://192.168.124.186:8080/browse/WIK-743" TargetMode="External"/><Relationship Id="rId34" Type="http://schemas.openxmlformats.org/officeDocument/2006/relationships/hyperlink" Target="http://192.168.124.186:8080/browse/WIK-765" TargetMode="External"/><Relationship Id="rId42" Type="http://schemas.openxmlformats.org/officeDocument/2006/relationships/hyperlink" Target="http://192.168.124.186:8080/browse/UKDS-214" TargetMode="External"/><Relationship Id="rId47" Type="http://schemas.openxmlformats.org/officeDocument/2006/relationships/hyperlink" Target="http://192.168.124.186:8080/browse/UKDS-223" TargetMode="External"/><Relationship Id="rId50" Type="http://schemas.openxmlformats.org/officeDocument/2006/relationships/hyperlink" Target="http://192.168.124.186:8080/browse/UKDS-220" TargetMode="External"/><Relationship Id="rId55" Type="http://schemas.openxmlformats.org/officeDocument/2006/relationships/hyperlink" Target="http://192.168.124.186:8080/browse/KEP-317" TargetMode="External"/><Relationship Id="rId63" Type="http://schemas.openxmlformats.org/officeDocument/2006/relationships/vmlDrawing" Target="../drawings/vmlDrawing1.vml"/><Relationship Id="rId7" Type="http://schemas.openxmlformats.org/officeDocument/2006/relationships/hyperlink" Target="http://192.168.124.186:8080/browse/MUL-204" TargetMode="External"/><Relationship Id="rId2" Type="http://schemas.openxmlformats.org/officeDocument/2006/relationships/pivotTable" Target="../pivotTables/pivotTable2.xml"/><Relationship Id="rId16" Type="http://schemas.openxmlformats.org/officeDocument/2006/relationships/hyperlink" Target="http://192.168.124.186:8080/browse/UKDS-196" TargetMode="External"/><Relationship Id="rId29" Type="http://schemas.openxmlformats.org/officeDocument/2006/relationships/hyperlink" Target="http://192.168.124.186:8080/browse/UKDS-179" TargetMode="External"/><Relationship Id="rId11" Type="http://schemas.openxmlformats.org/officeDocument/2006/relationships/hyperlink" Target="http://192.168.124.186:8080/browse/UKDS-189" TargetMode="External"/><Relationship Id="rId24" Type="http://schemas.openxmlformats.org/officeDocument/2006/relationships/hyperlink" Target="http://192.168.124.186:8080/browse/WIK-747" TargetMode="External"/><Relationship Id="rId32" Type="http://schemas.openxmlformats.org/officeDocument/2006/relationships/hyperlink" Target="http://192.168.124.186:8080/browse/WIK-761" TargetMode="External"/><Relationship Id="rId37" Type="http://schemas.openxmlformats.org/officeDocument/2006/relationships/hyperlink" Target="http://192.168.124.186:8080/browse/UKDS-205" TargetMode="External"/><Relationship Id="rId40" Type="http://schemas.openxmlformats.org/officeDocument/2006/relationships/hyperlink" Target="http://192.168.124.186:8080/browse/WIK-796" TargetMode="External"/><Relationship Id="rId45" Type="http://schemas.openxmlformats.org/officeDocument/2006/relationships/hyperlink" Target="http://192.168.124.186:8080/browse/WIK-800" TargetMode="External"/><Relationship Id="rId53" Type="http://schemas.openxmlformats.org/officeDocument/2006/relationships/hyperlink" Target="http://192.168.124.186:8080/browse/WIK-810" TargetMode="External"/><Relationship Id="rId58" Type="http://schemas.openxmlformats.org/officeDocument/2006/relationships/hyperlink" Target="http://192.168.124.186:8080/browse/MU-223" TargetMode="External"/><Relationship Id="rId5" Type="http://schemas.openxmlformats.org/officeDocument/2006/relationships/pivotTable" Target="../pivotTables/pivotTable5.xml"/><Relationship Id="rId61" Type="http://schemas.openxmlformats.org/officeDocument/2006/relationships/hyperlink" Target="http://192.168.124.186:8080/browse/WIK-825" TargetMode="External"/><Relationship Id="rId19" Type="http://schemas.openxmlformats.org/officeDocument/2006/relationships/hyperlink" Target="http://192.168.124.186:8080/browse/UKDS-201" TargetMode="External"/><Relationship Id="rId14" Type="http://schemas.openxmlformats.org/officeDocument/2006/relationships/hyperlink" Target="http://192.168.124.186:8080/browse/UKDS-195" TargetMode="External"/><Relationship Id="rId22" Type="http://schemas.openxmlformats.org/officeDocument/2006/relationships/hyperlink" Target="http://192.168.124.186:8080/browse/WIK-749" TargetMode="External"/><Relationship Id="rId27" Type="http://schemas.openxmlformats.org/officeDocument/2006/relationships/hyperlink" Target="http://192.168.124.186:8080/browse/WIK-753" TargetMode="External"/><Relationship Id="rId30" Type="http://schemas.openxmlformats.org/officeDocument/2006/relationships/hyperlink" Target="http://192.168.124.186:8080/browse/WIK-760" TargetMode="External"/><Relationship Id="rId35" Type="http://schemas.openxmlformats.org/officeDocument/2006/relationships/hyperlink" Target="http://192.168.124.186:8080/browse/WIK-767" TargetMode="External"/><Relationship Id="rId43" Type="http://schemas.openxmlformats.org/officeDocument/2006/relationships/hyperlink" Target="http://192.168.124.186:8080/browse/UKDS-215" TargetMode="External"/><Relationship Id="rId48" Type="http://schemas.openxmlformats.org/officeDocument/2006/relationships/hyperlink" Target="http://192.168.124.186:8080/browse/UKDS-219" TargetMode="External"/><Relationship Id="rId56" Type="http://schemas.openxmlformats.org/officeDocument/2006/relationships/hyperlink" Target="http://192.168.124.186:8080/browse/KEP-318" TargetMode="External"/><Relationship Id="rId64" Type="http://schemas.openxmlformats.org/officeDocument/2006/relationships/comments" Target="../comments1.xml"/><Relationship Id="rId8" Type="http://schemas.openxmlformats.org/officeDocument/2006/relationships/hyperlink" Target="http://192.168.124.186:8080/browse/MUL-205" TargetMode="External"/><Relationship Id="rId51" Type="http://schemas.openxmlformats.org/officeDocument/2006/relationships/hyperlink" Target="http://192.168.124.186:8080/browse/UKDS-222" TargetMode="External"/><Relationship Id="rId3" Type="http://schemas.openxmlformats.org/officeDocument/2006/relationships/pivotTable" Target="../pivotTables/pivotTable3.xml"/><Relationship Id="rId12" Type="http://schemas.openxmlformats.org/officeDocument/2006/relationships/hyperlink" Target="http://192.168.124.186:8080/browse/UKDS-191" TargetMode="External"/><Relationship Id="rId17" Type="http://schemas.openxmlformats.org/officeDocument/2006/relationships/hyperlink" Target="http://192.168.124.186:8080/browse/UKDS-193" TargetMode="External"/><Relationship Id="rId25" Type="http://schemas.openxmlformats.org/officeDocument/2006/relationships/hyperlink" Target="http://192.168.124.186:8080/browse/WIK-754" TargetMode="External"/><Relationship Id="rId33" Type="http://schemas.openxmlformats.org/officeDocument/2006/relationships/hyperlink" Target="http://192.168.124.186:8080/browse/WIK-763" TargetMode="External"/><Relationship Id="rId38" Type="http://schemas.openxmlformats.org/officeDocument/2006/relationships/hyperlink" Target="http://192.168.124.186:8080/browse/WIK-794" TargetMode="External"/><Relationship Id="rId46" Type="http://schemas.openxmlformats.org/officeDocument/2006/relationships/hyperlink" Target="http://192.168.124.186:8080/browse/WIK-791" TargetMode="External"/><Relationship Id="rId59" Type="http://schemas.openxmlformats.org/officeDocument/2006/relationships/hyperlink" Target="http://192.168.124.186:8080/browse/WIK-823" TargetMode="External"/><Relationship Id="rId20" Type="http://schemas.openxmlformats.org/officeDocument/2006/relationships/hyperlink" Target="http://192.168.124.186:8080/browse/WIK-741" TargetMode="External"/><Relationship Id="rId41" Type="http://schemas.openxmlformats.org/officeDocument/2006/relationships/hyperlink" Target="http://192.168.124.186:8080/browse/WIK-793" TargetMode="External"/><Relationship Id="rId54" Type="http://schemas.openxmlformats.org/officeDocument/2006/relationships/hyperlink" Target="http://192.168.124.186:8080/browse/WIK-812" TargetMode="External"/><Relationship Id="rId62"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hyperlink" Target="http://192.168.124.186:8080/browse/UKDS-197" TargetMode="External"/><Relationship Id="rId23" Type="http://schemas.openxmlformats.org/officeDocument/2006/relationships/hyperlink" Target="http://192.168.124.186:8080/browse/WIK-748" TargetMode="External"/><Relationship Id="rId28" Type="http://schemas.openxmlformats.org/officeDocument/2006/relationships/hyperlink" Target="http://192.168.124.186:8080/browse/UKDS-203" TargetMode="External"/><Relationship Id="rId36" Type="http://schemas.openxmlformats.org/officeDocument/2006/relationships/hyperlink" Target="http://192.168.124.186:8080/browse/WIK-768" TargetMode="External"/><Relationship Id="rId49" Type="http://schemas.openxmlformats.org/officeDocument/2006/relationships/hyperlink" Target="http://192.168.124.186:8080/browse/UKDS-221" TargetMode="External"/><Relationship Id="rId57" Type="http://schemas.openxmlformats.org/officeDocument/2006/relationships/hyperlink" Target="http://192.168.124.186:8080/browse/UKDS-217" TargetMode="External"/><Relationship Id="rId10" Type="http://schemas.openxmlformats.org/officeDocument/2006/relationships/hyperlink" Target="http://192.168.124.186:8080/browse/UKDS-198" TargetMode="External"/><Relationship Id="rId31" Type="http://schemas.openxmlformats.org/officeDocument/2006/relationships/hyperlink" Target="http://192.168.124.186:8080/browse/WIK-759" TargetMode="External"/><Relationship Id="rId44" Type="http://schemas.openxmlformats.org/officeDocument/2006/relationships/hyperlink" Target="http://192.168.124.186:8080/browse/WIK-803" TargetMode="External"/><Relationship Id="rId52" Type="http://schemas.openxmlformats.org/officeDocument/2006/relationships/hyperlink" Target="http://192.168.124.186:8080/browse/WIK-815" TargetMode="External"/><Relationship Id="rId60" Type="http://schemas.openxmlformats.org/officeDocument/2006/relationships/hyperlink" Target="http://192.168.124.186:8080/browse/WIK-824" TargetMode="External"/><Relationship Id="rId65" Type="http://schemas.microsoft.com/office/2017/10/relationships/threadedComment" Target="../threadedComments/threadedComment1.xml"/><Relationship Id="rId4" Type="http://schemas.openxmlformats.org/officeDocument/2006/relationships/pivotTable" Target="../pivotTables/pivotTable4.xml"/><Relationship Id="rId9" Type="http://schemas.openxmlformats.org/officeDocument/2006/relationships/hyperlink" Target="http://192.168.124.186:8080/browse/MUL-206" TargetMode="External"/><Relationship Id="rId13" Type="http://schemas.openxmlformats.org/officeDocument/2006/relationships/hyperlink" Target="http://192.168.124.186:8080/browse/UKDS-194" TargetMode="External"/><Relationship Id="rId18" Type="http://schemas.openxmlformats.org/officeDocument/2006/relationships/hyperlink" Target="http://192.168.124.186:8080/browse/UKDS-192" TargetMode="External"/><Relationship Id="rId39" Type="http://schemas.openxmlformats.org/officeDocument/2006/relationships/hyperlink" Target="http://192.168.124.186:8080/browse/WIK-79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192.168.124.186:8080/browse/UKDS-222" TargetMode="External"/><Relationship Id="rId13" Type="http://schemas.openxmlformats.org/officeDocument/2006/relationships/hyperlink" Target="http://192.168.124.186:8080/browse/WIK-825" TargetMode="External"/><Relationship Id="rId3" Type="http://schemas.openxmlformats.org/officeDocument/2006/relationships/hyperlink" Target="http://192.168.124.186:8080/browse/WIK-791" TargetMode="External"/><Relationship Id="rId7" Type="http://schemas.openxmlformats.org/officeDocument/2006/relationships/hyperlink" Target="http://192.168.124.186:8080/browse/UKDS-220" TargetMode="External"/><Relationship Id="rId12" Type="http://schemas.openxmlformats.org/officeDocument/2006/relationships/hyperlink" Target="http://192.168.124.186:8080/browse/WIK-824" TargetMode="External"/><Relationship Id="rId2" Type="http://schemas.openxmlformats.org/officeDocument/2006/relationships/hyperlink" Target="http://192.168.124.186:8080/browse/WIK-793" TargetMode="External"/><Relationship Id="rId16" Type="http://schemas.openxmlformats.org/officeDocument/2006/relationships/drawing" Target="../drawings/drawing2.xml"/><Relationship Id="rId1" Type="http://schemas.openxmlformats.org/officeDocument/2006/relationships/hyperlink" Target="http://192.168.124.186:8080/browse/KEP-302" TargetMode="External"/><Relationship Id="rId6" Type="http://schemas.openxmlformats.org/officeDocument/2006/relationships/hyperlink" Target="http://192.168.124.186:8080/browse/UKDS-221" TargetMode="External"/><Relationship Id="rId11" Type="http://schemas.openxmlformats.org/officeDocument/2006/relationships/hyperlink" Target="http://192.168.124.186:8080/browse/WIK-823" TargetMode="External"/><Relationship Id="rId5" Type="http://schemas.openxmlformats.org/officeDocument/2006/relationships/hyperlink" Target="http://192.168.124.186:8080/browse/UKDS-219" TargetMode="External"/><Relationship Id="rId15" Type="http://schemas.openxmlformats.org/officeDocument/2006/relationships/hyperlink" Target="http://192.168.124.186:8080/browse/WIK-827" TargetMode="External"/><Relationship Id="rId10" Type="http://schemas.openxmlformats.org/officeDocument/2006/relationships/hyperlink" Target="http://192.168.124.186:8080/browse/TIM-456" TargetMode="External"/><Relationship Id="rId4" Type="http://schemas.openxmlformats.org/officeDocument/2006/relationships/hyperlink" Target="http://192.168.124.186:8080/browse/UKDS-223" TargetMode="External"/><Relationship Id="rId9" Type="http://schemas.openxmlformats.org/officeDocument/2006/relationships/hyperlink" Target="http://192.168.124.186:8080/browse/KEP-318" TargetMode="External"/><Relationship Id="rId14" Type="http://schemas.openxmlformats.org/officeDocument/2006/relationships/hyperlink" Target="http://192.168.124.186:8080/browse/WIK-826"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0B778-09E3-4A2E-B9D3-6E384A24FE57}">
  <dimension ref="C3:N37"/>
  <sheetViews>
    <sheetView showGridLines="0" tabSelected="1" topLeftCell="B1" zoomScale="85" zoomScaleNormal="85" workbookViewId="0">
      <selection activeCell="J36" sqref="J36"/>
    </sheetView>
  </sheetViews>
  <sheetFormatPr defaultRowHeight="15" x14ac:dyDescent="0.25"/>
  <cols>
    <col min="3" max="3" width="32.140625" bestFit="1" customWidth="1"/>
    <col min="4" max="4" width="23" customWidth="1"/>
    <col min="5" max="5" width="12" customWidth="1"/>
    <col min="6" max="6" width="20.28515625" customWidth="1"/>
    <col min="7" max="7" width="20" customWidth="1"/>
    <col min="8" max="9" width="2.5703125" customWidth="1"/>
    <col min="10" max="10" width="30.7109375" customWidth="1"/>
    <col min="11" max="11" width="28.42578125" customWidth="1"/>
    <col min="12" max="12" width="18.5703125" customWidth="1"/>
    <col min="13" max="13" width="19.28515625" customWidth="1"/>
    <col min="14" max="14" width="11.140625" customWidth="1"/>
    <col min="15" max="15" width="10.7109375" customWidth="1"/>
  </cols>
  <sheetData>
    <row r="3" spans="3:13" x14ac:dyDescent="0.25">
      <c r="D3" s="38" t="s">
        <v>1835</v>
      </c>
      <c r="E3" s="39"/>
      <c r="F3" s="39"/>
      <c r="G3" s="40"/>
      <c r="J3" s="38" t="s">
        <v>1836</v>
      </c>
      <c r="K3" s="39"/>
      <c r="L3" s="39"/>
      <c r="M3" s="40"/>
    </row>
    <row r="4" spans="3:13" ht="45" x14ac:dyDescent="0.25">
      <c r="C4" s="12" t="s">
        <v>1837</v>
      </c>
      <c r="D4" s="13" t="s">
        <v>1985</v>
      </c>
      <c r="E4" s="13" t="s">
        <v>1986</v>
      </c>
      <c r="F4" s="13" t="s">
        <v>1838</v>
      </c>
      <c r="G4" s="13" t="s">
        <v>1839</v>
      </c>
      <c r="J4" s="13" t="s">
        <v>1984</v>
      </c>
      <c r="K4" s="13" t="s">
        <v>1841</v>
      </c>
      <c r="L4" s="13" t="s">
        <v>1838</v>
      </c>
      <c r="M4" s="13" t="s">
        <v>1840</v>
      </c>
    </row>
    <row r="5" spans="3:13" x14ac:dyDescent="0.25">
      <c r="C5" s="14" t="s">
        <v>12</v>
      </c>
      <c r="D5" s="15">
        <f>VLOOKUP(C5,'Ürün İş Listesi'!$P$30:$Z$50,8,0)</f>
        <v>152</v>
      </c>
      <c r="E5" s="15">
        <f>VLOOKUP(C5,'Ürün İş Listesi'!$AQ$32:$AR$48,2,0)</f>
        <v>10</v>
      </c>
      <c r="F5" s="15">
        <f>G5*D5</f>
        <v>128</v>
      </c>
      <c r="G5" s="16">
        <f>VLOOKUP(C5,'Ürün İş Listesi'!$P$30:$Z$50,11,0)</f>
        <v>0.84210526315789469</v>
      </c>
      <c r="J5" s="15">
        <f>IFERROR(VLOOKUP(C5,'Ürün İş Listesi'!$AQ$5:$AT$23,4,0),"")</f>
        <v>27</v>
      </c>
      <c r="K5" s="15">
        <f>IFERROR(VLOOKUP(C5,'Ürün İş Listesi'!$AQ$5:$AR$23,2,0),"")</f>
        <v>0</v>
      </c>
      <c r="L5" s="15">
        <f>IFERROR(M5*J5,"-")</f>
        <v>23</v>
      </c>
      <c r="M5" s="16">
        <f>IFERROR(VLOOKUP(C5,'Ürün İş Listesi'!$P$5:$Z$23,11,0),"")</f>
        <v>0.85185185185185186</v>
      </c>
    </row>
    <row r="6" spans="3:13" x14ac:dyDescent="0.25">
      <c r="C6" s="14" t="s">
        <v>35</v>
      </c>
      <c r="D6" s="15">
        <f>VLOOKUP(C6,'Ürün İş Listesi'!$P$30:$Z$50,8,0)</f>
        <v>29</v>
      </c>
      <c r="E6" s="15">
        <f>VLOOKUP(C6,'Ürün İş Listesi'!$AQ$32:$AR$48,2,0)</f>
        <v>11</v>
      </c>
      <c r="F6" s="15">
        <f t="shared" ref="F6:F20" si="0">G6*D6</f>
        <v>26</v>
      </c>
      <c r="G6" s="16">
        <f>VLOOKUP(C6,'Ürün İş Listesi'!$P$30:$Z$50,11,0)</f>
        <v>0.89655172413793105</v>
      </c>
      <c r="J6" s="15">
        <f>IFERROR(VLOOKUP(C6,'Ürün İş Listesi'!$AQ$5:$AT$23,4,0),"")</f>
        <v>1</v>
      </c>
      <c r="K6" s="15">
        <f>IFERROR(VLOOKUP(C6,'Ürün İş Listesi'!$AQ$5:$AR$23,2,0),"")</f>
        <v>0</v>
      </c>
      <c r="L6" s="15" t="str">
        <f t="shared" ref="L6:L20" si="1">IFERROR(M6*J6,"-")</f>
        <v>-</v>
      </c>
      <c r="M6" s="16" t="str">
        <f>IFERROR(VLOOKUP(C6,'Ürün İş Listesi'!$P$5:$Z$23,11,0),"")</f>
        <v/>
      </c>
    </row>
    <row r="7" spans="3:13" x14ac:dyDescent="0.25">
      <c r="C7" s="14" t="s">
        <v>38</v>
      </c>
      <c r="D7" s="15">
        <f>VLOOKUP(C7,'Ürün İş Listesi'!$P$30:$Z$50,8,0)</f>
        <v>26</v>
      </c>
      <c r="E7" s="15">
        <f>VLOOKUP(C7,'Ürün İş Listesi'!$AQ$32:$AR$48,2,0)</f>
        <v>12</v>
      </c>
      <c r="F7" s="15">
        <f t="shared" si="0"/>
        <v>26</v>
      </c>
      <c r="G7" s="16">
        <f>VLOOKUP(C7,'Ürün İş Listesi'!$P$30:$Z$50,11,0)</f>
        <v>1</v>
      </c>
      <c r="J7" s="15">
        <f>IFERROR(VLOOKUP(C7,'Ürün İş Listesi'!$AQ$5:$AT$23,4,0),"")</f>
        <v>5</v>
      </c>
      <c r="K7" s="15">
        <f>IFERROR(VLOOKUP(C7,'Ürün İş Listesi'!$AQ$5:$AR$23,2,0),"")</f>
        <v>1</v>
      </c>
      <c r="L7" s="15">
        <f t="shared" si="1"/>
        <v>2</v>
      </c>
      <c r="M7" s="16">
        <f>IFERROR(VLOOKUP(C7,'Ürün İş Listesi'!$P$5:$Z$23,11,0),"")</f>
        <v>0.4</v>
      </c>
    </row>
    <row r="8" spans="3:13" x14ac:dyDescent="0.25">
      <c r="C8" s="14" t="s">
        <v>41</v>
      </c>
      <c r="D8" s="15">
        <f>VLOOKUP(C8,'Ürün İş Listesi'!$P$30:$Z$50,8,0)</f>
        <v>127</v>
      </c>
      <c r="E8" s="15">
        <f>VLOOKUP(C8,'Ürün İş Listesi'!$AQ$32:$AR$48,2,0)</f>
        <v>39</v>
      </c>
      <c r="F8" s="15">
        <f t="shared" si="0"/>
        <v>108</v>
      </c>
      <c r="G8" s="16">
        <f>VLOOKUP(C8,'Ürün İş Listesi'!$P$30:$Z$50,11,0)</f>
        <v>0.85039370078740162</v>
      </c>
      <c r="J8" s="15">
        <f>IFERROR(VLOOKUP(C8,'Ürün İş Listesi'!$AQ$5:$AT$23,4,0),"")</f>
        <v>5</v>
      </c>
      <c r="K8" s="15">
        <f>IFERROR(VLOOKUP(C8,'Ürün İş Listesi'!$AQ$5:$AR$23,2,0),"")</f>
        <v>1</v>
      </c>
      <c r="L8" s="15">
        <f t="shared" si="1"/>
        <v>2</v>
      </c>
      <c r="M8" s="16">
        <f>IFERROR(VLOOKUP(C8,'Ürün İş Listesi'!$P$5:$Z$23,11,0),"")</f>
        <v>0.4</v>
      </c>
    </row>
    <row r="9" spans="3:13" x14ac:dyDescent="0.25">
      <c r="C9" s="14" t="s">
        <v>44</v>
      </c>
      <c r="D9" s="15">
        <f>VLOOKUP(C9,'Ürün İş Listesi'!$P$30:$Z$50,8,0)</f>
        <v>74</v>
      </c>
      <c r="E9" s="15">
        <f>VLOOKUP(C9,'Ürün İş Listesi'!$AQ$32:$AR$48,2,0)</f>
        <v>37</v>
      </c>
      <c r="F9" s="15">
        <f t="shared" si="0"/>
        <v>65</v>
      </c>
      <c r="G9" s="16">
        <f>VLOOKUP(C9,'Ürün İş Listesi'!$P$30:$Z$50,11,0)</f>
        <v>0.8783783783783784</v>
      </c>
      <c r="J9" s="15">
        <f>IFERROR(VLOOKUP(C9,'Ürün İş Listesi'!$AQ$5:$AT$23,4,0),"")</f>
        <v>2</v>
      </c>
      <c r="K9" s="15">
        <f>IFERROR(VLOOKUP(C9,'Ürün İş Listesi'!$AQ$5:$AR$23,2,0),"")</f>
        <v>0</v>
      </c>
      <c r="L9" s="15">
        <f t="shared" si="1"/>
        <v>1</v>
      </c>
      <c r="M9" s="16">
        <f>IFERROR(VLOOKUP(C9,'Ürün İş Listesi'!$P$5:$Z$23,11,0),"")</f>
        <v>0.5</v>
      </c>
    </row>
    <row r="10" spans="3:13" x14ac:dyDescent="0.25">
      <c r="C10" s="14" t="s">
        <v>47</v>
      </c>
      <c r="D10" s="15">
        <f>VLOOKUP(C10,'Ürün İş Listesi'!$P$30:$Z$50,8,0)</f>
        <v>48</v>
      </c>
      <c r="E10" s="15">
        <f>VLOOKUP(C10,'Ürün İş Listesi'!$AQ$32:$AR$48,2,0)</f>
        <v>7</v>
      </c>
      <c r="F10" s="15">
        <f t="shared" si="0"/>
        <v>42</v>
      </c>
      <c r="G10" s="16">
        <f>VLOOKUP(C10,'Ürün İş Listesi'!$P$30:$Z$50,11,0)</f>
        <v>0.875</v>
      </c>
      <c r="J10" s="15">
        <f>IFERROR(VLOOKUP(C10,'Ürün İş Listesi'!$AQ$5:$AT$23,4,0),"")</f>
        <v>3</v>
      </c>
      <c r="K10" s="15">
        <f>IFERROR(VLOOKUP(C10,'Ürün İş Listesi'!$AQ$5:$AR$23,2,0),"")</f>
        <v>0</v>
      </c>
      <c r="L10" s="15">
        <f t="shared" si="1"/>
        <v>1</v>
      </c>
      <c r="M10" s="16">
        <f>IFERROR(VLOOKUP(C10,'Ürün İş Listesi'!$P$5:$Z$23,11,0),"")</f>
        <v>0.33333333333333331</v>
      </c>
    </row>
    <row r="11" spans="3:13" x14ac:dyDescent="0.25">
      <c r="C11" s="14" t="s">
        <v>50</v>
      </c>
      <c r="D11" s="15">
        <f>VLOOKUP(C11,'Ürün İş Listesi'!$P$30:$Z$50,8,0)</f>
        <v>49</v>
      </c>
      <c r="E11" s="15">
        <f>VLOOKUP(C11,'Ürün İş Listesi'!$AQ$32:$AR$48,2,0)</f>
        <v>19</v>
      </c>
      <c r="F11" s="15">
        <f t="shared" si="0"/>
        <v>48</v>
      </c>
      <c r="G11" s="16">
        <f>VLOOKUP(C11,'Ürün İş Listesi'!$P$30:$Z$50,11,0)</f>
        <v>0.97959183673469385</v>
      </c>
      <c r="J11" s="15">
        <f>IFERROR(VLOOKUP(C11,'Ürün İş Listesi'!$AQ$5:$AT$23,4,0),"")</f>
        <v>6</v>
      </c>
      <c r="K11" s="15">
        <f>IFERROR(VLOOKUP(C11,'Ürün İş Listesi'!$AQ$5:$AR$23,2,0),"")</f>
        <v>1</v>
      </c>
      <c r="L11" s="15">
        <f t="shared" si="1"/>
        <v>3</v>
      </c>
      <c r="M11" s="16">
        <f>IFERROR(VLOOKUP(C11,'Ürün İş Listesi'!$P$5:$Z$23,11,0),"")</f>
        <v>0.5</v>
      </c>
    </row>
    <row r="12" spans="3:13" x14ac:dyDescent="0.25">
      <c r="C12" s="14" t="s">
        <v>53</v>
      </c>
      <c r="D12" s="15">
        <f>VLOOKUP(C12,'Ürün İş Listesi'!$P$30:$Z$50,8,0)</f>
        <v>90</v>
      </c>
      <c r="E12" s="15">
        <f>VLOOKUP(C12,'Ürün İş Listesi'!$AQ$32:$AR$48,2,0)</f>
        <v>33</v>
      </c>
      <c r="F12" s="15">
        <f t="shared" si="0"/>
        <v>82</v>
      </c>
      <c r="G12" s="16">
        <f>VLOOKUP(C12,'Ürün İş Listesi'!$P$30:$Z$50,11,0)</f>
        <v>0.91111111111111109</v>
      </c>
      <c r="J12" s="15">
        <f>IFERROR(VLOOKUP(C12,'Ürün İş Listesi'!$AQ$5:$AT$23,4,0),"")</f>
        <v>6</v>
      </c>
      <c r="K12" s="15">
        <f>IFERROR(VLOOKUP(C12,'Ürün İş Listesi'!$AQ$5:$AR$23,2,0),"")</f>
        <v>2</v>
      </c>
      <c r="L12" s="15">
        <f t="shared" si="1"/>
        <v>2</v>
      </c>
      <c r="M12" s="16">
        <f>IFERROR(VLOOKUP(C12,'Ürün İş Listesi'!$P$5:$Z$23,11,0),"")</f>
        <v>0.33333333333333331</v>
      </c>
    </row>
    <row r="13" spans="3:13" x14ac:dyDescent="0.25">
      <c r="C13" s="14" t="s">
        <v>130</v>
      </c>
      <c r="D13" s="15">
        <f>VLOOKUP(C13,'Ürün İş Listesi'!$P$30:$Z$50,8,0)</f>
        <v>6</v>
      </c>
      <c r="E13" s="15">
        <f>VLOOKUP(C13,'Ürün İş Listesi'!$AQ$32:$AR$48,2,0)</f>
        <v>1</v>
      </c>
      <c r="F13" s="15">
        <f t="shared" si="0"/>
        <v>5</v>
      </c>
      <c r="G13" s="16">
        <f>VLOOKUP(C13,'Ürün İş Listesi'!$P$30:$Z$50,11,0)</f>
        <v>0.83333333333333337</v>
      </c>
      <c r="J13" s="15" t="str">
        <f>IFERROR(VLOOKUP(C13,'Ürün İş Listesi'!$AQ$5:$AT$23,4,0),"")</f>
        <v/>
      </c>
      <c r="K13" s="15" t="str">
        <f>IFERROR(VLOOKUP(C13,'Ürün İş Listesi'!$AQ$5:$AR$23,2,0),"")</f>
        <v/>
      </c>
      <c r="L13" s="15" t="str">
        <f t="shared" si="1"/>
        <v>-</v>
      </c>
      <c r="M13" s="16" t="str">
        <f>IFERROR(VLOOKUP(C13,'Ürün İş Listesi'!$P$5:$Z$23,11,0),"")</f>
        <v/>
      </c>
    </row>
    <row r="14" spans="3:13" x14ac:dyDescent="0.25">
      <c r="C14" s="14" t="s">
        <v>56</v>
      </c>
      <c r="D14" s="15">
        <f>VLOOKUP(C14,'Ürün İş Listesi'!$P$30:$Z$50,8,0)</f>
        <v>110</v>
      </c>
      <c r="E14" s="15">
        <f>VLOOKUP(C14,'Ürün İş Listesi'!$AQ$32:$AR$48,2,0)</f>
        <v>65</v>
      </c>
      <c r="F14" s="15">
        <f t="shared" si="0"/>
        <v>97</v>
      </c>
      <c r="G14" s="16">
        <f>VLOOKUP(C14,'Ürün İş Listesi'!$P$30:$Z$50,11,0)</f>
        <v>0.88181818181818183</v>
      </c>
      <c r="J14" s="15">
        <f>IFERROR(VLOOKUP(C14,'Ürün İş Listesi'!$AQ$5:$AT$23,4,0),"")</f>
        <v>5</v>
      </c>
      <c r="K14" s="15">
        <f>IFERROR(VLOOKUP(C14,'Ürün İş Listesi'!$AQ$5:$AR$23,2,0),"")</f>
        <v>2</v>
      </c>
      <c r="L14" s="15">
        <f t="shared" si="1"/>
        <v>5</v>
      </c>
      <c r="M14" s="16">
        <f>IFERROR(VLOOKUP(C14,'Ürün İş Listesi'!$P$5:$Z$23,11,0),"")</f>
        <v>1</v>
      </c>
    </row>
    <row r="15" spans="3:13" x14ac:dyDescent="0.25">
      <c r="C15" s="14" t="s">
        <v>59</v>
      </c>
      <c r="D15" s="15">
        <f>VLOOKUP(C15,'Ürün İş Listesi'!$P$30:$Z$50,8,0)</f>
        <v>41</v>
      </c>
      <c r="E15" s="15">
        <f>VLOOKUP(C15,'Ürün İş Listesi'!$AQ$32:$AR$48,2,0)</f>
        <v>17</v>
      </c>
      <c r="F15" s="15">
        <f t="shared" si="0"/>
        <v>41</v>
      </c>
      <c r="G15" s="16">
        <f>VLOOKUP(C15,'Ürün İş Listesi'!$P$30:$Z$50,11,0)</f>
        <v>1</v>
      </c>
      <c r="J15" s="15">
        <f>IFERROR(VLOOKUP(C15,'Ürün İş Listesi'!$AQ$5:$AT$23,4,0),"")</f>
        <v>2</v>
      </c>
      <c r="K15" s="15">
        <f>IFERROR(VLOOKUP(C15,'Ürün İş Listesi'!$AQ$5:$AR$23,2,0),"")</f>
        <v>0</v>
      </c>
      <c r="L15" s="15">
        <f t="shared" si="1"/>
        <v>1</v>
      </c>
      <c r="M15" s="16">
        <f>IFERROR(VLOOKUP(C15,'Ürün İş Listesi'!$P$5:$Z$23,11,0),"")</f>
        <v>0.5</v>
      </c>
    </row>
    <row r="16" spans="3:13" x14ac:dyDescent="0.25">
      <c r="C16" s="14" t="s">
        <v>62</v>
      </c>
      <c r="D16" s="15">
        <f>VLOOKUP(C16,'Ürün İş Listesi'!$P$30:$Z$50,8,0)</f>
        <v>27</v>
      </c>
      <c r="E16" s="15">
        <f>VLOOKUP(C16,'Ürün İş Listesi'!$AQ$32:$AR$48,2,0)</f>
        <v>10</v>
      </c>
      <c r="F16" s="15">
        <f t="shared" si="0"/>
        <v>25</v>
      </c>
      <c r="G16" s="16">
        <f>VLOOKUP(C16,'Ürün İş Listesi'!$P$30:$Z$50,11,0)</f>
        <v>0.92592592592592593</v>
      </c>
      <c r="J16" s="15">
        <f>IFERROR(VLOOKUP(C16,'Ürün İş Listesi'!$AQ$5:$AT$23,4,0),"")</f>
        <v>1</v>
      </c>
      <c r="K16" s="15">
        <f>IFERROR(VLOOKUP(C16,'Ürün İş Listesi'!$AQ$5:$AR$23,2,0),"")</f>
        <v>0</v>
      </c>
      <c r="L16" s="15">
        <f t="shared" si="1"/>
        <v>0</v>
      </c>
      <c r="M16" s="16">
        <f>IFERROR(VLOOKUP(C16,'Ürün İş Listesi'!$P$5:$Z$23,11,0),"")</f>
        <v>0</v>
      </c>
    </row>
    <row r="17" spans="3:14" x14ac:dyDescent="0.25">
      <c r="C17" s="14" t="s">
        <v>124</v>
      </c>
      <c r="D17" s="15">
        <f>VLOOKUP(C17,'Ürün İş Listesi'!$P$30:$Z$50,8,0)</f>
        <v>10</v>
      </c>
      <c r="E17" s="15">
        <f>VLOOKUP(C17,'Ürün İş Listesi'!$AQ$32:$AR$48,2,0)</f>
        <v>0</v>
      </c>
      <c r="F17" s="15">
        <f t="shared" si="0"/>
        <v>9</v>
      </c>
      <c r="G17" s="16">
        <f>VLOOKUP(C17,'Ürün İş Listesi'!$P$30:$Z$50,11,0)</f>
        <v>0.9</v>
      </c>
      <c r="J17" s="15" t="str">
        <f>IFERROR(VLOOKUP(C17,'Ürün İş Listesi'!$AQ$5:$AT$23,4,0),"")</f>
        <v/>
      </c>
      <c r="K17" s="15" t="str">
        <f>IFERROR(VLOOKUP(C17,'Ürün İş Listesi'!$AQ$5:$AR$23,2,0),"")</f>
        <v/>
      </c>
      <c r="L17" s="15" t="str">
        <f t="shared" si="1"/>
        <v>-</v>
      </c>
      <c r="M17" s="16" t="str">
        <f>IFERROR(VLOOKUP(C17,'Ürün İş Listesi'!$P$5:$Z$23,11,0),"")</f>
        <v/>
      </c>
    </row>
    <row r="18" spans="3:14" x14ac:dyDescent="0.25">
      <c r="C18" s="14" t="s">
        <v>127</v>
      </c>
      <c r="D18" s="15">
        <f>VLOOKUP(C18,'Ürün İş Listesi'!$P$30:$Z$50,8,0)</f>
        <v>52</v>
      </c>
      <c r="E18" s="15">
        <f>VLOOKUP(C18,'Ürün İş Listesi'!$AQ$32:$AR$48,2,0)</f>
        <v>6</v>
      </c>
      <c r="F18" s="15">
        <f t="shared" si="0"/>
        <v>49</v>
      </c>
      <c r="G18" s="16">
        <f>VLOOKUP(C18,'Ürün İş Listesi'!$P$30:$Z$50,11,0)</f>
        <v>0.94230769230769229</v>
      </c>
      <c r="J18" s="15" t="str">
        <f>IFERROR(VLOOKUP(C18,'Ürün İş Listesi'!$AQ$5:$AT$23,4,0),"")</f>
        <v/>
      </c>
      <c r="K18" s="15" t="str">
        <f>IFERROR(VLOOKUP(C18,'Ürün İş Listesi'!$AQ$5:$AR$23,2,0),"")</f>
        <v/>
      </c>
      <c r="L18" s="15" t="str">
        <f t="shared" si="1"/>
        <v>-</v>
      </c>
      <c r="M18" s="16" t="str">
        <f>IFERROR(VLOOKUP(C18,'Ürün İş Listesi'!$P$5:$Z$23,11,0),"")</f>
        <v/>
      </c>
    </row>
    <row r="19" spans="3:14" x14ac:dyDescent="0.25">
      <c r="C19" s="14" t="s">
        <v>133</v>
      </c>
      <c r="D19" s="15">
        <f>VLOOKUP(C19,'Ürün İş Listesi'!$P$30:$Z$50,8,0)</f>
        <v>10</v>
      </c>
      <c r="E19" s="15">
        <f>VLOOKUP(C19,'Ürün İş Listesi'!$AQ$32:$AR$48,2,0)</f>
        <v>0</v>
      </c>
      <c r="F19" s="15">
        <f t="shared" si="0"/>
        <v>10</v>
      </c>
      <c r="G19" s="16">
        <f>VLOOKUP(C19,'Ürün İş Listesi'!$P$30:$Z$50,11,0)</f>
        <v>1</v>
      </c>
      <c r="J19" s="15" t="str">
        <f>IFERROR(VLOOKUP(C19,'Ürün İş Listesi'!$AQ$5:$AT$23,4,0),"")</f>
        <v/>
      </c>
      <c r="K19" s="15" t="str">
        <f>IFERROR(VLOOKUP(C19,'Ürün İş Listesi'!$AQ$5:$AR$23,2,0),"")</f>
        <v/>
      </c>
      <c r="L19" s="15" t="str">
        <f t="shared" si="1"/>
        <v>-</v>
      </c>
      <c r="M19" s="16" t="str">
        <f>IFERROR(VLOOKUP(C19,'Ürün İş Listesi'!$P$5:$Z$23,11,0),"")</f>
        <v/>
      </c>
    </row>
    <row r="20" spans="3:14" hidden="1" x14ac:dyDescent="0.25">
      <c r="C20" s="14" t="s">
        <v>1844</v>
      </c>
      <c r="D20" s="15">
        <f>VLOOKUP(C20,'Ürün İş Listesi'!$P$30:$Z$50,8,0)</f>
        <v>11</v>
      </c>
      <c r="E20" s="15">
        <f>VLOOKUP(C20,'Ürün İş Listesi'!$AQ$32:$AR$48,2,0)</f>
        <v>2</v>
      </c>
      <c r="F20" s="15">
        <f t="shared" si="0"/>
        <v>9</v>
      </c>
      <c r="G20" s="16">
        <f>VLOOKUP(C20,'Ürün İş Listesi'!$P$30:$Z$50,11,0)</f>
        <v>0.81818181818181823</v>
      </c>
      <c r="J20" s="15" t="str">
        <f>IFERROR(VLOOKUP(C20,'Ürün İş Listesi'!$AQ$5:$AT$23,4,0),"")</f>
        <v/>
      </c>
      <c r="K20" s="15" t="str">
        <f>IFERROR(VLOOKUP(C20,'Ürün İş Listesi'!$AQ$5:$AR$23,2,0),"")</f>
        <v/>
      </c>
      <c r="L20" s="15" t="str">
        <f t="shared" si="1"/>
        <v>-</v>
      </c>
      <c r="M20" s="16" t="str">
        <f>IFERROR(VLOOKUP(C20,'Ürün İş Listesi'!$P$5:$Z$23,11,0),"")</f>
        <v/>
      </c>
    </row>
    <row r="22" spans="3:14" x14ac:dyDescent="0.25">
      <c r="C22" s="17" t="s">
        <v>29</v>
      </c>
      <c r="D22" s="18">
        <f>SUM(D5:D20)</f>
        <v>862</v>
      </c>
      <c r="E22" s="18">
        <f>SUM(E5:E20)</f>
        <v>269</v>
      </c>
      <c r="F22" s="18">
        <f>SUM(F5:F20)</f>
        <v>770</v>
      </c>
      <c r="G22" s="16">
        <f>VLOOKUP(C22,'Ürün İş Listesi'!$P$30:$Z$50,11,0)</f>
        <v>0.89425287356321836</v>
      </c>
      <c r="H22" s="11"/>
      <c r="I22" s="11"/>
      <c r="J22" s="18">
        <f>SUM(J5:J19)</f>
        <v>63</v>
      </c>
      <c r="K22" s="18">
        <f>SUM(K5:K19)</f>
        <v>7</v>
      </c>
      <c r="L22" s="18">
        <f>SUM(L5:L19)</f>
        <v>40</v>
      </c>
      <c r="M22" s="19">
        <f>L22/J22</f>
        <v>0.63492063492063489</v>
      </c>
      <c r="N22" t="s">
        <v>4500</v>
      </c>
    </row>
    <row r="28" spans="3:14" x14ac:dyDescent="0.25">
      <c r="K28" s="7"/>
      <c r="L28" s="5"/>
    </row>
    <row r="29" spans="3:14" x14ac:dyDescent="0.25">
      <c r="K29" s="7"/>
      <c r="L29" s="5"/>
    </row>
    <row r="30" spans="3:14" x14ac:dyDescent="0.25">
      <c r="K30" s="7"/>
      <c r="L30" s="5"/>
    </row>
    <row r="31" spans="3:14" x14ac:dyDescent="0.25">
      <c r="K31" s="7"/>
      <c r="L31" s="5"/>
    </row>
    <row r="32" spans="3:14" x14ac:dyDescent="0.25">
      <c r="K32" s="7"/>
      <c r="L32" s="5"/>
    </row>
    <row r="33" spans="11:12" x14ac:dyDescent="0.25">
      <c r="K33" s="7"/>
      <c r="L33" s="5"/>
    </row>
    <row r="34" spans="11:12" x14ac:dyDescent="0.25">
      <c r="K34" s="7"/>
      <c r="L34" s="5"/>
    </row>
    <row r="35" spans="11:12" x14ac:dyDescent="0.25">
      <c r="K35" s="7"/>
      <c r="L35" s="5"/>
    </row>
    <row r="36" spans="11:12" x14ac:dyDescent="0.25">
      <c r="K36" s="7"/>
      <c r="L36" s="5"/>
    </row>
    <row r="37" spans="11:12" x14ac:dyDescent="0.25">
      <c r="K37" s="7"/>
      <c r="L37" s="5"/>
    </row>
  </sheetData>
  <mergeCells count="2">
    <mergeCell ref="D3:G3"/>
    <mergeCell ref="J3:M3"/>
  </mergeCells>
  <conditionalFormatting sqref="G5:G20">
    <cfRule type="dataBar" priority="5">
      <dataBar>
        <cfvo type="num" val="0"/>
        <cfvo type="num" val="1"/>
        <color rgb="FF63C384"/>
      </dataBar>
      <extLst>
        <ext xmlns:x14="http://schemas.microsoft.com/office/spreadsheetml/2009/9/main" uri="{B025F937-C7B1-47D3-B67F-A62EFF666E3E}">
          <x14:id>{190700C9-7042-436E-A47E-1D21394E778F}</x14:id>
        </ext>
      </extLst>
    </cfRule>
  </conditionalFormatting>
  <conditionalFormatting sqref="G22">
    <cfRule type="dataBar" priority="1">
      <dataBar>
        <cfvo type="num" val="0"/>
        <cfvo type="num" val="1"/>
        <color rgb="FF63C384"/>
      </dataBar>
      <extLst>
        <ext xmlns:x14="http://schemas.microsoft.com/office/spreadsheetml/2009/9/main" uri="{B025F937-C7B1-47D3-B67F-A62EFF666E3E}">
          <x14:id>{0FBF31EB-D794-4EFA-B636-7139F98861D3}</x14:id>
        </ext>
      </extLst>
    </cfRule>
  </conditionalFormatting>
  <conditionalFormatting sqref="M5:M20">
    <cfRule type="dataBar" priority="4">
      <dataBar>
        <cfvo type="num" val="0"/>
        <cfvo type="num" val="1"/>
        <color rgb="FF638EC6"/>
      </dataBar>
      <extLst>
        <ext xmlns:x14="http://schemas.microsoft.com/office/spreadsheetml/2009/9/main" uri="{B025F937-C7B1-47D3-B67F-A62EFF666E3E}">
          <x14:id>{B3089FEC-7DF9-4624-9D27-E3E2389E910A}</x14:id>
        </ext>
      </extLst>
    </cfRule>
  </conditionalFormatting>
  <conditionalFormatting sqref="M22">
    <cfRule type="dataBar" priority="2">
      <dataBar>
        <cfvo type="num" val="0"/>
        <cfvo type="num" val="1"/>
        <color rgb="FF638EC6"/>
      </dataBar>
      <extLst>
        <ext xmlns:x14="http://schemas.microsoft.com/office/spreadsheetml/2009/9/main" uri="{B025F937-C7B1-47D3-B67F-A62EFF666E3E}">
          <x14:id>{7B05D65E-D8BC-4654-9F17-04538AE2C6AA}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90700C9-7042-436E-A47E-1D21394E778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G5:G20</xm:sqref>
        </x14:conditionalFormatting>
        <x14:conditionalFormatting xmlns:xm="http://schemas.microsoft.com/office/excel/2006/main">
          <x14:cfRule type="dataBar" id="{0FBF31EB-D794-4EFA-B636-7139F98861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xm:sqref>
        </x14:conditionalFormatting>
        <x14:conditionalFormatting xmlns:xm="http://schemas.microsoft.com/office/excel/2006/main">
          <x14:cfRule type="dataBar" id="{B3089FEC-7DF9-4624-9D27-E3E2389E910A}">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M5:M20</xm:sqref>
        </x14:conditionalFormatting>
        <x14:conditionalFormatting xmlns:xm="http://schemas.microsoft.com/office/excel/2006/main">
          <x14:cfRule type="dataBar" id="{7B05D65E-D8BC-4654-9F17-04538AE2C6AA}">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990BA-613E-4568-8830-70CDFB113D33}">
  <dimension ref="A1:AV1341"/>
  <sheetViews>
    <sheetView topLeftCell="K1" zoomScale="70" zoomScaleNormal="70" workbookViewId="0">
      <selection activeCell="Z13" sqref="Z13"/>
    </sheetView>
  </sheetViews>
  <sheetFormatPr defaultRowHeight="15" x14ac:dyDescent="0.25"/>
  <cols>
    <col min="1" max="2" width="19" customWidth="1"/>
    <col min="3" max="3" width="12.28515625" bestFit="1" customWidth="1"/>
    <col min="4" max="4" width="89.42578125" customWidth="1"/>
    <col min="5" max="5" width="23" style="5" customWidth="1"/>
    <col min="6" max="6" width="7.140625" style="5" customWidth="1"/>
    <col min="7" max="7" width="19.28515625" bestFit="1" customWidth="1"/>
    <col min="8" max="8" width="18.28515625" bestFit="1" customWidth="1"/>
    <col min="9" max="9" width="27.28515625" bestFit="1" customWidth="1"/>
    <col min="10" max="10" width="15.7109375" style="5" bestFit="1" customWidth="1"/>
    <col min="16" max="16" width="24.140625" bestFit="1" customWidth="1"/>
    <col min="17" max="17" width="20" bestFit="1" customWidth="1"/>
    <col min="18" max="18" width="10.5703125" bestFit="1" customWidth="1"/>
    <col min="19" max="19" width="7.5703125" bestFit="1" customWidth="1"/>
    <col min="20" max="20" width="5.7109375" bestFit="1" customWidth="1"/>
    <col min="21" max="21" width="7.85546875" bestFit="1" customWidth="1"/>
    <col min="22" max="22" width="6.7109375" bestFit="1" customWidth="1"/>
    <col min="23" max="24" width="13" bestFit="1" customWidth="1"/>
    <col min="25" max="26" width="13.28515625" bestFit="1" customWidth="1"/>
    <col min="27" max="27" width="20.5703125" bestFit="1" customWidth="1"/>
    <col min="28" max="28" width="5.7109375" bestFit="1" customWidth="1"/>
    <col min="29" max="29" width="30.5703125" bestFit="1" customWidth="1"/>
    <col min="30" max="30" width="18.28515625" bestFit="1" customWidth="1"/>
    <col min="31" max="31" width="17.28515625" bestFit="1" customWidth="1"/>
    <col min="32" max="32" width="27.42578125" bestFit="1" customWidth="1"/>
    <col min="33" max="33" width="13.5703125" bestFit="1" customWidth="1"/>
    <col min="34" max="34" width="13" bestFit="1" customWidth="1"/>
    <col min="35" max="35" width="7.85546875" bestFit="1" customWidth="1"/>
    <col min="36" max="36" width="5.5703125" bestFit="1" customWidth="1"/>
    <col min="37" max="37" width="13" bestFit="1" customWidth="1"/>
    <col min="38" max="38" width="13.28515625" bestFit="1" customWidth="1"/>
    <col min="39" max="39" width="13" bestFit="1" customWidth="1"/>
    <col min="43" max="43" width="30.5703125" bestFit="1" customWidth="1"/>
    <col min="44" max="44" width="17.42578125" bestFit="1" customWidth="1"/>
    <col min="45" max="45" width="5.5703125" bestFit="1" customWidth="1"/>
    <col min="46" max="46" width="8.5703125" bestFit="1" customWidth="1"/>
    <col min="47" max="47" width="4.85546875" bestFit="1" customWidth="1"/>
    <col min="48" max="48" width="13" bestFit="1" customWidth="1"/>
    <col min="49" max="49" width="5.7109375" bestFit="1" customWidth="1"/>
    <col min="50" max="51" width="13" bestFit="1" customWidth="1"/>
  </cols>
  <sheetData>
    <row r="1" spans="1:46" x14ac:dyDescent="0.25">
      <c r="A1" s="1" t="s">
        <v>0</v>
      </c>
      <c r="B1" s="1" t="s">
        <v>1</v>
      </c>
      <c r="C1" s="1" t="s">
        <v>2</v>
      </c>
      <c r="D1" s="1" t="s">
        <v>3</v>
      </c>
      <c r="E1" s="2" t="s">
        <v>4</v>
      </c>
      <c r="F1" s="2" t="s">
        <v>1818</v>
      </c>
      <c r="G1" s="3" t="s">
        <v>5</v>
      </c>
      <c r="H1" s="3" t="s">
        <v>6</v>
      </c>
      <c r="I1" s="3" t="s">
        <v>7</v>
      </c>
      <c r="J1" s="4" t="s">
        <v>8</v>
      </c>
      <c r="AQ1" s="10" t="s">
        <v>5</v>
      </c>
      <c r="AR1" t="s">
        <v>13</v>
      </c>
    </row>
    <row r="2" spans="1:46" x14ac:dyDescent="0.25">
      <c r="A2" t="s">
        <v>14</v>
      </c>
      <c r="B2" t="s">
        <v>9</v>
      </c>
      <c r="C2" t="s">
        <v>10</v>
      </c>
      <c r="D2" t="s">
        <v>11</v>
      </c>
      <c r="E2" s="5" t="s">
        <v>12</v>
      </c>
      <c r="F2" s="5" t="e">
        <f>VLOOKUP(B2,'Türkkep Jira'!B:F,5,0)</f>
        <v>#N/A</v>
      </c>
      <c r="G2" t="str">
        <f>IF(IFERROR(VLOOKUP(B2,'Devam Eden Sprint'!B:B,1,0),"-")=B2,"Devam Eden Sprint","-")</f>
        <v>-</v>
      </c>
      <c r="H2" t="str">
        <f>IF(IFERROR(VLOOKUP(B2,'Gelecek Sprint'!B:B,1,0),"-")=B2,"Gelecek Sprint","-")</f>
        <v>-</v>
      </c>
      <c r="I2" t="str">
        <f t="shared" ref="I2:I65" si="0">IFERROR(IF(AND(G2="Devam Eden Sprint",H2="Gelecek Sprint"),"Devam Eden ve Gelecek Sprint",IF(G2="Devam Eden Sprint","Devam Eden Sprint",IF(H2="Gelecek Sprint","Gelecek Sprint","Ürün İş Listesi"))),"Ürün İş Listesi")</f>
        <v>Ürün İş Listesi</v>
      </c>
      <c r="P2" s="10" t="s">
        <v>5</v>
      </c>
      <c r="Q2" t="s">
        <v>13</v>
      </c>
      <c r="AC2" s="10" t="s">
        <v>5</v>
      </c>
      <c r="AD2" t="s">
        <v>13</v>
      </c>
      <c r="AQ2" s="10" t="s">
        <v>2</v>
      </c>
      <c r="AR2" t="s">
        <v>89</v>
      </c>
    </row>
    <row r="3" spans="1:46" x14ac:dyDescent="0.25">
      <c r="A3" t="s">
        <v>14</v>
      </c>
      <c r="B3" t="s">
        <v>15</v>
      </c>
      <c r="C3" t="s">
        <v>16</v>
      </c>
      <c r="D3" t="s">
        <v>17</v>
      </c>
      <c r="E3" s="5" t="s">
        <v>12</v>
      </c>
      <c r="F3" s="5" t="e">
        <f>VLOOKUP(B3,'Türkkep Jira'!B:F,5,0)</f>
        <v>#N/A</v>
      </c>
      <c r="G3" t="str">
        <f>IF(IFERROR(VLOOKUP(B3,'Devam Eden Sprint'!B:B,1,0),"-")=B3,"Devam Eden Sprint","-")</f>
        <v>-</v>
      </c>
      <c r="H3" t="str">
        <f>IF(IFERROR(VLOOKUP(B3,'Gelecek Sprint'!B:B,1,0),"-")=B3,"Gelecek Sprint","-")</f>
        <v>-</v>
      </c>
      <c r="I3" t="str">
        <f t="shared" si="0"/>
        <v>Ürün İş Listesi</v>
      </c>
    </row>
    <row r="4" spans="1:46" x14ac:dyDescent="0.25">
      <c r="A4" t="s">
        <v>14</v>
      </c>
      <c r="B4" t="s">
        <v>18</v>
      </c>
      <c r="C4" t="s">
        <v>16</v>
      </c>
      <c r="D4" t="s">
        <v>19</v>
      </c>
      <c r="E4" s="5" t="s">
        <v>12</v>
      </c>
      <c r="F4" s="5" t="e">
        <f>VLOOKUP(B4,'Türkkep Jira'!B:F,5,0)</f>
        <v>#N/A</v>
      </c>
      <c r="G4" t="str">
        <f>IF(IFERROR(VLOOKUP(B4,'Devam Eden Sprint'!B:B,1,0),"-")=B4,"Devam Eden Sprint","-")</f>
        <v>-</v>
      </c>
      <c r="H4" t="str">
        <f>IF(IFERROR(VLOOKUP(B4,'Gelecek Sprint'!B:B,1,0),"-")=B4,"Gelecek Sprint","-")</f>
        <v>-</v>
      </c>
      <c r="I4" t="str">
        <f t="shared" si="0"/>
        <v>Ürün İş Listesi</v>
      </c>
      <c r="P4" s="10" t="s">
        <v>20</v>
      </c>
      <c r="Q4" s="10" t="s">
        <v>21</v>
      </c>
      <c r="AC4" s="10" t="s">
        <v>22</v>
      </c>
      <c r="AD4" s="10" t="s">
        <v>21</v>
      </c>
      <c r="AQ4" s="10" t="s">
        <v>20</v>
      </c>
      <c r="AR4" s="10" t="s">
        <v>21</v>
      </c>
    </row>
    <row r="5" spans="1:46" x14ac:dyDescent="0.25">
      <c r="A5" t="s">
        <v>14</v>
      </c>
      <c r="B5" t="s">
        <v>23</v>
      </c>
      <c r="C5" t="s">
        <v>16</v>
      </c>
      <c r="D5" t="s">
        <v>24</v>
      </c>
      <c r="E5" s="5" t="s">
        <v>12</v>
      </c>
      <c r="F5" s="5" t="e">
        <f>VLOOKUP(B5,'Türkkep Jira'!B:F,5,0)</f>
        <v>#N/A</v>
      </c>
      <c r="G5" t="str">
        <f>IF(IFERROR(VLOOKUP(B5,'Devam Eden Sprint'!B:B,1,0),"-")=B5,"Devam Eden Sprint","-")</f>
        <v>-</v>
      </c>
      <c r="H5" t="str">
        <f>IF(IFERROR(VLOOKUP(B5,'Gelecek Sprint'!B:B,1,0),"-")=B5,"Gelecek Sprint","-")</f>
        <v>-</v>
      </c>
      <c r="I5" t="str">
        <f t="shared" si="0"/>
        <v>Ürün İş Listesi</v>
      </c>
      <c r="P5" s="10" t="s">
        <v>25</v>
      </c>
      <c r="Q5" s="5" t="s">
        <v>16</v>
      </c>
      <c r="R5" t="s">
        <v>26</v>
      </c>
      <c r="S5" s="5" t="s">
        <v>94</v>
      </c>
      <c r="T5" s="5" t="s">
        <v>10</v>
      </c>
      <c r="U5" s="5" t="s">
        <v>27</v>
      </c>
      <c r="V5" t="s">
        <v>28</v>
      </c>
      <c r="W5" t="s">
        <v>29</v>
      </c>
      <c r="Y5" s="6" t="s">
        <v>30</v>
      </c>
      <c r="AC5" s="10" t="s">
        <v>25</v>
      </c>
      <c r="AD5" s="5" t="s">
        <v>16</v>
      </c>
      <c r="AE5" t="s">
        <v>26</v>
      </c>
      <c r="AF5" t="s">
        <v>28</v>
      </c>
      <c r="AG5" s="5" t="s">
        <v>94</v>
      </c>
      <c r="AH5" s="5" t="s">
        <v>10</v>
      </c>
      <c r="AI5" s="5" t="s">
        <v>27</v>
      </c>
      <c r="AJ5" t="s">
        <v>3214</v>
      </c>
      <c r="AK5" t="s">
        <v>29</v>
      </c>
      <c r="AM5" s="6" t="s">
        <v>30</v>
      </c>
      <c r="AQ5" s="10" t="s">
        <v>25</v>
      </c>
      <c r="AR5" t="s">
        <v>77</v>
      </c>
      <c r="AS5" t="s">
        <v>14</v>
      </c>
      <c r="AT5" t="s">
        <v>29</v>
      </c>
    </row>
    <row r="6" spans="1:46" x14ac:dyDescent="0.25">
      <c r="A6" t="s">
        <v>14</v>
      </c>
      <c r="B6" t="s">
        <v>31</v>
      </c>
      <c r="C6" t="s">
        <v>16</v>
      </c>
      <c r="D6" t="s">
        <v>32</v>
      </c>
      <c r="E6" s="5" t="s">
        <v>12</v>
      </c>
      <c r="F6" s="5" t="e">
        <f>VLOOKUP(B6,'Türkkep Jira'!B:F,5,0)</f>
        <v>#N/A</v>
      </c>
      <c r="G6" t="str">
        <f>IF(IFERROR(VLOOKUP(B6,'Devam Eden Sprint'!B:B,1,0),"-")=B6,"Devam Eden Sprint","-")</f>
        <v>-</v>
      </c>
      <c r="H6" t="str">
        <f>IF(IFERROR(VLOOKUP(B6,'Gelecek Sprint'!B:B,1,0),"-")=B6,"Gelecek Sprint","-")</f>
        <v>-</v>
      </c>
      <c r="I6" t="str">
        <f t="shared" si="0"/>
        <v>Ürün İş Listesi</v>
      </c>
      <c r="P6" s="7" t="s">
        <v>12</v>
      </c>
      <c r="Q6" s="5">
        <v>5</v>
      </c>
      <c r="R6" s="5">
        <v>2</v>
      </c>
      <c r="S6" s="5"/>
      <c r="T6" s="5">
        <v>2</v>
      </c>
      <c r="U6" s="5">
        <v>16</v>
      </c>
      <c r="V6" s="5">
        <v>2</v>
      </c>
      <c r="W6" s="5">
        <v>27</v>
      </c>
      <c r="Y6" s="8">
        <f>Q6/W6</f>
        <v>0.18518518518518517</v>
      </c>
      <c r="Z6" s="9">
        <f>(Q6+SUM(U6:V6))/W6</f>
        <v>0.85185185185185186</v>
      </c>
      <c r="AC6" s="7" t="s">
        <v>12</v>
      </c>
      <c r="AD6" s="5">
        <v>16</v>
      </c>
      <c r="AE6" s="5"/>
      <c r="AF6" s="5">
        <v>7</v>
      </c>
      <c r="AG6" s="5"/>
      <c r="AH6" s="5"/>
      <c r="AI6" s="5">
        <v>36</v>
      </c>
      <c r="AJ6" s="5"/>
      <c r="AK6" s="5">
        <v>59</v>
      </c>
      <c r="AM6" s="8">
        <f>AD6/AK6</f>
        <v>0.2711864406779661</v>
      </c>
      <c r="AQ6" s="7" t="s">
        <v>12</v>
      </c>
      <c r="AR6" s="5"/>
      <c r="AS6" s="5">
        <v>27</v>
      </c>
      <c r="AT6" s="5">
        <v>27</v>
      </c>
    </row>
    <row r="7" spans="1:46" x14ac:dyDescent="0.25">
      <c r="A7" t="s">
        <v>14</v>
      </c>
      <c r="B7" t="s">
        <v>33</v>
      </c>
      <c r="C7" t="s">
        <v>16</v>
      </c>
      <c r="D7" t="s">
        <v>34</v>
      </c>
      <c r="E7" s="5" t="s">
        <v>12</v>
      </c>
      <c r="F7" s="5" t="e">
        <f>VLOOKUP(B7,'Türkkep Jira'!B:F,5,0)</f>
        <v>#N/A</v>
      </c>
      <c r="G7" t="str">
        <f>IF(IFERROR(VLOOKUP(B7,'Devam Eden Sprint'!B:B,1,0),"-")=B7,"Devam Eden Sprint","-")</f>
        <v>-</v>
      </c>
      <c r="H7" t="str">
        <f>IF(IFERROR(VLOOKUP(B7,'Gelecek Sprint'!B:B,1,0),"-")=B7,"Gelecek Sprint","-")</f>
        <v>-</v>
      </c>
      <c r="I7" t="str">
        <f t="shared" si="0"/>
        <v>Ürün İş Listesi</v>
      </c>
      <c r="J7" s="5">
        <v>3</v>
      </c>
      <c r="P7" s="7" t="s">
        <v>38</v>
      </c>
      <c r="Q7" s="5">
        <v>1</v>
      </c>
      <c r="R7" s="5">
        <v>1</v>
      </c>
      <c r="S7" s="5"/>
      <c r="T7" s="5">
        <v>2</v>
      </c>
      <c r="U7" s="5">
        <v>1</v>
      </c>
      <c r="V7" s="5"/>
      <c r="W7" s="5">
        <v>5</v>
      </c>
      <c r="Y7" s="8">
        <f t="shared" ref="Y7:Y22" si="1">Q7/W7</f>
        <v>0.2</v>
      </c>
      <c r="Z7" s="9">
        <f t="shared" ref="Z7:Z22" si="2">(Q7+SUM(U7:V7))/W7</f>
        <v>0.4</v>
      </c>
      <c r="AC7" s="7" t="s">
        <v>38</v>
      </c>
      <c r="AD7" s="5"/>
      <c r="AE7" s="5"/>
      <c r="AF7" s="5"/>
      <c r="AG7" s="5"/>
      <c r="AH7" s="5">
        <v>6</v>
      </c>
      <c r="AI7" s="5">
        <v>3</v>
      </c>
      <c r="AJ7" s="5"/>
      <c r="AK7" s="5">
        <v>9</v>
      </c>
      <c r="AM7" s="8">
        <f t="shared" ref="AM7:AM18" si="3">AD7/AK7</f>
        <v>0</v>
      </c>
      <c r="AQ7" s="7" t="s">
        <v>35</v>
      </c>
      <c r="AR7" s="5"/>
      <c r="AS7" s="5">
        <v>1</v>
      </c>
      <c r="AT7" s="5">
        <v>1</v>
      </c>
    </row>
    <row r="8" spans="1:46" x14ac:dyDescent="0.25">
      <c r="A8" t="s">
        <v>14</v>
      </c>
      <c r="B8" t="s">
        <v>36</v>
      </c>
      <c r="C8" t="s">
        <v>16</v>
      </c>
      <c r="D8" t="s">
        <v>37</v>
      </c>
      <c r="E8" s="5" t="s">
        <v>12</v>
      </c>
      <c r="F8" s="5" t="e">
        <f>VLOOKUP(B8,'Türkkep Jira'!B:F,5,0)</f>
        <v>#N/A</v>
      </c>
      <c r="G8" t="str">
        <f>IF(IFERROR(VLOOKUP(B8,'Devam Eden Sprint'!B:B,1,0),"-")=B8,"Devam Eden Sprint","-")</f>
        <v>-</v>
      </c>
      <c r="H8" t="str">
        <f>IF(IFERROR(VLOOKUP(B8,'Gelecek Sprint'!B:B,1,0),"-")=B8,"Gelecek Sprint","-")</f>
        <v>-</v>
      </c>
      <c r="I8" t="str">
        <f t="shared" si="0"/>
        <v>Ürün İş Listesi</v>
      </c>
      <c r="J8" s="5">
        <v>5</v>
      </c>
      <c r="P8" s="7" t="s">
        <v>41</v>
      </c>
      <c r="Q8" s="5">
        <v>1</v>
      </c>
      <c r="R8" s="5">
        <v>3</v>
      </c>
      <c r="S8" s="5"/>
      <c r="T8" s="5"/>
      <c r="U8" s="5">
        <v>1</v>
      </c>
      <c r="V8" s="5"/>
      <c r="W8" s="5">
        <v>5</v>
      </c>
      <c r="Y8" s="8">
        <f t="shared" si="1"/>
        <v>0.2</v>
      </c>
      <c r="Z8" s="9">
        <f t="shared" si="2"/>
        <v>0.4</v>
      </c>
      <c r="AC8" s="7" t="s">
        <v>41</v>
      </c>
      <c r="AD8" s="5"/>
      <c r="AE8" s="5"/>
      <c r="AF8" s="5"/>
      <c r="AG8" s="5"/>
      <c r="AH8" s="5"/>
      <c r="AI8" s="5"/>
      <c r="AJ8" s="5"/>
      <c r="AK8" s="5"/>
      <c r="AM8" s="8" t="e">
        <f t="shared" si="3"/>
        <v>#DIV/0!</v>
      </c>
      <c r="AQ8" s="7" t="s">
        <v>38</v>
      </c>
      <c r="AR8" s="5">
        <v>1</v>
      </c>
      <c r="AS8" s="5">
        <v>4</v>
      </c>
      <c r="AT8" s="5">
        <v>5</v>
      </c>
    </row>
    <row r="9" spans="1:46" x14ac:dyDescent="0.25">
      <c r="A9" t="s">
        <v>14</v>
      </c>
      <c r="B9" t="s">
        <v>39</v>
      </c>
      <c r="C9" t="s">
        <v>16</v>
      </c>
      <c r="D9" t="s">
        <v>40</v>
      </c>
      <c r="E9" s="5" t="s">
        <v>12</v>
      </c>
      <c r="F9" s="5" t="e">
        <f>VLOOKUP(B9,'Türkkep Jira'!B:F,5,0)</f>
        <v>#N/A</v>
      </c>
      <c r="G9" t="str">
        <f>IF(IFERROR(VLOOKUP(B9,'Devam Eden Sprint'!B:B,1,0),"-")=B9,"Devam Eden Sprint","-")</f>
        <v>-</v>
      </c>
      <c r="H9" t="str">
        <f>IF(IFERROR(VLOOKUP(B9,'Gelecek Sprint'!B:B,1,0),"-")=B9,"Gelecek Sprint","-")</f>
        <v>-</v>
      </c>
      <c r="I9" t="str">
        <f t="shared" si="0"/>
        <v>Ürün İş Listesi</v>
      </c>
      <c r="P9" s="7" t="s">
        <v>44</v>
      </c>
      <c r="Q9" s="5"/>
      <c r="R9" s="5"/>
      <c r="S9" s="5"/>
      <c r="T9" s="5">
        <v>1</v>
      </c>
      <c r="U9" s="5">
        <v>1</v>
      </c>
      <c r="V9" s="5"/>
      <c r="W9" s="5">
        <v>2</v>
      </c>
      <c r="Y9" s="8">
        <f t="shared" si="1"/>
        <v>0</v>
      </c>
      <c r="Z9" s="9">
        <f t="shared" si="2"/>
        <v>0.5</v>
      </c>
      <c r="AC9" s="7" t="s">
        <v>44</v>
      </c>
      <c r="AD9" s="5"/>
      <c r="AE9" s="5"/>
      <c r="AF9" s="5"/>
      <c r="AG9" s="5"/>
      <c r="AH9" s="5"/>
      <c r="AI9" s="5">
        <v>2</v>
      </c>
      <c r="AJ9" s="5"/>
      <c r="AK9" s="5">
        <v>2</v>
      </c>
      <c r="AM9" s="8">
        <f t="shared" si="3"/>
        <v>0</v>
      </c>
      <c r="AQ9" s="7" t="s">
        <v>41</v>
      </c>
      <c r="AR9" s="5">
        <v>1</v>
      </c>
      <c r="AS9" s="5">
        <v>4</v>
      </c>
      <c r="AT9" s="5">
        <v>5</v>
      </c>
    </row>
    <row r="10" spans="1:46" x14ac:dyDescent="0.25">
      <c r="A10" t="s">
        <v>14</v>
      </c>
      <c r="B10" t="s">
        <v>42</v>
      </c>
      <c r="C10" t="s">
        <v>16</v>
      </c>
      <c r="D10" t="s">
        <v>43</v>
      </c>
      <c r="E10" s="5" t="s">
        <v>12</v>
      </c>
      <c r="F10" s="5" t="e">
        <f>VLOOKUP(B10,'Türkkep Jira'!B:F,5,0)</f>
        <v>#N/A</v>
      </c>
      <c r="G10" t="str">
        <f>IF(IFERROR(VLOOKUP(B10,'Devam Eden Sprint'!B:B,1,0),"-")=B10,"Devam Eden Sprint","-")</f>
        <v>-</v>
      </c>
      <c r="H10" t="str">
        <f>IF(IFERROR(VLOOKUP(B10,'Gelecek Sprint'!B:B,1,0),"-")=B10,"Gelecek Sprint","-")</f>
        <v>-</v>
      </c>
      <c r="I10" t="str">
        <f t="shared" si="0"/>
        <v>Ürün İş Listesi</v>
      </c>
      <c r="P10" s="7" t="s">
        <v>47</v>
      </c>
      <c r="Q10" s="5">
        <v>1</v>
      </c>
      <c r="R10" s="5">
        <v>2</v>
      </c>
      <c r="S10" s="5"/>
      <c r="T10" s="5"/>
      <c r="U10" s="5"/>
      <c r="V10" s="5"/>
      <c r="W10" s="5">
        <v>3</v>
      </c>
      <c r="Y10" s="8">
        <f t="shared" si="1"/>
        <v>0.33333333333333331</v>
      </c>
      <c r="Z10" s="9">
        <f t="shared" si="2"/>
        <v>0.33333333333333331</v>
      </c>
      <c r="AC10" s="7" t="s">
        <v>47</v>
      </c>
      <c r="AD10" s="5">
        <v>3</v>
      </c>
      <c r="AE10" s="5">
        <v>8</v>
      </c>
      <c r="AF10" s="5"/>
      <c r="AG10" s="5"/>
      <c r="AH10" s="5"/>
      <c r="AI10" s="5"/>
      <c r="AJ10" s="5"/>
      <c r="AK10" s="5">
        <v>11</v>
      </c>
      <c r="AM10" s="8">
        <f t="shared" si="3"/>
        <v>0.27272727272727271</v>
      </c>
      <c r="AQ10" s="7" t="s">
        <v>44</v>
      </c>
      <c r="AR10" s="5"/>
      <c r="AS10" s="5">
        <v>2</v>
      </c>
      <c r="AT10" s="5">
        <v>2</v>
      </c>
    </row>
    <row r="11" spans="1:46" x14ac:dyDescent="0.25">
      <c r="A11" t="s">
        <v>14</v>
      </c>
      <c r="B11" t="s">
        <v>45</v>
      </c>
      <c r="C11" t="s">
        <v>16</v>
      </c>
      <c r="D11" t="s">
        <v>46</v>
      </c>
      <c r="E11" s="5" t="s">
        <v>12</v>
      </c>
      <c r="F11" s="5" t="e">
        <f>VLOOKUP(B11,'Türkkep Jira'!B:F,5,0)</f>
        <v>#N/A</v>
      </c>
      <c r="G11" t="str">
        <f>IF(IFERROR(VLOOKUP(B11,'Devam Eden Sprint'!B:B,1,0),"-")=B11,"Devam Eden Sprint","-")</f>
        <v>-</v>
      </c>
      <c r="H11" t="str">
        <f>IF(IFERROR(VLOOKUP(B11,'Gelecek Sprint'!B:B,1,0),"-")=B11,"Gelecek Sprint","-")</f>
        <v>-</v>
      </c>
      <c r="I11" t="str">
        <f t="shared" si="0"/>
        <v>Ürün İş Listesi</v>
      </c>
      <c r="P11" s="7" t="s">
        <v>50</v>
      </c>
      <c r="Q11" s="5">
        <v>3</v>
      </c>
      <c r="R11" s="5">
        <v>2</v>
      </c>
      <c r="S11" s="5"/>
      <c r="T11" s="5">
        <v>1</v>
      </c>
      <c r="U11" s="5"/>
      <c r="V11" s="5"/>
      <c r="W11" s="5">
        <v>6</v>
      </c>
      <c r="Y11" s="8">
        <f t="shared" si="1"/>
        <v>0.5</v>
      </c>
      <c r="Z11" s="9">
        <f t="shared" si="2"/>
        <v>0.5</v>
      </c>
      <c r="AC11" s="7" t="s">
        <v>50</v>
      </c>
      <c r="AD11" s="5">
        <v>5</v>
      </c>
      <c r="AE11" s="5">
        <v>3</v>
      </c>
      <c r="AF11" s="5"/>
      <c r="AG11" s="5"/>
      <c r="AH11" s="5"/>
      <c r="AI11" s="5"/>
      <c r="AJ11" s="5"/>
      <c r="AK11" s="5">
        <v>8</v>
      </c>
      <c r="AM11" s="8">
        <f t="shared" si="3"/>
        <v>0.625</v>
      </c>
      <c r="AQ11" s="7" t="s">
        <v>47</v>
      </c>
      <c r="AR11" s="5"/>
      <c r="AS11" s="5">
        <v>3</v>
      </c>
      <c r="AT11" s="5">
        <v>3</v>
      </c>
    </row>
    <row r="12" spans="1:46" x14ac:dyDescent="0.25">
      <c r="A12" t="s">
        <v>14</v>
      </c>
      <c r="B12" t="s">
        <v>48</v>
      </c>
      <c r="C12" t="s">
        <v>16</v>
      </c>
      <c r="D12" t="s">
        <v>49</v>
      </c>
      <c r="E12" s="5" t="s">
        <v>12</v>
      </c>
      <c r="F12" s="5" t="e">
        <f>VLOOKUP(B12,'Türkkep Jira'!B:F,5,0)</f>
        <v>#N/A</v>
      </c>
      <c r="G12" t="str">
        <f>IF(IFERROR(VLOOKUP(B12,'Devam Eden Sprint'!B:B,1,0),"-")=B12,"Devam Eden Sprint","-")</f>
        <v>-</v>
      </c>
      <c r="H12" t="str">
        <f>IF(IFERROR(VLOOKUP(B12,'Gelecek Sprint'!B:B,1,0),"-")=B12,"Gelecek Sprint","-")</f>
        <v>-</v>
      </c>
      <c r="I12" t="str">
        <f t="shared" si="0"/>
        <v>Ürün İş Listesi</v>
      </c>
      <c r="P12" s="7" t="s">
        <v>53</v>
      </c>
      <c r="Q12" s="5"/>
      <c r="R12" s="5">
        <v>1</v>
      </c>
      <c r="S12" s="5">
        <v>1</v>
      </c>
      <c r="T12" s="5">
        <v>2</v>
      </c>
      <c r="U12" s="5">
        <v>2</v>
      </c>
      <c r="V12" s="5"/>
      <c r="W12" s="5">
        <v>6</v>
      </c>
      <c r="Y12" s="8">
        <f t="shared" si="1"/>
        <v>0</v>
      </c>
      <c r="Z12" s="9">
        <f t="shared" si="2"/>
        <v>0.33333333333333331</v>
      </c>
      <c r="AC12" s="7" t="s">
        <v>53</v>
      </c>
      <c r="AD12" s="5"/>
      <c r="AE12" s="5">
        <v>3</v>
      </c>
      <c r="AF12" s="5"/>
      <c r="AG12" s="5">
        <v>2</v>
      </c>
      <c r="AH12" s="5">
        <v>2</v>
      </c>
      <c r="AI12" s="5">
        <v>6</v>
      </c>
      <c r="AJ12" s="5">
        <v>3</v>
      </c>
      <c r="AK12" s="5">
        <v>16</v>
      </c>
      <c r="AM12" s="8">
        <f t="shared" si="3"/>
        <v>0</v>
      </c>
      <c r="AQ12" s="7" t="s">
        <v>50</v>
      </c>
      <c r="AR12" s="5">
        <v>1</v>
      </c>
      <c r="AS12" s="5">
        <v>5</v>
      </c>
      <c r="AT12" s="5">
        <v>6</v>
      </c>
    </row>
    <row r="13" spans="1:46" x14ac:dyDescent="0.25">
      <c r="A13" t="s">
        <v>14</v>
      </c>
      <c r="B13" t="s">
        <v>51</v>
      </c>
      <c r="C13" t="s">
        <v>16</v>
      </c>
      <c r="D13" t="s">
        <v>52</v>
      </c>
      <c r="E13" s="5" t="s">
        <v>12</v>
      </c>
      <c r="F13" s="5" t="e">
        <f>VLOOKUP(B13,'Türkkep Jira'!B:F,5,0)</f>
        <v>#N/A</v>
      </c>
      <c r="G13" t="str">
        <f>IF(IFERROR(VLOOKUP(B13,'Devam Eden Sprint'!B:B,1,0),"-")=B13,"Devam Eden Sprint","-")</f>
        <v>-</v>
      </c>
      <c r="H13" t="str">
        <f>IF(IFERROR(VLOOKUP(B13,'Gelecek Sprint'!B:B,1,0),"-")=B13,"Gelecek Sprint","-")</f>
        <v>-</v>
      </c>
      <c r="I13" t="str">
        <f t="shared" si="0"/>
        <v>Ürün İş Listesi</v>
      </c>
      <c r="P13" s="7" t="s">
        <v>56</v>
      </c>
      <c r="Q13" s="5">
        <v>5</v>
      </c>
      <c r="R13" s="5"/>
      <c r="S13" s="5"/>
      <c r="T13" s="5"/>
      <c r="U13" s="5"/>
      <c r="V13" s="5"/>
      <c r="W13" s="5">
        <v>5</v>
      </c>
      <c r="Y13" s="8">
        <f t="shared" si="1"/>
        <v>1</v>
      </c>
      <c r="Z13" s="9">
        <f t="shared" si="2"/>
        <v>1</v>
      </c>
      <c r="AC13" s="7" t="s">
        <v>56</v>
      </c>
      <c r="AD13" s="5">
        <v>11</v>
      </c>
      <c r="AE13" s="5"/>
      <c r="AF13" s="5"/>
      <c r="AG13" s="5"/>
      <c r="AH13" s="5"/>
      <c r="AI13" s="5"/>
      <c r="AJ13" s="5"/>
      <c r="AK13" s="5">
        <v>11</v>
      </c>
      <c r="AM13" s="8">
        <f t="shared" si="3"/>
        <v>1</v>
      </c>
      <c r="AQ13" s="7" t="s">
        <v>53</v>
      </c>
      <c r="AR13" s="5">
        <v>2</v>
      </c>
      <c r="AS13" s="5">
        <v>4</v>
      </c>
      <c r="AT13" s="5">
        <v>6</v>
      </c>
    </row>
    <row r="14" spans="1:46" x14ac:dyDescent="0.25">
      <c r="A14" t="s">
        <v>14</v>
      </c>
      <c r="B14" t="s">
        <v>54</v>
      </c>
      <c r="C14" t="s">
        <v>16</v>
      </c>
      <c r="D14" t="s">
        <v>55</v>
      </c>
      <c r="E14" s="5" t="s">
        <v>12</v>
      </c>
      <c r="F14" s="5" t="e">
        <f>VLOOKUP(B14,'Türkkep Jira'!B:F,5,0)</f>
        <v>#N/A</v>
      </c>
      <c r="G14" t="str">
        <f>IF(IFERROR(VLOOKUP(B14,'Devam Eden Sprint'!B:B,1,0),"-")=B14,"Devam Eden Sprint","-")</f>
        <v>-</v>
      </c>
      <c r="H14" t="str">
        <f>IF(IFERROR(VLOOKUP(B14,'Gelecek Sprint'!B:B,1,0),"-")=B14,"Gelecek Sprint","-")</f>
        <v>-</v>
      </c>
      <c r="I14" t="str">
        <f t="shared" si="0"/>
        <v>Ürün İş Listesi</v>
      </c>
      <c r="P14" s="7" t="s">
        <v>59</v>
      </c>
      <c r="Q14" s="5">
        <v>1</v>
      </c>
      <c r="R14" s="5"/>
      <c r="S14" s="5"/>
      <c r="T14" s="5">
        <v>1</v>
      </c>
      <c r="U14" s="5"/>
      <c r="V14" s="5"/>
      <c r="W14" s="5">
        <v>2</v>
      </c>
      <c r="Y14" s="8">
        <f t="shared" si="1"/>
        <v>0.5</v>
      </c>
      <c r="Z14" s="9">
        <f t="shared" si="2"/>
        <v>0.5</v>
      </c>
      <c r="AC14" s="7" t="s">
        <v>59</v>
      </c>
      <c r="AD14" s="5">
        <v>3</v>
      </c>
      <c r="AE14" s="5"/>
      <c r="AF14" s="5"/>
      <c r="AG14" s="5"/>
      <c r="AH14" s="5">
        <v>8</v>
      </c>
      <c r="AI14" s="5"/>
      <c r="AJ14" s="5"/>
      <c r="AK14" s="5">
        <v>11</v>
      </c>
      <c r="AM14" s="8">
        <f t="shared" si="3"/>
        <v>0.27272727272727271</v>
      </c>
      <c r="AQ14" s="7" t="s">
        <v>56</v>
      </c>
      <c r="AR14" s="5">
        <v>2</v>
      </c>
      <c r="AS14" s="5">
        <v>3</v>
      </c>
      <c r="AT14" s="5">
        <v>5</v>
      </c>
    </row>
    <row r="15" spans="1:46" x14ac:dyDescent="0.25">
      <c r="A15" t="s">
        <v>14</v>
      </c>
      <c r="B15" t="s">
        <v>57</v>
      </c>
      <c r="C15" t="s">
        <v>16</v>
      </c>
      <c r="D15" t="s">
        <v>58</v>
      </c>
      <c r="E15" s="5" t="s">
        <v>12</v>
      </c>
      <c r="F15" s="5" t="e">
        <f>VLOOKUP(B15,'Türkkep Jira'!B:F,5,0)</f>
        <v>#N/A</v>
      </c>
      <c r="G15" t="str">
        <f>IF(IFERROR(VLOOKUP(B15,'Devam Eden Sprint'!B:B,1,0),"-")=B15,"Devam Eden Sprint","-")</f>
        <v>-</v>
      </c>
      <c r="H15" t="str">
        <f>IF(IFERROR(VLOOKUP(B15,'Gelecek Sprint'!B:B,1,0),"-")=B15,"Gelecek Sprint","-")</f>
        <v>-</v>
      </c>
      <c r="I15" t="str">
        <f t="shared" si="0"/>
        <v>Ürün İş Listesi</v>
      </c>
      <c r="J15" s="5">
        <v>5</v>
      </c>
      <c r="P15" s="7" t="s">
        <v>62</v>
      </c>
      <c r="Q15" s="5"/>
      <c r="R15" s="5"/>
      <c r="S15" s="5"/>
      <c r="T15" s="5">
        <v>1</v>
      </c>
      <c r="U15" s="5"/>
      <c r="V15" s="5"/>
      <c r="W15" s="5">
        <v>1</v>
      </c>
      <c r="Y15" s="8">
        <f t="shared" si="1"/>
        <v>0</v>
      </c>
      <c r="Z15" s="9">
        <f t="shared" si="2"/>
        <v>0</v>
      </c>
      <c r="AC15" s="7" t="s">
        <v>428</v>
      </c>
      <c r="AD15" s="5"/>
      <c r="AE15" s="5"/>
      <c r="AF15" s="5"/>
      <c r="AG15" s="5"/>
      <c r="AH15" s="5"/>
      <c r="AI15" s="5"/>
      <c r="AJ15" s="5"/>
      <c r="AK15" s="5"/>
      <c r="AM15" s="8" t="e">
        <f t="shared" si="3"/>
        <v>#DIV/0!</v>
      </c>
      <c r="AQ15" s="7" t="s">
        <v>59</v>
      </c>
      <c r="AR15" s="5"/>
      <c r="AS15" s="5">
        <v>2</v>
      </c>
      <c r="AT15" s="5">
        <v>2</v>
      </c>
    </row>
    <row r="16" spans="1:46" x14ac:dyDescent="0.25">
      <c r="A16" t="s">
        <v>14</v>
      </c>
      <c r="B16" t="s">
        <v>60</v>
      </c>
      <c r="C16" t="s">
        <v>16</v>
      </c>
      <c r="D16" t="s">
        <v>61</v>
      </c>
      <c r="E16" s="5" t="s">
        <v>12</v>
      </c>
      <c r="F16" s="5" t="e">
        <f>VLOOKUP(B16,'Türkkep Jira'!B:F,5,0)</f>
        <v>#N/A</v>
      </c>
      <c r="G16" t="str">
        <f>IF(IFERROR(VLOOKUP(B16,'Devam Eden Sprint'!B:B,1,0),"-")=B16,"Devam Eden Sprint","-")</f>
        <v>-</v>
      </c>
      <c r="H16" t="str">
        <f>IF(IFERROR(VLOOKUP(B16,'Gelecek Sprint'!B:B,1,0),"-")=B16,"Gelecek Sprint","-")</f>
        <v>-</v>
      </c>
      <c r="I16" t="str">
        <f t="shared" si="0"/>
        <v>Ürün İş Listesi</v>
      </c>
      <c r="P16" s="7" t="s">
        <v>1620</v>
      </c>
      <c r="Q16" s="5">
        <v>4</v>
      </c>
      <c r="R16" s="5"/>
      <c r="S16" s="5"/>
      <c r="T16" s="5"/>
      <c r="U16" s="5"/>
      <c r="V16" s="5"/>
      <c r="W16" s="5">
        <v>4</v>
      </c>
      <c r="Y16" s="8">
        <f t="shared" si="1"/>
        <v>1</v>
      </c>
      <c r="Z16" s="9">
        <f t="shared" si="2"/>
        <v>1</v>
      </c>
      <c r="AC16" s="7" t="s">
        <v>62</v>
      </c>
      <c r="AD16" s="5"/>
      <c r="AE16" s="5"/>
      <c r="AF16" s="5"/>
      <c r="AG16" s="5"/>
      <c r="AH16" s="5"/>
      <c r="AI16" s="5"/>
      <c r="AJ16" s="5"/>
      <c r="AK16" s="5"/>
      <c r="AM16" s="8" t="e">
        <f t="shared" si="3"/>
        <v>#DIV/0!</v>
      </c>
      <c r="AQ16" s="7" t="s">
        <v>62</v>
      </c>
      <c r="AR16" s="5"/>
      <c r="AS16" s="5">
        <v>1</v>
      </c>
      <c r="AT16" s="5">
        <v>1</v>
      </c>
    </row>
    <row r="17" spans="1:48" x14ac:dyDescent="0.25">
      <c r="A17" t="s">
        <v>14</v>
      </c>
      <c r="B17" t="s">
        <v>63</v>
      </c>
      <c r="C17" t="s">
        <v>16</v>
      </c>
      <c r="D17" t="s">
        <v>64</v>
      </c>
      <c r="E17" s="5" t="s">
        <v>12</v>
      </c>
      <c r="F17" s="5" t="e">
        <f>VLOOKUP(B17,'Türkkep Jira'!B:F,5,0)</f>
        <v>#N/A</v>
      </c>
      <c r="G17" t="str">
        <f>IF(IFERROR(VLOOKUP(B17,'Devam Eden Sprint'!B:B,1,0),"-")=B17,"Devam Eden Sprint","-")</f>
        <v>-</v>
      </c>
      <c r="H17" t="str">
        <f>IF(IFERROR(VLOOKUP(B17,'Gelecek Sprint'!B:B,1,0),"-")=B17,"Gelecek Sprint","-")</f>
        <v>-</v>
      </c>
      <c r="I17" t="str">
        <f t="shared" si="0"/>
        <v>Ürün İş Listesi</v>
      </c>
      <c r="P17" s="7" t="s">
        <v>29</v>
      </c>
      <c r="Q17" s="5">
        <v>21</v>
      </c>
      <c r="R17" s="5">
        <v>11</v>
      </c>
      <c r="S17" s="5">
        <v>1</v>
      </c>
      <c r="T17" s="5">
        <v>10</v>
      </c>
      <c r="U17" s="5">
        <v>21</v>
      </c>
      <c r="V17" s="5">
        <v>2</v>
      </c>
      <c r="W17" s="5">
        <v>66</v>
      </c>
      <c r="Y17" s="8">
        <f t="shared" si="1"/>
        <v>0.31818181818181818</v>
      </c>
      <c r="Z17" s="9">
        <f t="shared" si="2"/>
        <v>0.66666666666666663</v>
      </c>
      <c r="AC17" s="7" t="s">
        <v>29</v>
      </c>
      <c r="AD17" s="5">
        <v>38</v>
      </c>
      <c r="AE17" s="5">
        <v>14</v>
      </c>
      <c r="AF17" s="5">
        <v>7</v>
      </c>
      <c r="AG17" s="5">
        <v>2</v>
      </c>
      <c r="AH17" s="5">
        <v>16</v>
      </c>
      <c r="AI17" s="5">
        <v>47</v>
      </c>
      <c r="AJ17" s="5">
        <v>3</v>
      </c>
      <c r="AK17" s="5">
        <v>127</v>
      </c>
      <c r="AM17" s="8">
        <f t="shared" si="3"/>
        <v>0.29921259842519687</v>
      </c>
      <c r="AQ17" s="7" t="s">
        <v>29</v>
      </c>
      <c r="AR17" s="5">
        <v>7</v>
      </c>
      <c r="AS17" s="5">
        <v>56</v>
      </c>
      <c r="AT17" s="5">
        <v>63</v>
      </c>
    </row>
    <row r="18" spans="1:48" x14ac:dyDescent="0.25">
      <c r="A18" t="s">
        <v>14</v>
      </c>
      <c r="B18" t="s">
        <v>65</v>
      </c>
      <c r="C18" t="s">
        <v>16</v>
      </c>
      <c r="D18" t="s">
        <v>66</v>
      </c>
      <c r="E18" s="5" t="s">
        <v>12</v>
      </c>
      <c r="F18" s="5" t="e">
        <f>VLOOKUP(B18,'Türkkep Jira'!B:F,5,0)</f>
        <v>#N/A</v>
      </c>
      <c r="G18" t="str">
        <f>IF(IFERROR(VLOOKUP(B18,'Devam Eden Sprint'!B:B,1,0),"-")=B18,"Devam Eden Sprint","-")</f>
        <v>-</v>
      </c>
      <c r="H18" t="str">
        <f>IF(IFERROR(VLOOKUP(B18,'Gelecek Sprint'!B:B,1,0),"-")=B18,"Gelecek Sprint","-")</f>
        <v>-</v>
      </c>
      <c r="I18" t="str">
        <f t="shared" si="0"/>
        <v>Ürün İş Listesi</v>
      </c>
      <c r="Y18" s="8" t="e">
        <f t="shared" si="1"/>
        <v>#DIV/0!</v>
      </c>
      <c r="Z18" s="9" t="e">
        <f t="shared" si="2"/>
        <v>#DIV/0!</v>
      </c>
      <c r="AM18" s="8" t="e">
        <f t="shared" si="3"/>
        <v>#DIV/0!</v>
      </c>
    </row>
    <row r="19" spans="1:48" x14ac:dyDescent="0.25">
      <c r="A19" t="s">
        <v>14</v>
      </c>
      <c r="B19" t="s">
        <v>67</v>
      </c>
      <c r="C19" t="s">
        <v>16</v>
      </c>
      <c r="D19" t="s">
        <v>68</v>
      </c>
      <c r="E19" s="5" t="s">
        <v>12</v>
      </c>
      <c r="F19" s="5" t="e">
        <f>VLOOKUP(B19,'Türkkep Jira'!B:F,5,0)</f>
        <v>#N/A</v>
      </c>
      <c r="G19" t="str">
        <f>IF(IFERROR(VLOOKUP(B19,'Devam Eden Sprint'!B:B,1,0),"-")=B19,"Devam Eden Sprint","-")</f>
        <v>-</v>
      </c>
      <c r="H19" t="str">
        <f>IF(IFERROR(VLOOKUP(B19,'Gelecek Sprint'!B:B,1,0),"-")=B19,"Gelecek Sprint","-")</f>
        <v>-</v>
      </c>
      <c r="I19" t="str">
        <f t="shared" si="0"/>
        <v>Ürün İş Listesi</v>
      </c>
      <c r="Y19" s="8" t="e">
        <f t="shared" si="1"/>
        <v>#DIV/0!</v>
      </c>
      <c r="Z19" s="9" t="e">
        <f t="shared" si="2"/>
        <v>#DIV/0!</v>
      </c>
    </row>
    <row r="20" spans="1:48" x14ac:dyDescent="0.25">
      <c r="A20" t="s">
        <v>14</v>
      </c>
      <c r="B20" t="s">
        <v>69</v>
      </c>
      <c r="C20" t="s">
        <v>16</v>
      </c>
      <c r="D20" t="s">
        <v>70</v>
      </c>
      <c r="E20" s="5" t="s">
        <v>12</v>
      </c>
      <c r="F20" s="5" t="e">
        <f>VLOOKUP(B20,'Türkkep Jira'!B:F,5,0)</f>
        <v>#N/A</v>
      </c>
      <c r="G20" t="str">
        <f>IF(IFERROR(VLOOKUP(B20,'Devam Eden Sprint'!B:B,1,0),"-")=B20,"Devam Eden Sprint","-")</f>
        <v>-</v>
      </c>
      <c r="H20" t="str">
        <f>IF(IFERROR(VLOOKUP(B20,'Gelecek Sprint'!B:B,1,0),"-")=B20,"Gelecek Sprint","-")</f>
        <v>-</v>
      </c>
      <c r="I20" t="str">
        <f t="shared" si="0"/>
        <v>Ürün İş Listesi</v>
      </c>
      <c r="J20" s="5">
        <v>3</v>
      </c>
      <c r="Y20" s="8" t="e">
        <f t="shared" si="1"/>
        <v>#DIV/0!</v>
      </c>
      <c r="Z20" s="9" t="e">
        <f t="shared" si="2"/>
        <v>#DIV/0!</v>
      </c>
    </row>
    <row r="21" spans="1:48" x14ac:dyDescent="0.25">
      <c r="A21" t="s">
        <v>14</v>
      </c>
      <c r="B21" t="s">
        <v>71</v>
      </c>
      <c r="C21" t="s">
        <v>16</v>
      </c>
      <c r="D21" t="s">
        <v>72</v>
      </c>
      <c r="E21" s="5" t="s">
        <v>12</v>
      </c>
      <c r="F21" s="5" t="e">
        <f>VLOOKUP(B21,'Türkkep Jira'!B:F,5,0)</f>
        <v>#N/A</v>
      </c>
      <c r="G21" t="str">
        <f>IF(IFERROR(VLOOKUP(B21,'Devam Eden Sprint'!B:B,1,0),"-")=B21,"Devam Eden Sprint","-")</f>
        <v>-</v>
      </c>
      <c r="H21" t="str">
        <f>IF(IFERROR(VLOOKUP(B21,'Gelecek Sprint'!B:B,1,0),"-")=B21,"Gelecek Sprint","-")</f>
        <v>-</v>
      </c>
      <c r="I21" t="str">
        <f t="shared" si="0"/>
        <v>Ürün İş Listesi</v>
      </c>
      <c r="Y21" s="8" t="e">
        <f t="shared" si="1"/>
        <v>#DIV/0!</v>
      </c>
      <c r="Z21" s="9" t="e">
        <f t="shared" si="2"/>
        <v>#DIV/0!</v>
      </c>
    </row>
    <row r="22" spans="1:48" x14ac:dyDescent="0.25">
      <c r="A22" t="s">
        <v>14</v>
      </c>
      <c r="B22" t="s">
        <v>73</v>
      </c>
      <c r="C22" t="s">
        <v>16</v>
      </c>
      <c r="D22" t="s">
        <v>74</v>
      </c>
      <c r="E22" s="5" t="s">
        <v>12</v>
      </c>
      <c r="F22" s="5" t="e">
        <f>VLOOKUP(B22,'Türkkep Jira'!B:F,5,0)</f>
        <v>#N/A</v>
      </c>
      <c r="G22" t="str">
        <f>IF(IFERROR(VLOOKUP(B22,'Devam Eden Sprint'!B:B,1,0),"-")=B22,"Devam Eden Sprint","-")</f>
        <v>-</v>
      </c>
      <c r="H22" t="str">
        <f>IF(IFERROR(VLOOKUP(B22,'Gelecek Sprint'!B:B,1,0),"-")=B22,"Gelecek Sprint","-")</f>
        <v>-</v>
      </c>
      <c r="I22" t="str">
        <f t="shared" si="0"/>
        <v>Ürün İş Listesi</v>
      </c>
      <c r="J22" s="5">
        <v>3</v>
      </c>
      <c r="Y22" s="8" t="e">
        <f t="shared" si="1"/>
        <v>#DIV/0!</v>
      </c>
      <c r="Z22" s="9" t="e">
        <f t="shared" si="2"/>
        <v>#DIV/0!</v>
      </c>
    </row>
    <row r="23" spans="1:48" x14ac:dyDescent="0.25">
      <c r="A23" t="s">
        <v>14</v>
      </c>
      <c r="B23" t="s">
        <v>75</v>
      </c>
      <c r="C23" t="s">
        <v>16</v>
      </c>
      <c r="D23" t="s">
        <v>76</v>
      </c>
      <c r="E23" s="5" t="s">
        <v>12</v>
      </c>
      <c r="F23" s="5" t="e">
        <f>VLOOKUP(B23,'Türkkep Jira'!B:F,5,0)</f>
        <v>#N/A</v>
      </c>
      <c r="G23" t="str">
        <f>IF(IFERROR(VLOOKUP(B23,'Devam Eden Sprint'!B:B,1,0),"-")=B23,"Devam Eden Sprint","-")</f>
        <v>-</v>
      </c>
      <c r="H23" t="str">
        <f>IF(IFERROR(VLOOKUP(B23,'Gelecek Sprint'!B:B,1,0),"-")=B23,"Gelecek Sprint","-")</f>
        <v>-</v>
      </c>
      <c r="I23" t="str">
        <f t="shared" si="0"/>
        <v>Ürün İş Listesi</v>
      </c>
      <c r="J23" s="5">
        <v>2</v>
      </c>
      <c r="W23" s="8"/>
    </row>
    <row r="24" spans="1:48" x14ac:dyDescent="0.25">
      <c r="A24" t="s">
        <v>77</v>
      </c>
      <c r="B24" t="s">
        <v>78</v>
      </c>
      <c r="C24" t="s">
        <v>16</v>
      </c>
      <c r="D24" t="s">
        <v>79</v>
      </c>
      <c r="E24" s="5" t="s">
        <v>12</v>
      </c>
      <c r="F24" s="5" t="e">
        <f>VLOOKUP(B24,'Türkkep Jira'!B:F,5,0)</f>
        <v>#N/A</v>
      </c>
      <c r="G24" t="str">
        <f>IF(IFERROR(VLOOKUP(B24,'Devam Eden Sprint'!B:B,1,0),"-")=B24,"Devam Eden Sprint","-")</f>
        <v>-</v>
      </c>
      <c r="H24" t="str">
        <f>IF(IFERROR(VLOOKUP(B24,'Gelecek Sprint'!B:B,1,0),"-")=B24,"Gelecek Sprint","-")</f>
        <v>-</v>
      </c>
      <c r="I24" t="str">
        <f t="shared" si="0"/>
        <v>Ürün İş Listesi</v>
      </c>
      <c r="J24" s="5">
        <v>3</v>
      </c>
      <c r="W24" s="8"/>
    </row>
    <row r="25" spans="1:48" x14ac:dyDescent="0.25">
      <c r="A25" t="s">
        <v>77</v>
      </c>
      <c r="B25" t="s">
        <v>80</v>
      </c>
      <c r="C25" t="s">
        <v>16</v>
      </c>
      <c r="D25" t="s">
        <v>81</v>
      </c>
      <c r="E25" s="5" t="s">
        <v>12</v>
      </c>
      <c r="F25" s="5" t="e">
        <f>VLOOKUP(B25,'Türkkep Jira'!B:F,5,0)</f>
        <v>#N/A</v>
      </c>
      <c r="G25" t="str">
        <f>IF(IFERROR(VLOOKUP(B25,'Devam Eden Sprint'!B:B,1,0),"-")=B25,"Devam Eden Sprint","-")</f>
        <v>-</v>
      </c>
      <c r="H25" t="str">
        <f>IF(IFERROR(VLOOKUP(B25,'Gelecek Sprint'!B:B,1,0),"-")=B25,"Gelecek Sprint","-")</f>
        <v>-</v>
      </c>
      <c r="I25" t="str">
        <f t="shared" si="0"/>
        <v>Ürün İş Listesi</v>
      </c>
      <c r="J25" s="5">
        <v>1</v>
      </c>
    </row>
    <row r="26" spans="1:48" x14ac:dyDescent="0.25">
      <c r="A26" t="s">
        <v>77</v>
      </c>
      <c r="B26" t="s">
        <v>82</v>
      </c>
      <c r="C26" t="s">
        <v>16</v>
      </c>
      <c r="D26" t="s">
        <v>83</v>
      </c>
      <c r="E26" s="5" t="s">
        <v>12</v>
      </c>
      <c r="F26" s="5" t="e">
        <f>VLOOKUP(B26,'Türkkep Jira'!B:F,5,0)</f>
        <v>#N/A</v>
      </c>
      <c r="G26" t="str">
        <f>IF(IFERROR(VLOOKUP(B26,'Devam Eden Sprint'!B:B,1,0),"-")=B26,"Devam Eden Sprint","-")</f>
        <v>-</v>
      </c>
      <c r="H26" t="str">
        <f>IF(IFERROR(VLOOKUP(B26,'Gelecek Sprint'!B:B,1,0),"-")=B26,"Gelecek Sprint","-")</f>
        <v>-</v>
      </c>
      <c r="I26" t="str">
        <f t="shared" si="0"/>
        <v>Ürün İş Listesi</v>
      </c>
      <c r="J26" s="5">
        <v>3</v>
      </c>
    </row>
    <row r="27" spans="1:48" x14ac:dyDescent="0.25">
      <c r="A27" t="s">
        <v>14</v>
      </c>
      <c r="B27" t="s">
        <v>84</v>
      </c>
      <c r="C27" t="s">
        <v>16</v>
      </c>
      <c r="D27" t="s">
        <v>85</v>
      </c>
      <c r="E27" s="5" t="s">
        <v>12</v>
      </c>
      <c r="F27" s="5" t="e">
        <f>VLOOKUP(B27,'Türkkep Jira'!B:F,5,0)</f>
        <v>#N/A</v>
      </c>
      <c r="G27" t="str">
        <f>IF(IFERROR(VLOOKUP(B27,'Devam Eden Sprint'!B:B,1,0),"-")=B27,"Devam Eden Sprint","-")</f>
        <v>-</v>
      </c>
      <c r="H27" t="str">
        <f>IF(IFERROR(VLOOKUP(B27,'Gelecek Sprint'!B:B,1,0),"-")=B27,"Gelecek Sprint","-")</f>
        <v>-</v>
      </c>
      <c r="I27" t="str">
        <f t="shared" si="0"/>
        <v>Ürün İş Listesi</v>
      </c>
      <c r="J27" s="5">
        <v>3</v>
      </c>
      <c r="P27" s="10" t="s">
        <v>5</v>
      </c>
      <c r="Q27" t="s">
        <v>1819</v>
      </c>
      <c r="AC27" t="s">
        <v>86</v>
      </c>
    </row>
    <row r="28" spans="1:48" x14ac:dyDescent="0.25">
      <c r="A28" t="s">
        <v>14</v>
      </c>
      <c r="B28" t="s">
        <v>87</v>
      </c>
      <c r="C28" t="s">
        <v>16</v>
      </c>
      <c r="D28" t="s">
        <v>88</v>
      </c>
      <c r="E28" s="5" t="s">
        <v>12</v>
      </c>
      <c r="F28" s="5" t="e">
        <f>VLOOKUP(B28,'Türkkep Jira'!B:F,5,0)</f>
        <v>#N/A</v>
      </c>
      <c r="G28" t="str">
        <f>IF(IFERROR(VLOOKUP(B28,'Devam Eden Sprint'!B:B,1,0),"-")=B28,"Devam Eden Sprint","-")</f>
        <v>-</v>
      </c>
      <c r="H28" t="str">
        <f>IF(IFERROR(VLOOKUP(B28,'Gelecek Sprint'!B:B,1,0),"-")=B28,"Gelecek Sprint","-")</f>
        <v>-</v>
      </c>
      <c r="I28" t="str">
        <f t="shared" si="0"/>
        <v>Ürün İş Listesi</v>
      </c>
      <c r="J28" s="5">
        <v>3</v>
      </c>
      <c r="AC28" s="10" t="s">
        <v>2</v>
      </c>
      <c r="AD28" t="s">
        <v>89</v>
      </c>
    </row>
    <row r="29" spans="1:48" x14ac:dyDescent="0.25">
      <c r="A29" t="s">
        <v>14</v>
      </c>
      <c r="B29" t="s">
        <v>90</v>
      </c>
      <c r="C29" t="s">
        <v>16</v>
      </c>
      <c r="D29" t="s">
        <v>91</v>
      </c>
      <c r="E29" s="5" t="s">
        <v>12</v>
      </c>
      <c r="F29" s="5" t="e">
        <f>VLOOKUP(B29,'Türkkep Jira'!B:F,5,0)</f>
        <v>#N/A</v>
      </c>
      <c r="G29" t="str">
        <f>IF(IFERROR(VLOOKUP(B29,'Devam Eden Sprint'!B:B,1,0),"-")=B29,"Devam Eden Sprint","-")</f>
        <v>-</v>
      </c>
      <c r="H29" t="str">
        <f>IF(IFERROR(VLOOKUP(B29,'Gelecek Sprint'!B:B,1,0),"-")=B29,"Gelecek Sprint","-")</f>
        <v>-</v>
      </c>
      <c r="I29" t="str">
        <f t="shared" si="0"/>
        <v>Ürün İş Listesi</v>
      </c>
      <c r="J29" s="5">
        <v>1</v>
      </c>
      <c r="P29" s="10" t="s">
        <v>20</v>
      </c>
      <c r="Q29" s="10" t="s">
        <v>21</v>
      </c>
    </row>
    <row r="30" spans="1:48" x14ac:dyDescent="0.25">
      <c r="A30" t="s">
        <v>14</v>
      </c>
      <c r="B30" t="s">
        <v>92</v>
      </c>
      <c r="C30" t="s">
        <v>16</v>
      </c>
      <c r="D30" t="s">
        <v>93</v>
      </c>
      <c r="E30" s="5" t="s">
        <v>12</v>
      </c>
      <c r="F30" s="5" t="e">
        <f>VLOOKUP(B30,'Türkkep Jira'!B:F,5,0)</f>
        <v>#N/A</v>
      </c>
      <c r="G30" t="str">
        <f>IF(IFERROR(VLOOKUP(B30,'Devam Eden Sprint'!B:B,1,0),"-")=B30,"Devam Eden Sprint","-")</f>
        <v>-</v>
      </c>
      <c r="H30" t="str">
        <f>IF(IFERROR(VLOOKUP(B30,'Gelecek Sprint'!B:B,1,0),"-")=B30,"Gelecek Sprint","-")</f>
        <v>-</v>
      </c>
      <c r="I30" t="str">
        <f t="shared" si="0"/>
        <v>Ürün İş Listesi</v>
      </c>
      <c r="J30" s="5">
        <v>8</v>
      </c>
      <c r="P30" s="10" t="s">
        <v>25</v>
      </c>
      <c r="Q30" s="5" t="s">
        <v>16</v>
      </c>
      <c r="R30" s="5" t="s">
        <v>26</v>
      </c>
      <c r="S30" s="5" t="s">
        <v>28</v>
      </c>
      <c r="T30" s="5" t="s">
        <v>10</v>
      </c>
      <c r="U30" s="5" t="s">
        <v>27</v>
      </c>
      <c r="V30" s="5" t="s">
        <v>94</v>
      </c>
      <c r="W30" t="s">
        <v>29</v>
      </c>
      <c r="Z30" s="8"/>
      <c r="AC30" s="10" t="s">
        <v>20</v>
      </c>
      <c r="AD30" s="10" t="s">
        <v>21</v>
      </c>
      <c r="AJ30" s="41" t="s">
        <v>95</v>
      </c>
      <c r="AK30" s="41"/>
      <c r="AQ30" s="10" t="s">
        <v>20</v>
      </c>
      <c r="AR30" s="10" t="s">
        <v>21</v>
      </c>
    </row>
    <row r="31" spans="1:48" x14ac:dyDescent="0.25">
      <c r="A31" t="s">
        <v>14</v>
      </c>
      <c r="B31" t="s">
        <v>96</v>
      </c>
      <c r="C31" t="s">
        <v>16</v>
      </c>
      <c r="D31" t="s">
        <v>97</v>
      </c>
      <c r="E31" s="5" t="s">
        <v>12</v>
      </c>
      <c r="F31" s="5" t="e">
        <f>VLOOKUP(B31,'Türkkep Jira'!B:F,5,0)</f>
        <v>#N/A</v>
      </c>
      <c r="G31" t="str">
        <f>IF(IFERROR(VLOOKUP(B31,'Devam Eden Sprint'!B:B,1,0),"-")=B31,"Devam Eden Sprint","-")</f>
        <v>-</v>
      </c>
      <c r="H31" t="str">
        <f>IF(IFERROR(VLOOKUP(B31,'Gelecek Sprint'!B:B,1,0),"-")=B31,"Gelecek Sprint","-")</f>
        <v>-</v>
      </c>
      <c r="I31" t="str">
        <f t="shared" si="0"/>
        <v>Ürün İş Listesi</v>
      </c>
      <c r="J31" s="5">
        <v>3</v>
      </c>
      <c r="P31" s="7" t="s">
        <v>12</v>
      </c>
      <c r="Q31" s="5">
        <v>128</v>
      </c>
      <c r="R31" s="5"/>
      <c r="S31" s="5">
        <v>5</v>
      </c>
      <c r="T31" s="5">
        <v>14</v>
      </c>
      <c r="U31" s="5">
        <v>5</v>
      </c>
      <c r="V31" s="5"/>
      <c r="W31" s="5">
        <v>152</v>
      </c>
      <c r="Z31" s="8">
        <f>Q31/W31</f>
        <v>0.84210526315789469</v>
      </c>
      <c r="AC31" s="10" t="s">
        <v>25</v>
      </c>
      <c r="AD31" t="s">
        <v>100</v>
      </c>
      <c r="AE31" t="s">
        <v>13</v>
      </c>
      <c r="AF31" t="s">
        <v>98</v>
      </c>
      <c r="AG31" t="s">
        <v>99</v>
      </c>
      <c r="AH31" t="s">
        <v>29</v>
      </c>
      <c r="AJ31" s="6" t="s">
        <v>101</v>
      </c>
      <c r="AK31" s="6" t="s">
        <v>99</v>
      </c>
      <c r="AQ31" s="10" t="s">
        <v>25</v>
      </c>
      <c r="AR31" t="s">
        <v>77</v>
      </c>
      <c r="AS31" t="s">
        <v>14</v>
      </c>
      <c r="AT31" t="s">
        <v>1379</v>
      </c>
      <c r="AU31" t="s">
        <v>2886</v>
      </c>
      <c r="AV31" t="s">
        <v>29</v>
      </c>
    </row>
    <row r="32" spans="1:48" x14ac:dyDescent="0.25">
      <c r="A32" t="s">
        <v>77</v>
      </c>
      <c r="B32" t="s">
        <v>102</v>
      </c>
      <c r="C32" t="s">
        <v>16</v>
      </c>
      <c r="D32" t="s">
        <v>103</v>
      </c>
      <c r="E32" s="5" t="s">
        <v>12</v>
      </c>
      <c r="F32" s="5" t="e">
        <f>VLOOKUP(B32,'Türkkep Jira'!B:F,5,0)</f>
        <v>#N/A</v>
      </c>
      <c r="G32" t="str">
        <f>IF(IFERROR(VLOOKUP(B32,'Devam Eden Sprint'!B:B,1,0),"-")=B32,"Devam Eden Sprint","-")</f>
        <v>-</v>
      </c>
      <c r="H32" t="str">
        <f>IF(IFERROR(VLOOKUP(B32,'Gelecek Sprint'!B:B,1,0),"-")=B32,"Gelecek Sprint","-")</f>
        <v>-</v>
      </c>
      <c r="I32" t="str">
        <f t="shared" si="0"/>
        <v>Ürün İş Listesi</v>
      </c>
      <c r="J32" s="5">
        <v>2</v>
      </c>
      <c r="P32" s="7" t="s">
        <v>35</v>
      </c>
      <c r="Q32" s="5">
        <v>26</v>
      </c>
      <c r="R32" s="5"/>
      <c r="S32" s="5"/>
      <c r="T32" s="5">
        <v>3</v>
      </c>
      <c r="U32" s="5"/>
      <c r="V32" s="5"/>
      <c r="W32" s="5">
        <v>29</v>
      </c>
      <c r="Z32" s="8">
        <f t="shared" ref="Z32:Z48" si="4">Q32/W32</f>
        <v>0.89655172413793105</v>
      </c>
      <c r="AC32" s="7" t="s">
        <v>12</v>
      </c>
      <c r="AD32">
        <v>177</v>
      </c>
      <c r="AE32">
        <v>5</v>
      </c>
      <c r="AF32">
        <v>22</v>
      </c>
      <c r="AG32">
        <v>2</v>
      </c>
      <c r="AH32">
        <v>206</v>
      </c>
      <c r="AJ32">
        <f>SUM(AD32:AE32)</f>
        <v>182</v>
      </c>
      <c r="AK32">
        <f>ROUNDUP(SUM(AE32:AF32),0)</f>
        <v>27</v>
      </c>
      <c r="AQ32" s="7" t="s">
        <v>12</v>
      </c>
      <c r="AR32" s="5">
        <v>10</v>
      </c>
      <c r="AS32" s="5">
        <v>196</v>
      </c>
      <c r="AT32" s="5"/>
      <c r="AU32" s="5"/>
      <c r="AV32" s="5">
        <v>206</v>
      </c>
    </row>
    <row r="33" spans="1:48" x14ac:dyDescent="0.25">
      <c r="A33" t="s">
        <v>14</v>
      </c>
      <c r="B33" t="s">
        <v>104</v>
      </c>
      <c r="C33" t="s">
        <v>16</v>
      </c>
      <c r="D33" t="s">
        <v>105</v>
      </c>
      <c r="E33" s="5" t="s">
        <v>12</v>
      </c>
      <c r="F33" s="5" t="e">
        <f>VLOOKUP(B33,'Türkkep Jira'!B:F,5,0)</f>
        <v>#N/A</v>
      </c>
      <c r="G33" t="str">
        <f>IF(IFERROR(VLOOKUP(B33,'Devam Eden Sprint'!B:B,1,0),"-")=B33,"Devam Eden Sprint","-")</f>
        <v>-</v>
      </c>
      <c r="H33" t="str">
        <f>IF(IFERROR(VLOOKUP(B33,'Gelecek Sprint'!B:B,1,0),"-")=B33,"Gelecek Sprint","-")</f>
        <v>-</v>
      </c>
      <c r="I33" t="str">
        <f t="shared" si="0"/>
        <v>Ürün İş Listesi</v>
      </c>
      <c r="J33" s="5">
        <v>3</v>
      </c>
      <c r="P33" s="7" t="s">
        <v>38</v>
      </c>
      <c r="Q33" s="5">
        <v>26</v>
      </c>
      <c r="R33" s="5"/>
      <c r="S33" s="5"/>
      <c r="T33" s="5"/>
      <c r="U33" s="5"/>
      <c r="V33" s="5"/>
      <c r="W33" s="5">
        <v>26</v>
      </c>
      <c r="Z33" s="8">
        <f t="shared" si="4"/>
        <v>1</v>
      </c>
      <c r="AC33" s="7" t="s">
        <v>35</v>
      </c>
      <c r="AD33">
        <v>30</v>
      </c>
      <c r="AH33">
        <v>30</v>
      </c>
      <c r="AJ33">
        <f t="shared" ref="AJ33:AJ49" si="5">SUM(AD33:AE33)</f>
        <v>30</v>
      </c>
      <c r="AK33">
        <f t="shared" ref="AK33:AK49" si="6">ROUNDUP(SUM(AE33:AF33),0)</f>
        <v>0</v>
      </c>
      <c r="AQ33" s="7" t="s">
        <v>35</v>
      </c>
      <c r="AR33" s="5">
        <v>11</v>
      </c>
      <c r="AS33" s="5">
        <v>20</v>
      </c>
      <c r="AT33" s="5"/>
      <c r="AU33" s="5"/>
      <c r="AV33" s="5">
        <v>31</v>
      </c>
    </row>
    <row r="34" spans="1:48" x14ac:dyDescent="0.25">
      <c r="A34" t="s">
        <v>14</v>
      </c>
      <c r="B34" t="s">
        <v>106</v>
      </c>
      <c r="C34" t="s">
        <v>16</v>
      </c>
      <c r="D34" t="s">
        <v>107</v>
      </c>
      <c r="E34" s="5" t="s">
        <v>12</v>
      </c>
      <c r="F34" s="5" t="e">
        <f>VLOOKUP(B34,'Türkkep Jira'!B:F,5,0)</f>
        <v>#N/A</v>
      </c>
      <c r="G34" t="str">
        <f>IF(IFERROR(VLOOKUP(B34,'Devam Eden Sprint'!B:B,1,0),"-")=B34,"Devam Eden Sprint","-")</f>
        <v>-</v>
      </c>
      <c r="H34" t="str">
        <f>IF(IFERROR(VLOOKUP(B34,'Gelecek Sprint'!B:B,1,0),"-")=B34,"Gelecek Sprint","-")</f>
        <v>-</v>
      </c>
      <c r="I34" t="str">
        <f t="shared" si="0"/>
        <v>Ürün İş Listesi</v>
      </c>
      <c r="J34" s="5">
        <v>3</v>
      </c>
      <c r="P34" s="7" t="s">
        <v>41</v>
      </c>
      <c r="Q34" s="5">
        <v>108</v>
      </c>
      <c r="R34" s="5"/>
      <c r="S34" s="5"/>
      <c r="T34" s="5">
        <v>19</v>
      </c>
      <c r="U34" s="5"/>
      <c r="V34" s="5"/>
      <c r="W34" s="5">
        <v>127</v>
      </c>
      <c r="Z34" s="8">
        <f t="shared" si="4"/>
        <v>0.85039370078740162</v>
      </c>
      <c r="AC34" s="7" t="s">
        <v>38</v>
      </c>
      <c r="AD34">
        <v>37</v>
      </c>
      <c r="AE34">
        <v>2</v>
      </c>
      <c r="AF34">
        <v>3</v>
      </c>
      <c r="AG34">
        <v>3</v>
      </c>
      <c r="AH34">
        <v>45</v>
      </c>
      <c r="AJ34">
        <f t="shared" si="5"/>
        <v>39</v>
      </c>
      <c r="AK34">
        <f t="shared" si="6"/>
        <v>5</v>
      </c>
      <c r="AQ34" s="7" t="s">
        <v>38</v>
      </c>
      <c r="AR34" s="5">
        <v>12</v>
      </c>
      <c r="AS34" s="5">
        <v>35</v>
      </c>
      <c r="AT34" s="5"/>
      <c r="AU34" s="5"/>
      <c r="AV34" s="5">
        <v>47</v>
      </c>
    </row>
    <row r="35" spans="1:48" x14ac:dyDescent="0.25">
      <c r="A35" t="s">
        <v>14</v>
      </c>
      <c r="B35" t="s">
        <v>108</v>
      </c>
      <c r="C35" t="s">
        <v>10</v>
      </c>
      <c r="D35" t="s">
        <v>109</v>
      </c>
      <c r="E35" s="5" t="s">
        <v>12</v>
      </c>
      <c r="F35" s="5" t="e">
        <f>VLOOKUP(B35,'Türkkep Jira'!B:F,5,0)</f>
        <v>#N/A</v>
      </c>
      <c r="G35" t="str">
        <f>IF(IFERROR(VLOOKUP(B35,'Devam Eden Sprint'!B:B,1,0),"-")=B35,"Devam Eden Sprint","-")</f>
        <v>-</v>
      </c>
      <c r="H35" t="str">
        <f>IF(IFERROR(VLOOKUP(B35,'Gelecek Sprint'!B:B,1,0),"-")=B35,"Gelecek Sprint","-")</f>
        <v>-</v>
      </c>
      <c r="I35" t="str">
        <f t="shared" si="0"/>
        <v>Ürün İş Listesi</v>
      </c>
      <c r="P35" s="7" t="s">
        <v>44</v>
      </c>
      <c r="Q35" s="5">
        <v>65</v>
      </c>
      <c r="R35" s="5">
        <v>1</v>
      </c>
      <c r="S35" s="5"/>
      <c r="T35" s="5">
        <v>7</v>
      </c>
      <c r="U35" s="5">
        <v>1</v>
      </c>
      <c r="V35" s="5"/>
      <c r="W35" s="5">
        <v>74</v>
      </c>
      <c r="Z35" s="8">
        <f t="shared" si="4"/>
        <v>0.8783783783783784</v>
      </c>
      <c r="AC35" s="7" t="s">
        <v>41</v>
      </c>
      <c r="AD35">
        <v>166</v>
      </c>
      <c r="AE35">
        <v>1</v>
      </c>
      <c r="AF35">
        <v>4</v>
      </c>
      <c r="AG35">
        <v>7</v>
      </c>
      <c r="AH35">
        <v>178</v>
      </c>
      <c r="AJ35">
        <f t="shared" si="5"/>
        <v>167</v>
      </c>
      <c r="AK35">
        <f t="shared" si="6"/>
        <v>5</v>
      </c>
      <c r="AQ35" s="7" t="s">
        <v>41</v>
      </c>
      <c r="AR35" s="5">
        <v>39</v>
      </c>
      <c r="AS35" s="5">
        <v>137</v>
      </c>
      <c r="AT35" s="5">
        <v>2</v>
      </c>
      <c r="AU35" s="5">
        <v>1</v>
      </c>
      <c r="AV35" s="5">
        <v>179</v>
      </c>
    </row>
    <row r="36" spans="1:48" x14ac:dyDescent="0.25">
      <c r="A36" t="s">
        <v>14</v>
      </c>
      <c r="B36" t="s">
        <v>110</v>
      </c>
      <c r="C36" t="s">
        <v>16</v>
      </c>
      <c r="D36" t="s">
        <v>111</v>
      </c>
      <c r="E36" s="5" t="s">
        <v>12</v>
      </c>
      <c r="F36" s="5" t="e">
        <f>VLOOKUP(B36,'Türkkep Jira'!B:F,5,0)</f>
        <v>#N/A</v>
      </c>
      <c r="G36" t="str">
        <f>IF(IFERROR(VLOOKUP(B36,'Devam Eden Sprint'!B:B,1,0),"-")=B36,"Devam Eden Sprint","-")</f>
        <v>-</v>
      </c>
      <c r="H36" t="str">
        <f>IF(IFERROR(VLOOKUP(B36,'Gelecek Sprint'!B:B,1,0),"-")=B36,"Gelecek Sprint","-")</f>
        <v>-</v>
      </c>
      <c r="I36" t="str">
        <f t="shared" si="0"/>
        <v>Ürün İş Listesi</v>
      </c>
      <c r="J36" s="5">
        <v>3</v>
      </c>
      <c r="P36" s="7" t="s">
        <v>47</v>
      </c>
      <c r="Q36" s="5">
        <v>42</v>
      </c>
      <c r="R36" s="5">
        <v>1</v>
      </c>
      <c r="S36" s="5"/>
      <c r="T36" s="5">
        <v>5</v>
      </c>
      <c r="U36" s="5"/>
      <c r="V36" s="5"/>
      <c r="W36" s="5">
        <v>48</v>
      </c>
      <c r="Z36" s="8">
        <f t="shared" si="4"/>
        <v>0.875</v>
      </c>
      <c r="AC36" s="7" t="s">
        <v>44</v>
      </c>
      <c r="AD36">
        <v>95</v>
      </c>
      <c r="AE36">
        <v>1</v>
      </c>
      <c r="AF36">
        <v>1</v>
      </c>
      <c r="AG36">
        <v>2</v>
      </c>
      <c r="AH36">
        <v>99</v>
      </c>
      <c r="AJ36">
        <f t="shared" si="5"/>
        <v>96</v>
      </c>
      <c r="AK36">
        <f t="shared" si="6"/>
        <v>2</v>
      </c>
      <c r="AQ36" s="7" t="s">
        <v>44</v>
      </c>
      <c r="AR36" s="5">
        <v>37</v>
      </c>
      <c r="AS36" s="5">
        <v>62</v>
      </c>
      <c r="AT36" s="5"/>
      <c r="AU36" s="5"/>
      <c r="AV36" s="5">
        <v>99</v>
      </c>
    </row>
    <row r="37" spans="1:48" x14ac:dyDescent="0.25">
      <c r="A37" t="s">
        <v>14</v>
      </c>
      <c r="B37" t="s">
        <v>112</v>
      </c>
      <c r="C37" t="s">
        <v>16</v>
      </c>
      <c r="D37" t="s">
        <v>113</v>
      </c>
      <c r="E37" s="5" t="s">
        <v>12</v>
      </c>
      <c r="F37" s="5" t="e">
        <f>VLOOKUP(B37,'Türkkep Jira'!B:F,5,0)</f>
        <v>#N/A</v>
      </c>
      <c r="G37" t="str">
        <f>IF(IFERROR(VLOOKUP(B37,'Devam Eden Sprint'!B:B,1,0),"-")=B37,"Devam Eden Sprint","-")</f>
        <v>-</v>
      </c>
      <c r="H37" t="str">
        <f>IF(IFERROR(VLOOKUP(B37,'Gelecek Sprint'!B:B,1,0),"-")=B37,"Gelecek Sprint","-")</f>
        <v>-</v>
      </c>
      <c r="I37" t="str">
        <f t="shared" si="0"/>
        <v>Ürün İş Listesi</v>
      </c>
      <c r="J37" s="5">
        <v>1</v>
      </c>
      <c r="P37" s="7" t="s">
        <v>50</v>
      </c>
      <c r="Q37" s="5">
        <v>48</v>
      </c>
      <c r="R37" s="5"/>
      <c r="S37" s="5"/>
      <c r="T37" s="5">
        <v>1</v>
      </c>
      <c r="U37" s="5"/>
      <c r="V37" s="5"/>
      <c r="W37" s="5">
        <v>49</v>
      </c>
      <c r="Z37" s="8">
        <f t="shared" si="4"/>
        <v>0.97959183673469385</v>
      </c>
      <c r="AC37" s="7" t="s">
        <v>47</v>
      </c>
      <c r="AD37">
        <v>50</v>
      </c>
      <c r="AE37">
        <v>3</v>
      </c>
      <c r="AH37">
        <v>53</v>
      </c>
      <c r="AJ37">
        <f t="shared" si="5"/>
        <v>53</v>
      </c>
      <c r="AK37">
        <f t="shared" si="6"/>
        <v>3</v>
      </c>
      <c r="AQ37" s="7" t="s">
        <v>47</v>
      </c>
      <c r="AR37" s="5">
        <v>7</v>
      </c>
      <c r="AS37" s="5">
        <v>46</v>
      </c>
      <c r="AT37" s="5"/>
      <c r="AU37" s="5"/>
      <c r="AV37" s="5">
        <v>53</v>
      </c>
    </row>
    <row r="38" spans="1:48" x14ac:dyDescent="0.25">
      <c r="A38" t="s">
        <v>14</v>
      </c>
      <c r="B38" t="s">
        <v>114</v>
      </c>
      <c r="C38" t="s">
        <v>16</v>
      </c>
      <c r="D38" t="s">
        <v>115</v>
      </c>
      <c r="E38" s="5" t="s">
        <v>12</v>
      </c>
      <c r="F38" s="5" t="e">
        <f>VLOOKUP(B38,'Türkkep Jira'!B:F,5,0)</f>
        <v>#N/A</v>
      </c>
      <c r="G38" t="str">
        <f>IF(IFERROR(VLOOKUP(B38,'Devam Eden Sprint'!B:B,1,0),"-")=B38,"Devam Eden Sprint","-")</f>
        <v>-</v>
      </c>
      <c r="H38" t="str">
        <f>IF(IFERROR(VLOOKUP(B38,'Gelecek Sprint'!B:B,1,0),"-")=B38,"Gelecek Sprint","-")</f>
        <v>-</v>
      </c>
      <c r="I38" t="str">
        <f t="shared" si="0"/>
        <v>Ürün İş Listesi</v>
      </c>
      <c r="P38" s="7" t="s">
        <v>53</v>
      </c>
      <c r="Q38" s="5">
        <v>82</v>
      </c>
      <c r="R38" s="5"/>
      <c r="S38" s="5"/>
      <c r="T38" s="5">
        <v>8</v>
      </c>
      <c r="U38" s="5"/>
      <c r="V38" s="5"/>
      <c r="W38" s="5">
        <v>90</v>
      </c>
      <c r="Z38" s="8">
        <f t="shared" si="4"/>
        <v>0.91111111111111109</v>
      </c>
      <c r="AC38" s="7" t="s">
        <v>50</v>
      </c>
      <c r="AD38">
        <v>68</v>
      </c>
      <c r="AE38">
        <v>4</v>
      </c>
      <c r="AF38">
        <v>2</v>
      </c>
      <c r="AG38">
        <v>1</v>
      </c>
      <c r="AH38">
        <v>75</v>
      </c>
      <c r="AJ38">
        <f t="shared" si="5"/>
        <v>72</v>
      </c>
      <c r="AK38">
        <f t="shared" si="6"/>
        <v>6</v>
      </c>
      <c r="AQ38" s="7" t="s">
        <v>50</v>
      </c>
      <c r="AR38" s="5">
        <v>19</v>
      </c>
      <c r="AS38" s="5">
        <v>53</v>
      </c>
      <c r="AT38" s="5">
        <v>3</v>
      </c>
      <c r="AU38" s="5"/>
      <c r="AV38" s="5">
        <v>75</v>
      </c>
    </row>
    <row r="39" spans="1:48" x14ac:dyDescent="0.25">
      <c r="A39" t="s">
        <v>14</v>
      </c>
      <c r="B39" t="s">
        <v>116</v>
      </c>
      <c r="C39" t="s">
        <v>16</v>
      </c>
      <c r="D39" t="s">
        <v>117</v>
      </c>
      <c r="E39" s="5" t="s">
        <v>12</v>
      </c>
      <c r="F39" s="5" t="e">
        <f>VLOOKUP(B39,'Türkkep Jira'!B:F,5,0)</f>
        <v>#N/A</v>
      </c>
      <c r="G39" t="str">
        <f>IF(IFERROR(VLOOKUP(B39,'Devam Eden Sprint'!B:B,1,0),"-")=B39,"Devam Eden Sprint","-")</f>
        <v>-</v>
      </c>
      <c r="H39" t="str">
        <f>IF(IFERROR(VLOOKUP(B39,'Gelecek Sprint'!B:B,1,0),"-")=B39,"Gelecek Sprint","-")</f>
        <v>-</v>
      </c>
      <c r="I39" t="str">
        <f t="shared" si="0"/>
        <v>Ürün İş Listesi</v>
      </c>
      <c r="P39" s="7" t="s">
        <v>56</v>
      </c>
      <c r="Q39" s="5">
        <v>97</v>
      </c>
      <c r="R39" s="5"/>
      <c r="S39" s="5"/>
      <c r="T39" s="5">
        <v>10</v>
      </c>
      <c r="U39" s="5">
        <v>2</v>
      </c>
      <c r="V39" s="5">
        <v>1</v>
      </c>
      <c r="W39" s="5">
        <v>110</v>
      </c>
      <c r="Z39" s="8">
        <f t="shared" si="4"/>
        <v>0.88181818181818183</v>
      </c>
      <c r="AC39" s="7" t="s">
        <v>53</v>
      </c>
      <c r="AD39">
        <v>130</v>
      </c>
      <c r="AE39">
        <v>7</v>
      </c>
      <c r="AG39">
        <v>3</v>
      </c>
      <c r="AH39">
        <v>140</v>
      </c>
      <c r="AJ39">
        <f t="shared" si="5"/>
        <v>137</v>
      </c>
      <c r="AK39">
        <f t="shared" si="6"/>
        <v>7</v>
      </c>
      <c r="AQ39" s="7" t="s">
        <v>53</v>
      </c>
      <c r="AR39" s="5">
        <v>33</v>
      </c>
      <c r="AS39" s="5">
        <v>104</v>
      </c>
      <c r="AT39" s="5">
        <v>3</v>
      </c>
      <c r="AU39" s="5"/>
      <c r="AV39" s="5">
        <v>140</v>
      </c>
    </row>
    <row r="40" spans="1:48" x14ac:dyDescent="0.25">
      <c r="A40" t="s">
        <v>14</v>
      </c>
      <c r="B40" t="s">
        <v>118</v>
      </c>
      <c r="C40" t="s">
        <v>16</v>
      </c>
      <c r="D40" t="s">
        <v>119</v>
      </c>
      <c r="E40" s="5" t="s">
        <v>12</v>
      </c>
      <c r="F40" s="5" t="e">
        <f>VLOOKUP(B40,'Türkkep Jira'!B:F,5,0)</f>
        <v>#N/A</v>
      </c>
      <c r="G40" t="str">
        <f>IF(IFERROR(VLOOKUP(B40,'Devam Eden Sprint'!B:B,1,0),"-")=B40,"Devam Eden Sprint","-")</f>
        <v>-</v>
      </c>
      <c r="H40" t="str">
        <f>IF(IFERROR(VLOOKUP(B40,'Gelecek Sprint'!B:B,1,0),"-")=B40,"Gelecek Sprint","-")</f>
        <v>-</v>
      </c>
      <c r="I40" t="str">
        <f t="shared" si="0"/>
        <v>Ürün İş Listesi</v>
      </c>
      <c r="P40" s="7" t="s">
        <v>59</v>
      </c>
      <c r="Q40" s="5">
        <v>41</v>
      </c>
      <c r="R40" s="5"/>
      <c r="S40" s="5"/>
      <c r="T40" s="5"/>
      <c r="U40" s="5"/>
      <c r="V40" s="5"/>
      <c r="W40" s="5">
        <v>41</v>
      </c>
      <c r="Z40" s="8">
        <f t="shared" si="4"/>
        <v>1</v>
      </c>
      <c r="AC40" s="7" t="s">
        <v>56</v>
      </c>
      <c r="AD40">
        <v>140</v>
      </c>
      <c r="AE40">
        <v>5</v>
      </c>
      <c r="AG40">
        <v>6</v>
      </c>
      <c r="AH40">
        <v>151</v>
      </c>
      <c r="AJ40">
        <f t="shared" si="5"/>
        <v>145</v>
      </c>
      <c r="AK40">
        <f t="shared" si="6"/>
        <v>5</v>
      </c>
      <c r="AQ40" s="7" t="s">
        <v>56</v>
      </c>
      <c r="AR40" s="5">
        <v>65</v>
      </c>
      <c r="AS40" s="5">
        <v>86</v>
      </c>
      <c r="AT40" s="5"/>
      <c r="AU40" s="5"/>
      <c r="AV40" s="5">
        <v>151</v>
      </c>
    </row>
    <row r="41" spans="1:48" x14ac:dyDescent="0.25">
      <c r="A41" t="s">
        <v>14</v>
      </c>
      <c r="B41" t="s">
        <v>120</v>
      </c>
      <c r="C41" t="s">
        <v>16</v>
      </c>
      <c r="D41" t="s">
        <v>121</v>
      </c>
      <c r="E41" s="5" t="s">
        <v>12</v>
      </c>
      <c r="F41" s="5" t="e">
        <f>VLOOKUP(B41,'Türkkep Jira'!B:F,5,0)</f>
        <v>#N/A</v>
      </c>
      <c r="G41" t="str">
        <f>IF(IFERROR(VLOOKUP(B41,'Devam Eden Sprint'!B:B,1,0),"-")=B41,"Devam Eden Sprint","-")</f>
        <v>-</v>
      </c>
      <c r="H41" t="str">
        <f>IF(IFERROR(VLOOKUP(B41,'Gelecek Sprint'!B:B,1,0),"-")=B41,"Gelecek Sprint","-")</f>
        <v>-</v>
      </c>
      <c r="I41" t="str">
        <f t="shared" si="0"/>
        <v>Ürün İş Listesi</v>
      </c>
      <c r="J41" s="5">
        <v>1</v>
      </c>
      <c r="P41" s="7" t="s">
        <v>62</v>
      </c>
      <c r="Q41" s="5">
        <v>25</v>
      </c>
      <c r="R41" s="5"/>
      <c r="S41" s="5"/>
      <c r="T41" s="5">
        <v>2</v>
      </c>
      <c r="U41" s="5"/>
      <c r="V41" s="5"/>
      <c r="W41" s="5">
        <v>27</v>
      </c>
      <c r="Z41" s="8">
        <f t="shared" si="4"/>
        <v>0.92592592592592593</v>
      </c>
      <c r="AC41" s="7" t="s">
        <v>59</v>
      </c>
      <c r="AD41">
        <v>56</v>
      </c>
      <c r="AE41">
        <v>1</v>
      </c>
      <c r="AF41">
        <v>1</v>
      </c>
      <c r="AH41">
        <v>58</v>
      </c>
      <c r="AJ41">
        <f t="shared" si="5"/>
        <v>57</v>
      </c>
      <c r="AK41">
        <f t="shared" si="6"/>
        <v>2</v>
      </c>
      <c r="AQ41" s="7" t="s">
        <v>59</v>
      </c>
      <c r="AR41" s="5">
        <v>17</v>
      </c>
      <c r="AS41" s="5">
        <v>41</v>
      </c>
      <c r="AT41" s="5"/>
      <c r="AU41" s="5"/>
      <c r="AV41" s="5">
        <v>58</v>
      </c>
    </row>
    <row r="42" spans="1:48" x14ac:dyDescent="0.25">
      <c r="A42" t="s">
        <v>14</v>
      </c>
      <c r="B42" t="s">
        <v>122</v>
      </c>
      <c r="C42" t="s">
        <v>10</v>
      </c>
      <c r="D42" t="s">
        <v>123</v>
      </c>
      <c r="E42" s="5" t="s">
        <v>12</v>
      </c>
      <c r="F42" s="5" t="e">
        <f>VLOOKUP(B42,'Türkkep Jira'!B:F,5,0)</f>
        <v>#N/A</v>
      </c>
      <c r="G42" t="str">
        <f>IF(IFERROR(VLOOKUP(B42,'Devam Eden Sprint'!B:B,1,0),"-")=B42,"Devam Eden Sprint","-")</f>
        <v>-</v>
      </c>
      <c r="H42" t="str">
        <f>IF(IFERROR(VLOOKUP(B42,'Gelecek Sprint'!B:B,1,0),"-")=B42,"Gelecek Sprint","-")</f>
        <v>-</v>
      </c>
      <c r="I42" t="str">
        <f t="shared" si="0"/>
        <v>Ürün İş Listesi</v>
      </c>
      <c r="J42" s="5">
        <v>5</v>
      </c>
      <c r="P42" s="7" t="s">
        <v>124</v>
      </c>
      <c r="Q42" s="5">
        <v>9</v>
      </c>
      <c r="R42" s="5"/>
      <c r="S42" s="5"/>
      <c r="T42" s="5">
        <v>1</v>
      </c>
      <c r="U42" s="5"/>
      <c r="V42" s="5"/>
      <c r="W42" s="5">
        <v>10</v>
      </c>
      <c r="Z42" s="8">
        <f t="shared" si="4"/>
        <v>0.9</v>
      </c>
      <c r="AC42" s="7" t="s">
        <v>62</v>
      </c>
      <c r="AD42">
        <v>28</v>
      </c>
      <c r="AE42">
        <v>1</v>
      </c>
      <c r="AH42">
        <v>29</v>
      </c>
      <c r="AJ42">
        <f t="shared" si="5"/>
        <v>29</v>
      </c>
      <c r="AK42">
        <f t="shared" si="6"/>
        <v>1</v>
      </c>
      <c r="AQ42" s="7" t="s">
        <v>62</v>
      </c>
      <c r="AR42" s="5">
        <v>10</v>
      </c>
      <c r="AS42" s="5">
        <v>27</v>
      </c>
      <c r="AT42" s="5"/>
      <c r="AU42" s="5"/>
      <c r="AV42" s="5">
        <v>37</v>
      </c>
    </row>
    <row r="43" spans="1:48" x14ac:dyDescent="0.25">
      <c r="A43" t="s">
        <v>14</v>
      </c>
      <c r="B43" t="s">
        <v>125</v>
      </c>
      <c r="C43" t="s">
        <v>16</v>
      </c>
      <c r="D43" t="s">
        <v>126</v>
      </c>
      <c r="E43" s="5" t="s">
        <v>12</v>
      </c>
      <c r="F43" s="5" t="e">
        <f>VLOOKUP(B43,'Türkkep Jira'!B:F,5,0)</f>
        <v>#N/A</v>
      </c>
      <c r="G43" t="str">
        <f>IF(IFERROR(VLOOKUP(B43,'Devam Eden Sprint'!B:B,1,0),"-")=B43,"Devam Eden Sprint","-")</f>
        <v>-</v>
      </c>
      <c r="H43" t="str">
        <f>IF(IFERROR(VLOOKUP(B43,'Gelecek Sprint'!B:B,1,0),"-")=B43,"Gelecek Sprint","-")</f>
        <v>-</v>
      </c>
      <c r="I43" t="str">
        <f t="shared" si="0"/>
        <v>Ürün İş Listesi</v>
      </c>
      <c r="J43" s="5">
        <v>1</v>
      </c>
      <c r="P43" s="7" t="s">
        <v>127</v>
      </c>
      <c r="Q43" s="5">
        <v>49</v>
      </c>
      <c r="R43" s="5"/>
      <c r="S43" s="5"/>
      <c r="T43" s="5">
        <v>3</v>
      </c>
      <c r="U43" s="5"/>
      <c r="V43" s="5"/>
      <c r="W43" s="5">
        <v>52</v>
      </c>
      <c r="Z43" s="8">
        <f t="shared" si="4"/>
        <v>0.94230769230769229</v>
      </c>
      <c r="AC43" s="7" t="s">
        <v>124</v>
      </c>
      <c r="AD43">
        <v>11</v>
      </c>
      <c r="AH43">
        <v>11</v>
      </c>
      <c r="AJ43">
        <f t="shared" si="5"/>
        <v>11</v>
      </c>
      <c r="AK43">
        <f t="shared" si="6"/>
        <v>0</v>
      </c>
      <c r="AQ43" s="7" t="s">
        <v>124</v>
      </c>
      <c r="AR43" s="5"/>
      <c r="AS43" s="5">
        <v>11</v>
      </c>
      <c r="AT43" s="5"/>
      <c r="AU43" s="5"/>
      <c r="AV43" s="5">
        <v>11</v>
      </c>
    </row>
    <row r="44" spans="1:48" x14ac:dyDescent="0.25">
      <c r="A44" t="s">
        <v>14</v>
      </c>
      <c r="B44" t="s">
        <v>128</v>
      </c>
      <c r="C44" t="s">
        <v>16</v>
      </c>
      <c r="D44" t="s">
        <v>129</v>
      </c>
      <c r="E44" s="5" t="s">
        <v>12</v>
      </c>
      <c r="F44" s="5" t="e">
        <f>VLOOKUP(B44,'Türkkep Jira'!B:F,5,0)</f>
        <v>#N/A</v>
      </c>
      <c r="G44" t="str">
        <f>IF(IFERROR(VLOOKUP(B44,'Devam Eden Sprint'!B:B,1,0),"-")=B44,"Devam Eden Sprint","-")</f>
        <v>-</v>
      </c>
      <c r="H44" t="str">
        <f>IF(IFERROR(VLOOKUP(B44,'Gelecek Sprint'!B:B,1,0),"-")=B44,"Gelecek Sprint","-")</f>
        <v>-</v>
      </c>
      <c r="I44" t="str">
        <f t="shared" si="0"/>
        <v>Ürün İş Listesi</v>
      </c>
      <c r="J44" s="5">
        <v>1</v>
      </c>
      <c r="P44" s="7" t="s">
        <v>130</v>
      </c>
      <c r="Q44" s="5">
        <v>5</v>
      </c>
      <c r="R44" s="5">
        <v>1</v>
      </c>
      <c r="S44" s="5"/>
      <c r="T44" s="5"/>
      <c r="U44" s="5"/>
      <c r="V44" s="5"/>
      <c r="W44" s="5">
        <v>6</v>
      </c>
      <c r="Z44" s="8">
        <f t="shared" si="4"/>
        <v>0.83333333333333337</v>
      </c>
      <c r="AC44" s="7" t="s">
        <v>127</v>
      </c>
      <c r="AD44">
        <v>61</v>
      </c>
      <c r="AH44">
        <v>61</v>
      </c>
      <c r="AJ44">
        <f t="shared" si="5"/>
        <v>61</v>
      </c>
      <c r="AK44">
        <f t="shared" si="6"/>
        <v>0</v>
      </c>
      <c r="AQ44" s="7" t="s">
        <v>127</v>
      </c>
      <c r="AR44" s="5">
        <v>6</v>
      </c>
      <c r="AS44" s="5">
        <v>56</v>
      </c>
      <c r="AT44" s="5"/>
      <c r="AU44" s="5"/>
      <c r="AV44" s="5">
        <v>62</v>
      </c>
    </row>
    <row r="45" spans="1:48" x14ac:dyDescent="0.25">
      <c r="A45" t="s">
        <v>14</v>
      </c>
      <c r="B45" t="s">
        <v>131</v>
      </c>
      <c r="C45" t="s">
        <v>16</v>
      </c>
      <c r="D45" t="s">
        <v>132</v>
      </c>
      <c r="E45" s="5" t="s">
        <v>12</v>
      </c>
      <c r="F45" s="5" t="e">
        <f>VLOOKUP(B45,'Türkkep Jira'!B:F,5,0)</f>
        <v>#N/A</v>
      </c>
      <c r="G45" t="str">
        <f>IF(IFERROR(VLOOKUP(B45,'Devam Eden Sprint'!B:B,1,0),"-")=B45,"Devam Eden Sprint","-")</f>
        <v>-</v>
      </c>
      <c r="H45" t="str">
        <f>IF(IFERROR(VLOOKUP(B45,'Gelecek Sprint'!B:B,1,0),"-")=B45,"Gelecek Sprint","-")</f>
        <v>-</v>
      </c>
      <c r="I45" t="str">
        <f t="shared" si="0"/>
        <v>Ürün İş Listesi</v>
      </c>
      <c r="J45" s="5">
        <v>1</v>
      </c>
      <c r="P45" s="7" t="s">
        <v>133</v>
      </c>
      <c r="Q45" s="5">
        <v>10</v>
      </c>
      <c r="R45" s="5"/>
      <c r="S45" s="5"/>
      <c r="T45" s="5"/>
      <c r="U45" s="5"/>
      <c r="V45" s="5"/>
      <c r="W45" s="5">
        <v>10</v>
      </c>
      <c r="Z45" s="8">
        <f t="shared" si="4"/>
        <v>1</v>
      </c>
      <c r="AC45" s="7" t="s">
        <v>130</v>
      </c>
      <c r="AD45">
        <v>6</v>
      </c>
      <c r="AH45">
        <v>6</v>
      </c>
      <c r="AJ45">
        <f t="shared" si="5"/>
        <v>6</v>
      </c>
      <c r="AK45">
        <f t="shared" si="6"/>
        <v>0</v>
      </c>
      <c r="AQ45" s="7" t="s">
        <v>130</v>
      </c>
      <c r="AR45" s="5">
        <v>1</v>
      </c>
      <c r="AS45" s="5">
        <v>5</v>
      </c>
      <c r="AT45" s="5"/>
      <c r="AU45" s="5"/>
      <c r="AV45" s="5">
        <v>6</v>
      </c>
    </row>
    <row r="46" spans="1:48" x14ac:dyDescent="0.25">
      <c r="A46" t="s">
        <v>14</v>
      </c>
      <c r="B46" t="s">
        <v>134</v>
      </c>
      <c r="C46" t="s">
        <v>16</v>
      </c>
      <c r="D46" t="s">
        <v>135</v>
      </c>
      <c r="E46" s="5" t="s">
        <v>12</v>
      </c>
      <c r="F46" s="5" t="e">
        <f>VLOOKUP(B46,'Türkkep Jira'!B:F,5,0)</f>
        <v>#N/A</v>
      </c>
      <c r="G46" t="str">
        <f>IF(IFERROR(VLOOKUP(B46,'Devam Eden Sprint'!B:B,1,0),"-")=B46,"Devam Eden Sprint","-")</f>
        <v>-</v>
      </c>
      <c r="H46" t="str">
        <f>IF(IFERROR(VLOOKUP(B46,'Gelecek Sprint'!B:B,1,0),"-")=B46,"Gelecek Sprint","-")</f>
        <v>-</v>
      </c>
      <c r="I46" t="str">
        <f t="shared" si="0"/>
        <v>Ürün İş Listesi</v>
      </c>
      <c r="J46" s="5">
        <v>1</v>
      </c>
      <c r="P46" s="7" t="s">
        <v>136</v>
      </c>
      <c r="Q46" s="5">
        <v>8</v>
      </c>
      <c r="R46" s="5"/>
      <c r="S46" s="5"/>
      <c r="T46" s="5"/>
      <c r="U46" s="5"/>
      <c r="V46" s="5"/>
      <c r="W46" s="5">
        <v>8</v>
      </c>
      <c r="Z46" s="8">
        <f t="shared" si="4"/>
        <v>1</v>
      </c>
      <c r="AC46" s="7" t="s">
        <v>133</v>
      </c>
      <c r="AD46">
        <v>10</v>
      </c>
      <c r="AH46">
        <v>10</v>
      </c>
      <c r="AJ46">
        <f t="shared" si="5"/>
        <v>10</v>
      </c>
      <c r="AK46">
        <f t="shared" si="6"/>
        <v>0</v>
      </c>
      <c r="AQ46" s="7" t="s">
        <v>133</v>
      </c>
      <c r="AR46" s="5"/>
      <c r="AS46" s="5">
        <v>10</v>
      </c>
      <c r="AT46" s="5"/>
      <c r="AU46" s="5"/>
      <c r="AV46" s="5">
        <v>10</v>
      </c>
    </row>
    <row r="47" spans="1:48" x14ac:dyDescent="0.25">
      <c r="A47" t="s">
        <v>14</v>
      </c>
      <c r="B47" t="s">
        <v>137</v>
      </c>
      <c r="C47" t="s">
        <v>16</v>
      </c>
      <c r="D47" t="s">
        <v>138</v>
      </c>
      <c r="E47" s="5" t="s">
        <v>12</v>
      </c>
      <c r="F47" s="5" t="e">
        <f>VLOOKUP(B47,'Türkkep Jira'!B:F,5,0)</f>
        <v>#N/A</v>
      </c>
      <c r="G47" t="str">
        <f>IF(IFERROR(VLOOKUP(B47,'Devam Eden Sprint'!B:B,1,0),"-")=B47,"Devam Eden Sprint","-")</f>
        <v>-</v>
      </c>
      <c r="H47" t="str">
        <f>IF(IFERROR(VLOOKUP(B47,'Gelecek Sprint'!B:B,1,0),"-")=B47,"Gelecek Sprint","-")</f>
        <v>-</v>
      </c>
      <c r="I47" t="str">
        <f t="shared" si="0"/>
        <v>Ürün İş Listesi</v>
      </c>
      <c r="J47" s="5">
        <v>1</v>
      </c>
      <c r="P47" s="7" t="s">
        <v>1844</v>
      </c>
      <c r="Q47" s="5">
        <v>9</v>
      </c>
      <c r="R47" s="5">
        <v>1</v>
      </c>
      <c r="S47" s="5"/>
      <c r="T47" s="5">
        <v>1</v>
      </c>
      <c r="U47" s="5"/>
      <c r="V47" s="5"/>
      <c r="W47" s="5">
        <v>11</v>
      </c>
      <c r="Z47" s="8">
        <f t="shared" si="4"/>
        <v>0.81818181818181823</v>
      </c>
      <c r="AC47" s="7" t="s">
        <v>1844</v>
      </c>
      <c r="AD47">
        <v>13</v>
      </c>
      <c r="AH47">
        <v>13</v>
      </c>
      <c r="AJ47">
        <f t="shared" si="5"/>
        <v>13</v>
      </c>
      <c r="AK47">
        <f t="shared" si="6"/>
        <v>0</v>
      </c>
      <c r="AQ47" s="7" t="s">
        <v>1844</v>
      </c>
      <c r="AR47" s="5">
        <v>2</v>
      </c>
      <c r="AS47" s="5">
        <v>11</v>
      </c>
      <c r="AT47" s="5"/>
      <c r="AU47" s="5"/>
      <c r="AV47" s="5">
        <v>13</v>
      </c>
    </row>
    <row r="48" spans="1:48" x14ac:dyDescent="0.25">
      <c r="A48" t="s">
        <v>14</v>
      </c>
      <c r="B48" t="s">
        <v>139</v>
      </c>
      <c r="C48" t="s">
        <v>16</v>
      </c>
      <c r="D48" t="s">
        <v>140</v>
      </c>
      <c r="E48" s="5" t="s">
        <v>12</v>
      </c>
      <c r="F48" s="5" t="e">
        <f>VLOOKUP(B48,'Türkkep Jira'!B:F,5,0)</f>
        <v>#N/A</v>
      </c>
      <c r="G48" t="str">
        <f>IF(IFERROR(VLOOKUP(B48,'Devam Eden Sprint'!B:B,1,0),"-")=B48,"Devam Eden Sprint","-")</f>
        <v>-</v>
      </c>
      <c r="H48" t="str">
        <f>IF(IFERROR(VLOOKUP(B48,'Gelecek Sprint'!B:B,1,0),"-")=B48,"Gelecek Sprint","-")</f>
        <v>-</v>
      </c>
      <c r="I48" t="str">
        <f t="shared" si="0"/>
        <v>Ürün İş Listesi</v>
      </c>
      <c r="J48" s="5">
        <v>1</v>
      </c>
      <c r="P48" s="7" t="s">
        <v>29</v>
      </c>
      <c r="Q48" s="5">
        <v>778</v>
      </c>
      <c r="R48" s="5">
        <v>4</v>
      </c>
      <c r="S48" s="5">
        <v>5</v>
      </c>
      <c r="T48" s="5">
        <v>74</v>
      </c>
      <c r="U48" s="5">
        <v>8</v>
      </c>
      <c r="V48" s="5">
        <v>1</v>
      </c>
      <c r="W48" s="5">
        <v>870</v>
      </c>
      <c r="Z48" s="8">
        <f t="shared" si="4"/>
        <v>0.89425287356321836</v>
      </c>
      <c r="AC48" s="7" t="s">
        <v>29</v>
      </c>
      <c r="AD48">
        <v>1078</v>
      </c>
      <c r="AE48">
        <v>30</v>
      </c>
      <c r="AF48">
        <v>33</v>
      </c>
      <c r="AG48">
        <v>24</v>
      </c>
      <c r="AH48">
        <v>1165</v>
      </c>
      <c r="AJ48">
        <f t="shared" si="5"/>
        <v>1108</v>
      </c>
      <c r="AK48">
        <f t="shared" si="6"/>
        <v>63</v>
      </c>
      <c r="AQ48" s="7" t="s">
        <v>29</v>
      </c>
      <c r="AR48" s="5">
        <v>269</v>
      </c>
      <c r="AS48" s="5">
        <v>900</v>
      </c>
      <c r="AT48" s="5">
        <v>8</v>
      </c>
      <c r="AU48" s="5">
        <v>1</v>
      </c>
      <c r="AV48" s="5">
        <v>1178</v>
      </c>
    </row>
    <row r="49" spans="1:37" x14ac:dyDescent="0.25">
      <c r="A49" t="s">
        <v>14</v>
      </c>
      <c r="B49" t="s">
        <v>141</v>
      </c>
      <c r="C49" t="s">
        <v>16</v>
      </c>
      <c r="D49" t="s">
        <v>142</v>
      </c>
      <c r="E49" s="5" t="s">
        <v>12</v>
      </c>
      <c r="F49" s="5" t="e">
        <f>VLOOKUP(B49,'Türkkep Jira'!B:F,5,0)</f>
        <v>#N/A</v>
      </c>
      <c r="G49" t="str">
        <f>IF(IFERROR(VLOOKUP(B49,'Devam Eden Sprint'!B:B,1,0),"-")=B49,"Devam Eden Sprint","-")</f>
        <v>-</v>
      </c>
      <c r="H49" t="str">
        <f>IF(IFERROR(VLOOKUP(B49,'Gelecek Sprint'!B:B,1,0),"-")=B49,"Gelecek Sprint","-")</f>
        <v>-</v>
      </c>
      <c r="I49" t="str">
        <f t="shared" si="0"/>
        <v>Ürün İş Listesi</v>
      </c>
      <c r="J49" s="5">
        <v>5</v>
      </c>
      <c r="AJ49">
        <f t="shared" si="5"/>
        <v>0</v>
      </c>
      <c r="AK49">
        <f t="shared" si="6"/>
        <v>0</v>
      </c>
    </row>
    <row r="50" spans="1:37" x14ac:dyDescent="0.25">
      <c r="A50" t="s">
        <v>14</v>
      </c>
      <c r="B50" t="s">
        <v>143</v>
      </c>
      <c r="C50" t="s">
        <v>16</v>
      </c>
      <c r="D50" t="s">
        <v>144</v>
      </c>
      <c r="E50" s="5" t="s">
        <v>12</v>
      </c>
      <c r="F50" s="5" t="e">
        <f>VLOOKUP(B50,'Türkkep Jira'!B:F,5,0)</f>
        <v>#N/A</v>
      </c>
      <c r="G50" t="str">
        <f>IF(IFERROR(VLOOKUP(B50,'Devam Eden Sprint'!B:B,1,0),"-")=B50,"Devam Eden Sprint","-")</f>
        <v>-</v>
      </c>
      <c r="H50" t="str">
        <f>IF(IFERROR(VLOOKUP(B50,'Gelecek Sprint'!B:B,1,0),"-")=B50,"Gelecek Sprint","-")</f>
        <v>-</v>
      </c>
      <c r="I50" t="str">
        <f t="shared" si="0"/>
        <v>Ürün İş Listesi</v>
      </c>
      <c r="J50" s="5">
        <v>2</v>
      </c>
    </row>
    <row r="51" spans="1:37" x14ac:dyDescent="0.25">
      <c r="A51" t="s">
        <v>14</v>
      </c>
      <c r="B51" t="s">
        <v>145</v>
      </c>
      <c r="C51" t="s">
        <v>16</v>
      </c>
      <c r="D51" t="s">
        <v>146</v>
      </c>
      <c r="E51" s="5" t="s">
        <v>12</v>
      </c>
      <c r="F51" s="5" t="e">
        <f>VLOOKUP(B51,'Türkkep Jira'!B:F,5,0)</f>
        <v>#N/A</v>
      </c>
      <c r="G51" t="str">
        <f>IF(IFERROR(VLOOKUP(B51,'Devam Eden Sprint'!B:B,1,0),"-")=B51,"Devam Eden Sprint","-")</f>
        <v>-</v>
      </c>
      <c r="H51" t="str">
        <f>IF(IFERROR(VLOOKUP(B51,'Gelecek Sprint'!B:B,1,0),"-")=B51,"Gelecek Sprint","-")</f>
        <v>-</v>
      </c>
      <c r="I51" t="str">
        <f t="shared" si="0"/>
        <v>Ürün İş Listesi</v>
      </c>
      <c r="J51" s="5">
        <v>3</v>
      </c>
    </row>
    <row r="52" spans="1:37" x14ac:dyDescent="0.25">
      <c r="A52" t="s">
        <v>14</v>
      </c>
      <c r="B52" t="s">
        <v>147</v>
      </c>
      <c r="C52" t="s">
        <v>16</v>
      </c>
      <c r="D52" t="s">
        <v>148</v>
      </c>
      <c r="E52" s="5" t="s">
        <v>12</v>
      </c>
      <c r="F52" s="5" t="e">
        <f>VLOOKUP(B52,'Türkkep Jira'!B:F,5,0)</f>
        <v>#N/A</v>
      </c>
      <c r="G52" t="str">
        <f>IF(IFERROR(VLOOKUP(B52,'Devam Eden Sprint'!B:B,1,0),"-")=B52,"Devam Eden Sprint","-")</f>
        <v>-</v>
      </c>
      <c r="H52" t="str">
        <f>IF(IFERROR(VLOOKUP(B52,'Gelecek Sprint'!B:B,1,0),"-")=B52,"Gelecek Sprint","-")</f>
        <v>-</v>
      </c>
      <c r="I52" t="str">
        <f t="shared" si="0"/>
        <v>Ürün İş Listesi</v>
      </c>
      <c r="J52" s="5">
        <v>2</v>
      </c>
    </row>
    <row r="53" spans="1:37" x14ac:dyDescent="0.25">
      <c r="A53" t="s">
        <v>14</v>
      </c>
      <c r="B53" t="s">
        <v>149</v>
      </c>
      <c r="C53" t="s">
        <v>16</v>
      </c>
      <c r="D53" t="s">
        <v>150</v>
      </c>
      <c r="E53" s="5" t="s">
        <v>12</v>
      </c>
      <c r="F53" s="5" t="e">
        <f>VLOOKUP(B53,'Türkkep Jira'!B:F,5,0)</f>
        <v>#N/A</v>
      </c>
      <c r="G53" t="str">
        <f>IF(IFERROR(VLOOKUP(B53,'Devam Eden Sprint'!B:B,1,0),"-")=B53,"Devam Eden Sprint","-")</f>
        <v>-</v>
      </c>
      <c r="H53" t="str">
        <f>IF(IFERROR(VLOOKUP(B53,'Gelecek Sprint'!B:B,1,0),"-")=B53,"Gelecek Sprint","-")</f>
        <v>-</v>
      </c>
      <c r="I53" t="str">
        <f t="shared" si="0"/>
        <v>Ürün İş Listesi</v>
      </c>
      <c r="J53" s="5">
        <v>1</v>
      </c>
    </row>
    <row r="54" spans="1:37" x14ac:dyDescent="0.25">
      <c r="A54" t="s">
        <v>14</v>
      </c>
      <c r="B54" t="s">
        <v>151</v>
      </c>
      <c r="C54" t="s">
        <v>16</v>
      </c>
      <c r="D54" t="s">
        <v>152</v>
      </c>
      <c r="E54" s="5" t="s">
        <v>12</v>
      </c>
      <c r="F54" s="5" t="e">
        <f>VLOOKUP(B54,'Türkkep Jira'!B:F,5,0)</f>
        <v>#N/A</v>
      </c>
      <c r="G54" t="str">
        <f>IF(IFERROR(VLOOKUP(B54,'Devam Eden Sprint'!B:B,1,0),"-")=B54,"Devam Eden Sprint","-")</f>
        <v>-</v>
      </c>
      <c r="H54" t="str">
        <f>IF(IFERROR(VLOOKUP(B54,'Gelecek Sprint'!B:B,1,0),"-")=B54,"Gelecek Sprint","-")</f>
        <v>-</v>
      </c>
      <c r="I54" t="str">
        <f t="shared" si="0"/>
        <v>Ürün İş Listesi</v>
      </c>
      <c r="J54" s="5">
        <v>2</v>
      </c>
    </row>
    <row r="55" spans="1:37" x14ac:dyDescent="0.25">
      <c r="A55" t="s">
        <v>14</v>
      </c>
      <c r="B55" t="s">
        <v>153</v>
      </c>
      <c r="C55" t="s">
        <v>16</v>
      </c>
      <c r="D55" t="s">
        <v>154</v>
      </c>
      <c r="E55" s="5" t="s">
        <v>12</v>
      </c>
      <c r="F55" s="5" t="e">
        <f>VLOOKUP(B55,'Türkkep Jira'!B:F,5,0)</f>
        <v>#N/A</v>
      </c>
      <c r="G55" t="str">
        <f>IF(IFERROR(VLOOKUP(B55,'Devam Eden Sprint'!B:B,1,0),"-")=B55,"Devam Eden Sprint","-")</f>
        <v>-</v>
      </c>
      <c r="H55" t="str">
        <f>IF(IFERROR(VLOOKUP(B55,'Gelecek Sprint'!B:B,1,0),"-")=B55,"Gelecek Sprint","-")</f>
        <v>-</v>
      </c>
      <c r="I55" t="str">
        <f t="shared" si="0"/>
        <v>Ürün İş Listesi</v>
      </c>
      <c r="J55" s="5">
        <v>1</v>
      </c>
    </row>
    <row r="56" spans="1:37" x14ac:dyDescent="0.25">
      <c r="A56" t="s">
        <v>14</v>
      </c>
      <c r="B56" t="s">
        <v>155</v>
      </c>
      <c r="C56" t="s">
        <v>16</v>
      </c>
      <c r="D56" t="s">
        <v>156</v>
      </c>
      <c r="E56" s="5" t="s">
        <v>12</v>
      </c>
      <c r="F56" s="5" t="e">
        <f>VLOOKUP(B56,'Türkkep Jira'!B:F,5,0)</f>
        <v>#N/A</v>
      </c>
      <c r="G56" t="str">
        <f>IF(IFERROR(VLOOKUP(B56,'Devam Eden Sprint'!B:B,1,0),"-")=B56,"Devam Eden Sprint","-")</f>
        <v>-</v>
      </c>
      <c r="H56" t="str">
        <f>IF(IFERROR(VLOOKUP(B56,'Gelecek Sprint'!B:B,1,0),"-")=B56,"Gelecek Sprint","-")</f>
        <v>-</v>
      </c>
      <c r="I56" t="str">
        <f t="shared" si="0"/>
        <v>Ürün İş Listesi</v>
      </c>
      <c r="J56" s="5">
        <v>2</v>
      </c>
    </row>
    <row r="57" spans="1:37" x14ac:dyDescent="0.25">
      <c r="A57" t="s">
        <v>14</v>
      </c>
      <c r="B57" t="s">
        <v>157</v>
      </c>
      <c r="C57" t="s">
        <v>16</v>
      </c>
      <c r="D57" t="s">
        <v>158</v>
      </c>
      <c r="E57" s="5" t="s">
        <v>12</v>
      </c>
      <c r="F57" s="5" t="e">
        <f>VLOOKUP(B57,'Türkkep Jira'!B:F,5,0)</f>
        <v>#N/A</v>
      </c>
      <c r="G57" t="str">
        <f>IF(IFERROR(VLOOKUP(B57,'Devam Eden Sprint'!B:B,1,0),"-")=B57,"Devam Eden Sprint","-")</f>
        <v>-</v>
      </c>
      <c r="H57" t="str">
        <f>IF(IFERROR(VLOOKUP(B57,'Gelecek Sprint'!B:B,1,0),"-")=B57,"Gelecek Sprint","-")</f>
        <v>-</v>
      </c>
      <c r="I57" t="str">
        <f t="shared" si="0"/>
        <v>Ürün İş Listesi</v>
      </c>
      <c r="J57" s="5">
        <v>3</v>
      </c>
    </row>
    <row r="58" spans="1:37" x14ac:dyDescent="0.25">
      <c r="A58" t="s">
        <v>14</v>
      </c>
      <c r="B58" t="s">
        <v>159</v>
      </c>
      <c r="C58" t="s">
        <v>16</v>
      </c>
      <c r="D58" t="s">
        <v>160</v>
      </c>
      <c r="E58" s="5" t="s">
        <v>12</v>
      </c>
      <c r="F58" s="5" t="e">
        <f>VLOOKUP(B58,'Türkkep Jira'!B:F,5,0)</f>
        <v>#N/A</v>
      </c>
      <c r="G58" t="str">
        <f>IF(IFERROR(VLOOKUP(B58,'Devam Eden Sprint'!B:B,1,0),"-")=B58,"Devam Eden Sprint","-")</f>
        <v>-</v>
      </c>
      <c r="H58" t="str">
        <f>IF(IFERROR(VLOOKUP(B58,'Gelecek Sprint'!B:B,1,0),"-")=B58,"Gelecek Sprint","-")</f>
        <v>-</v>
      </c>
      <c r="I58" t="str">
        <f t="shared" si="0"/>
        <v>Ürün İş Listesi</v>
      </c>
      <c r="J58" s="5">
        <v>1</v>
      </c>
    </row>
    <row r="59" spans="1:37" x14ac:dyDescent="0.25">
      <c r="A59" t="s">
        <v>14</v>
      </c>
      <c r="B59" t="s">
        <v>161</v>
      </c>
      <c r="C59" t="s">
        <v>16</v>
      </c>
      <c r="D59" t="s">
        <v>162</v>
      </c>
      <c r="E59" s="5" t="s">
        <v>12</v>
      </c>
      <c r="F59" s="5" t="e">
        <f>VLOOKUP(B59,'Türkkep Jira'!B:F,5,0)</f>
        <v>#N/A</v>
      </c>
      <c r="G59" t="str">
        <f>IF(IFERROR(VLOOKUP(B59,'Devam Eden Sprint'!B:B,1,0),"-")=B59,"Devam Eden Sprint","-")</f>
        <v>-</v>
      </c>
      <c r="H59" t="str">
        <f>IF(IFERROR(VLOOKUP(B59,'Gelecek Sprint'!B:B,1,0),"-")=B59,"Gelecek Sprint","-")</f>
        <v>-</v>
      </c>
      <c r="I59" t="str">
        <f t="shared" si="0"/>
        <v>Ürün İş Listesi</v>
      </c>
      <c r="J59" s="5">
        <v>1</v>
      </c>
    </row>
    <row r="60" spans="1:37" x14ac:dyDescent="0.25">
      <c r="A60" t="s">
        <v>14</v>
      </c>
      <c r="B60" t="s">
        <v>163</v>
      </c>
      <c r="C60" t="s">
        <v>16</v>
      </c>
      <c r="D60" t="s">
        <v>164</v>
      </c>
      <c r="E60" s="5" t="s">
        <v>35</v>
      </c>
      <c r="F60" s="5" t="e">
        <f>VLOOKUP(B60,'Türkkep Jira'!B:F,5,0)</f>
        <v>#N/A</v>
      </c>
      <c r="G60" t="str">
        <f>IF(IFERROR(VLOOKUP(B60,'Devam Eden Sprint'!B:B,1,0),"-")=B60,"Devam Eden Sprint","-")</f>
        <v>-</v>
      </c>
      <c r="H60" t="str">
        <f>IF(IFERROR(VLOOKUP(B60,'Gelecek Sprint'!B:B,1,0),"-")=B60,"Gelecek Sprint","-")</f>
        <v>-</v>
      </c>
      <c r="I60" t="str">
        <f t="shared" si="0"/>
        <v>Ürün İş Listesi</v>
      </c>
      <c r="J60" s="5">
        <v>2</v>
      </c>
    </row>
    <row r="61" spans="1:37" x14ac:dyDescent="0.25">
      <c r="A61" t="s">
        <v>77</v>
      </c>
      <c r="B61" t="s">
        <v>165</v>
      </c>
      <c r="C61" t="s">
        <v>16</v>
      </c>
      <c r="D61" t="s">
        <v>166</v>
      </c>
      <c r="E61" s="5" t="s">
        <v>35</v>
      </c>
      <c r="F61" s="5" t="e">
        <f>VLOOKUP(B61,'Türkkep Jira'!B:F,5,0)</f>
        <v>#N/A</v>
      </c>
      <c r="G61" t="str">
        <f>IF(IFERROR(VLOOKUP(B61,'Devam Eden Sprint'!B:B,1,0),"-")=B61,"Devam Eden Sprint","-")</f>
        <v>-</v>
      </c>
      <c r="H61" t="str">
        <f>IF(IFERROR(VLOOKUP(B61,'Gelecek Sprint'!B:B,1,0),"-")=B61,"Gelecek Sprint","-")</f>
        <v>-</v>
      </c>
      <c r="I61" t="str">
        <f t="shared" si="0"/>
        <v>Ürün İş Listesi</v>
      </c>
      <c r="J61" s="5">
        <v>2</v>
      </c>
    </row>
    <row r="62" spans="1:37" x14ac:dyDescent="0.25">
      <c r="A62" t="s">
        <v>14</v>
      </c>
      <c r="B62" t="s">
        <v>167</v>
      </c>
      <c r="C62" t="s">
        <v>16</v>
      </c>
      <c r="D62" t="s">
        <v>168</v>
      </c>
      <c r="E62" s="5" t="s">
        <v>35</v>
      </c>
      <c r="F62" s="5" t="e">
        <f>VLOOKUP(B62,'Türkkep Jira'!B:F,5,0)</f>
        <v>#N/A</v>
      </c>
      <c r="G62" t="str">
        <f>IF(IFERROR(VLOOKUP(B62,'Devam Eden Sprint'!B:B,1,0),"-")=B62,"Devam Eden Sprint","-")</f>
        <v>-</v>
      </c>
      <c r="H62" t="str">
        <f>IF(IFERROR(VLOOKUP(B62,'Gelecek Sprint'!B:B,1,0),"-")=B62,"Gelecek Sprint","-")</f>
        <v>-</v>
      </c>
      <c r="I62" t="str">
        <f t="shared" si="0"/>
        <v>Ürün İş Listesi</v>
      </c>
      <c r="J62" s="5">
        <v>2</v>
      </c>
    </row>
    <row r="63" spans="1:37" x14ac:dyDescent="0.25">
      <c r="A63" t="s">
        <v>14</v>
      </c>
      <c r="B63" t="s">
        <v>169</v>
      </c>
      <c r="C63" t="s">
        <v>16</v>
      </c>
      <c r="D63" t="s">
        <v>170</v>
      </c>
      <c r="E63" s="5" t="s">
        <v>35</v>
      </c>
      <c r="F63" s="5" t="e">
        <f>VLOOKUP(B63,'Türkkep Jira'!B:F,5,0)</f>
        <v>#N/A</v>
      </c>
      <c r="G63" t="str">
        <f>IF(IFERROR(VLOOKUP(B63,'Devam Eden Sprint'!B:B,1,0),"-")=B63,"Devam Eden Sprint","-")</f>
        <v>-</v>
      </c>
      <c r="H63" t="str">
        <f>IF(IFERROR(VLOOKUP(B63,'Gelecek Sprint'!B:B,1,0),"-")=B63,"Gelecek Sprint","-")</f>
        <v>-</v>
      </c>
      <c r="I63" t="str">
        <f t="shared" si="0"/>
        <v>Ürün İş Listesi</v>
      </c>
      <c r="J63" s="5">
        <v>2</v>
      </c>
    </row>
    <row r="64" spans="1:37" x14ac:dyDescent="0.25">
      <c r="A64" t="s">
        <v>14</v>
      </c>
      <c r="B64" t="s">
        <v>171</v>
      </c>
      <c r="C64" t="s">
        <v>16</v>
      </c>
      <c r="D64" t="s">
        <v>172</v>
      </c>
      <c r="E64" s="5" t="s">
        <v>35</v>
      </c>
      <c r="F64" s="5" t="e">
        <f>VLOOKUP(B64,'Türkkep Jira'!B:F,5,0)</f>
        <v>#N/A</v>
      </c>
      <c r="G64" t="str">
        <f>IF(IFERROR(VLOOKUP(B64,'Devam Eden Sprint'!B:B,1,0),"-")=B64,"Devam Eden Sprint","-")</f>
        <v>-</v>
      </c>
      <c r="H64" t="str">
        <f>IF(IFERROR(VLOOKUP(B64,'Gelecek Sprint'!B:B,1,0),"-")=B64,"Gelecek Sprint","-")</f>
        <v>-</v>
      </c>
      <c r="I64" t="str">
        <f t="shared" si="0"/>
        <v>Ürün İş Listesi</v>
      </c>
      <c r="J64" s="5">
        <v>5</v>
      </c>
    </row>
    <row r="65" spans="1:10" x14ac:dyDescent="0.25">
      <c r="A65" t="s">
        <v>14</v>
      </c>
      <c r="B65" t="s">
        <v>173</v>
      </c>
      <c r="C65" t="s">
        <v>16</v>
      </c>
      <c r="D65" t="s">
        <v>174</v>
      </c>
      <c r="E65" s="5" t="s">
        <v>35</v>
      </c>
      <c r="F65" s="5" t="e">
        <f>VLOOKUP(B65,'Türkkep Jira'!B:F,5,0)</f>
        <v>#N/A</v>
      </c>
      <c r="G65" t="str">
        <f>IF(IFERROR(VLOOKUP(B65,'Devam Eden Sprint'!B:B,1,0),"-")=B65,"Devam Eden Sprint","-")</f>
        <v>-</v>
      </c>
      <c r="H65" t="str">
        <f>IF(IFERROR(VLOOKUP(B65,'Gelecek Sprint'!B:B,1,0),"-")=B65,"Gelecek Sprint","-")</f>
        <v>-</v>
      </c>
      <c r="I65" t="str">
        <f t="shared" si="0"/>
        <v>Ürün İş Listesi</v>
      </c>
      <c r="J65" s="5">
        <v>2</v>
      </c>
    </row>
    <row r="66" spans="1:10" x14ac:dyDescent="0.25">
      <c r="A66" t="s">
        <v>14</v>
      </c>
      <c r="B66" t="s">
        <v>175</v>
      </c>
      <c r="C66" t="s">
        <v>16</v>
      </c>
      <c r="D66" t="s">
        <v>176</v>
      </c>
      <c r="E66" s="5" t="s">
        <v>35</v>
      </c>
      <c r="F66" s="5" t="e">
        <f>VLOOKUP(B66,'Türkkep Jira'!B:F,5,0)</f>
        <v>#N/A</v>
      </c>
      <c r="G66" t="str">
        <f>IF(IFERROR(VLOOKUP(B66,'Devam Eden Sprint'!B:B,1,0),"-")=B66,"Devam Eden Sprint","-")</f>
        <v>-</v>
      </c>
      <c r="H66" t="str">
        <f>IF(IFERROR(VLOOKUP(B66,'Gelecek Sprint'!B:B,1,0),"-")=B66,"Gelecek Sprint","-")</f>
        <v>-</v>
      </c>
      <c r="I66" t="str">
        <f t="shared" ref="I66:I129" si="7">IFERROR(IF(AND(G66="Devam Eden Sprint",H66="Gelecek Sprint"),"Devam Eden ve Gelecek Sprint",IF(G66="Devam Eden Sprint","Devam Eden Sprint",IF(H66="Gelecek Sprint","Gelecek Sprint","Ürün İş Listesi"))),"Ürün İş Listesi")</f>
        <v>Ürün İş Listesi</v>
      </c>
      <c r="J66" s="5">
        <v>2</v>
      </c>
    </row>
    <row r="67" spans="1:10" x14ac:dyDescent="0.25">
      <c r="A67" t="s">
        <v>14</v>
      </c>
      <c r="B67" t="s">
        <v>177</v>
      </c>
      <c r="C67" t="s">
        <v>16</v>
      </c>
      <c r="D67" t="s">
        <v>178</v>
      </c>
      <c r="E67" s="5" t="s">
        <v>35</v>
      </c>
      <c r="F67" s="5" t="e">
        <f>VLOOKUP(B67,'Türkkep Jira'!B:F,5,0)</f>
        <v>#N/A</v>
      </c>
      <c r="G67" t="str">
        <f>IF(IFERROR(VLOOKUP(B67,'Devam Eden Sprint'!B:B,1,0),"-")=B67,"Devam Eden Sprint","-")</f>
        <v>-</v>
      </c>
      <c r="H67" t="str">
        <f>IF(IFERROR(VLOOKUP(B67,'Gelecek Sprint'!B:B,1,0),"-")=B67,"Gelecek Sprint","-")</f>
        <v>-</v>
      </c>
      <c r="I67" t="str">
        <f t="shared" si="7"/>
        <v>Ürün İş Listesi</v>
      </c>
      <c r="J67" s="5">
        <v>2</v>
      </c>
    </row>
    <row r="68" spans="1:10" x14ac:dyDescent="0.25">
      <c r="A68" t="s">
        <v>14</v>
      </c>
      <c r="B68" t="s">
        <v>179</v>
      </c>
      <c r="C68" t="s">
        <v>16</v>
      </c>
      <c r="D68" t="s">
        <v>180</v>
      </c>
      <c r="E68" s="5" t="s">
        <v>133</v>
      </c>
      <c r="F68" s="5" t="e">
        <f>VLOOKUP(B68,'Türkkep Jira'!B:F,5,0)</f>
        <v>#N/A</v>
      </c>
      <c r="G68" t="str">
        <f>IF(IFERROR(VLOOKUP(B68,'Devam Eden Sprint'!B:B,1,0),"-")=B68,"Devam Eden Sprint","-")</f>
        <v>-</v>
      </c>
      <c r="H68" t="str">
        <f>IF(IFERROR(VLOOKUP(B68,'Gelecek Sprint'!B:B,1,0),"-")=B68,"Gelecek Sprint","-")</f>
        <v>-</v>
      </c>
      <c r="I68" t="str">
        <f t="shared" si="7"/>
        <v>Ürün İş Listesi</v>
      </c>
      <c r="J68" s="5">
        <v>3</v>
      </c>
    </row>
    <row r="69" spans="1:10" x14ac:dyDescent="0.25">
      <c r="A69" t="s">
        <v>14</v>
      </c>
      <c r="B69" t="s">
        <v>181</v>
      </c>
      <c r="C69" t="s">
        <v>16</v>
      </c>
      <c r="D69" t="s">
        <v>182</v>
      </c>
      <c r="E69" s="5" t="s">
        <v>38</v>
      </c>
      <c r="F69" s="5" t="e">
        <f>VLOOKUP(B69,'Türkkep Jira'!B:F,5,0)</f>
        <v>#N/A</v>
      </c>
      <c r="G69" t="str">
        <f>IF(IFERROR(VLOOKUP(B69,'Devam Eden Sprint'!B:B,1,0),"-")=B69,"Devam Eden Sprint","-")</f>
        <v>-</v>
      </c>
      <c r="H69" t="str">
        <f>IF(IFERROR(VLOOKUP(B69,'Gelecek Sprint'!B:B,1,0),"-")=B69,"Gelecek Sprint","-")</f>
        <v>-</v>
      </c>
      <c r="I69" t="str">
        <f t="shared" si="7"/>
        <v>Ürün İş Listesi</v>
      </c>
    </row>
    <row r="70" spans="1:10" x14ac:dyDescent="0.25">
      <c r="A70" t="s">
        <v>14</v>
      </c>
      <c r="B70" t="s">
        <v>183</v>
      </c>
      <c r="C70" t="s">
        <v>16</v>
      </c>
      <c r="D70" t="s">
        <v>184</v>
      </c>
      <c r="E70" s="5" t="s">
        <v>38</v>
      </c>
      <c r="F70" s="5" t="e">
        <f>VLOOKUP(B70,'Türkkep Jira'!B:F,5,0)</f>
        <v>#N/A</v>
      </c>
      <c r="G70" t="str">
        <f>IF(IFERROR(VLOOKUP(B70,'Devam Eden Sprint'!B:B,1,0),"-")=B70,"Devam Eden Sprint","-")</f>
        <v>-</v>
      </c>
      <c r="H70" t="str">
        <f>IF(IFERROR(VLOOKUP(B70,'Gelecek Sprint'!B:B,1,0),"-")=B70,"Gelecek Sprint","-")</f>
        <v>-</v>
      </c>
      <c r="I70" t="str">
        <f t="shared" si="7"/>
        <v>Ürün İş Listesi</v>
      </c>
    </row>
    <row r="71" spans="1:10" x14ac:dyDescent="0.25">
      <c r="A71" t="s">
        <v>14</v>
      </c>
      <c r="B71" t="s">
        <v>185</v>
      </c>
      <c r="C71" t="s">
        <v>16</v>
      </c>
      <c r="D71" t="s">
        <v>186</v>
      </c>
      <c r="E71" s="5" t="s">
        <v>38</v>
      </c>
      <c r="F71" s="5" t="e">
        <f>VLOOKUP(B71,'Türkkep Jira'!B:F,5,0)</f>
        <v>#N/A</v>
      </c>
      <c r="G71" t="str">
        <f>IF(IFERROR(VLOOKUP(B71,'Devam Eden Sprint'!B:B,1,0),"-")=B71,"Devam Eden Sprint","-")</f>
        <v>-</v>
      </c>
      <c r="H71" t="str">
        <f>IF(IFERROR(VLOOKUP(B71,'Gelecek Sprint'!B:B,1,0),"-")=B71,"Gelecek Sprint","-")</f>
        <v>-</v>
      </c>
      <c r="I71" t="str">
        <f t="shared" si="7"/>
        <v>Ürün İş Listesi</v>
      </c>
      <c r="J71" s="5">
        <v>3</v>
      </c>
    </row>
    <row r="72" spans="1:10" x14ac:dyDescent="0.25">
      <c r="A72" t="s">
        <v>14</v>
      </c>
      <c r="B72" t="s">
        <v>187</v>
      </c>
      <c r="C72" t="s">
        <v>16</v>
      </c>
      <c r="D72" t="s">
        <v>188</v>
      </c>
      <c r="E72" s="5" t="s">
        <v>38</v>
      </c>
      <c r="F72" s="5" t="e">
        <f>VLOOKUP(B72,'Türkkep Jira'!B:F,5,0)</f>
        <v>#N/A</v>
      </c>
      <c r="G72" t="str">
        <f>IF(IFERROR(VLOOKUP(B72,'Devam Eden Sprint'!B:B,1,0),"-")=B72,"Devam Eden Sprint","-")</f>
        <v>-</v>
      </c>
      <c r="H72" t="str">
        <f>IF(IFERROR(VLOOKUP(B72,'Gelecek Sprint'!B:B,1,0),"-")=B72,"Gelecek Sprint","-")</f>
        <v>-</v>
      </c>
      <c r="I72" t="str">
        <f t="shared" si="7"/>
        <v>Ürün İş Listesi</v>
      </c>
      <c r="J72" s="5">
        <v>2</v>
      </c>
    </row>
    <row r="73" spans="1:10" x14ac:dyDescent="0.25">
      <c r="A73" t="s">
        <v>14</v>
      </c>
      <c r="B73" t="s">
        <v>189</v>
      </c>
      <c r="C73" t="s">
        <v>16</v>
      </c>
      <c r="D73" t="s">
        <v>190</v>
      </c>
      <c r="E73" s="5" t="s">
        <v>38</v>
      </c>
      <c r="F73" s="5" t="e">
        <f>VLOOKUP(B73,'Türkkep Jira'!B:F,5,0)</f>
        <v>#N/A</v>
      </c>
      <c r="G73" t="str">
        <f>IF(IFERROR(VLOOKUP(B73,'Devam Eden Sprint'!B:B,1,0),"-")=B73,"Devam Eden Sprint","-")</f>
        <v>-</v>
      </c>
      <c r="H73" t="str">
        <f>IF(IFERROR(VLOOKUP(B73,'Gelecek Sprint'!B:B,1,0),"-")=B73,"Gelecek Sprint","-")</f>
        <v>-</v>
      </c>
      <c r="I73" t="str">
        <f t="shared" si="7"/>
        <v>Ürün İş Listesi</v>
      </c>
      <c r="J73" s="5">
        <v>13</v>
      </c>
    </row>
    <row r="74" spans="1:10" x14ac:dyDescent="0.25">
      <c r="A74" t="s">
        <v>14</v>
      </c>
      <c r="B74" t="s">
        <v>191</v>
      </c>
      <c r="C74" t="s">
        <v>192</v>
      </c>
      <c r="D74" t="s">
        <v>193</v>
      </c>
      <c r="E74" s="5" t="s">
        <v>41</v>
      </c>
      <c r="F74" s="5" t="e">
        <f>VLOOKUP(B74,'Türkkep Jira'!B:F,5,0)</f>
        <v>#N/A</v>
      </c>
      <c r="G74" t="str">
        <f>IF(IFERROR(VLOOKUP(B74,'Devam Eden Sprint'!B:B,1,0),"-")=B74,"Devam Eden Sprint","-")</f>
        <v>-</v>
      </c>
      <c r="H74" t="str">
        <f>IF(IFERROR(VLOOKUP(B74,'Gelecek Sprint'!B:B,1,0),"-")=B74,"Gelecek Sprint","-")</f>
        <v>-</v>
      </c>
      <c r="I74" t="str">
        <f t="shared" si="7"/>
        <v>Ürün İş Listesi</v>
      </c>
    </row>
    <row r="75" spans="1:10" x14ac:dyDescent="0.25">
      <c r="A75" t="s">
        <v>14</v>
      </c>
      <c r="B75" t="s">
        <v>194</v>
      </c>
      <c r="C75" t="s">
        <v>16</v>
      </c>
      <c r="D75" t="s">
        <v>195</v>
      </c>
      <c r="E75" s="5" t="s">
        <v>41</v>
      </c>
      <c r="F75" s="5" t="e">
        <f>VLOOKUP(B75,'Türkkep Jira'!B:F,5,0)</f>
        <v>#N/A</v>
      </c>
      <c r="G75" t="str">
        <f>IF(IFERROR(VLOOKUP(B75,'Devam Eden Sprint'!B:B,1,0),"-")=B75,"Devam Eden Sprint","-")</f>
        <v>-</v>
      </c>
      <c r="H75" t="str">
        <f>IF(IFERROR(VLOOKUP(B75,'Gelecek Sprint'!B:B,1,0),"-")=B75,"Gelecek Sprint","-")</f>
        <v>-</v>
      </c>
      <c r="I75" t="str">
        <f t="shared" si="7"/>
        <v>Ürün İş Listesi</v>
      </c>
      <c r="J75" s="5">
        <v>3</v>
      </c>
    </row>
    <row r="76" spans="1:10" x14ac:dyDescent="0.25">
      <c r="A76" t="s">
        <v>14</v>
      </c>
      <c r="B76" t="s">
        <v>196</v>
      </c>
      <c r="C76" t="s">
        <v>16</v>
      </c>
      <c r="D76" t="s">
        <v>197</v>
      </c>
      <c r="E76" s="5" t="s">
        <v>41</v>
      </c>
      <c r="F76" s="5" t="e">
        <f>VLOOKUP(B76,'Türkkep Jira'!B:F,5,0)</f>
        <v>#N/A</v>
      </c>
      <c r="G76" t="str">
        <f>IF(IFERROR(VLOOKUP(B76,'Devam Eden Sprint'!B:B,1,0),"-")=B76,"Devam Eden Sprint","-")</f>
        <v>-</v>
      </c>
      <c r="H76" t="str">
        <f>IF(IFERROR(VLOOKUP(B76,'Gelecek Sprint'!B:B,1,0),"-")=B76,"Gelecek Sprint","-")</f>
        <v>-</v>
      </c>
      <c r="I76" t="str">
        <f t="shared" si="7"/>
        <v>Ürün İş Listesi</v>
      </c>
      <c r="J76" s="5">
        <v>2</v>
      </c>
    </row>
    <row r="77" spans="1:10" x14ac:dyDescent="0.25">
      <c r="A77" t="s">
        <v>14</v>
      </c>
      <c r="B77" t="s">
        <v>198</v>
      </c>
      <c r="C77" t="s">
        <v>16</v>
      </c>
      <c r="D77" t="s">
        <v>199</v>
      </c>
      <c r="E77" s="5" t="s">
        <v>41</v>
      </c>
      <c r="F77" s="5" t="e">
        <f>VLOOKUP(B77,'Türkkep Jira'!B:F,5,0)</f>
        <v>#N/A</v>
      </c>
      <c r="G77" t="str">
        <f>IF(IFERROR(VLOOKUP(B77,'Devam Eden Sprint'!B:B,1,0),"-")=B77,"Devam Eden Sprint","-")</f>
        <v>-</v>
      </c>
      <c r="H77" t="str">
        <f>IF(IFERROR(VLOOKUP(B77,'Gelecek Sprint'!B:B,1,0),"-")=B77,"Gelecek Sprint","-")</f>
        <v>-</v>
      </c>
      <c r="I77" t="str">
        <f t="shared" si="7"/>
        <v>Ürün İş Listesi</v>
      </c>
    </row>
    <row r="78" spans="1:10" x14ac:dyDescent="0.25">
      <c r="A78" t="s">
        <v>14</v>
      </c>
      <c r="B78" t="s">
        <v>200</v>
      </c>
      <c r="C78" t="s">
        <v>16</v>
      </c>
      <c r="D78" t="s">
        <v>201</v>
      </c>
      <c r="E78" s="5" t="s">
        <v>41</v>
      </c>
      <c r="F78" s="5" t="e">
        <f>VLOOKUP(B78,'Türkkep Jira'!B:F,5,0)</f>
        <v>#N/A</v>
      </c>
      <c r="G78" t="str">
        <f>IF(IFERROR(VLOOKUP(B78,'Devam Eden Sprint'!B:B,1,0),"-")=B78,"Devam Eden Sprint","-")</f>
        <v>-</v>
      </c>
      <c r="H78" t="str">
        <f>IF(IFERROR(VLOOKUP(B78,'Gelecek Sprint'!B:B,1,0),"-")=B78,"Gelecek Sprint","-")</f>
        <v>-</v>
      </c>
      <c r="I78" t="str">
        <f t="shared" si="7"/>
        <v>Ürün İş Listesi</v>
      </c>
      <c r="J78" s="5">
        <v>13</v>
      </c>
    </row>
    <row r="79" spans="1:10" x14ac:dyDescent="0.25">
      <c r="A79" t="s">
        <v>14</v>
      </c>
      <c r="B79" t="s">
        <v>202</v>
      </c>
      <c r="C79" t="s">
        <v>16</v>
      </c>
      <c r="D79" t="s">
        <v>203</v>
      </c>
      <c r="E79" s="5" t="s">
        <v>41</v>
      </c>
      <c r="F79" s="5" t="e">
        <f>VLOOKUP(B79,'Türkkep Jira'!B:F,5,0)</f>
        <v>#N/A</v>
      </c>
      <c r="G79" t="str">
        <f>IF(IFERROR(VLOOKUP(B79,'Devam Eden Sprint'!B:B,1,0),"-")=B79,"Devam Eden Sprint","-")</f>
        <v>-</v>
      </c>
      <c r="H79" t="str">
        <f>IF(IFERROR(VLOOKUP(B79,'Gelecek Sprint'!B:B,1,0),"-")=B79,"Gelecek Sprint","-")</f>
        <v>-</v>
      </c>
      <c r="I79" t="str">
        <f t="shared" si="7"/>
        <v>Ürün İş Listesi</v>
      </c>
      <c r="J79" s="5">
        <v>3</v>
      </c>
    </row>
    <row r="80" spans="1:10" x14ac:dyDescent="0.25">
      <c r="A80" t="s">
        <v>14</v>
      </c>
      <c r="B80" t="s">
        <v>204</v>
      </c>
      <c r="C80" t="s">
        <v>16</v>
      </c>
      <c r="D80" t="s">
        <v>205</v>
      </c>
      <c r="E80" s="5" t="s">
        <v>41</v>
      </c>
      <c r="F80" s="5" t="e">
        <f>VLOOKUP(B80,'Türkkep Jira'!B:F,5,0)</f>
        <v>#N/A</v>
      </c>
      <c r="G80" t="str">
        <f>IF(IFERROR(VLOOKUP(B80,'Devam Eden Sprint'!B:B,1,0),"-")=B80,"Devam Eden Sprint","-")</f>
        <v>-</v>
      </c>
      <c r="H80" t="str">
        <f>IF(IFERROR(VLOOKUP(B80,'Gelecek Sprint'!B:B,1,0),"-")=B80,"Gelecek Sprint","-")</f>
        <v>-</v>
      </c>
      <c r="I80" t="str">
        <f t="shared" si="7"/>
        <v>Ürün İş Listesi</v>
      </c>
      <c r="J80" s="5">
        <v>5</v>
      </c>
    </row>
    <row r="81" spans="1:10" x14ac:dyDescent="0.25">
      <c r="A81" t="s">
        <v>77</v>
      </c>
      <c r="B81" t="s">
        <v>206</v>
      </c>
      <c r="C81" t="s">
        <v>16</v>
      </c>
      <c r="D81" t="s">
        <v>207</v>
      </c>
      <c r="E81" s="5" t="s">
        <v>41</v>
      </c>
      <c r="F81" s="5" t="e">
        <f>VLOOKUP(B81,'Türkkep Jira'!B:F,5,0)</f>
        <v>#N/A</v>
      </c>
      <c r="G81" t="str">
        <f>IF(IFERROR(VLOOKUP(B81,'Devam Eden Sprint'!B:B,1,0),"-")=B81,"Devam Eden Sprint","-")</f>
        <v>-</v>
      </c>
      <c r="H81" t="str">
        <f>IF(IFERROR(VLOOKUP(B81,'Gelecek Sprint'!B:B,1,0),"-")=B81,"Gelecek Sprint","-")</f>
        <v>-</v>
      </c>
      <c r="I81" t="str">
        <f t="shared" si="7"/>
        <v>Ürün İş Listesi</v>
      </c>
      <c r="J81" s="5">
        <v>3</v>
      </c>
    </row>
    <row r="82" spans="1:10" x14ac:dyDescent="0.25">
      <c r="A82" t="s">
        <v>14</v>
      </c>
      <c r="B82" t="s">
        <v>208</v>
      </c>
      <c r="C82" t="s">
        <v>16</v>
      </c>
      <c r="D82" t="s">
        <v>209</v>
      </c>
      <c r="E82" s="5" t="s">
        <v>41</v>
      </c>
      <c r="F82" s="5" t="e">
        <f>VLOOKUP(B82,'Türkkep Jira'!B:F,5,0)</f>
        <v>#N/A</v>
      </c>
      <c r="G82" t="str">
        <f>IF(IFERROR(VLOOKUP(B82,'Devam Eden Sprint'!B:B,1,0),"-")=B82,"Devam Eden Sprint","-")</f>
        <v>-</v>
      </c>
      <c r="H82" t="str">
        <f>IF(IFERROR(VLOOKUP(B82,'Gelecek Sprint'!B:B,1,0),"-")=B82,"Gelecek Sprint","-")</f>
        <v>-</v>
      </c>
      <c r="I82" t="str">
        <f t="shared" si="7"/>
        <v>Ürün İş Listesi</v>
      </c>
      <c r="J82" s="5">
        <v>5</v>
      </c>
    </row>
    <row r="83" spans="1:10" x14ac:dyDescent="0.25">
      <c r="A83" t="s">
        <v>14</v>
      </c>
      <c r="B83" t="s">
        <v>210</v>
      </c>
      <c r="C83" t="s">
        <v>16</v>
      </c>
      <c r="D83" t="s">
        <v>211</v>
      </c>
      <c r="E83" s="5" t="s">
        <v>41</v>
      </c>
      <c r="F83" s="5" t="e">
        <f>VLOOKUP(B83,'Türkkep Jira'!B:F,5,0)</f>
        <v>#N/A</v>
      </c>
      <c r="G83" t="str">
        <f>IF(IFERROR(VLOOKUP(B83,'Devam Eden Sprint'!B:B,1,0),"-")=B83,"Devam Eden Sprint","-")</f>
        <v>-</v>
      </c>
      <c r="H83" t="str">
        <f>IF(IFERROR(VLOOKUP(B83,'Gelecek Sprint'!B:B,1,0),"-")=B83,"Gelecek Sprint","-")</f>
        <v>-</v>
      </c>
      <c r="I83" t="str">
        <f t="shared" si="7"/>
        <v>Ürün İş Listesi</v>
      </c>
      <c r="J83" s="5">
        <v>5</v>
      </c>
    </row>
    <row r="84" spans="1:10" x14ac:dyDescent="0.25">
      <c r="A84" t="s">
        <v>14</v>
      </c>
      <c r="B84" t="s">
        <v>212</v>
      </c>
      <c r="C84" t="s">
        <v>16</v>
      </c>
      <c r="D84" t="s">
        <v>213</v>
      </c>
      <c r="E84" s="5" t="s">
        <v>41</v>
      </c>
      <c r="F84" s="5" t="e">
        <f>VLOOKUP(B84,'Türkkep Jira'!B:F,5,0)</f>
        <v>#N/A</v>
      </c>
      <c r="G84" t="str">
        <f>IF(IFERROR(VLOOKUP(B84,'Devam Eden Sprint'!B:B,1,0),"-")=B84,"Devam Eden Sprint","-")</f>
        <v>-</v>
      </c>
      <c r="H84" t="str">
        <f>IF(IFERROR(VLOOKUP(B84,'Gelecek Sprint'!B:B,1,0),"-")=B84,"Gelecek Sprint","-")</f>
        <v>-</v>
      </c>
      <c r="I84" t="str">
        <f t="shared" si="7"/>
        <v>Ürün İş Listesi</v>
      </c>
      <c r="J84" s="5">
        <v>1</v>
      </c>
    </row>
    <row r="85" spans="1:10" x14ac:dyDescent="0.25">
      <c r="A85" t="s">
        <v>14</v>
      </c>
      <c r="B85" t="s">
        <v>214</v>
      </c>
      <c r="C85" t="s">
        <v>16</v>
      </c>
      <c r="D85" t="s">
        <v>215</v>
      </c>
      <c r="E85" s="5" t="s">
        <v>41</v>
      </c>
      <c r="F85" s="5" t="e">
        <f>VLOOKUP(B85,'Türkkep Jira'!B:F,5,0)</f>
        <v>#N/A</v>
      </c>
      <c r="G85" t="str">
        <f>IF(IFERROR(VLOOKUP(B85,'Devam Eden Sprint'!B:B,1,0),"-")=B85,"Devam Eden Sprint","-")</f>
        <v>-</v>
      </c>
      <c r="H85" t="str">
        <f>IF(IFERROR(VLOOKUP(B85,'Gelecek Sprint'!B:B,1,0),"-")=B85,"Gelecek Sprint","-")</f>
        <v>-</v>
      </c>
      <c r="I85" t="str">
        <f t="shared" si="7"/>
        <v>Ürün İş Listesi</v>
      </c>
      <c r="J85" s="5">
        <v>3</v>
      </c>
    </row>
    <row r="86" spans="1:10" x14ac:dyDescent="0.25">
      <c r="A86" t="s">
        <v>14</v>
      </c>
      <c r="B86" t="s">
        <v>216</v>
      </c>
      <c r="C86" t="s">
        <v>16</v>
      </c>
      <c r="D86" t="s">
        <v>217</v>
      </c>
      <c r="E86" s="5" t="s">
        <v>41</v>
      </c>
      <c r="F86" s="5" t="e">
        <f>VLOOKUP(B86,'Türkkep Jira'!B:F,5,0)</f>
        <v>#N/A</v>
      </c>
      <c r="G86" t="str">
        <f>IF(IFERROR(VLOOKUP(B86,'Devam Eden Sprint'!B:B,1,0),"-")=B86,"Devam Eden Sprint","-")</f>
        <v>-</v>
      </c>
      <c r="H86" t="str">
        <f>IF(IFERROR(VLOOKUP(B86,'Gelecek Sprint'!B:B,1,0),"-")=B86,"Gelecek Sprint","-")</f>
        <v>-</v>
      </c>
      <c r="I86" t="str">
        <f t="shared" si="7"/>
        <v>Ürün İş Listesi</v>
      </c>
      <c r="J86" s="5">
        <v>2</v>
      </c>
    </row>
    <row r="87" spans="1:10" x14ac:dyDescent="0.25">
      <c r="A87" t="s">
        <v>14</v>
      </c>
      <c r="B87" t="s">
        <v>218</v>
      </c>
      <c r="C87" t="s">
        <v>16</v>
      </c>
      <c r="D87" t="s">
        <v>219</v>
      </c>
      <c r="E87" s="5" t="s">
        <v>41</v>
      </c>
      <c r="F87" s="5" t="e">
        <f>VLOOKUP(B87,'Türkkep Jira'!B:F,5,0)</f>
        <v>#N/A</v>
      </c>
      <c r="G87" t="str">
        <f>IF(IFERROR(VLOOKUP(B87,'Devam Eden Sprint'!B:B,1,0),"-")=B87,"Devam Eden Sprint","-")</f>
        <v>-</v>
      </c>
      <c r="H87" t="str">
        <f>IF(IFERROR(VLOOKUP(B87,'Gelecek Sprint'!B:B,1,0),"-")=B87,"Gelecek Sprint","-")</f>
        <v>-</v>
      </c>
      <c r="I87" t="str">
        <f t="shared" si="7"/>
        <v>Ürün İş Listesi</v>
      </c>
      <c r="J87" s="5">
        <v>1</v>
      </c>
    </row>
    <row r="88" spans="1:10" x14ac:dyDescent="0.25">
      <c r="A88" t="s">
        <v>14</v>
      </c>
      <c r="B88" t="s">
        <v>220</v>
      </c>
      <c r="C88" t="s">
        <v>16</v>
      </c>
      <c r="D88" t="s">
        <v>221</v>
      </c>
      <c r="E88" s="5" t="s">
        <v>41</v>
      </c>
      <c r="F88" s="5" t="e">
        <f>VLOOKUP(B88,'Türkkep Jira'!B:F,5,0)</f>
        <v>#N/A</v>
      </c>
      <c r="G88" t="str">
        <f>IF(IFERROR(VLOOKUP(B88,'Devam Eden Sprint'!B:B,1,0),"-")=B88,"Devam Eden Sprint","-")</f>
        <v>-</v>
      </c>
      <c r="H88" t="str">
        <f>IF(IFERROR(VLOOKUP(B88,'Gelecek Sprint'!B:B,1,0),"-")=B88,"Gelecek Sprint","-")</f>
        <v>-</v>
      </c>
      <c r="I88" t="str">
        <f t="shared" si="7"/>
        <v>Ürün İş Listesi</v>
      </c>
      <c r="J88" s="5">
        <v>3</v>
      </c>
    </row>
    <row r="89" spans="1:10" x14ac:dyDescent="0.25">
      <c r="A89" t="s">
        <v>14</v>
      </c>
      <c r="B89" t="s">
        <v>222</v>
      </c>
      <c r="C89" t="s">
        <v>16</v>
      </c>
      <c r="D89" t="s">
        <v>223</v>
      </c>
      <c r="E89" s="5" t="s">
        <v>41</v>
      </c>
      <c r="F89" s="5" t="e">
        <f>VLOOKUP(B89,'Türkkep Jira'!B:F,5,0)</f>
        <v>#N/A</v>
      </c>
      <c r="G89" t="str">
        <f>IF(IFERROR(VLOOKUP(B89,'Devam Eden Sprint'!B:B,1,0),"-")=B89,"Devam Eden Sprint","-")</f>
        <v>-</v>
      </c>
      <c r="H89" t="str">
        <f>IF(IFERROR(VLOOKUP(B89,'Gelecek Sprint'!B:B,1,0),"-")=B89,"Gelecek Sprint","-")</f>
        <v>-</v>
      </c>
      <c r="I89" t="str">
        <f t="shared" si="7"/>
        <v>Ürün İş Listesi</v>
      </c>
      <c r="J89" s="5">
        <v>1</v>
      </c>
    </row>
    <row r="90" spans="1:10" x14ac:dyDescent="0.25">
      <c r="A90" t="s">
        <v>14</v>
      </c>
      <c r="B90" t="s">
        <v>224</v>
      </c>
      <c r="C90" t="s">
        <v>16</v>
      </c>
      <c r="D90" t="s">
        <v>225</v>
      </c>
      <c r="E90" s="5" t="s">
        <v>41</v>
      </c>
      <c r="F90" s="5" t="e">
        <f>VLOOKUP(B90,'Türkkep Jira'!B:F,5,0)</f>
        <v>#N/A</v>
      </c>
      <c r="G90" t="str">
        <f>IF(IFERROR(VLOOKUP(B90,'Devam Eden Sprint'!B:B,1,0),"-")=B90,"Devam Eden Sprint","-")</f>
        <v>-</v>
      </c>
      <c r="H90" t="str">
        <f>IF(IFERROR(VLOOKUP(B90,'Gelecek Sprint'!B:B,1,0),"-")=B90,"Gelecek Sprint","-")</f>
        <v>-</v>
      </c>
      <c r="I90" t="str">
        <f t="shared" si="7"/>
        <v>Ürün İş Listesi</v>
      </c>
      <c r="J90" s="5">
        <v>2</v>
      </c>
    </row>
    <row r="91" spans="1:10" x14ac:dyDescent="0.25">
      <c r="A91" t="s">
        <v>14</v>
      </c>
      <c r="B91" t="s">
        <v>226</v>
      </c>
      <c r="C91" t="s">
        <v>16</v>
      </c>
      <c r="D91" t="s">
        <v>227</v>
      </c>
      <c r="E91" s="5" t="s">
        <v>41</v>
      </c>
      <c r="F91" s="5" t="e">
        <f>VLOOKUP(B91,'Türkkep Jira'!B:F,5,0)</f>
        <v>#N/A</v>
      </c>
      <c r="G91" t="str">
        <f>IF(IFERROR(VLOOKUP(B91,'Devam Eden Sprint'!B:B,1,0),"-")=B91,"Devam Eden Sprint","-")</f>
        <v>-</v>
      </c>
      <c r="H91" t="str">
        <f>IF(IFERROR(VLOOKUP(B91,'Gelecek Sprint'!B:B,1,0),"-")=B91,"Gelecek Sprint","-")</f>
        <v>-</v>
      </c>
      <c r="I91" t="str">
        <f t="shared" si="7"/>
        <v>Ürün İş Listesi</v>
      </c>
      <c r="J91" s="5">
        <v>2</v>
      </c>
    </row>
    <row r="92" spans="1:10" x14ac:dyDescent="0.25">
      <c r="A92" t="s">
        <v>14</v>
      </c>
      <c r="B92" t="s">
        <v>228</v>
      </c>
      <c r="C92" t="s">
        <v>16</v>
      </c>
      <c r="D92" t="s">
        <v>229</v>
      </c>
      <c r="E92" s="5" t="s">
        <v>41</v>
      </c>
      <c r="F92" s="5" t="e">
        <f>VLOOKUP(B92,'Türkkep Jira'!B:F,5,0)</f>
        <v>#N/A</v>
      </c>
      <c r="G92" t="str">
        <f>IF(IFERROR(VLOOKUP(B92,'Devam Eden Sprint'!B:B,1,0),"-")=B92,"Devam Eden Sprint","-")</f>
        <v>-</v>
      </c>
      <c r="H92" t="str">
        <f>IF(IFERROR(VLOOKUP(B92,'Gelecek Sprint'!B:B,1,0),"-")=B92,"Gelecek Sprint","-")</f>
        <v>-</v>
      </c>
      <c r="I92" t="str">
        <f t="shared" si="7"/>
        <v>Ürün İş Listesi</v>
      </c>
      <c r="J92" s="5">
        <v>1</v>
      </c>
    </row>
    <row r="93" spans="1:10" x14ac:dyDescent="0.25">
      <c r="A93" t="s">
        <v>14</v>
      </c>
      <c r="B93" t="s">
        <v>230</v>
      </c>
      <c r="C93" t="s">
        <v>16</v>
      </c>
      <c r="D93" t="s">
        <v>231</v>
      </c>
      <c r="E93" s="5" t="s">
        <v>41</v>
      </c>
      <c r="F93" s="5" t="e">
        <f>VLOOKUP(B93,'Türkkep Jira'!B:F,5,0)</f>
        <v>#N/A</v>
      </c>
      <c r="G93" t="str">
        <f>IF(IFERROR(VLOOKUP(B93,'Devam Eden Sprint'!B:B,1,0),"-")=B93,"Devam Eden Sprint","-")</f>
        <v>-</v>
      </c>
      <c r="H93" t="str">
        <f>IF(IFERROR(VLOOKUP(B93,'Gelecek Sprint'!B:B,1,0),"-")=B93,"Gelecek Sprint","-")</f>
        <v>-</v>
      </c>
      <c r="I93" t="str">
        <f t="shared" si="7"/>
        <v>Ürün İş Listesi</v>
      </c>
      <c r="J93" s="5">
        <v>3</v>
      </c>
    </row>
    <row r="94" spans="1:10" x14ac:dyDescent="0.25">
      <c r="A94" t="s">
        <v>232</v>
      </c>
      <c r="B94" t="s">
        <v>233</v>
      </c>
      <c r="C94" t="s">
        <v>16</v>
      </c>
      <c r="D94" t="s">
        <v>234</v>
      </c>
      <c r="E94" s="5" t="s">
        <v>41</v>
      </c>
      <c r="F94" s="5" t="e">
        <f>VLOOKUP(B94,'Türkkep Jira'!B:F,5,0)</f>
        <v>#N/A</v>
      </c>
      <c r="G94" t="str">
        <f>IF(IFERROR(VLOOKUP(B94,'Devam Eden Sprint'!B:B,1,0),"-")=B94,"Devam Eden Sprint","-")</f>
        <v>-</v>
      </c>
      <c r="H94" t="str">
        <f>IF(IFERROR(VLOOKUP(B94,'Gelecek Sprint'!B:B,1,0),"-")=B94,"Gelecek Sprint","-")</f>
        <v>-</v>
      </c>
      <c r="I94" t="str">
        <f t="shared" si="7"/>
        <v>Ürün İş Listesi</v>
      </c>
      <c r="J94" s="5">
        <v>1</v>
      </c>
    </row>
    <row r="95" spans="1:10" x14ac:dyDescent="0.25">
      <c r="A95" t="s">
        <v>77</v>
      </c>
      <c r="B95" t="s">
        <v>235</v>
      </c>
      <c r="C95" t="s">
        <v>16</v>
      </c>
      <c r="D95" t="s">
        <v>236</v>
      </c>
      <c r="E95" s="5" t="s">
        <v>41</v>
      </c>
      <c r="F95" s="5" t="e">
        <f>VLOOKUP(B95,'Türkkep Jira'!B:F,5,0)</f>
        <v>#N/A</v>
      </c>
      <c r="G95" t="str">
        <f>IF(IFERROR(VLOOKUP(B95,'Devam Eden Sprint'!B:B,1,0),"-")=B95,"Devam Eden Sprint","-")</f>
        <v>-</v>
      </c>
      <c r="H95" t="str">
        <f>IF(IFERROR(VLOOKUP(B95,'Gelecek Sprint'!B:B,1,0),"-")=B95,"Gelecek Sprint","-")</f>
        <v>-</v>
      </c>
      <c r="I95" t="str">
        <f t="shared" si="7"/>
        <v>Ürün İş Listesi</v>
      </c>
      <c r="J95" s="5">
        <v>2</v>
      </c>
    </row>
    <row r="96" spans="1:10" x14ac:dyDescent="0.25">
      <c r="A96" t="s">
        <v>14</v>
      </c>
      <c r="B96" t="s">
        <v>237</v>
      </c>
      <c r="C96" t="s">
        <v>16</v>
      </c>
      <c r="D96" t="s">
        <v>238</v>
      </c>
      <c r="E96" s="5" t="s">
        <v>41</v>
      </c>
      <c r="F96" s="5" t="e">
        <f>VLOOKUP(B96,'Türkkep Jira'!B:F,5,0)</f>
        <v>#N/A</v>
      </c>
      <c r="G96" t="str">
        <f>IF(IFERROR(VLOOKUP(B96,'Devam Eden Sprint'!B:B,1,0),"-")=B96,"Devam Eden Sprint","-")</f>
        <v>-</v>
      </c>
      <c r="H96" t="str">
        <f>IF(IFERROR(VLOOKUP(B96,'Gelecek Sprint'!B:B,1,0),"-")=B96,"Gelecek Sprint","-")</f>
        <v>-</v>
      </c>
      <c r="I96" t="str">
        <f t="shared" si="7"/>
        <v>Ürün İş Listesi</v>
      </c>
      <c r="J96" s="5">
        <v>1</v>
      </c>
    </row>
    <row r="97" spans="1:10" x14ac:dyDescent="0.25">
      <c r="A97" t="s">
        <v>77</v>
      </c>
      <c r="B97" t="s">
        <v>239</v>
      </c>
      <c r="C97" t="s">
        <v>16</v>
      </c>
      <c r="D97" t="s">
        <v>240</v>
      </c>
      <c r="E97" s="5" t="s">
        <v>41</v>
      </c>
      <c r="F97" s="5" t="e">
        <f>VLOOKUP(B97,'Türkkep Jira'!B:F,5,0)</f>
        <v>#N/A</v>
      </c>
      <c r="G97" t="str">
        <f>IF(IFERROR(VLOOKUP(B97,'Devam Eden Sprint'!B:B,1,0),"-")=B97,"Devam Eden Sprint","-")</f>
        <v>-</v>
      </c>
      <c r="H97" t="str">
        <f>IF(IFERROR(VLOOKUP(B97,'Gelecek Sprint'!B:B,1,0),"-")=B97,"Gelecek Sprint","-")</f>
        <v>-</v>
      </c>
      <c r="I97" t="str">
        <f t="shared" si="7"/>
        <v>Ürün İş Listesi</v>
      </c>
      <c r="J97" s="5">
        <v>1</v>
      </c>
    </row>
    <row r="98" spans="1:10" x14ac:dyDescent="0.25">
      <c r="A98" t="s">
        <v>14</v>
      </c>
      <c r="B98" t="s">
        <v>241</v>
      </c>
      <c r="C98" t="s">
        <v>16</v>
      </c>
      <c r="D98" t="s">
        <v>242</v>
      </c>
      <c r="E98" s="5" t="s">
        <v>41</v>
      </c>
      <c r="F98" s="5" t="e">
        <f>VLOOKUP(B98,'Türkkep Jira'!B:F,5,0)</f>
        <v>#N/A</v>
      </c>
      <c r="G98" t="str">
        <f>IF(IFERROR(VLOOKUP(B98,'Devam Eden Sprint'!B:B,1,0),"-")=B98,"Devam Eden Sprint","-")</f>
        <v>-</v>
      </c>
      <c r="H98" t="str">
        <f>IF(IFERROR(VLOOKUP(B98,'Gelecek Sprint'!B:B,1,0),"-")=B98,"Gelecek Sprint","-")</f>
        <v>-</v>
      </c>
      <c r="I98" t="str">
        <f t="shared" si="7"/>
        <v>Ürün İş Listesi</v>
      </c>
      <c r="J98" s="5">
        <v>1</v>
      </c>
    </row>
    <row r="99" spans="1:10" x14ac:dyDescent="0.25">
      <c r="A99" t="s">
        <v>77</v>
      </c>
      <c r="B99" t="s">
        <v>243</v>
      </c>
      <c r="C99" t="s">
        <v>16</v>
      </c>
      <c r="D99" t="s">
        <v>244</v>
      </c>
      <c r="E99" s="5" t="s">
        <v>41</v>
      </c>
      <c r="F99" s="5" t="e">
        <f>VLOOKUP(B99,'Türkkep Jira'!B:F,5,0)</f>
        <v>#N/A</v>
      </c>
      <c r="G99" t="str">
        <f>IF(IFERROR(VLOOKUP(B99,'Devam Eden Sprint'!B:B,1,0),"-")=B99,"Devam Eden Sprint","-")</f>
        <v>-</v>
      </c>
      <c r="H99" t="str">
        <f>IF(IFERROR(VLOOKUP(B99,'Gelecek Sprint'!B:B,1,0),"-")=B99,"Gelecek Sprint","-")</f>
        <v>-</v>
      </c>
      <c r="I99" t="str">
        <f t="shared" si="7"/>
        <v>Ürün İş Listesi</v>
      </c>
      <c r="J99" s="5">
        <v>1</v>
      </c>
    </row>
    <row r="100" spans="1:10" x14ac:dyDescent="0.25">
      <c r="A100" t="s">
        <v>14</v>
      </c>
      <c r="B100" t="s">
        <v>245</v>
      </c>
      <c r="C100" t="s">
        <v>16</v>
      </c>
      <c r="D100" t="s">
        <v>246</v>
      </c>
      <c r="E100" s="5" t="s">
        <v>41</v>
      </c>
      <c r="F100" s="5" t="e">
        <f>VLOOKUP(B100,'Türkkep Jira'!B:F,5,0)</f>
        <v>#N/A</v>
      </c>
      <c r="G100" t="str">
        <f>IF(IFERROR(VLOOKUP(B100,'Devam Eden Sprint'!B:B,1,0),"-")=B100,"Devam Eden Sprint","-")</f>
        <v>-</v>
      </c>
      <c r="H100" t="str">
        <f>IF(IFERROR(VLOOKUP(B100,'Gelecek Sprint'!B:B,1,0),"-")=B100,"Gelecek Sprint","-")</f>
        <v>-</v>
      </c>
      <c r="I100" t="str">
        <f t="shared" si="7"/>
        <v>Ürün İş Listesi</v>
      </c>
      <c r="J100" s="5">
        <v>3</v>
      </c>
    </row>
    <row r="101" spans="1:10" x14ac:dyDescent="0.25">
      <c r="A101" t="s">
        <v>14</v>
      </c>
      <c r="B101" t="s">
        <v>247</v>
      </c>
      <c r="C101" t="s">
        <v>16</v>
      </c>
      <c r="D101" t="s">
        <v>248</v>
      </c>
      <c r="E101" s="5" t="s">
        <v>41</v>
      </c>
      <c r="F101" s="5" t="e">
        <f>VLOOKUP(B101,'Türkkep Jira'!B:F,5,0)</f>
        <v>#N/A</v>
      </c>
      <c r="G101" t="str">
        <f>IF(IFERROR(VLOOKUP(B101,'Devam Eden Sprint'!B:B,1,0),"-")=B101,"Devam Eden Sprint","-")</f>
        <v>-</v>
      </c>
      <c r="H101" t="str">
        <f>IF(IFERROR(VLOOKUP(B101,'Gelecek Sprint'!B:B,1,0),"-")=B101,"Gelecek Sprint","-")</f>
        <v>-</v>
      </c>
      <c r="I101" t="str">
        <f t="shared" si="7"/>
        <v>Ürün İş Listesi</v>
      </c>
      <c r="J101" s="5">
        <v>2</v>
      </c>
    </row>
    <row r="102" spans="1:10" x14ac:dyDescent="0.25">
      <c r="A102" t="s">
        <v>14</v>
      </c>
      <c r="B102" t="s">
        <v>249</v>
      </c>
      <c r="C102" t="s">
        <v>16</v>
      </c>
      <c r="D102" t="s">
        <v>250</v>
      </c>
      <c r="E102" s="5" t="s">
        <v>41</v>
      </c>
      <c r="F102" s="5" t="e">
        <f>VLOOKUP(B102,'Türkkep Jira'!B:F,5,0)</f>
        <v>#N/A</v>
      </c>
      <c r="G102" t="str">
        <f>IF(IFERROR(VLOOKUP(B102,'Devam Eden Sprint'!B:B,1,0),"-")=B102,"Devam Eden Sprint","-")</f>
        <v>-</v>
      </c>
      <c r="H102" t="str">
        <f>IF(IFERROR(VLOOKUP(B102,'Gelecek Sprint'!B:B,1,0),"-")=B102,"Gelecek Sprint","-")</f>
        <v>-</v>
      </c>
      <c r="I102" t="str">
        <f t="shared" si="7"/>
        <v>Ürün İş Listesi</v>
      </c>
      <c r="J102" s="5">
        <v>3</v>
      </c>
    </row>
    <row r="103" spans="1:10" x14ac:dyDescent="0.25">
      <c r="A103" t="s">
        <v>14</v>
      </c>
      <c r="B103" t="s">
        <v>251</v>
      </c>
      <c r="C103" t="s">
        <v>16</v>
      </c>
      <c r="D103" t="s">
        <v>252</v>
      </c>
      <c r="E103" s="5" t="s">
        <v>41</v>
      </c>
      <c r="F103" s="5" t="e">
        <f>VLOOKUP(B103,'Türkkep Jira'!B:F,5,0)</f>
        <v>#N/A</v>
      </c>
      <c r="G103" t="str">
        <f>IF(IFERROR(VLOOKUP(B103,'Devam Eden Sprint'!B:B,1,0),"-")=B103,"Devam Eden Sprint","-")</f>
        <v>-</v>
      </c>
      <c r="H103" t="str">
        <f>IF(IFERROR(VLOOKUP(B103,'Gelecek Sprint'!B:B,1,0),"-")=B103,"Gelecek Sprint","-")</f>
        <v>-</v>
      </c>
      <c r="I103" t="str">
        <f t="shared" si="7"/>
        <v>Ürün İş Listesi</v>
      </c>
      <c r="J103" s="5">
        <v>3</v>
      </c>
    </row>
    <row r="104" spans="1:10" x14ac:dyDescent="0.25">
      <c r="A104" t="s">
        <v>14</v>
      </c>
      <c r="B104" t="s">
        <v>253</v>
      </c>
      <c r="C104" t="s">
        <v>16</v>
      </c>
      <c r="D104" t="s">
        <v>254</v>
      </c>
      <c r="E104" s="5" t="s">
        <v>44</v>
      </c>
      <c r="F104" s="5" t="e">
        <f>VLOOKUP(B104,'Türkkep Jira'!B:F,5,0)</f>
        <v>#N/A</v>
      </c>
      <c r="G104" t="str">
        <f>IF(IFERROR(VLOOKUP(B104,'Devam Eden Sprint'!B:B,1,0),"-")=B104,"Devam Eden Sprint","-")</f>
        <v>-</v>
      </c>
      <c r="H104" t="str">
        <f>IF(IFERROR(VLOOKUP(B104,'Gelecek Sprint'!B:B,1,0),"-")=B104,"Gelecek Sprint","-")</f>
        <v>-</v>
      </c>
      <c r="I104" t="str">
        <f t="shared" si="7"/>
        <v>Ürün İş Listesi</v>
      </c>
    </row>
    <row r="105" spans="1:10" x14ac:dyDescent="0.25">
      <c r="A105" t="s">
        <v>14</v>
      </c>
      <c r="B105" t="s">
        <v>255</v>
      </c>
      <c r="C105" t="s">
        <v>16</v>
      </c>
      <c r="D105" t="s">
        <v>256</v>
      </c>
      <c r="E105" s="5" t="s">
        <v>44</v>
      </c>
      <c r="F105" s="5" t="e">
        <f>VLOOKUP(B105,'Türkkep Jira'!B:F,5,0)</f>
        <v>#N/A</v>
      </c>
      <c r="G105" t="str">
        <f>IF(IFERROR(VLOOKUP(B105,'Devam Eden Sprint'!B:B,1,0),"-")=B105,"Devam Eden Sprint","-")</f>
        <v>-</v>
      </c>
      <c r="H105" t="str">
        <f>IF(IFERROR(VLOOKUP(B105,'Gelecek Sprint'!B:B,1,0),"-")=B105,"Gelecek Sprint","-")</f>
        <v>-</v>
      </c>
      <c r="I105" t="str">
        <f t="shared" si="7"/>
        <v>Ürün İş Listesi</v>
      </c>
      <c r="J105" s="5">
        <v>5</v>
      </c>
    </row>
    <row r="106" spans="1:10" x14ac:dyDescent="0.25">
      <c r="A106" t="s">
        <v>14</v>
      </c>
      <c r="B106" t="s">
        <v>257</v>
      </c>
      <c r="C106" t="s">
        <v>16</v>
      </c>
      <c r="D106" t="s">
        <v>258</v>
      </c>
      <c r="E106" s="5" t="s">
        <v>44</v>
      </c>
      <c r="F106" s="5" t="e">
        <f>VLOOKUP(B106,'Türkkep Jira'!B:F,5,0)</f>
        <v>#N/A</v>
      </c>
      <c r="G106" t="str">
        <f>IF(IFERROR(VLOOKUP(B106,'Devam Eden Sprint'!B:B,1,0),"-")=B106,"Devam Eden Sprint","-")</f>
        <v>-</v>
      </c>
      <c r="H106" t="str">
        <f>IF(IFERROR(VLOOKUP(B106,'Gelecek Sprint'!B:B,1,0),"-")=B106,"Gelecek Sprint","-")</f>
        <v>-</v>
      </c>
      <c r="I106" t="str">
        <f t="shared" si="7"/>
        <v>Ürün İş Listesi</v>
      </c>
      <c r="J106" s="5">
        <v>3</v>
      </c>
    </row>
    <row r="107" spans="1:10" x14ac:dyDescent="0.25">
      <c r="A107" t="s">
        <v>77</v>
      </c>
      <c r="B107" t="s">
        <v>259</v>
      </c>
      <c r="C107" t="s">
        <v>10</v>
      </c>
      <c r="D107" t="s">
        <v>260</v>
      </c>
      <c r="E107" s="5" t="s">
        <v>44</v>
      </c>
      <c r="F107" s="5" t="e">
        <f>VLOOKUP(B107,'Türkkep Jira'!B:F,5,0)</f>
        <v>#N/A</v>
      </c>
      <c r="G107" t="str">
        <f>IF(IFERROR(VLOOKUP(B107,'Devam Eden Sprint'!B:B,1,0),"-")=B107,"Devam Eden Sprint","-")</f>
        <v>-</v>
      </c>
      <c r="H107" t="str">
        <f>IF(IFERROR(VLOOKUP(B107,'Gelecek Sprint'!B:B,1,0),"-")=B107,"Gelecek Sprint","-")</f>
        <v>-</v>
      </c>
      <c r="I107" t="str">
        <f t="shared" si="7"/>
        <v>Ürün İş Listesi</v>
      </c>
    </row>
    <row r="108" spans="1:10" x14ac:dyDescent="0.25">
      <c r="A108" t="s">
        <v>77</v>
      </c>
      <c r="B108" t="s">
        <v>261</v>
      </c>
      <c r="C108" t="s">
        <v>16</v>
      </c>
      <c r="D108" t="s">
        <v>262</v>
      </c>
      <c r="E108" s="5" t="s">
        <v>44</v>
      </c>
      <c r="F108" s="5" t="e">
        <f>VLOOKUP(B108,'Türkkep Jira'!B:F,5,0)</f>
        <v>#N/A</v>
      </c>
      <c r="G108" t="str">
        <f>IF(IFERROR(VLOOKUP(B108,'Devam Eden Sprint'!B:B,1,0),"-")=B108,"Devam Eden Sprint","-")</f>
        <v>-</v>
      </c>
      <c r="H108" t="str">
        <f>IF(IFERROR(VLOOKUP(B108,'Gelecek Sprint'!B:B,1,0),"-")=B108,"Gelecek Sprint","-")</f>
        <v>-</v>
      </c>
      <c r="I108" t="str">
        <f t="shared" si="7"/>
        <v>Ürün İş Listesi</v>
      </c>
    </row>
    <row r="109" spans="1:10" x14ac:dyDescent="0.25">
      <c r="A109" t="s">
        <v>14</v>
      </c>
      <c r="B109" t="s">
        <v>263</v>
      </c>
      <c r="C109" t="s">
        <v>16</v>
      </c>
      <c r="D109" t="s">
        <v>264</v>
      </c>
      <c r="E109" s="5" t="s">
        <v>44</v>
      </c>
      <c r="F109" s="5" t="e">
        <f>VLOOKUP(B109,'Türkkep Jira'!B:F,5,0)</f>
        <v>#N/A</v>
      </c>
      <c r="G109" t="str">
        <f>IF(IFERROR(VLOOKUP(B109,'Devam Eden Sprint'!B:B,1,0),"-")=B109,"Devam Eden Sprint","-")</f>
        <v>-</v>
      </c>
      <c r="H109" t="str">
        <f>IF(IFERROR(VLOOKUP(B109,'Gelecek Sprint'!B:B,1,0),"-")=B109,"Gelecek Sprint","-")</f>
        <v>-</v>
      </c>
      <c r="I109" t="str">
        <f t="shared" si="7"/>
        <v>Ürün İş Listesi</v>
      </c>
      <c r="J109" s="5">
        <v>5</v>
      </c>
    </row>
    <row r="110" spans="1:10" x14ac:dyDescent="0.25">
      <c r="A110" t="s">
        <v>14</v>
      </c>
      <c r="B110" t="s">
        <v>265</v>
      </c>
      <c r="C110" t="s">
        <v>16</v>
      </c>
      <c r="D110" t="s">
        <v>266</v>
      </c>
      <c r="E110" s="5" t="s">
        <v>44</v>
      </c>
      <c r="F110" s="5" t="e">
        <f>VLOOKUP(B110,'Türkkep Jira'!B:F,5,0)</f>
        <v>#N/A</v>
      </c>
      <c r="G110" t="str">
        <f>IF(IFERROR(VLOOKUP(B110,'Devam Eden Sprint'!B:B,1,0),"-")=B110,"Devam Eden Sprint","-")</f>
        <v>-</v>
      </c>
      <c r="H110" t="str">
        <f>IF(IFERROR(VLOOKUP(B110,'Gelecek Sprint'!B:B,1,0),"-")=B110,"Gelecek Sprint","-")</f>
        <v>-</v>
      </c>
      <c r="I110" t="str">
        <f t="shared" si="7"/>
        <v>Ürün İş Listesi</v>
      </c>
    </row>
    <row r="111" spans="1:10" x14ac:dyDescent="0.25">
      <c r="A111" t="s">
        <v>14</v>
      </c>
      <c r="B111" t="s">
        <v>267</v>
      </c>
      <c r="C111" t="s">
        <v>16</v>
      </c>
      <c r="D111" t="s">
        <v>268</v>
      </c>
      <c r="E111" s="5" t="s">
        <v>44</v>
      </c>
      <c r="F111" s="5" t="e">
        <f>VLOOKUP(B111,'Türkkep Jira'!B:F,5,0)</f>
        <v>#N/A</v>
      </c>
      <c r="G111" t="str">
        <f>IF(IFERROR(VLOOKUP(B111,'Devam Eden Sprint'!B:B,1,0),"-")=B111,"Devam Eden Sprint","-")</f>
        <v>-</v>
      </c>
      <c r="H111" t="str">
        <f>IF(IFERROR(VLOOKUP(B111,'Gelecek Sprint'!B:B,1,0),"-")=B111,"Gelecek Sprint","-")</f>
        <v>-</v>
      </c>
      <c r="I111" t="str">
        <f t="shared" si="7"/>
        <v>Ürün İş Listesi</v>
      </c>
    </row>
    <row r="112" spans="1:10" x14ac:dyDescent="0.25">
      <c r="A112" t="s">
        <v>14</v>
      </c>
      <c r="B112" t="s">
        <v>269</v>
      </c>
      <c r="C112" t="s">
        <v>16</v>
      </c>
      <c r="D112" t="s">
        <v>270</v>
      </c>
      <c r="E112" s="5" t="s">
        <v>44</v>
      </c>
      <c r="F112" s="5" t="e">
        <f>VLOOKUP(B112,'Türkkep Jira'!B:F,5,0)</f>
        <v>#N/A</v>
      </c>
      <c r="G112" t="str">
        <f>IF(IFERROR(VLOOKUP(B112,'Devam Eden Sprint'!B:B,1,0),"-")=B112,"Devam Eden Sprint","-")</f>
        <v>-</v>
      </c>
      <c r="H112" t="str">
        <f>IF(IFERROR(VLOOKUP(B112,'Gelecek Sprint'!B:B,1,0),"-")=B112,"Gelecek Sprint","-")</f>
        <v>-</v>
      </c>
      <c r="I112" t="str">
        <f t="shared" si="7"/>
        <v>Ürün İş Listesi</v>
      </c>
    </row>
    <row r="113" spans="1:10" x14ac:dyDescent="0.25">
      <c r="A113" t="s">
        <v>14</v>
      </c>
      <c r="B113" t="s">
        <v>271</v>
      </c>
      <c r="C113" t="s">
        <v>16</v>
      </c>
      <c r="D113" t="s">
        <v>272</v>
      </c>
      <c r="E113" s="5" t="s">
        <v>44</v>
      </c>
      <c r="F113" s="5" t="e">
        <f>VLOOKUP(B113,'Türkkep Jira'!B:F,5,0)</f>
        <v>#N/A</v>
      </c>
      <c r="G113" t="str">
        <f>IF(IFERROR(VLOOKUP(B113,'Devam Eden Sprint'!B:B,1,0),"-")=B113,"Devam Eden Sprint","-")</f>
        <v>-</v>
      </c>
      <c r="H113" t="str">
        <f>IF(IFERROR(VLOOKUP(B113,'Gelecek Sprint'!B:B,1,0),"-")=B113,"Gelecek Sprint","-")</f>
        <v>-</v>
      </c>
      <c r="I113" t="str">
        <f t="shared" si="7"/>
        <v>Ürün İş Listesi</v>
      </c>
      <c r="J113" s="5">
        <v>3</v>
      </c>
    </row>
    <row r="114" spans="1:10" x14ac:dyDescent="0.25">
      <c r="A114" t="s">
        <v>14</v>
      </c>
      <c r="B114" t="s">
        <v>273</v>
      </c>
      <c r="C114" t="s">
        <v>10</v>
      </c>
      <c r="D114" t="s">
        <v>274</v>
      </c>
      <c r="E114" s="5" t="s">
        <v>44</v>
      </c>
      <c r="F114" s="5" t="e">
        <f>VLOOKUP(B114,'Türkkep Jira'!B:F,5,0)</f>
        <v>#N/A</v>
      </c>
      <c r="G114" t="str">
        <f>IF(IFERROR(VLOOKUP(B114,'Devam Eden Sprint'!B:B,1,0),"-")=B114,"Devam Eden Sprint","-")</f>
        <v>-</v>
      </c>
      <c r="H114" t="str">
        <f>IF(IFERROR(VLOOKUP(B114,'Gelecek Sprint'!B:B,1,0),"-")=B114,"Gelecek Sprint","-")</f>
        <v>-</v>
      </c>
      <c r="I114" t="str">
        <f t="shared" si="7"/>
        <v>Ürün İş Listesi</v>
      </c>
    </row>
    <row r="115" spans="1:10" x14ac:dyDescent="0.25">
      <c r="A115" t="s">
        <v>14</v>
      </c>
      <c r="B115" t="s">
        <v>275</v>
      </c>
      <c r="C115" t="s">
        <v>16</v>
      </c>
      <c r="D115" t="s">
        <v>276</v>
      </c>
      <c r="E115" s="5" t="s">
        <v>44</v>
      </c>
      <c r="F115" s="5" t="e">
        <f>VLOOKUP(B115,'Türkkep Jira'!B:F,5,0)</f>
        <v>#N/A</v>
      </c>
      <c r="G115" t="str">
        <f>IF(IFERROR(VLOOKUP(B115,'Devam Eden Sprint'!B:B,1,0),"-")=B115,"Devam Eden Sprint","-")</f>
        <v>-</v>
      </c>
      <c r="H115" t="str">
        <f>IF(IFERROR(VLOOKUP(B115,'Gelecek Sprint'!B:B,1,0),"-")=B115,"Gelecek Sprint","-")</f>
        <v>-</v>
      </c>
      <c r="I115" t="str">
        <f t="shared" si="7"/>
        <v>Ürün İş Listesi</v>
      </c>
      <c r="J115" s="5">
        <v>3</v>
      </c>
    </row>
    <row r="116" spans="1:10" x14ac:dyDescent="0.25">
      <c r="A116" t="s">
        <v>14</v>
      </c>
      <c r="B116" t="s">
        <v>277</v>
      </c>
      <c r="C116" t="s">
        <v>16</v>
      </c>
      <c r="D116" t="s">
        <v>278</v>
      </c>
      <c r="E116" s="5" t="s">
        <v>44</v>
      </c>
      <c r="F116" s="5" t="e">
        <f>VLOOKUP(B116,'Türkkep Jira'!B:F,5,0)</f>
        <v>#N/A</v>
      </c>
      <c r="G116" t="str">
        <f>IF(IFERROR(VLOOKUP(B116,'Devam Eden Sprint'!B:B,1,0),"-")=B116,"Devam Eden Sprint","-")</f>
        <v>-</v>
      </c>
      <c r="H116" t="str">
        <f>IF(IFERROR(VLOOKUP(B116,'Gelecek Sprint'!B:B,1,0),"-")=B116,"Gelecek Sprint","-")</f>
        <v>-</v>
      </c>
      <c r="I116" t="str">
        <f t="shared" si="7"/>
        <v>Ürün İş Listesi</v>
      </c>
      <c r="J116" s="5">
        <v>3</v>
      </c>
    </row>
    <row r="117" spans="1:10" x14ac:dyDescent="0.25">
      <c r="A117" t="s">
        <v>14</v>
      </c>
      <c r="B117" t="s">
        <v>279</v>
      </c>
      <c r="C117" t="s">
        <v>16</v>
      </c>
      <c r="D117" t="s">
        <v>280</v>
      </c>
      <c r="E117" s="5" t="s">
        <v>44</v>
      </c>
      <c r="F117" s="5" t="e">
        <f>VLOOKUP(B117,'Türkkep Jira'!B:F,5,0)</f>
        <v>#N/A</v>
      </c>
      <c r="G117" t="str">
        <f>IF(IFERROR(VLOOKUP(B117,'Devam Eden Sprint'!B:B,1,0),"-")=B117,"Devam Eden Sprint","-")</f>
        <v>-</v>
      </c>
      <c r="H117" t="str">
        <f>IF(IFERROR(VLOOKUP(B117,'Gelecek Sprint'!B:B,1,0),"-")=B117,"Gelecek Sprint","-")</f>
        <v>-</v>
      </c>
      <c r="I117" t="str">
        <f t="shared" si="7"/>
        <v>Ürün İş Listesi</v>
      </c>
      <c r="J117" s="5">
        <v>3</v>
      </c>
    </row>
    <row r="118" spans="1:10" x14ac:dyDescent="0.25">
      <c r="A118" t="s">
        <v>77</v>
      </c>
      <c r="B118" t="s">
        <v>281</v>
      </c>
      <c r="C118" t="s">
        <v>16</v>
      </c>
      <c r="D118" t="s">
        <v>282</v>
      </c>
      <c r="E118" s="5" t="s">
        <v>44</v>
      </c>
      <c r="F118" s="5" t="e">
        <f>VLOOKUP(B118,'Türkkep Jira'!B:F,5,0)</f>
        <v>#N/A</v>
      </c>
      <c r="G118" t="str">
        <f>IF(IFERROR(VLOOKUP(B118,'Devam Eden Sprint'!B:B,1,0),"-")=B118,"Devam Eden Sprint","-")</f>
        <v>-</v>
      </c>
      <c r="H118" t="str">
        <f>IF(IFERROR(VLOOKUP(B118,'Gelecek Sprint'!B:B,1,0),"-")=B118,"Gelecek Sprint","-")</f>
        <v>-</v>
      </c>
      <c r="I118" t="str">
        <f t="shared" si="7"/>
        <v>Ürün İş Listesi</v>
      </c>
      <c r="J118" s="5">
        <v>3</v>
      </c>
    </row>
    <row r="119" spans="1:10" x14ac:dyDescent="0.25">
      <c r="A119" t="s">
        <v>14</v>
      </c>
      <c r="B119" t="s">
        <v>283</v>
      </c>
      <c r="C119" t="s">
        <v>16</v>
      </c>
      <c r="D119" t="s">
        <v>284</v>
      </c>
      <c r="E119" s="5" t="s">
        <v>44</v>
      </c>
      <c r="F119" s="5" t="e">
        <f>VLOOKUP(B119,'Türkkep Jira'!B:F,5,0)</f>
        <v>#N/A</v>
      </c>
      <c r="G119" t="str">
        <f>IF(IFERROR(VLOOKUP(B119,'Devam Eden Sprint'!B:B,1,0),"-")=B119,"Devam Eden Sprint","-")</f>
        <v>-</v>
      </c>
      <c r="H119" t="str">
        <f>IF(IFERROR(VLOOKUP(B119,'Gelecek Sprint'!B:B,1,0),"-")=B119,"Gelecek Sprint","-")</f>
        <v>-</v>
      </c>
      <c r="I119" t="str">
        <f t="shared" si="7"/>
        <v>Ürün İş Listesi</v>
      </c>
    </row>
    <row r="120" spans="1:10" x14ac:dyDescent="0.25">
      <c r="A120" t="s">
        <v>14</v>
      </c>
      <c r="B120" t="s">
        <v>285</v>
      </c>
      <c r="C120" t="s">
        <v>16</v>
      </c>
      <c r="D120" t="s">
        <v>286</v>
      </c>
      <c r="E120" s="5" t="s">
        <v>44</v>
      </c>
      <c r="F120" s="5" t="e">
        <f>VLOOKUP(B120,'Türkkep Jira'!B:F,5,0)</f>
        <v>#N/A</v>
      </c>
      <c r="G120" t="str">
        <f>IF(IFERROR(VLOOKUP(B120,'Devam Eden Sprint'!B:B,1,0),"-")=B120,"Devam Eden Sprint","-")</f>
        <v>-</v>
      </c>
      <c r="H120" t="str">
        <f>IF(IFERROR(VLOOKUP(B120,'Gelecek Sprint'!B:B,1,0),"-")=B120,"Gelecek Sprint","-")</f>
        <v>-</v>
      </c>
      <c r="I120" t="str">
        <f t="shared" si="7"/>
        <v>Ürün İş Listesi</v>
      </c>
    </row>
    <row r="121" spans="1:10" x14ac:dyDescent="0.25">
      <c r="A121" t="s">
        <v>77</v>
      </c>
      <c r="B121" t="s">
        <v>287</v>
      </c>
      <c r="C121" t="s">
        <v>16</v>
      </c>
      <c r="D121" t="s">
        <v>288</v>
      </c>
      <c r="E121" s="5" t="s">
        <v>44</v>
      </c>
      <c r="F121" s="5" t="e">
        <f>VLOOKUP(B121,'Türkkep Jira'!B:F,5,0)</f>
        <v>#N/A</v>
      </c>
      <c r="G121" t="str">
        <f>IF(IFERROR(VLOOKUP(B121,'Devam Eden Sprint'!B:B,1,0),"-")=B121,"Devam Eden Sprint","-")</f>
        <v>-</v>
      </c>
      <c r="H121" t="str">
        <f>IF(IFERROR(VLOOKUP(B121,'Gelecek Sprint'!B:B,1,0),"-")=B121,"Gelecek Sprint","-")</f>
        <v>-</v>
      </c>
      <c r="I121" t="str">
        <f t="shared" si="7"/>
        <v>Ürün İş Listesi</v>
      </c>
      <c r="J121" s="5">
        <v>3</v>
      </c>
    </row>
    <row r="122" spans="1:10" x14ac:dyDescent="0.25">
      <c r="A122" t="s">
        <v>14</v>
      </c>
      <c r="B122" t="s">
        <v>289</v>
      </c>
      <c r="C122" t="s">
        <v>16</v>
      </c>
      <c r="D122" t="s">
        <v>290</v>
      </c>
      <c r="E122" s="5" t="s">
        <v>44</v>
      </c>
      <c r="F122" s="5" t="e">
        <f>VLOOKUP(B122,'Türkkep Jira'!B:F,5,0)</f>
        <v>#N/A</v>
      </c>
      <c r="G122" t="str">
        <f>IF(IFERROR(VLOOKUP(B122,'Devam Eden Sprint'!B:B,1,0),"-")=B122,"Devam Eden Sprint","-")</f>
        <v>-</v>
      </c>
      <c r="H122" t="str">
        <f>IF(IFERROR(VLOOKUP(B122,'Gelecek Sprint'!B:B,1,0),"-")=B122,"Gelecek Sprint","-")</f>
        <v>-</v>
      </c>
      <c r="I122" t="str">
        <f t="shared" si="7"/>
        <v>Ürün İş Listesi</v>
      </c>
      <c r="J122" s="5">
        <v>5</v>
      </c>
    </row>
    <row r="123" spans="1:10" x14ac:dyDescent="0.25">
      <c r="A123" t="s">
        <v>77</v>
      </c>
      <c r="B123" t="s">
        <v>291</v>
      </c>
      <c r="C123" t="s">
        <v>16</v>
      </c>
      <c r="D123" t="s">
        <v>292</v>
      </c>
      <c r="E123" s="5" t="s">
        <v>44</v>
      </c>
      <c r="F123" s="5" t="e">
        <f>VLOOKUP(B123,'Türkkep Jira'!B:F,5,0)</f>
        <v>#N/A</v>
      </c>
      <c r="G123" t="str">
        <f>IF(IFERROR(VLOOKUP(B123,'Devam Eden Sprint'!B:B,1,0),"-")=B123,"Devam Eden Sprint","-")</f>
        <v>-</v>
      </c>
      <c r="H123" t="str">
        <f>IF(IFERROR(VLOOKUP(B123,'Gelecek Sprint'!B:B,1,0),"-")=B123,"Gelecek Sprint","-")</f>
        <v>-</v>
      </c>
      <c r="I123" t="str">
        <f t="shared" si="7"/>
        <v>Ürün İş Listesi</v>
      </c>
      <c r="J123" s="5">
        <v>3</v>
      </c>
    </row>
    <row r="124" spans="1:10" x14ac:dyDescent="0.25">
      <c r="A124" t="s">
        <v>77</v>
      </c>
      <c r="B124" t="s">
        <v>293</v>
      </c>
      <c r="C124" t="s">
        <v>16</v>
      </c>
      <c r="D124" t="s">
        <v>294</v>
      </c>
      <c r="E124" s="5" t="s">
        <v>44</v>
      </c>
      <c r="F124" s="5" t="e">
        <f>VLOOKUP(B124,'Türkkep Jira'!B:F,5,0)</f>
        <v>#N/A</v>
      </c>
      <c r="G124" t="str">
        <f>IF(IFERROR(VLOOKUP(B124,'Devam Eden Sprint'!B:B,1,0),"-")=B124,"Devam Eden Sprint","-")</f>
        <v>-</v>
      </c>
      <c r="H124" t="str">
        <f>IF(IFERROR(VLOOKUP(B124,'Gelecek Sprint'!B:B,1,0),"-")=B124,"Gelecek Sprint","-")</f>
        <v>-</v>
      </c>
      <c r="I124" t="str">
        <f t="shared" si="7"/>
        <v>Ürün İş Listesi</v>
      </c>
      <c r="J124" s="5">
        <v>3</v>
      </c>
    </row>
    <row r="125" spans="1:10" x14ac:dyDescent="0.25">
      <c r="A125" t="s">
        <v>77</v>
      </c>
      <c r="B125" t="s">
        <v>295</v>
      </c>
      <c r="C125" t="s">
        <v>26</v>
      </c>
      <c r="D125" t="s">
        <v>296</v>
      </c>
      <c r="E125" s="5" t="s">
        <v>44</v>
      </c>
      <c r="F125" s="5" t="e">
        <f>VLOOKUP(B125,'Türkkep Jira'!B:F,5,0)</f>
        <v>#N/A</v>
      </c>
      <c r="G125" t="str">
        <f>IF(IFERROR(VLOOKUP(B125,'Devam Eden Sprint'!B:B,1,0),"-")=B125,"Devam Eden Sprint","-")</f>
        <v>-</v>
      </c>
      <c r="H125" t="str">
        <f>IF(IFERROR(VLOOKUP(B125,'Gelecek Sprint'!B:B,1,0),"-")=B125,"Gelecek Sprint","-")</f>
        <v>-</v>
      </c>
      <c r="I125" t="str">
        <f t="shared" si="7"/>
        <v>Ürün İş Listesi</v>
      </c>
      <c r="J125" s="5">
        <v>3</v>
      </c>
    </row>
    <row r="126" spans="1:10" x14ac:dyDescent="0.25">
      <c r="A126" t="s">
        <v>77</v>
      </c>
      <c r="B126" t="s">
        <v>297</v>
      </c>
      <c r="C126" t="s">
        <v>16</v>
      </c>
      <c r="D126" t="s">
        <v>298</v>
      </c>
      <c r="E126" s="5" t="s">
        <v>44</v>
      </c>
      <c r="F126" s="5" t="e">
        <f>VLOOKUP(B126,'Türkkep Jira'!B:F,5,0)</f>
        <v>#N/A</v>
      </c>
      <c r="G126" t="str">
        <f>IF(IFERROR(VLOOKUP(B126,'Devam Eden Sprint'!B:B,1,0),"-")=B126,"Devam Eden Sprint","-")</f>
        <v>-</v>
      </c>
      <c r="H126" t="str">
        <f>IF(IFERROR(VLOOKUP(B126,'Gelecek Sprint'!B:B,1,0),"-")=B126,"Gelecek Sprint","-")</f>
        <v>-</v>
      </c>
      <c r="I126" t="str">
        <f t="shared" si="7"/>
        <v>Ürün İş Listesi</v>
      </c>
      <c r="J126" s="5">
        <v>2</v>
      </c>
    </row>
    <row r="127" spans="1:10" x14ac:dyDescent="0.25">
      <c r="A127" t="s">
        <v>14</v>
      </c>
      <c r="B127" t="s">
        <v>299</v>
      </c>
      <c r="C127" t="s">
        <v>16</v>
      </c>
      <c r="D127" t="s">
        <v>300</v>
      </c>
      <c r="E127" s="5" t="s">
        <v>44</v>
      </c>
      <c r="F127" s="5" t="e">
        <f>VLOOKUP(B127,'Türkkep Jira'!B:F,5,0)</f>
        <v>#N/A</v>
      </c>
      <c r="G127" t="str">
        <f>IF(IFERROR(VLOOKUP(B127,'Devam Eden Sprint'!B:B,1,0),"-")=B127,"Devam Eden Sprint","-")</f>
        <v>-</v>
      </c>
      <c r="H127" t="str">
        <f>IF(IFERROR(VLOOKUP(B127,'Gelecek Sprint'!B:B,1,0),"-")=B127,"Gelecek Sprint","-")</f>
        <v>-</v>
      </c>
      <c r="I127" t="str">
        <f t="shared" si="7"/>
        <v>Ürün İş Listesi</v>
      </c>
      <c r="J127" s="5">
        <v>3</v>
      </c>
    </row>
    <row r="128" spans="1:10" x14ac:dyDescent="0.25">
      <c r="A128" t="s">
        <v>14</v>
      </c>
      <c r="B128" t="s">
        <v>301</v>
      </c>
      <c r="C128" t="s">
        <v>16</v>
      </c>
      <c r="D128" t="s">
        <v>302</v>
      </c>
      <c r="E128" s="5" t="s">
        <v>44</v>
      </c>
      <c r="F128" s="5" t="e">
        <f>VLOOKUP(B128,'Türkkep Jira'!B:F,5,0)</f>
        <v>#N/A</v>
      </c>
      <c r="G128" t="str">
        <f>IF(IFERROR(VLOOKUP(B128,'Devam Eden Sprint'!B:B,1,0),"-")=B128,"Devam Eden Sprint","-")</f>
        <v>-</v>
      </c>
      <c r="H128" t="str">
        <f>IF(IFERROR(VLOOKUP(B128,'Gelecek Sprint'!B:B,1,0),"-")=B128,"Gelecek Sprint","-")</f>
        <v>-</v>
      </c>
      <c r="I128" t="str">
        <f t="shared" si="7"/>
        <v>Ürün İş Listesi</v>
      </c>
      <c r="J128" s="5">
        <v>5</v>
      </c>
    </row>
    <row r="129" spans="1:10" x14ac:dyDescent="0.25">
      <c r="A129" t="s">
        <v>77</v>
      </c>
      <c r="B129" t="s">
        <v>303</v>
      </c>
      <c r="C129" t="s">
        <v>16</v>
      </c>
      <c r="D129" t="s">
        <v>304</v>
      </c>
      <c r="E129" s="5" t="s">
        <v>44</v>
      </c>
      <c r="F129" s="5" t="e">
        <f>VLOOKUP(B129,'Türkkep Jira'!B:F,5,0)</f>
        <v>#N/A</v>
      </c>
      <c r="G129" t="str">
        <f>IF(IFERROR(VLOOKUP(B129,'Devam Eden Sprint'!B:B,1,0),"-")=B129,"Devam Eden Sprint","-")</f>
        <v>-</v>
      </c>
      <c r="H129" t="str">
        <f>IF(IFERROR(VLOOKUP(B129,'Gelecek Sprint'!B:B,1,0),"-")=B129,"Gelecek Sprint","-")</f>
        <v>-</v>
      </c>
      <c r="I129" t="str">
        <f t="shared" si="7"/>
        <v>Ürün İş Listesi</v>
      </c>
      <c r="J129" s="5">
        <v>3</v>
      </c>
    </row>
    <row r="130" spans="1:10" x14ac:dyDescent="0.25">
      <c r="A130" t="s">
        <v>14</v>
      </c>
      <c r="B130" t="s">
        <v>305</v>
      </c>
      <c r="C130" t="s">
        <v>10</v>
      </c>
      <c r="D130" t="s">
        <v>306</v>
      </c>
      <c r="E130" s="5" t="s">
        <v>50</v>
      </c>
      <c r="F130" s="5" t="e">
        <f>VLOOKUP(B130,'Türkkep Jira'!B:F,5,0)</f>
        <v>#N/A</v>
      </c>
      <c r="G130" t="str">
        <f>IF(IFERROR(VLOOKUP(B130,'Devam Eden Sprint'!B:B,1,0),"-")=B130,"Devam Eden Sprint","-")</f>
        <v>-</v>
      </c>
      <c r="H130" t="str">
        <f>IF(IFERROR(VLOOKUP(B130,'Gelecek Sprint'!B:B,1,0),"-")=B130,"Gelecek Sprint","-")</f>
        <v>-</v>
      </c>
      <c r="I130" t="str">
        <f t="shared" ref="I130:I193" si="8">IFERROR(IF(AND(G130="Devam Eden Sprint",H130="Gelecek Sprint"),"Devam Eden ve Gelecek Sprint",IF(G130="Devam Eden Sprint","Devam Eden Sprint",IF(H130="Gelecek Sprint","Gelecek Sprint","Ürün İş Listesi"))),"Ürün İş Listesi")</f>
        <v>Ürün İş Listesi</v>
      </c>
    </row>
    <row r="131" spans="1:10" x14ac:dyDescent="0.25">
      <c r="A131" t="s">
        <v>14</v>
      </c>
      <c r="B131" t="s">
        <v>307</v>
      </c>
      <c r="C131" t="s">
        <v>16</v>
      </c>
      <c r="D131" t="s">
        <v>308</v>
      </c>
      <c r="E131" s="5" t="s">
        <v>50</v>
      </c>
      <c r="F131" s="5" t="e">
        <f>VLOOKUP(B131,'Türkkep Jira'!B:F,5,0)</f>
        <v>#N/A</v>
      </c>
      <c r="G131" t="str">
        <f>IF(IFERROR(VLOOKUP(B131,'Devam Eden Sprint'!B:B,1,0),"-")=B131,"Devam Eden Sprint","-")</f>
        <v>-</v>
      </c>
      <c r="H131" t="str">
        <f>IF(IFERROR(VLOOKUP(B131,'Gelecek Sprint'!B:B,1,0),"-")=B131,"Gelecek Sprint","-")</f>
        <v>-</v>
      </c>
      <c r="I131" t="str">
        <f t="shared" si="8"/>
        <v>Ürün İş Listesi</v>
      </c>
    </row>
    <row r="132" spans="1:10" x14ac:dyDescent="0.25">
      <c r="A132" t="s">
        <v>14</v>
      </c>
      <c r="B132" t="s">
        <v>309</v>
      </c>
      <c r="C132" t="s">
        <v>16</v>
      </c>
      <c r="D132" t="s">
        <v>310</v>
      </c>
      <c r="E132" s="5" t="s">
        <v>50</v>
      </c>
      <c r="F132" s="5" t="e">
        <f>VLOOKUP(B132,'Türkkep Jira'!B:F,5,0)</f>
        <v>#N/A</v>
      </c>
      <c r="G132" t="str">
        <f>IF(IFERROR(VLOOKUP(B132,'Devam Eden Sprint'!B:B,1,0),"-")=B132,"Devam Eden Sprint","-")</f>
        <v>-</v>
      </c>
      <c r="H132" t="str">
        <f>IF(IFERROR(VLOOKUP(B132,'Gelecek Sprint'!B:B,1,0),"-")=B132,"Gelecek Sprint","-")</f>
        <v>-</v>
      </c>
      <c r="I132" t="str">
        <f t="shared" si="8"/>
        <v>Ürün İş Listesi</v>
      </c>
    </row>
    <row r="133" spans="1:10" x14ac:dyDescent="0.25">
      <c r="A133" t="s">
        <v>14</v>
      </c>
      <c r="B133" t="s">
        <v>311</v>
      </c>
      <c r="C133" t="s">
        <v>16</v>
      </c>
      <c r="D133" t="s">
        <v>312</v>
      </c>
      <c r="E133" s="5" t="s">
        <v>50</v>
      </c>
      <c r="F133" s="5" t="e">
        <f>VLOOKUP(B133,'Türkkep Jira'!B:F,5,0)</f>
        <v>#N/A</v>
      </c>
      <c r="G133" t="str">
        <f>IF(IFERROR(VLOOKUP(B133,'Devam Eden Sprint'!B:B,1,0),"-")=B133,"Devam Eden Sprint","-")</f>
        <v>-</v>
      </c>
      <c r="H133" t="str">
        <f>IF(IFERROR(VLOOKUP(B133,'Gelecek Sprint'!B:B,1,0),"-")=B133,"Gelecek Sprint","-")</f>
        <v>-</v>
      </c>
      <c r="I133" t="str">
        <f t="shared" si="8"/>
        <v>Ürün İş Listesi</v>
      </c>
    </row>
    <row r="134" spans="1:10" x14ac:dyDescent="0.25">
      <c r="A134" t="s">
        <v>14</v>
      </c>
      <c r="B134" t="s">
        <v>313</v>
      </c>
      <c r="C134" t="s">
        <v>16</v>
      </c>
      <c r="D134" t="s">
        <v>314</v>
      </c>
      <c r="E134" s="5" t="s">
        <v>50</v>
      </c>
      <c r="F134" s="5" t="e">
        <f>VLOOKUP(B134,'Türkkep Jira'!B:F,5,0)</f>
        <v>#N/A</v>
      </c>
      <c r="G134" t="str">
        <f>IF(IFERROR(VLOOKUP(B134,'Devam Eden Sprint'!B:B,1,0),"-")=B134,"Devam Eden Sprint","-")</f>
        <v>-</v>
      </c>
      <c r="H134" t="str">
        <f>IF(IFERROR(VLOOKUP(B134,'Gelecek Sprint'!B:B,1,0),"-")=B134,"Gelecek Sprint","-")</f>
        <v>-</v>
      </c>
      <c r="I134" t="str">
        <f t="shared" si="8"/>
        <v>Ürün İş Listesi</v>
      </c>
    </row>
    <row r="135" spans="1:10" x14ac:dyDescent="0.25">
      <c r="A135" t="s">
        <v>14</v>
      </c>
      <c r="B135" t="s">
        <v>315</v>
      </c>
      <c r="C135" t="s">
        <v>16</v>
      </c>
      <c r="D135" t="s">
        <v>316</v>
      </c>
      <c r="E135" s="5" t="s">
        <v>50</v>
      </c>
      <c r="F135" s="5" t="e">
        <f>VLOOKUP(B135,'Türkkep Jira'!B:F,5,0)</f>
        <v>#N/A</v>
      </c>
      <c r="G135" t="str">
        <f>IF(IFERROR(VLOOKUP(B135,'Devam Eden Sprint'!B:B,1,0),"-")=B135,"Devam Eden Sprint","-")</f>
        <v>-</v>
      </c>
      <c r="H135" t="str">
        <f>IF(IFERROR(VLOOKUP(B135,'Gelecek Sprint'!B:B,1,0),"-")=B135,"Gelecek Sprint","-")</f>
        <v>-</v>
      </c>
      <c r="I135" t="str">
        <f t="shared" si="8"/>
        <v>Ürün İş Listesi</v>
      </c>
    </row>
    <row r="136" spans="1:10" x14ac:dyDescent="0.25">
      <c r="A136" t="s">
        <v>14</v>
      </c>
      <c r="B136" t="s">
        <v>317</v>
      </c>
      <c r="C136" t="s">
        <v>16</v>
      </c>
      <c r="D136" t="s">
        <v>318</v>
      </c>
      <c r="E136" s="5" t="s">
        <v>50</v>
      </c>
      <c r="F136" s="5" t="e">
        <f>VLOOKUP(B136,'Türkkep Jira'!B:F,5,0)</f>
        <v>#N/A</v>
      </c>
      <c r="G136" t="str">
        <f>IF(IFERROR(VLOOKUP(B136,'Devam Eden Sprint'!B:B,1,0),"-")=B136,"Devam Eden Sprint","-")</f>
        <v>-</v>
      </c>
      <c r="H136" t="str">
        <f>IF(IFERROR(VLOOKUP(B136,'Gelecek Sprint'!B:B,1,0),"-")=B136,"Gelecek Sprint","-")</f>
        <v>-</v>
      </c>
      <c r="I136" t="str">
        <f t="shared" si="8"/>
        <v>Ürün İş Listesi</v>
      </c>
    </row>
    <row r="137" spans="1:10" x14ac:dyDescent="0.25">
      <c r="A137" t="s">
        <v>77</v>
      </c>
      <c r="B137" t="s">
        <v>319</v>
      </c>
      <c r="C137" t="s">
        <v>16</v>
      </c>
      <c r="D137" t="s">
        <v>320</v>
      </c>
      <c r="E137" s="5" t="s">
        <v>50</v>
      </c>
      <c r="F137" s="5" t="e">
        <f>VLOOKUP(B137,'Türkkep Jira'!B:F,5,0)</f>
        <v>#N/A</v>
      </c>
      <c r="G137" t="str">
        <f>IF(IFERROR(VLOOKUP(B137,'Devam Eden Sprint'!B:B,1,0),"-")=B137,"Devam Eden Sprint","-")</f>
        <v>-</v>
      </c>
      <c r="H137" t="str">
        <f>IF(IFERROR(VLOOKUP(B137,'Gelecek Sprint'!B:B,1,0),"-")=B137,"Gelecek Sprint","-")</f>
        <v>-</v>
      </c>
      <c r="I137" t="str">
        <f t="shared" si="8"/>
        <v>Ürün İş Listesi</v>
      </c>
    </row>
    <row r="138" spans="1:10" x14ac:dyDescent="0.25">
      <c r="A138" t="s">
        <v>14</v>
      </c>
      <c r="B138" t="s">
        <v>321</v>
      </c>
      <c r="C138" t="s">
        <v>16</v>
      </c>
      <c r="D138" t="s">
        <v>322</v>
      </c>
      <c r="E138" s="5" t="s">
        <v>50</v>
      </c>
      <c r="F138" s="5" t="e">
        <f>VLOOKUP(B138,'Türkkep Jira'!B:F,5,0)</f>
        <v>#N/A</v>
      </c>
      <c r="G138" t="str">
        <f>IF(IFERROR(VLOOKUP(B138,'Devam Eden Sprint'!B:B,1,0),"-")=B138,"Devam Eden Sprint","-")</f>
        <v>-</v>
      </c>
      <c r="H138" t="str">
        <f>IF(IFERROR(VLOOKUP(B138,'Gelecek Sprint'!B:B,1,0),"-")=B138,"Gelecek Sprint","-")</f>
        <v>-</v>
      </c>
      <c r="I138" t="str">
        <f t="shared" si="8"/>
        <v>Ürün İş Listesi</v>
      </c>
    </row>
    <row r="139" spans="1:10" x14ac:dyDescent="0.25">
      <c r="A139" t="s">
        <v>14</v>
      </c>
      <c r="B139" t="s">
        <v>323</v>
      </c>
      <c r="C139" t="s">
        <v>16</v>
      </c>
      <c r="D139" t="s">
        <v>324</v>
      </c>
      <c r="E139" s="5" t="s">
        <v>50</v>
      </c>
      <c r="F139" s="5" t="e">
        <f>VLOOKUP(B139,'Türkkep Jira'!B:F,5,0)</f>
        <v>#N/A</v>
      </c>
      <c r="G139" t="str">
        <f>IF(IFERROR(VLOOKUP(B139,'Devam Eden Sprint'!B:B,1,0),"-")=B139,"Devam Eden Sprint","-")</f>
        <v>-</v>
      </c>
      <c r="H139" t="str">
        <f>IF(IFERROR(VLOOKUP(B139,'Gelecek Sprint'!B:B,1,0),"-")=B139,"Gelecek Sprint","-")</f>
        <v>-</v>
      </c>
      <c r="I139" t="str">
        <f t="shared" si="8"/>
        <v>Ürün İş Listesi</v>
      </c>
    </row>
    <row r="140" spans="1:10" x14ac:dyDescent="0.25">
      <c r="A140" t="s">
        <v>14</v>
      </c>
      <c r="B140" t="s">
        <v>325</v>
      </c>
      <c r="C140" t="s">
        <v>16</v>
      </c>
      <c r="D140" t="s">
        <v>326</v>
      </c>
      <c r="E140" s="5" t="s">
        <v>50</v>
      </c>
      <c r="F140" s="5" t="e">
        <f>VLOOKUP(B140,'Türkkep Jira'!B:F,5,0)</f>
        <v>#N/A</v>
      </c>
      <c r="G140" t="str">
        <f>IF(IFERROR(VLOOKUP(B140,'Devam Eden Sprint'!B:B,1,0),"-")=B140,"Devam Eden Sprint","-")</f>
        <v>-</v>
      </c>
      <c r="H140" t="str">
        <f>IF(IFERROR(VLOOKUP(B140,'Gelecek Sprint'!B:B,1,0),"-")=B140,"Gelecek Sprint","-")</f>
        <v>-</v>
      </c>
      <c r="I140" t="str">
        <f t="shared" si="8"/>
        <v>Ürün İş Listesi</v>
      </c>
    </row>
    <row r="141" spans="1:10" x14ac:dyDescent="0.25">
      <c r="A141" t="s">
        <v>14</v>
      </c>
      <c r="B141" t="s">
        <v>327</v>
      </c>
      <c r="C141" t="s">
        <v>16</v>
      </c>
      <c r="D141" t="s">
        <v>328</v>
      </c>
      <c r="E141" s="5" t="s">
        <v>50</v>
      </c>
      <c r="F141" s="5" t="e">
        <f>VLOOKUP(B141,'Türkkep Jira'!B:F,5,0)</f>
        <v>#N/A</v>
      </c>
      <c r="G141" t="str">
        <f>IF(IFERROR(VLOOKUP(B141,'Devam Eden Sprint'!B:B,1,0),"-")=B141,"Devam Eden Sprint","-")</f>
        <v>-</v>
      </c>
      <c r="H141" t="str">
        <f>IF(IFERROR(VLOOKUP(B141,'Gelecek Sprint'!B:B,1,0),"-")=B141,"Gelecek Sprint","-")</f>
        <v>-</v>
      </c>
      <c r="I141" t="str">
        <f t="shared" si="8"/>
        <v>Ürün İş Listesi</v>
      </c>
    </row>
    <row r="142" spans="1:10" x14ac:dyDescent="0.25">
      <c r="A142" t="s">
        <v>14</v>
      </c>
      <c r="B142" t="s">
        <v>329</v>
      </c>
      <c r="C142" t="s">
        <v>16</v>
      </c>
      <c r="D142" t="s">
        <v>330</v>
      </c>
      <c r="E142" s="5" t="s">
        <v>50</v>
      </c>
      <c r="F142" s="5" t="e">
        <f>VLOOKUP(B142,'Türkkep Jira'!B:F,5,0)</f>
        <v>#N/A</v>
      </c>
      <c r="G142" t="str">
        <f>IF(IFERROR(VLOOKUP(B142,'Devam Eden Sprint'!B:B,1,0),"-")=B142,"Devam Eden Sprint","-")</f>
        <v>-</v>
      </c>
      <c r="H142" t="str">
        <f>IF(IFERROR(VLOOKUP(B142,'Gelecek Sprint'!B:B,1,0),"-")=B142,"Gelecek Sprint","-")</f>
        <v>-</v>
      </c>
      <c r="I142" t="str">
        <f t="shared" si="8"/>
        <v>Ürün İş Listesi</v>
      </c>
    </row>
    <row r="143" spans="1:10" x14ac:dyDescent="0.25">
      <c r="A143" t="s">
        <v>14</v>
      </c>
      <c r="B143" t="s">
        <v>331</v>
      </c>
      <c r="C143" t="s">
        <v>16</v>
      </c>
      <c r="D143" t="s">
        <v>332</v>
      </c>
      <c r="E143" s="5" t="s">
        <v>50</v>
      </c>
      <c r="F143" s="5" t="e">
        <f>VLOOKUP(B143,'Türkkep Jira'!B:F,5,0)</f>
        <v>#N/A</v>
      </c>
      <c r="G143" t="str">
        <f>IF(IFERROR(VLOOKUP(B143,'Devam Eden Sprint'!B:B,1,0),"-")=B143,"Devam Eden Sprint","-")</f>
        <v>-</v>
      </c>
      <c r="H143" t="str">
        <f>IF(IFERROR(VLOOKUP(B143,'Gelecek Sprint'!B:B,1,0),"-")=B143,"Gelecek Sprint","-")</f>
        <v>-</v>
      </c>
      <c r="I143" t="str">
        <f t="shared" si="8"/>
        <v>Ürün İş Listesi</v>
      </c>
      <c r="J143" s="5">
        <v>3</v>
      </c>
    </row>
    <row r="144" spans="1:10" x14ac:dyDescent="0.25">
      <c r="A144" t="s">
        <v>14</v>
      </c>
      <c r="B144" t="s">
        <v>333</v>
      </c>
      <c r="C144" t="s">
        <v>16</v>
      </c>
      <c r="D144" t="s">
        <v>334</v>
      </c>
      <c r="E144" s="5" t="s">
        <v>50</v>
      </c>
      <c r="F144" s="5" t="e">
        <f>VLOOKUP(B144,'Türkkep Jira'!B:F,5,0)</f>
        <v>#N/A</v>
      </c>
      <c r="G144" t="str">
        <f>IF(IFERROR(VLOOKUP(B144,'Devam Eden Sprint'!B:B,1,0),"-")=B144,"Devam Eden Sprint","-")</f>
        <v>-</v>
      </c>
      <c r="H144" t="str">
        <f>IF(IFERROR(VLOOKUP(B144,'Gelecek Sprint'!B:B,1,0),"-")=B144,"Gelecek Sprint","-")</f>
        <v>-</v>
      </c>
      <c r="I144" t="str">
        <f t="shared" si="8"/>
        <v>Ürün İş Listesi</v>
      </c>
      <c r="J144" s="5">
        <v>1</v>
      </c>
    </row>
    <row r="145" spans="1:10" x14ac:dyDescent="0.25">
      <c r="A145" t="s">
        <v>77</v>
      </c>
      <c r="B145" t="s">
        <v>335</v>
      </c>
      <c r="C145" t="s">
        <v>16</v>
      </c>
      <c r="D145" t="s">
        <v>336</v>
      </c>
      <c r="E145" s="5" t="s">
        <v>50</v>
      </c>
      <c r="F145" s="5" t="e">
        <f>VLOOKUP(B145,'Türkkep Jira'!B:F,5,0)</f>
        <v>#N/A</v>
      </c>
      <c r="G145" t="str">
        <f>IF(IFERROR(VLOOKUP(B145,'Devam Eden Sprint'!B:B,1,0),"-")=B145,"Devam Eden Sprint","-")</f>
        <v>-</v>
      </c>
      <c r="H145" t="str">
        <f>IF(IFERROR(VLOOKUP(B145,'Gelecek Sprint'!B:B,1,0),"-")=B145,"Gelecek Sprint","-")</f>
        <v>-</v>
      </c>
      <c r="I145" t="str">
        <f t="shared" si="8"/>
        <v>Ürün İş Listesi</v>
      </c>
      <c r="J145" s="5">
        <v>5</v>
      </c>
    </row>
    <row r="146" spans="1:10" x14ac:dyDescent="0.25">
      <c r="A146" t="s">
        <v>14</v>
      </c>
      <c r="B146" t="s">
        <v>337</v>
      </c>
      <c r="C146" t="s">
        <v>16</v>
      </c>
      <c r="D146" t="s">
        <v>338</v>
      </c>
      <c r="E146" s="5" t="s">
        <v>50</v>
      </c>
      <c r="F146" s="5" t="e">
        <f>VLOOKUP(B146,'Türkkep Jira'!B:F,5,0)</f>
        <v>#N/A</v>
      </c>
      <c r="G146" t="str">
        <f>IF(IFERROR(VLOOKUP(B146,'Devam Eden Sprint'!B:B,1,0),"-")=B146,"Devam Eden Sprint","-")</f>
        <v>-</v>
      </c>
      <c r="H146" t="str">
        <f>IF(IFERROR(VLOOKUP(B146,'Gelecek Sprint'!B:B,1,0),"-")=B146,"Gelecek Sprint","-")</f>
        <v>-</v>
      </c>
      <c r="I146" t="str">
        <f t="shared" si="8"/>
        <v>Ürün İş Listesi</v>
      </c>
      <c r="J146" s="5">
        <v>1</v>
      </c>
    </row>
    <row r="147" spans="1:10" x14ac:dyDescent="0.25">
      <c r="A147" t="s">
        <v>14</v>
      </c>
      <c r="B147" t="s">
        <v>339</v>
      </c>
      <c r="C147" t="s">
        <v>16</v>
      </c>
      <c r="D147" t="s">
        <v>340</v>
      </c>
      <c r="E147" s="5" t="s">
        <v>50</v>
      </c>
      <c r="F147" s="5" t="e">
        <f>VLOOKUP(B147,'Türkkep Jira'!B:F,5,0)</f>
        <v>#N/A</v>
      </c>
      <c r="G147" t="str">
        <f>IF(IFERROR(VLOOKUP(B147,'Devam Eden Sprint'!B:B,1,0),"-")=B147,"Devam Eden Sprint","-")</f>
        <v>-</v>
      </c>
      <c r="H147" t="str">
        <f>IF(IFERROR(VLOOKUP(B147,'Gelecek Sprint'!B:B,1,0),"-")=B147,"Gelecek Sprint","-")</f>
        <v>-</v>
      </c>
      <c r="I147" t="str">
        <f t="shared" si="8"/>
        <v>Ürün İş Listesi</v>
      </c>
      <c r="J147" s="5">
        <v>3</v>
      </c>
    </row>
    <row r="148" spans="1:10" x14ac:dyDescent="0.25">
      <c r="A148" t="s">
        <v>14</v>
      </c>
      <c r="B148" t="s">
        <v>341</v>
      </c>
      <c r="C148" t="s">
        <v>16</v>
      </c>
      <c r="D148" t="s">
        <v>342</v>
      </c>
      <c r="E148" s="5" t="s">
        <v>50</v>
      </c>
      <c r="F148" s="5" t="e">
        <f>VLOOKUP(B148,'Türkkep Jira'!B:F,5,0)</f>
        <v>#N/A</v>
      </c>
      <c r="G148" t="str">
        <f>IF(IFERROR(VLOOKUP(B148,'Devam Eden Sprint'!B:B,1,0),"-")=B148,"Devam Eden Sprint","-")</f>
        <v>-</v>
      </c>
      <c r="H148" t="str">
        <f>IF(IFERROR(VLOOKUP(B148,'Gelecek Sprint'!B:B,1,0),"-")=B148,"Gelecek Sprint","-")</f>
        <v>-</v>
      </c>
      <c r="I148" t="str">
        <f t="shared" si="8"/>
        <v>Ürün İş Listesi</v>
      </c>
      <c r="J148" s="5">
        <v>1</v>
      </c>
    </row>
    <row r="149" spans="1:10" x14ac:dyDescent="0.25">
      <c r="A149" t="s">
        <v>14</v>
      </c>
      <c r="B149" t="s">
        <v>343</v>
      </c>
      <c r="C149" t="s">
        <v>16</v>
      </c>
      <c r="D149" t="s">
        <v>344</v>
      </c>
      <c r="E149" s="5" t="s">
        <v>47</v>
      </c>
      <c r="F149" s="5" t="e">
        <f>VLOOKUP(B149,'Türkkep Jira'!B:F,5,0)</f>
        <v>#N/A</v>
      </c>
      <c r="G149" t="str">
        <f>IF(IFERROR(VLOOKUP(B149,'Devam Eden Sprint'!B:B,1,0),"-")=B149,"Devam Eden Sprint","-")</f>
        <v>-</v>
      </c>
      <c r="H149" t="str">
        <f>IF(IFERROR(VLOOKUP(B149,'Gelecek Sprint'!B:B,1,0),"-")=B149,"Gelecek Sprint","-")</f>
        <v>-</v>
      </c>
      <c r="I149" t="str">
        <f t="shared" si="8"/>
        <v>Ürün İş Listesi</v>
      </c>
    </row>
    <row r="150" spans="1:10" x14ac:dyDescent="0.25">
      <c r="A150" t="s">
        <v>14</v>
      </c>
      <c r="B150" t="s">
        <v>345</v>
      </c>
      <c r="C150" t="s">
        <v>16</v>
      </c>
      <c r="D150" t="s">
        <v>346</v>
      </c>
      <c r="E150" s="5" t="s">
        <v>47</v>
      </c>
      <c r="F150" s="5" t="e">
        <f>VLOOKUP(B150,'Türkkep Jira'!B:F,5,0)</f>
        <v>#N/A</v>
      </c>
      <c r="G150" t="str">
        <f>IF(IFERROR(VLOOKUP(B150,'Devam Eden Sprint'!B:B,1,0),"-")=B150,"Devam Eden Sprint","-")</f>
        <v>-</v>
      </c>
      <c r="H150" t="str">
        <f>IF(IFERROR(VLOOKUP(B150,'Gelecek Sprint'!B:B,1,0),"-")=B150,"Gelecek Sprint","-")</f>
        <v>-</v>
      </c>
      <c r="I150" t="str">
        <f t="shared" si="8"/>
        <v>Ürün İş Listesi</v>
      </c>
      <c r="J150" s="5">
        <v>3</v>
      </c>
    </row>
    <row r="151" spans="1:10" x14ac:dyDescent="0.25">
      <c r="A151" t="s">
        <v>14</v>
      </c>
      <c r="B151" t="s">
        <v>347</v>
      </c>
      <c r="C151" t="s">
        <v>16</v>
      </c>
      <c r="D151" t="s">
        <v>348</v>
      </c>
      <c r="E151" s="5" t="s">
        <v>47</v>
      </c>
      <c r="F151" s="5" t="e">
        <f>VLOOKUP(B151,'Türkkep Jira'!B:F,5,0)</f>
        <v>#N/A</v>
      </c>
      <c r="G151" t="str">
        <f>IF(IFERROR(VLOOKUP(B151,'Devam Eden Sprint'!B:B,1,0),"-")=B151,"Devam Eden Sprint","-")</f>
        <v>-</v>
      </c>
      <c r="H151" t="str">
        <f>IF(IFERROR(VLOOKUP(B151,'Gelecek Sprint'!B:B,1,0),"-")=B151,"Gelecek Sprint","-")</f>
        <v>-</v>
      </c>
      <c r="I151" t="str">
        <f t="shared" si="8"/>
        <v>Ürün İş Listesi</v>
      </c>
      <c r="J151" s="5">
        <v>5</v>
      </c>
    </row>
    <row r="152" spans="1:10" x14ac:dyDescent="0.25">
      <c r="A152" t="s">
        <v>14</v>
      </c>
      <c r="B152" t="s">
        <v>349</v>
      </c>
      <c r="C152" t="s">
        <v>16</v>
      </c>
      <c r="D152" t="s">
        <v>350</v>
      </c>
      <c r="E152" s="5" t="s">
        <v>47</v>
      </c>
      <c r="F152" s="5" t="e">
        <f>VLOOKUP(B152,'Türkkep Jira'!B:F,5,0)</f>
        <v>#N/A</v>
      </c>
      <c r="G152" t="str">
        <f>IF(IFERROR(VLOOKUP(B152,'Devam Eden Sprint'!B:B,1,0),"-")=B152,"Devam Eden Sprint","-")</f>
        <v>-</v>
      </c>
      <c r="H152" t="str">
        <f>IF(IFERROR(VLOOKUP(B152,'Gelecek Sprint'!B:B,1,0),"-")=B152,"Gelecek Sprint","-")</f>
        <v>-</v>
      </c>
      <c r="I152" t="str">
        <f t="shared" si="8"/>
        <v>Ürün İş Listesi</v>
      </c>
    </row>
    <row r="153" spans="1:10" x14ac:dyDescent="0.25">
      <c r="A153" t="s">
        <v>14</v>
      </c>
      <c r="B153" t="s">
        <v>351</v>
      </c>
      <c r="C153" t="s">
        <v>16</v>
      </c>
      <c r="D153" t="s">
        <v>352</v>
      </c>
      <c r="E153" s="5" t="s">
        <v>47</v>
      </c>
      <c r="F153" s="5" t="e">
        <f>VLOOKUP(B153,'Türkkep Jira'!B:F,5,0)</f>
        <v>#N/A</v>
      </c>
      <c r="G153" t="str">
        <f>IF(IFERROR(VLOOKUP(B153,'Devam Eden Sprint'!B:B,1,0),"-")=B153,"Devam Eden Sprint","-")</f>
        <v>-</v>
      </c>
      <c r="H153" t="str">
        <f>IF(IFERROR(VLOOKUP(B153,'Gelecek Sprint'!B:B,1,0),"-")=B153,"Gelecek Sprint","-")</f>
        <v>-</v>
      </c>
      <c r="I153" t="str">
        <f t="shared" si="8"/>
        <v>Ürün İş Listesi</v>
      </c>
    </row>
    <row r="154" spans="1:10" x14ac:dyDescent="0.25">
      <c r="A154" t="s">
        <v>14</v>
      </c>
      <c r="B154" t="s">
        <v>353</v>
      </c>
      <c r="C154" t="s">
        <v>16</v>
      </c>
      <c r="D154" t="s">
        <v>354</v>
      </c>
      <c r="E154" s="5" t="s">
        <v>47</v>
      </c>
      <c r="F154" s="5" t="e">
        <f>VLOOKUP(B154,'Türkkep Jira'!B:F,5,0)</f>
        <v>#N/A</v>
      </c>
      <c r="G154" t="str">
        <f>IF(IFERROR(VLOOKUP(B154,'Devam Eden Sprint'!B:B,1,0),"-")=B154,"Devam Eden Sprint","-")</f>
        <v>-</v>
      </c>
      <c r="H154" t="str">
        <f>IF(IFERROR(VLOOKUP(B154,'Gelecek Sprint'!B:B,1,0),"-")=B154,"Gelecek Sprint","-")</f>
        <v>-</v>
      </c>
      <c r="I154" t="str">
        <f t="shared" si="8"/>
        <v>Ürün İş Listesi</v>
      </c>
      <c r="J154" s="5">
        <v>13</v>
      </c>
    </row>
    <row r="155" spans="1:10" x14ac:dyDescent="0.25">
      <c r="A155" t="s">
        <v>14</v>
      </c>
      <c r="B155" t="s">
        <v>355</v>
      </c>
      <c r="C155" t="s">
        <v>16</v>
      </c>
      <c r="D155" t="s">
        <v>356</v>
      </c>
      <c r="E155" s="5" t="s">
        <v>47</v>
      </c>
      <c r="F155" s="5" t="e">
        <f>VLOOKUP(B155,'Türkkep Jira'!B:F,5,0)</f>
        <v>#N/A</v>
      </c>
      <c r="G155" t="str">
        <f>IF(IFERROR(VLOOKUP(B155,'Devam Eden Sprint'!B:B,1,0),"-")=B155,"Devam Eden Sprint","-")</f>
        <v>-</v>
      </c>
      <c r="H155" t="str">
        <f>IF(IFERROR(VLOOKUP(B155,'Gelecek Sprint'!B:B,1,0),"-")=B155,"Gelecek Sprint","-")</f>
        <v>-</v>
      </c>
      <c r="I155" t="str">
        <f t="shared" si="8"/>
        <v>Ürün İş Listesi</v>
      </c>
    </row>
    <row r="156" spans="1:10" x14ac:dyDescent="0.25">
      <c r="A156" t="s">
        <v>14</v>
      </c>
      <c r="B156" t="s">
        <v>357</v>
      </c>
      <c r="C156" t="s">
        <v>16</v>
      </c>
      <c r="D156" t="s">
        <v>358</v>
      </c>
      <c r="E156" s="5" t="s">
        <v>47</v>
      </c>
      <c r="F156" s="5" t="e">
        <f>VLOOKUP(B156,'Türkkep Jira'!B:F,5,0)</f>
        <v>#N/A</v>
      </c>
      <c r="G156" t="str">
        <f>IF(IFERROR(VLOOKUP(B156,'Devam Eden Sprint'!B:B,1,0),"-")=B156,"Devam Eden Sprint","-")</f>
        <v>-</v>
      </c>
      <c r="H156" t="str">
        <f>IF(IFERROR(VLOOKUP(B156,'Gelecek Sprint'!B:B,1,0),"-")=B156,"Gelecek Sprint","-")</f>
        <v>-</v>
      </c>
      <c r="I156" t="str">
        <f t="shared" si="8"/>
        <v>Ürün İş Listesi</v>
      </c>
      <c r="J156" s="5">
        <v>3</v>
      </c>
    </row>
    <row r="157" spans="1:10" x14ac:dyDescent="0.25">
      <c r="A157" t="s">
        <v>77</v>
      </c>
      <c r="B157" t="s">
        <v>359</v>
      </c>
      <c r="C157" t="s">
        <v>16</v>
      </c>
      <c r="D157" t="s">
        <v>360</v>
      </c>
      <c r="E157" s="5" t="s">
        <v>47</v>
      </c>
      <c r="F157" s="5" t="e">
        <f>VLOOKUP(B157,'Türkkep Jira'!B:F,5,0)</f>
        <v>#N/A</v>
      </c>
      <c r="G157" t="str">
        <f>IF(IFERROR(VLOOKUP(B157,'Devam Eden Sprint'!B:B,1,0),"-")=B157,"Devam Eden Sprint","-")</f>
        <v>-</v>
      </c>
      <c r="H157" t="str">
        <f>IF(IFERROR(VLOOKUP(B157,'Gelecek Sprint'!B:B,1,0),"-")=B157,"Gelecek Sprint","-")</f>
        <v>-</v>
      </c>
      <c r="I157" t="str">
        <f t="shared" si="8"/>
        <v>Ürün İş Listesi</v>
      </c>
      <c r="J157" s="5">
        <v>3</v>
      </c>
    </row>
    <row r="158" spans="1:10" x14ac:dyDescent="0.25">
      <c r="A158" t="s">
        <v>14</v>
      </c>
      <c r="B158" t="s">
        <v>361</v>
      </c>
      <c r="C158" t="s">
        <v>16</v>
      </c>
      <c r="D158" t="s">
        <v>362</v>
      </c>
      <c r="E158" s="5" t="s">
        <v>47</v>
      </c>
      <c r="F158" s="5" t="e">
        <f>VLOOKUP(B158,'Türkkep Jira'!B:F,5,0)</f>
        <v>#N/A</v>
      </c>
      <c r="G158" t="str">
        <f>IF(IFERROR(VLOOKUP(B158,'Devam Eden Sprint'!B:B,1,0),"-")=B158,"Devam Eden Sprint","-")</f>
        <v>-</v>
      </c>
      <c r="H158" t="str">
        <f>IF(IFERROR(VLOOKUP(B158,'Gelecek Sprint'!B:B,1,0),"-")=B158,"Gelecek Sprint","-")</f>
        <v>-</v>
      </c>
      <c r="I158" t="str">
        <f t="shared" si="8"/>
        <v>Ürün İş Listesi</v>
      </c>
    </row>
    <row r="159" spans="1:10" x14ac:dyDescent="0.25">
      <c r="A159" t="s">
        <v>14</v>
      </c>
      <c r="B159" t="s">
        <v>363</v>
      </c>
      <c r="C159" t="s">
        <v>16</v>
      </c>
      <c r="D159" t="s">
        <v>364</v>
      </c>
      <c r="E159" s="5" t="s">
        <v>47</v>
      </c>
      <c r="F159" s="5" t="e">
        <f>VLOOKUP(B159,'Türkkep Jira'!B:F,5,0)</f>
        <v>#N/A</v>
      </c>
      <c r="G159" t="str">
        <f>IF(IFERROR(VLOOKUP(B159,'Devam Eden Sprint'!B:B,1,0),"-")=B159,"Devam Eden Sprint","-")</f>
        <v>-</v>
      </c>
      <c r="H159" t="str">
        <f>IF(IFERROR(VLOOKUP(B159,'Gelecek Sprint'!B:B,1,0),"-")=B159,"Gelecek Sprint","-")</f>
        <v>-</v>
      </c>
      <c r="I159" t="str">
        <f t="shared" si="8"/>
        <v>Ürün İş Listesi</v>
      </c>
    </row>
    <row r="160" spans="1:10" x14ac:dyDescent="0.25">
      <c r="A160" t="s">
        <v>14</v>
      </c>
      <c r="B160" t="s">
        <v>365</v>
      </c>
      <c r="C160" t="s">
        <v>16</v>
      </c>
      <c r="D160" t="s">
        <v>366</v>
      </c>
      <c r="E160" s="5" t="s">
        <v>47</v>
      </c>
      <c r="F160" s="5" t="e">
        <f>VLOOKUP(B160,'Türkkep Jira'!B:F,5,0)</f>
        <v>#N/A</v>
      </c>
      <c r="G160" t="str">
        <f>IF(IFERROR(VLOOKUP(B160,'Devam Eden Sprint'!B:B,1,0),"-")=B160,"Devam Eden Sprint","-")</f>
        <v>-</v>
      </c>
      <c r="H160" t="str">
        <f>IF(IFERROR(VLOOKUP(B160,'Gelecek Sprint'!B:B,1,0),"-")=B160,"Gelecek Sprint","-")</f>
        <v>-</v>
      </c>
      <c r="I160" t="str">
        <f t="shared" si="8"/>
        <v>Ürün İş Listesi</v>
      </c>
    </row>
    <row r="161" spans="1:10" x14ac:dyDescent="0.25">
      <c r="A161" t="s">
        <v>77</v>
      </c>
      <c r="B161" t="s">
        <v>367</v>
      </c>
      <c r="C161" t="s">
        <v>16</v>
      </c>
      <c r="D161" t="s">
        <v>368</v>
      </c>
      <c r="E161" s="5" t="s">
        <v>47</v>
      </c>
      <c r="F161" s="5" t="e">
        <f>VLOOKUP(B161,'Türkkep Jira'!B:F,5,0)</f>
        <v>#N/A</v>
      </c>
      <c r="G161" t="str">
        <f>IF(IFERROR(VLOOKUP(B161,'Devam Eden Sprint'!B:B,1,0),"-")=B161,"Devam Eden Sprint","-")</f>
        <v>-</v>
      </c>
      <c r="H161" t="str">
        <f>IF(IFERROR(VLOOKUP(B161,'Gelecek Sprint'!B:B,1,0),"-")=B161,"Gelecek Sprint","-")</f>
        <v>-</v>
      </c>
      <c r="I161" t="str">
        <f t="shared" si="8"/>
        <v>Ürün İş Listesi</v>
      </c>
    </row>
    <row r="162" spans="1:10" x14ac:dyDescent="0.25">
      <c r="A162" t="s">
        <v>14</v>
      </c>
      <c r="B162" t="s">
        <v>369</v>
      </c>
      <c r="C162" t="s">
        <v>16</v>
      </c>
      <c r="D162" t="s">
        <v>370</v>
      </c>
      <c r="E162" s="5" t="s">
        <v>47</v>
      </c>
      <c r="F162" s="5" t="e">
        <f>VLOOKUP(B162,'Türkkep Jira'!B:F,5,0)</f>
        <v>#N/A</v>
      </c>
      <c r="G162" t="str">
        <f>IF(IFERROR(VLOOKUP(B162,'Devam Eden Sprint'!B:B,1,0),"-")=B162,"Devam Eden Sprint","-")</f>
        <v>-</v>
      </c>
      <c r="H162" t="str">
        <f>IF(IFERROR(VLOOKUP(B162,'Gelecek Sprint'!B:B,1,0),"-")=B162,"Gelecek Sprint","-")</f>
        <v>-</v>
      </c>
      <c r="I162" t="str">
        <f t="shared" si="8"/>
        <v>Ürün İş Listesi</v>
      </c>
      <c r="J162" s="5">
        <v>5</v>
      </c>
    </row>
    <row r="163" spans="1:10" x14ac:dyDescent="0.25">
      <c r="A163" t="s">
        <v>14</v>
      </c>
      <c r="B163" t="s">
        <v>371</v>
      </c>
      <c r="C163" t="s">
        <v>16</v>
      </c>
      <c r="D163" t="s">
        <v>372</v>
      </c>
      <c r="E163" s="5" t="s">
        <v>47</v>
      </c>
      <c r="F163" s="5" t="e">
        <f>VLOOKUP(B163,'Türkkep Jira'!B:F,5,0)</f>
        <v>#N/A</v>
      </c>
      <c r="G163" t="str">
        <f>IF(IFERROR(VLOOKUP(B163,'Devam Eden Sprint'!B:B,1,0),"-")=B163,"Devam Eden Sprint","-")</f>
        <v>-</v>
      </c>
      <c r="H163" t="str">
        <f>IF(IFERROR(VLOOKUP(B163,'Gelecek Sprint'!B:B,1,0),"-")=B163,"Gelecek Sprint","-")</f>
        <v>-</v>
      </c>
      <c r="I163" t="str">
        <f t="shared" si="8"/>
        <v>Ürün İş Listesi</v>
      </c>
      <c r="J163" s="5">
        <v>8</v>
      </c>
    </row>
    <row r="164" spans="1:10" x14ac:dyDescent="0.25">
      <c r="A164" t="s">
        <v>14</v>
      </c>
      <c r="B164" t="s">
        <v>373</v>
      </c>
      <c r="C164" t="s">
        <v>16</v>
      </c>
      <c r="D164" t="s">
        <v>374</v>
      </c>
      <c r="E164" s="5" t="s">
        <v>47</v>
      </c>
      <c r="F164" s="5" t="e">
        <f>VLOOKUP(B164,'Türkkep Jira'!B:F,5,0)</f>
        <v>#N/A</v>
      </c>
      <c r="G164" t="str">
        <f>IF(IFERROR(VLOOKUP(B164,'Devam Eden Sprint'!B:B,1,0),"-")=B164,"Devam Eden Sprint","-")</f>
        <v>-</v>
      </c>
      <c r="H164" t="str">
        <f>IF(IFERROR(VLOOKUP(B164,'Gelecek Sprint'!B:B,1,0),"-")=B164,"Gelecek Sprint","-")</f>
        <v>-</v>
      </c>
      <c r="I164" t="str">
        <f t="shared" si="8"/>
        <v>Ürün İş Listesi</v>
      </c>
      <c r="J164" s="5">
        <v>3</v>
      </c>
    </row>
    <row r="165" spans="1:10" x14ac:dyDescent="0.25">
      <c r="A165" t="s">
        <v>375</v>
      </c>
      <c r="B165" t="s">
        <v>376</v>
      </c>
      <c r="C165" t="s">
        <v>16</v>
      </c>
      <c r="D165" t="s">
        <v>377</v>
      </c>
      <c r="E165" s="5" t="s">
        <v>47</v>
      </c>
      <c r="F165" s="5" t="e">
        <f>VLOOKUP(B165,'Türkkep Jira'!B:F,5,0)</f>
        <v>#N/A</v>
      </c>
      <c r="G165" t="str">
        <f>IF(IFERROR(VLOOKUP(B165,'Devam Eden Sprint'!B:B,1,0),"-")=B165,"Devam Eden Sprint","-")</f>
        <v>-</v>
      </c>
      <c r="H165" t="str">
        <f>IF(IFERROR(VLOOKUP(B165,'Gelecek Sprint'!B:B,1,0),"-")=B165,"Gelecek Sprint","-")</f>
        <v>-</v>
      </c>
      <c r="I165" t="str">
        <f t="shared" si="8"/>
        <v>Ürün İş Listesi</v>
      </c>
      <c r="J165" s="5">
        <v>2</v>
      </c>
    </row>
    <row r="166" spans="1:10" x14ac:dyDescent="0.25">
      <c r="A166" t="s">
        <v>14</v>
      </c>
      <c r="B166" t="s">
        <v>378</v>
      </c>
      <c r="C166" t="s">
        <v>16</v>
      </c>
      <c r="D166" t="s">
        <v>379</v>
      </c>
      <c r="E166" s="5" t="s">
        <v>47</v>
      </c>
      <c r="F166" s="5" t="e">
        <f>VLOOKUP(B166,'Türkkep Jira'!B:F,5,0)</f>
        <v>#N/A</v>
      </c>
      <c r="G166" t="str">
        <f>IF(IFERROR(VLOOKUP(B166,'Devam Eden Sprint'!B:B,1,0),"-")=B166,"Devam Eden Sprint","-")</f>
        <v>-</v>
      </c>
      <c r="H166" t="str">
        <f>IF(IFERROR(VLOOKUP(B166,'Gelecek Sprint'!B:B,1,0),"-")=B166,"Gelecek Sprint","-")</f>
        <v>-</v>
      </c>
      <c r="I166" t="str">
        <f t="shared" si="8"/>
        <v>Ürün İş Listesi</v>
      </c>
      <c r="J166" s="5">
        <v>5</v>
      </c>
    </row>
    <row r="167" spans="1:10" x14ac:dyDescent="0.25">
      <c r="A167" t="s">
        <v>14</v>
      </c>
      <c r="B167" t="s">
        <v>380</v>
      </c>
      <c r="C167" t="s">
        <v>16</v>
      </c>
      <c r="D167" t="s">
        <v>381</v>
      </c>
      <c r="E167" s="5" t="s">
        <v>47</v>
      </c>
      <c r="F167" s="5" t="e">
        <f>VLOOKUP(B167,'Türkkep Jira'!B:F,5,0)</f>
        <v>#N/A</v>
      </c>
      <c r="G167" t="str">
        <f>IF(IFERROR(VLOOKUP(B167,'Devam Eden Sprint'!B:B,1,0),"-")=B167,"Devam Eden Sprint","-")</f>
        <v>-</v>
      </c>
      <c r="H167" t="str">
        <f>IF(IFERROR(VLOOKUP(B167,'Gelecek Sprint'!B:B,1,0),"-")=B167,"Gelecek Sprint","-")</f>
        <v>-</v>
      </c>
      <c r="I167" t="str">
        <f t="shared" si="8"/>
        <v>Ürün İş Listesi</v>
      </c>
      <c r="J167" s="5">
        <v>5</v>
      </c>
    </row>
    <row r="168" spans="1:10" x14ac:dyDescent="0.25">
      <c r="A168" t="s">
        <v>14</v>
      </c>
      <c r="B168" t="s">
        <v>382</v>
      </c>
      <c r="C168" t="s">
        <v>16</v>
      </c>
      <c r="D168" t="s">
        <v>383</v>
      </c>
      <c r="E168" s="5" t="s">
        <v>47</v>
      </c>
      <c r="F168" s="5" t="e">
        <f>VLOOKUP(B168,'Türkkep Jira'!B:F,5,0)</f>
        <v>#N/A</v>
      </c>
      <c r="G168" t="str">
        <f>IF(IFERROR(VLOOKUP(B168,'Devam Eden Sprint'!B:B,1,0),"-")=B168,"Devam Eden Sprint","-")</f>
        <v>-</v>
      </c>
      <c r="H168" t="str">
        <f>IF(IFERROR(VLOOKUP(B168,'Gelecek Sprint'!B:B,1,0),"-")=B168,"Gelecek Sprint","-")</f>
        <v>-</v>
      </c>
      <c r="I168" t="str">
        <f t="shared" si="8"/>
        <v>Ürün İş Listesi</v>
      </c>
    </row>
    <row r="169" spans="1:10" x14ac:dyDescent="0.25">
      <c r="A169" t="s">
        <v>14</v>
      </c>
      <c r="B169" t="s">
        <v>384</v>
      </c>
      <c r="C169" t="s">
        <v>16</v>
      </c>
      <c r="D169" t="s">
        <v>385</v>
      </c>
      <c r="E169" s="5" t="s">
        <v>47</v>
      </c>
      <c r="F169" s="5" t="e">
        <f>VLOOKUP(B169,'Türkkep Jira'!B:F,5,0)</f>
        <v>#N/A</v>
      </c>
      <c r="G169" t="str">
        <f>IF(IFERROR(VLOOKUP(B169,'Devam Eden Sprint'!B:B,1,0),"-")=B169,"Devam Eden Sprint","-")</f>
        <v>-</v>
      </c>
      <c r="H169" t="str">
        <f>IF(IFERROR(VLOOKUP(B169,'Gelecek Sprint'!B:B,1,0),"-")=B169,"Gelecek Sprint","-")</f>
        <v>-</v>
      </c>
      <c r="I169" t="str">
        <f t="shared" si="8"/>
        <v>Ürün İş Listesi</v>
      </c>
      <c r="J169" s="5">
        <v>13</v>
      </c>
    </row>
    <row r="170" spans="1:10" x14ac:dyDescent="0.25">
      <c r="A170" t="s">
        <v>14</v>
      </c>
      <c r="B170" t="s">
        <v>386</v>
      </c>
      <c r="C170" t="s">
        <v>16</v>
      </c>
      <c r="D170" t="s">
        <v>387</v>
      </c>
      <c r="E170" s="5" t="s">
        <v>47</v>
      </c>
      <c r="F170" s="5" t="e">
        <f>VLOOKUP(B170,'Türkkep Jira'!B:F,5,0)</f>
        <v>#N/A</v>
      </c>
      <c r="G170" t="str">
        <f>IF(IFERROR(VLOOKUP(B170,'Devam Eden Sprint'!B:B,1,0),"-")=B170,"Devam Eden Sprint","-")</f>
        <v>-</v>
      </c>
      <c r="H170" t="str">
        <f>IF(IFERROR(VLOOKUP(B170,'Gelecek Sprint'!B:B,1,0),"-")=B170,"Gelecek Sprint","-")</f>
        <v>-</v>
      </c>
      <c r="I170" t="str">
        <f t="shared" si="8"/>
        <v>Ürün İş Listesi</v>
      </c>
      <c r="J170" s="5">
        <v>5</v>
      </c>
    </row>
    <row r="171" spans="1:10" x14ac:dyDescent="0.25">
      <c r="A171" t="s">
        <v>14</v>
      </c>
      <c r="B171" t="s">
        <v>388</v>
      </c>
      <c r="C171" t="s">
        <v>16</v>
      </c>
      <c r="D171" t="s">
        <v>389</v>
      </c>
      <c r="E171" s="5" t="s">
        <v>47</v>
      </c>
      <c r="F171" s="5" t="e">
        <f>VLOOKUP(B171,'Türkkep Jira'!B:F,5,0)</f>
        <v>#N/A</v>
      </c>
      <c r="G171" t="str">
        <f>IF(IFERROR(VLOOKUP(B171,'Devam Eden Sprint'!B:B,1,0),"-")=B171,"Devam Eden Sprint","-")</f>
        <v>-</v>
      </c>
      <c r="H171" t="str">
        <f>IF(IFERROR(VLOOKUP(B171,'Gelecek Sprint'!B:B,1,0),"-")=B171,"Gelecek Sprint","-")</f>
        <v>-</v>
      </c>
      <c r="I171" t="str">
        <f t="shared" si="8"/>
        <v>Ürün İş Listesi</v>
      </c>
    </row>
    <row r="172" spans="1:10" x14ac:dyDescent="0.25">
      <c r="A172" t="s">
        <v>14</v>
      </c>
      <c r="B172" t="s">
        <v>390</v>
      </c>
      <c r="C172" t="s">
        <v>16</v>
      </c>
      <c r="D172" t="s">
        <v>391</v>
      </c>
      <c r="E172" s="5" t="s">
        <v>47</v>
      </c>
      <c r="F172" s="5" t="e">
        <f>VLOOKUP(B172,'Türkkep Jira'!B:F,5,0)</f>
        <v>#N/A</v>
      </c>
      <c r="G172" t="str">
        <f>IF(IFERROR(VLOOKUP(B172,'Devam Eden Sprint'!B:B,1,0),"-")=B172,"Devam Eden Sprint","-")</f>
        <v>-</v>
      </c>
      <c r="H172" t="str">
        <f>IF(IFERROR(VLOOKUP(B172,'Gelecek Sprint'!B:B,1,0),"-")=B172,"Gelecek Sprint","-")</f>
        <v>-</v>
      </c>
      <c r="I172" t="str">
        <f t="shared" si="8"/>
        <v>Ürün İş Listesi</v>
      </c>
      <c r="J172" s="5">
        <v>1</v>
      </c>
    </row>
    <row r="173" spans="1:10" x14ac:dyDescent="0.25">
      <c r="A173" t="s">
        <v>14</v>
      </c>
      <c r="B173" t="s">
        <v>392</v>
      </c>
      <c r="C173" t="s">
        <v>16</v>
      </c>
      <c r="D173" t="s">
        <v>393</v>
      </c>
      <c r="E173" s="5" t="s">
        <v>130</v>
      </c>
      <c r="F173" s="5" t="e">
        <f>VLOOKUP(B173,'Türkkep Jira'!B:F,5,0)</f>
        <v>#N/A</v>
      </c>
      <c r="G173" t="str">
        <f>IF(IFERROR(VLOOKUP(B173,'Devam Eden Sprint'!B:B,1,0),"-")=B173,"Devam Eden Sprint","-")</f>
        <v>-</v>
      </c>
      <c r="H173" t="str">
        <f>IF(IFERROR(VLOOKUP(B173,'Gelecek Sprint'!B:B,1,0),"-")=B173,"Gelecek Sprint","-")</f>
        <v>-</v>
      </c>
      <c r="I173" t="str">
        <f t="shared" si="8"/>
        <v>Ürün İş Listesi</v>
      </c>
      <c r="J173" s="5">
        <v>1</v>
      </c>
    </row>
    <row r="174" spans="1:10" x14ac:dyDescent="0.25">
      <c r="A174" t="s">
        <v>14</v>
      </c>
      <c r="B174" t="s">
        <v>394</v>
      </c>
      <c r="C174" t="s">
        <v>16</v>
      </c>
      <c r="D174" t="s">
        <v>395</v>
      </c>
      <c r="E174" s="5" t="s">
        <v>130</v>
      </c>
      <c r="F174" s="5" t="e">
        <f>VLOOKUP(B174,'Türkkep Jira'!B:F,5,0)</f>
        <v>#N/A</v>
      </c>
      <c r="G174" t="str">
        <f>IF(IFERROR(VLOOKUP(B174,'Devam Eden Sprint'!B:B,1,0),"-")=B174,"Devam Eden Sprint","-")</f>
        <v>-</v>
      </c>
      <c r="H174" t="str">
        <f>IF(IFERROR(VLOOKUP(B174,'Gelecek Sprint'!B:B,1,0),"-")=B174,"Gelecek Sprint","-")</f>
        <v>-</v>
      </c>
      <c r="I174" t="str">
        <f t="shared" si="8"/>
        <v>Ürün İş Listesi</v>
      </c>
      <c r="J174" s="5">
        <v>3</v>
      </c>
    </row>
    <row r="175" spans="1:10" x14ac:dyDescent="0.25">
      <c r="A175" t="s">
        <v>14</v>
      </c>
      <c r="B175" t="s">
        <v>396</v>
      </c>
      <c r="C175" t="s">
        <v>26</v>
      </c>
      <c r="D175" t="s">
        <v>397</v>
      </c>
      <c r="E175" s="5" t="s">
        <v>130</v>
      </c>
      <c r="F175" s="5" t="e">
        <f>VLOOKUP(B175,'Türkkep Jira'!B:F,5,0)</f>
        <v>#N/A</v>
      </c>
      <c r="G175" t="str">
        <f>IF(IFERROR(VLOOKUP(B175,'Devam Eden Sprint'!B:B,1,0),"-")=B175,"Devam Eden Sprint","-")</f>
        <v>-</v>
      </c>
      <c r="H175" t="str">
        <f>IF(IFERROR(VLOOKUP(B175,'Gelecek Sprint'!B:B,1,0),"-")=B175,"Gelecek Sprint","-")</f>
        <v>-</v>
      </c>
      <c r="I175" t="str">
        <f t="shared" si="8"/>
        <v>Ürün İş Listesi</v>
      </c>
      <c r="J175" s="5">
        <v>3</v>
      </c>
    </row>
    <row r="176" spans="1:10" x14ac:dyDescent="0.25">
      <c r="A176" t="s">
        <v>14</v>
      </c>
      <c r="B176" t="s">
        <v>398</v>
      </c>
      <c r="C176" t="s">
        <v>16</v>
      </c>
      <c r="D176" t="s">
        <v>399</v>
      </c>
      <c r="E176" s="5" t="s">
        <v>130</v>
      </c>
      <c r="F176" s="5" t="e">
        <f>VLOOKUP(B176,'Türkkep Jira'!B:F,5,0)</f>
        <v>#N/A</v>
      </c>
      <c r="G176" t="str">
        <f>IF(IFERROR(VLOOKUP(B176,'Devam Eden Sprint'!B:B,1,0),"-")=B176,"Devam Eden Sprint","-")</f>
        <v>-</v>
      </c>
      <c r="H176" t="str">
        <f>IF(IFERROR(VLOOKUP(B176,'Gelecek Sprint'!B:B,1,0),"-")=B176,"Gelecek Sprint","-")</f>
        <v>-</v>
      </c>
      <c r="I176" t="str">
        <f t="shared" si="8"/>
        <v>Ürün İş Listesi</v>
      </c>
      <c r="J176" s="5">
        <v>3</v>
      </c>
    </row>
    <row r="177" spans="1:10" x14ac:dyDescent="0.25">
      <c r="A177" t="s">
        <v>14</v>
      </c>
      <c r="B177" t="s">
        <v>400</v>
      </c>
      <c r="C177" t="s">
        <v>16</v>
      </c>
      <c r="D177" t="s">
        <v>401</v>
      </c>
      <c r="E177" s="5" t="s">
        <v>56</v>
      </c>
      <c r="F177" s="5" t="e">
        <f>VLOOKUP(B177,'Türkkep Jira'!B:F,5,0)</f>
        <v>#N/A</v>
      </c>
      <c r="G177" t="str">
        <f>IF(IFERROR(VLOOKUP(B177,'Devam Eden Sprint'!B:B,1,0),"-")=B177,"Devam Eden Sprint","-")</f>
        <v>-</v>
      </c>
      <c r="H177" t="str">
        <f>IF(IFERROR(VLOOKUP(B177,'Gelecek Sprint'!B:B,1,0),"-")=B177,"Gelecek Sprint","-")</f>
        <v>-</v>
      </c>
      <c r="I177" t="str">
        <f t="shared" si="8"/>
        <v>Ürün İş Listesi</v>
      </c>
    </row>
    <row r="178" spans="1:10" x14ac:dyDescent="0.25">
      <c r="A178" t="s">
        <v>14</v>
      </c>
      <c r="B178" t="s">
        <v>402</v>
      </c>
      <c r="C178" t="s">
        <v>16</v>
      </c>
      <c r="D178" t="s">
        <v>403</v>
      </c>
      <c r="E178" s="5" t="s">
        <v>56</v>
      </c>
      <c r="F178" s="5" t="e">
        <f>VLOOKUP(B178,'Türkkep Jira'!B:F,5,0)</f>
        <v>#N/A</v>
      </c>
      <c r="G178" t="str">
        <f>IF(IFERROR(VLOOKUP(B178,'Devam Eden Sprint'!B:B,1,0),"-")=B178,"Devam Eden Sprint","-")</f>
        <v>-</v>
      </c>
      <c r="H178" t="str">
        <f>IF(IFERROR(VLOOKUP(B178,'Gelecek Sprint'!B:B,1,0),"-")=B178,"Gelecek Sprint","-")</f>
        <v>-</v>
      </c>
      <c r="I178" t="str">
        <f t="shared" si="8"/>
        <v>Ürün İş Listesi</v>
      </c>
    </row>
    <row r="179" spans="1:10" x14ac:dyDescent="0.25">
      <c r="A179" t="s">
        <v>14</v>
      </c>
      <c r="B179" t="s">
        <v>404</v>
      </c>
      <c r="C179" t="s">
        <v>16</v>
      </c>
      <c r="D179" t="s">
        <v>405</v>
      </c>
      <c r="E179" s="5" t="s">
        <v>56</v>
      </c>
      <c r="F179" s="5" t="e">
        <f>VLOOKUP(B179,'Türkkep Jira'!B:F,5,0)</f>
        <v>#N/A</v>
      </c>
      <c r="G179" t="str">
        <f>IF(IFERROR(VLOOKUP(B179,'Devam Eden Sprint'!B:B,1,0),"-")=B179,"Devam Eden Sprint","-")</f>
        <v>-</v>
      </c>
      <c r="H179" t="str">
        <f>IF(IFERROR(VLOOKUP(B179,'Gelecek Sprint'!B:B,1,0),"-")=B179,"Gelecek Sprint","-")</f>
        <v>-</v>
      </c>
      <c r="I179" t="str">
        <f t="shared" si="8"/>
        <v>Ürün İş Listesi</v>
      </c>
    </row>
    <row r="180" spans="1:10" x14ac:dyDescent="0.25">
      <c r="A180" t="s">
        <v>14</v>
      </c>
      <c r="B180" t="s">
        <v>406</v>
      </c>
      <c r="C180" t="s">
        <v>16</v>
      </c>
      <c r="D180" t="s">
        <v>407</v>
      </c>
      <c r="E180" s="5" t="s">
        <v>56</v>
      </c>
      <c r="F180" s="5" t="e">
        <f>VLOOKUP(B180,'Türkkep Jira'!B:F,5,0)</f>
        <v>#N/A</v>
      </c>
      <c r="G180" t="str">
        <f>IF(IFERROR(VLOOKUP(B180,'Devam Eden Sprint'!B:B,1,0),"-")=B180,"Devam Eden Sprint","-")</f>
        <v>-</v>
      </c>
      <c r="H180" t="str">
        <f>IF(IFERROR(VLOOKUP(B180,'Gelecek Sprint'!B:B,1,0),"-")=B180,"Gelecek Sprint","-")</f>
        <v>-</v>
      </c>
      <c r="I180" t="str">
        <f t="shared" si="8"/>
        <v>Ürün İş Listesi</v>
      </c>
    </row>
    <row r="181" spans="1:10" x14ac:dyDescent="0.25">
      <c r="A181" t="s">
        <v>14</v>
      </c>
      <c r="B181" t="s">
        <v>408</v>
      </c>
      <c r="C181" t="s">
        <v>16</v>
      </c>
      <c r="D181" t="s">
        <v>409</v>
      </c>
      <c r="E181" s="5" t="s">
        <v>56</v>
      </c>
      <c r="F181" s="5" t="e">
        <f>VLOOKUP(B181,'Türkkep Jira'!B:F,5,0)</f>
        <v>#N/A</v>
      </c>
      <c r="G181" t="str">
        <f>IF(IFERROR(VLOOKUP(B181,'Devam Eden Sprint'!B:B,1,0),"-")=B181,"Devam Eden Sprint","-")</f>
        <v>-</v>
      </c>
      <c r="H181" t="str">
        <f>IF(IFERROR(VLOOKUP(B181,'Gelecek Sprint'!B:B,1,0),"-")=B181,"Gelecek Sprint","-")</f>
        <v>-</v>
      </c>
      <c r="I181" t="str">
        <f t="shared" si="8"/>
        <v>Ürün İş Listesi</v>
      </c>
    </row>
    <row r="182" spans="1:10" x14ac:dyDescent="0.25">
      <c r="A182" t="s">
        <v>14</v>
      </c>
      <c r="B182" t="s">
        <v>410</v>
      </c>
      <c r="C182" t="s">
        <v>16</v>
      </c>
      <c r="D182" t="s">
        <v>411</v>
      </c>
      <c r="E182" s="5" t="s">
        <v>56</v>
      </c>
      <c r="F182" s="5" t="e">
        <f>VLOOKUP(B182,'Türkkep Jira'!B:F,5,0)</f>
        <v>#N/A</v>
      </c>
      <c r="G182" t="str">
        <f>IF(IFERROR(VLOOKUP(B182,'Devam Eden Sprint'!B:B,1,0),"-")=B182,"Devam Eden Sprint","-")</f>
        <v>-</v>
      </c>
      <c r="H182" t="str">
        <f>IF(IFERROR(VLOOKUP(B182,'Gelecek Sprint'!B:B,1,0),"-")=B182,"Gelecek Sprint","-")</f>
        <v>-</v>
      </c>
      <c r="I182" t="str">
        <f t="shared" si="8"/>
        <v>Ürün İş Listesi</v>
      </c>
    </row>
    <row r="183" spans="1:10" x14ac:dyDescent="0.25">
      <c r="A183" t="s">
        <v>14</v>
      </c>
      <c r="B183" t="s">
        <v>412</v>
      </c>
      <c r="C183" t="s">
        <v>16</v>
      </c>
      <c r="D183" t="s">
        <v>413</v>
      </c>
      <c r="E183" s="5" t="s">
        <v>56</v>
      </c>
      <c r="F183" s="5" t="e">
        <f>VLOOKUP(B183,'Türkkep Jira'!B:F,5,0)</f>
        <v>#N/A</v>
      </c>
      <c r="G183" t="str">
        <f>IF(IFERROR(VLOOKUP(B183,'Devam Eden Sprint'!B:B,1,0),"-")=B183,"Devam Eden Sprint","-")</f>
        <v>-</v>
      </c>
      <c r="H183" t="str">
        <f>IF(IFERROR(VLOOKUP(B183,'Gelecek Sprint'!B:B,1,0),"-")=B183,"Gelecek Sprint","-")</f>
        <v>-</v>
      </c>
      <c r="I183" t="str">
        <f t="shared" si="8"/>
        <v>Ürün İş Listesi</v>
      </c>
    </row>
    <row r="184" spans="1:10" x14ac:dyDescent="0.25">
      <c r="A184" t="s">
        <v>14</v>
      </c>
      <c r="B184" t="s">
        <v>414</v>
      </c>
      <c r="C184" t="s">
        <v>10</v>
      </c>
      <c r="D184" t="s">
        <v>415</v>
      </c>
      <c r="E184" s="5" t="s">
        <v>56</v>
      </c>
      <c r="F184" s="5" t="e">
        <f>VLOOKUP(B184,'Türkkep Jira'!B:F,5,0)</f>
        <v>#N/A</v>
      </c>
      <c r="G184" t="str">
        <f>IF(IFERROR(VLOOKUP(B184,'Devam Eden Sprint'!B:B,1,0),"-")=B184,"Devam Eden Sprint","-")</f>
        <v>-</v>
      </c>
      <c r="H184" t="str">
        <f>IF(IFERROR(VLOOKUP(B184,'Gelecek Sprint'!B:B,1,0),"-")=B184,"Gelecek Sprint","-")</f>
        <v>-</v>
      </c>
      <c r="I184" t="str">
        <f t="shared" si="8"/>
        <v>Ürün İş Listesi</v>
      </c>
    </row>
    <row r="185" spans="1:10" x14ac:dyDescent="0.25">
      <c r="A185" t="s">
        <v>14</v>
      </c>
      <c r="B185" t="s">
        <v>416</v>
      </c>
      <c r="C185" t="s">
        <v>16</v>
      </c>
      <c r="D185" t="s">
        <v>417</v>
      </c>
      <c r="E185" s="5" t="s">
        <v>56</v>
      </c>
      <c r="F185" s="5" t="e">
        <f>VLOOKUP(B185,'Türkkep Jira'!B:F,5,0)</f>
        <v>#N/A</v>
      </c>
      <c r="G185" t="str">
        <f>IF(IFERROR(VLOOKUP(B185,'Devam Eden Sprint'!B:B,1,0),"-")=B185,"Devam Eden Sprint","-")</f>
        <v>-</v>
      </c>
      <c r="H185" t="str">
        <f>IF(IFERROR(VLOOKUP(B185,'Gelecek Sprint'!B:B,1,0),"-")=B185,"Gelecek Sprint","-")</f>
        <v>-</v>
      </c>
      <c r="I185" t="str">
        <f t="shared" si="8"/>
        <v>Ürün İş Listesi</v>
      </c>
      <c r="J185" s="5">
        <v>8</v>
      </c>
    </row>
    <row r="186" spans="1:10" x14ac:dyDescent="0.25">
      <c r="A186" t="s">
        <v>14</v>
      </c>
      <c r="B186" t="s">
        <v>418</v>
      </c>
      <c r="C186" t="s">
        <v>16</v>
      </c>
      <c r="D186" t="s">
        <v>419</v>
      </c>
      <c r="E186" s="5" t="s">
        <v>56</v>
      </c>
      <c r="F186" s="5" t="e">
        <f>VLOOKUP(B186,'Türkkep Jira'!B:F,5,0)</f>
        <v>#N/A</v>
      </c>
      <c r="G186" t="str">
        <f>IF(IFERROR(VLOOKUP(B186,'Devam Eden Sprint'!B:B,1,0),"-")=B186,"Devam Eden Sprint","-")</f>
        <v>-</v>
      </c>
      <c r="H186" t="str">
        <f>IF(IFERROR(VLOOKUP(B186,'Gelecek Sprint'!B:B,1,0),"-")=B186,"Gelecek Sprint","-")</f>
        <v>-</v>
      </c>
      <c r="I186" t="str">
        <f t="shared" si="8"/>
        <v>Ürün İş Listesi</v>
      </c>
    </row>
    <row r="187" spans="1:10" x14ac:dyDescent="0.25">
      <c r="A187" t="s">
        <v>14</v>
      </c>
      <c r="B187" t="s">
        <v>420</v>
      </c>
      <c r="C187" t="s">
        <v>94</v>
      </c>
      <c r="D187" t="s">
        <v>421</v>
      </c>
      <c r="E187" s="5" t="s">
        <v>56</v>
      </c>
      <c r="F187" s="5" t="e">
        <f>VLOOKUP(B187,'Türkkep Jira'!B:F,5,0)</f>
        <v>#N/A</v>
      </c>
      <c r="G187" t="str">
        <f>IF(IFERROR(VLOOKUP(B187,'Devam Eden Sprint'!B:B,1,0),"-")=B187,"Devam Eden Sprint","-")</f>
        <v>-</v>
      </c>
      <c r="H187" t="str">
        <f>IF(IFERROR(VLOOKUP(B187,'Gelecek Sprint'!B:B,1,0),"-")=B187,"Gelecek Sprint","-")</f>
        <v>-</v>
      </c>
      <c r="I187" t="str">
        <f t="shared" si="8"/>
        <v>Ürün İş Listesi</v>
      </c>
      <c r="J187" s="5">
        <v>8</v>
      </c>
    </row>
    <row r="188" spans="1:10" x14ac:dyDescent="0.25">
      <c r="A188" t="s">
        <v>14</v>
      </c>
      <c r="B188" t="s">
        <v>422</v>
      </c>
      <c r="C188" t="s">
        <v>16</v>
      </c>
      <c r="D188" t="s">
        <v>423</v>
      </c>
      <c r="E188" s="5" t="s">
        <v>56</v>
      </c>
      <c r="F188" s="5" t="e">
        <f>VLOOKUP(B188,'Türkkep Jira'!B:F,5,0)</f>
        <v>#N/A</v>
      </c>
      <c r="G188" t="str">
        <f>IF(IFERROR(VLOOKUP(B188,'Devam Eden Sprint'!B:B,1,0),"-")=B188,"Devam Eden Sprint","-")</f>
        <v>-</v>
      </c>
      <c r="H188" t="str">
        <f>IF(IFERROR(VLOOKUP(B188,'Gelecek Sprint'!B:B,1,0),"-")=B188,"Gelecek Sprint","-")</f>
        <v>-</v>
      </c>
      <c r="I188" t="str">
        <f t="shared" si="8"/>
        <v>Ürün İş Listesi</v>
      </c>
    </row>
    <row r="189" spans="1:10" x14ac:dyDescent="0.25">
      <c r="A189" t="s">
        <v>77</v>
      </c>
      <c r="B189" t="s">
        <v>424</v>
      </c>
      <c r="C189" t="s">
        <v>16</v>
      </c>
      <c r="D189" t="s">
        <v>425</v>
      </c>
      <c r="E189" s="5" t="s">
        <v>56</v>
      </c>
      <c r="F189" s="5" t="e">
        <f>VLOOKUP(B189,'Türkkep Jira'!B:F,5,0)</f>
        <v>#N/A</v>
      </c>
      <c r="G189" t="str">
        <f>IF(IFERROR(VLOOKUP(B189,'Devam Eden Sprint'!B:B,1,0),"-")=B189,"Devam Eden Sprint","-")</f>
        <v>-</v>
      </c>
      <c r="H189" t="str">
        <f>IF(IFERROR(VLOOKUP(B189,'Gelecek Sprint'!B:B,1,0),"-")=B189,"Gelecek Sprint","-")</f>
        <v>-</v>
      </c>
      <c r="I189" t="str">
        <f t="shared" si="8"/>
        <v>Ürün İş Listesi</v>
      </c>
      <c r="J189" s="5">
        <v>3</v>
      </c>
    </row>
    <row r="190" spans="1:10" x14ac:dyDescent="0.25">
      <c r="A190" t="s">
        <v>77</v>
      </c>
      <c r="B190" t="s">
        <v>426</v>
      </c>
      <c r="C190" t="s">
        <v>16</v>
      </c>
      <c r="D190" t="s">
        <v>427</v>
      </c>
      <c r="E190" s="5" t="s">
        <v>428</v>
      </c>
      <c r="F190" s="5" t="e">
        <f>VLOOKUP(B190,'Türkkep Jira'!B:F,5,0)</f>
        <v>#N/A</v>
      </c>
      <c r="G190" t="str">
        <f>IF(IFERROR(VLOOKUP(B190,'Devam Eden Sprint'!B:B,1,0),"-")=B190,"Devam Eden Sprint","-")</f>
        <v>-</v>
      </c>
      <c r="H190" t="str">
        <f>IF(IFERROR(VLOOKUP(B190,'Gelecek Sprint'!B:B,1,0),"-")=B190,"Gelecek Sprint","-")</f>
        <v>-</v>
      </c>
      <c r="I190" t="str">
        <f t="shared" si="8"/>
        <v>Ürün İş Listesi</v>
      </c>
    </row>
    <row r="191" spans="1:10" x14ac:dyDescent="0.25">
      <c r="A191" t="s">
        <v>14</v>
      </c>
      <c r="B191" t="s">
        <v>429</v>
      </c>
      <c r="C191" t="s">
        <v>16</v>
      </c>
      <c r="D191" t="s">
        <v>430</v>
      </c>
      <c r="E191" s="5" t="s">
        <v>428</v>
      </c>
      <c r="F191" s="5" t="e">
        <f>VLOOKUP(B191,'Türkkep Jira'!B:F,5,0)</f>
        <v>#N/A</v>
      </c>
      <c r="G191" t="str">
        <f>IF(IFERROR(VLOOKUP(B191,'Devam Eden Sprint'!B:B,1,0),"-")=B191,"Devam Eden Sprint","-")</f>
        <v>-</v>
      </c>
      <c r="H191" t="str">
        <f>IF(IFERROR(VLOOKUP(B191,'Gelecek Sprint'!B:B,1,0),"-")=B191,"Gelecek Sprint","-")</f>
        <v>-</v>
      </c>
      <c r="I191" t="str">
        <f t="shared" si="8"/>
        <v>Ürün İş Listesi</v>
      </c>
    </row>
    <row r="192" spans="1:10" x14ac:dyDescent="0.25">
      <c r="A192" t="s">
        <v>14</v>
      </c>
      <c r="B192" t="s">
        <v>431</v>
      </c>
      <c r="C192" t="s">
        <v>16</v>
      </c>
      <c r="D192" t="s">
        <v>432</v>
      </c>
      <c r="E192" s="5" t="s">
        <v>428</v>
      </c>
      <c r="F192" s="5" t="e">
        <f>VLOOKUP(B192,'Türkkep Jira'!B:F,5,0)</f>
        <v>#N/A</v>
      </c>
      <c r="G192" t="str">
        <f>IF(IFERROR(VLOOKUP(B192,'Devam Eden Sprint'!B:B,1,0),"-")=B192,"Devam Eden Sprint","-")</f>
        <v>-</v>
      </c>
      <c r="H192" t="str">
        <f>IF(IFERROR(VLOOKUP(B192,'Gelecek Sprint'!B:B,1,0),"-")=B192,"Gelecek Sprint","-")</f>
        <v>-</v>
      </c>
      <c r="I192" t="str">
        <f t="shared" si="8"/>
        <v>Ürün İş Listesi</v>
      </c>
    </row>
    <row r="193" spans="1:10" x14ac:dyDescent="0.25">
      <c r="A193" t="s">
        <v>14</v>
      </c>
      <c r="B193" t="s">
        <v>433</v>
      </c>
      <c r="C193" t="s">
        <v>16</v>
      </c>
      <c r="D193" t="s">
        <v>434</v>
      </c>
      <c r="E193" s="5" t="s">
        <v>428</v>
      </c>
      <c r="F193" s="5" t="e">
        <f>VLOOKUP(B193,'Türkkep Jira'!B:F,5,0)</f>
        <v>#N/A</v>
      </c>
      <c r="G193" t="str">
        <f>IF(IFERROR(VLOOKUP(B193,'Devam Eden Sprint'!B:B,1,0),"-")=B193,"Devam Eden Sprint","-")</f>
        <v>-</v>
      </c>
      <c r="H193" t="str">
        <f>IF(IFERROR(VLOOKUP(B193,'Gelecek Sprint'!B:B,1,0),"-")=B193,"Gelecek Sprint","-")</f>
        <v>-</v>
      </c>
      <c r="I193" t="str">
        <f t="shared" si="8"/>
        <v>Ürün İş Listesi</v>
      </c>
    </row>
    <row r="194" spans="1:10" x14ac:dyDescent="0.25">
      <c r="A194" t="s">
        <v>14</v>
      </c>
      <c r="B194" t="s">
        <v>435</v>
      </c>
      <c r="C194" t="s">
        <v>16</v>
      </c>
      <c r="D194" t="s">
        <v>436</v>
      </c>
      <c r="E194" s="5" t="s">
        <v>428</v>
      </c>
      <c r="F194" s="5" t="e">
        <f>VLOOKUP(B194,'Türkkep Jira'!B:F,5,0)</f>
        <v>#N/A</v>
      </c>
      <c r="G194" t="str">
        <f>IF(IFERROR(VLOOKUP(B194,'Devam Eden Sprint'!B:B,1,0),"-")=B194,"Devam Eden Sprint","-")</f>
        <v>-</v>
      </c>
      <c r="H194" t="str">
        <f>IF(IFERROR(VLOOKUP(B194,'Gelecek Sprint'!B:B,1,0),"-")=B194,"Gelecek Sprint","-")</f>
        <v>-</v>
      </c>
      <c r="I194" t="str">
        <f t="shared" ref="I194:I257" si="9">IFERROR(IF(AND(G194="Devam Eden Sprint",H194="Gelecek Sprint"),"Devam Eden ve Gelecek Sprint",IF(G194="Devam Eden Sprint","Devam Eden Sprint",IF(H194="Gelecek Sprint","Gelecek Sprint","Ürün İş Listesi"))),"Ürün İş Listesi")</f>
        <v>Ürün İş Listesi</v>
      </c>
      <c r="J194" s="5">
        <v>5</v>
      </c>
    </row>
    <row r="195" spans="1:10" x14ac:dyDescent="0.25">
      <c r="A195" t="s">
        <v>14</v>
      </c>
      <c r="B195" t="s">
        <v>437</v>
      </c>
      <c r="C195" t="s">
        <v>16</v>
      </c>
      <c r="D195" t="s">
        <v>438</v>
      </c>
      <c r="E195" s="5" t="s">
        <v>428</v>
      </c>
      <c r="F195" s="5" t="e">
        <f>VLOOKUP(B195,'Türkkep Jira'!B:F,5,0)</f>
        <v>#N/A</v>
      </c>
      <c r="G195" t="str">
        <f>IF(IFERROR(VLOOKUP(B195,'Devam Eden Sprint'!B:B,1,0),"-")=B195,"Devam Eden Sprint","-")</f>
        <v>-</v>
      </c>
      <c r="H195" t="str">
        <f>IF(IFERROR(VLOOKUP(B195,'Gelecek Sprint'!B:B,1,0),"-")=B195,"Gelecek Sprint","-")</f>
        <v>-</v>
      </c>
      <c r="I195" t="str">
        <f t="shared" si="9"/>
        <v>Ürün İş Listesi</v>
      </c>
      <c r="J195" s="5">
        <v>8</v>
      </c>
    </row>
    <row r="196" spans="1:10" x14ac:dyDescent="0.25">
      <c r="A196" t="s">
        <v>14</v>
      </c>
      <c r="B196" t="s">
        <v>439</v>
      </c>
      <c r="C196" t="s">
        <v>16</v>
      </c>
      <c r="D196" t="s">
        <v>440</v>
      </c>
      <c r="E196" s="5" t="s">
        <v>428</v>
      </c>
      <c r="F196" s="5" t="e">
        <f>VLOOKUP(B196,'Türkkep Jira'!B:F,5,0)</f>
        <v>#N/A</v>
      </c>
      <c r="G196" t="str">
        <f>IF(IFERROR(VLOOKUP(B196,'Devam Eden Sprint'!B:B,1,0),"-")=B196,"Devam Eden Sprint","-")</f>
        <v>-</v>
      </c>
      <c r="H196" t="str">
        <f>IF(IFERROR(VLOOKUP(B196,'Gelecek Sprint'!B:B,1,0),"-")=B196,"Gelecek Sprint","-")</f>
        <v>-</v>
      </c>
      <c r="I196" t="str">
        <f t="shared" si="9"/>
        <v>Ürün İş Listesi</v>
      </c>
      <c r="J196" s="5">
        <v>8</v>
      </c>
    </row>
    <row r="197" spans="1:10" x14ac:dyDescent="0.25">
      <c r="A197" t="s">
        <v>14</v>
      </c>
      <c r="B197" t="s">
        <v>441</v>
      </c>
      <c r="C197" t="s">
        <v>16</v>
      </c>
      <c r="D197" t="s">
        <v>442</v>
      </c>
      <c r="E197" s="5" t="s">
        <v>428</v>
      </c>
      <c r="F197" s="5" t="e">
        <f>VLOOKUP(B197,'Türkkep Jira'!B:F,5,0)</f>
        <v>#N/A</v>
      </c>
      <c r="G197" t="str">
        <f>IF(IFERROR(VLOOKUP(B197,'Devam Eden Sprint'!B:B,1,0),"-")=B197,"Devam Eden Sprint","-")</f>
        <v>-</v>
      </c>
      <c r="H197" t="str">
        <f>IF(IFERROR(VLOOKUP(B197,'Gelecek Sprint'!B:B,1,0),"-")=B197,"Gelecek Sprint","-")</f>
        <v>-</v>
      </c>
      <c r="I197" t="str">
        <f t="shared" si="9"/>
        <v>Ürün İş Listesi</v>
      </c>
      <c r="J197" s="5">
        <v>5</v>
      </c>
    </row>
    <row r="198" spans="1:10" x14ac:dyDescent="0.25">
      <c r="A198" t="s">
        <v>14</v>
      </c>
      <c r="B198" t="s">
        <v>443</v>
      </c>
      <c r="C198" t="s">
        <v>16</v>
      </c>
      <c r="D198" t="s">
        <v>444</v>
      </c>
      <c r="E198" s="5" t="s">
        <v>428</v>
      </c>
      <c r="F198" s="5" t="e">
        <f>VLOOKUP(B198,'Türkkep Jira'!B:F,5,0)</f>
        <v>#N/A</v>
      </c>
      <c r="G198" t="str">
        <f>IF(IFERROR(VLOOKUP(B198,'Devam Eden Sprint'!B:B,1,0),"-")=B198,"Devam Eden Sprint","-")</f>
        <v>-</v>
      </c>
      <c r="H198" t="str">
        <f>IF(IFERROR(VLOOKUP(B198,'Gelecek Sprint'!B:B,1,0),"-")=B198,"Gelecek Sprint","-")</f>
        <v>-</v>
      </c>
      <c r="I198" t="str">
        <f t="shared" si="9"/>
        <v>Ürün İş Listesi</v>
      </c>
      <c r="J198" s="5">
        <v>1</v>
      </c>
    </row>
    <row r="199" spans="1:10" x14ac:dyDescent="0.25">
      <c r="A199" t="s">
        <v>14</v>
      </c>
      <c r="B199" t="s">
        <v>445</v>
      </c>
      <c r="C199" t="s">
        <v>16</v>
      </c>
      <c r="D199" t="s">
        <v>446</v>
      </c>
      <c r="E199" s="5" t="s">
        <v>428</v>
      </c>
      <c r="F199" s="5" t="e">
        <f>VLOOKUP(B199,'Türkkep Jira'!B:F,5,0)</f>
        <v>#N/A</v>
      </c>
      <c r="G199" t="str">
        <f>IF(IFERROR(VLOOKUP(B199,'Devam Eden Sprint'!B:B,1,0),"-")=B199,"Devam Eden Sprint","-")</f>
        <v>-</v>
      </c>
      <c r="H199" t="str">
        <f>IF(IFERROR(VLOOKUP(B199,'Gelecek Sprint'!B:B,1,0),"-")=B199,"Gelecek Sprint","-")</f>
        <v>-</v>
      </c>
      <c r="I199" t="str">
        <f t="shared" si="9"/>
        <v>Ürün İş Listesi</v>
      </c>
      <c r="J199" s="5">
        <v>3</v>
      </c>
    </row>
    <row r="200" spans="1:10" x14ac:dyDescent="0.25">
      <c r="A200" t="s">
        <v>14</v>
      </c>
      <c r="B200" t="s">
        <v>447</v>
      </c>
      <c r="C200" t="s">
        <v>16</v>
      </c>
      <c r="D200" t="s">
        <v>448</v>
      </c>
      <c r="E200" s="5" t="s">
        <v>428</v>
      </c>
      <c r="F200" s="5" t="e">
        <f>VLOOKUP(B200,'Türkkep Jira'!B:F,5,0)</f>
        <v>#N/A</v>
      </c>
      <c r="G200" t="str">
        <f>IF(IFERROR(VLOOKUP(B200,'Devam Eden Sprint'!B:B,1,0),"-")=B200,"Devam Eden Sprint","-")</f>
        <v>-</v>
      </c>
      <c r="H200" t="str">
        <f>IF(IFERROR(VLOOKUP(B200,'Gelecek Sprint'!B:B,1,0),"-")=B200,"Gelecek Sprint","-")</f>
        <v>-</v>
      </c>
      <c r="I200" t="str">
        <f t="shared" si="9"/>
        <v>Ürün İş Listesi</v>
      </c>
      <c r="J200" s="5">
        <v>5</v>
      </c>
    </row>
    <row r="201" spans="1:10" x14ac:dyDescent="0.25">
      <c r="A201" t="s">
        <v>14</v>
      </c>
      <c r="B201" t="s">
        <v>449</v>
      </c>
      <c r="C201" t="s">
        <v>16</v>
      </c>
      <c r="D201" t="s">
        <v>450</v>
      </c>
      <c r="E201" s="5" t="s">
        <v>428</v>
      </c>
      <c r="F201" s="5" t="e">
        <f>VLOOKUP(B201,'Türkkep Jira'!B:F,5,0)</f>
        <v>#N/A</v>
      </c>
      <c r="G201" t="str">
        <f>IF(IFERROR(VLOOKUP(B201,'Devam Eden Sprint'!B:B,1,0),"-")=B201,"Devam Eden Sprint","-")</f>
        <v>-</v>
      </c>
      <c r="H201" t="str">
        <f>IF(IFERROR(VLOOKUP(B201,'Gelecek Sprint'!B:B,1,0),"-")=B201,"Gelecek Sprint","-")</f>
        <v>-</v>
      </c>
      <c r="I201" t="str">
        <f t="shared" si="9"/>
        <v>Ürün İş Listesi</v>
      </c>
      <c r="J201" s="5">
        <v>2</v>
      </c>
    </row>
    <row r="202" spans="1:10" x14ac:dyDescent="0.25">
      <c r="A202" t="s">
        <v>14</v>
      </c>
      <c r="B202" t="s">
        <v>451</v>
      </c>
      <c r="C202" t="s">
        <v>16</v>
      </c>
      <c r="D202" t="s">
        <v>452</v>
      </c>
      <c r="E202" s="5" t="s">
        <v>428</v>
      </c>
      <c r="F202" s="5" t="e">
        <f>VLOOKUP(B202,'Türkkep Jira'!B:F,5,0)</f>
        <v>#N/A</v>
      </c>
      <c r="G202" t="str">
        <f>IF(IFERROR(VLOOKUP(B202,'Devam Eden Sprint'!B:B,1,0),"-")=B202,"Devam Eden Sprint","-")</f>
        <v>-</v>
      </c>
      <c r="H202" t="str">
        <f>IF(IFERROR(VLOOKUP(B202,'Gelecek Sprint'!B:B,1,0),"-")=B202,"Gelecek Sprint","-")</f>
        <v>-</v>
      </c>
      <c r="I202" t="str">
        <f t="shared" si="9"/>
        <v>Ürün İş Listesi</v>
      </c>
      <c r="J202" s="5">
        <v>2</v>
      </c>
    </row>
    <row r="203" spans="1:10" x14ac:dyDescent="0.25">
      <c r="A203" t="s">
        <v>14</v>
      </c>
      <c r="B203" t="s">
        <v>453</v>
      </c>
      <c r="C203" t="s">
        <v>16</v>
      </c>
      <c r="D203" t="s">
        <v>454</v>
      </c>
      <c r="E203" s="5" t="s">
        <v>455</v>
      </c>
      <c r="F203" s="5" t="e">
        <f>VLOOKUP(B203,'Türkkep Jira'!B:F,5,0)</f>
        <v>#N/A</v>
      </c>
      <c r="G203" t="str">
        <f>IF(IFERROR(VLOOKUP(B203,'Devam Eden Sprint'!B:B,1,0),"-")=B203,"Devam Eden Sprint","-")</f>
        <v>-</v>
      </c>
      <c r="H203" t="str">
        <f>IF(IFERROR(VLOOKUP(B203,'Gelecek Sprint'!B:B,1,0),"-")=B203,"Gelecek Sprint","-")</f>
        <v>-</v>
      </c>
      <c r="I203" t="str">
        <f t="shared" si="9"/>
        <v>Ürün İş Listesi</v>
      </c>
      <c r="J203" s="5">
        <v>8</v>
      </c>
    </row>
    <row r="204" spans="1:10" x14ac:dyDescent="0.25">
      <c r="A204" t="s">
        <v>14</v>
      </c>
      <c r="B204" t="s">
        <v>456</v>
      </c>
      <c r="C204" t="s">
        <v>16</v>
      </c>
      <c r="D204" t="s">
        <v>457</v>
      </c>
      <c r="E204" s="5" t="s">
        <v>458</v>
      </c>
      <c r="F204" s="5" t="e">
        <f>VLOOKUP(B204,'Türkkep Jira'!B:F,5,0)</f>
        <v>#N/A</v>
      </c>
      <c r="G204" t="str">
        <f>IF(IFERROR(VLOOKUP(B204,'Devam Eden Sprint'!B:B,1,0),"-")=B204,"Devam Eden Sprint","-")</f>
        <v>-</v>
      </c>
      <c r="H204" t="str">
        <f>IF(IFERROR(VLOOKUP(B204,'Gelecek Sprint'!B:B,1,0),"-")=B204,"Gelecek Sprint","-")</f>
        <v>-</v>
      </c>
      <c r="I204" t="str">
        <f t="shared" si="9"/>
        <v>Ürün İş Listesi</v>
      </c>
    </row>
    <row r="205" spans="1:10" x14ac:dyDescent="0.25">
      <c r="A205" t="s">
        <v>14</v>
      </c>
      <c r="B205" t="s">
        <v>459</v>
      </c>
      <c r="C205" t="s">
        <v>16</v>
      </c>
      <c r="D205" t="s">
        <v>460</v>
      </c>
      <c r="E205" s="5" t="s">
        <v>458</v>
      </c>
      <c r="F205" s="5" t="e">
        <f>VLOOKUP(B205,'Türkkep Jira'!B:F,5,0)</f>
        <v>#N/A</v>
      </c>
      <c r="G205" t="str">
        <f>IF(IFERROR(VLOOKUP(B205,'Devam Eden Sprint'!B:B,1,0),"-")=B205,"Devam Eden Sprint","-")</f>
        <v>-</v>
      </c>
      <c r="H205" t="str">
        <f>IF(IFERROR(VLOOKUP(B205,'Gelecek Sprint'!B:B,1,0),"-")=B205,"Gelecek Sprint","-")</f>
        <v>-</v>
      </c>
      <c r="I205" t="str">
        <f t="shared" si="9"/>
        <v>Ürün İş Listesi</v>
      </c>
    </row>
    <row r="206" spans="1:10" x14ac:dyDescent="0.25">
      <c r="A206" t="s">
        <v>77</v>
      </c>
      <c r="B206" t="s">
        <v>461</v>
      </c>
      <c r="C206" t="s">
        <v>16</v>
      </c>
      <c r="D206" t="s">
        <v>462</v>
      </c>
      <c r="E206" s="5" t="s">
        <v>59</v>
      </c>
      <c r="F206" s="5" t="e">
        <f>VLOOKUP(B206,'Türkkep Jira'!B:F,5,0)</f>
        <v>#N/A</v>
      </c>
      <c r="G206" t="str">
        <f>IF(IFERROR(VLOOKUP(B206,'Devam Eden Sprint'!B:B,1,0),"-")=B206,"Devam Eden Sprint","-")</f>
        <v>-</v>
      </c>
      <c r="H206" t="str">
        <f>IF(IFERROR(VLOOKUP(B206,'Gelecek Sprint'!B:B,1,0),"-")=B206,"Gelecek Sprint","-")</f>
        <v>-</v>
      </c>
      <c r="I206" t="str">
        <f t="shared" si="9"/>
        <v>Ürün İş Listesi</v>
      </c>
    </row>
    <row r="207" spans="1:10" x14ac:dyDescent="0.25">
      <c r="A207" t="s">
        <v>14</v>
      </c>
      <c r="B207" t="s">
        <v>463</v>
      </c>
      <c r="C207" t="s">
        <v>16</v>
      </c>
      <c r="D207" t="s">
        <v>464</v>
      </c>
      <c r="E207" s="5" t="s">
        <v>59</v>
      </c>
      <c r="F207" s="5" t="e">
        <f>VLOOKUP(B207,'Türkkep Jira'!B:F,5,0)</f>
        <v>#N/A</v>
      </c>
      <c r="G207" t="str">
        <f>IF(IFERROR(VLOOKUP(B207,'Devam Eden Sprint'!B:B,1,0),"-")=B207,"Devam Eden Sprint","-")</f>
        <v>-</v>
      </c>
      <c r="H207" t="str">
        <f>IF(IFERROR(VLOOKUP(B207,'Gelecek Sprint'!B:B,1,0),"-")=B207,"Gelecek Sprint","-")</f>
        <v>-</v>
      </c>
      <c r="I207" t="str">
        <f t="shared" si="9"/>
        <v>Ürün İş Listesi</v>
      </c>
      <c r="J207" s="5">
        <v>1</v>
      </c>
    </row>
    <row r="208" spans="1:10" x14ac:dyDescent="0.25">
      <c r="A208" t="s">
        <v>14</v>
      </c>
      <c r="B208" t="s">
        <v>465</v>
      </c>
      <c r="C208" t="s">
        <v>16</v>
      </c>
      <c r="D208" t="s">
        <v>466</v>
      </c>
      <c r="E208" s="5" t="s">
        <v>59</v>
      </c>
      <c r="F208" s="5" t="e">
        <f>VLOOKUP(B208,'Türkkep Jira'!B:F,5,0)</f>
        <v>#N/A</v>
      </c>
      <c r="G208" t="str">
        <f>IF(IFERROR(VLOOKUP(B208,'Devam Eden Sprint'!B:B,1,0),"-")=B208,"Devam Eden Sprint","-")</f>
        <v>-</v>
      </c>
      <c r="H208" t="str">
        <f>IF(IFERROR(VLOOKUP(B208,'Gelecek Sprint'!B:B,1,0),"-")=B208,"Gelecek Sprint","-")</f>
        <v>-</v>
      </c>
      <c r="I208" t="str">
        <f t="shared" si="9"/>
        <v>Ürün İş Listesi</v>
      </c>
      <c r="J208" s="5">
        <v>1</v>
      </c>
    </row>
    <row r="209" spans="1:10" x14ac:dyDescent="0.25">
      <c r="A209" t="s">
        <v>77</v>
      </c>
      <c r="B209" t="s">
        <v>467</v>
      </c>
      <c r="C209" t="s">
        <v>16</v>
      </c>
      <c r="D209" t="s">
        <v>468</v>
      </c>
      <c r="E209" s="5" t="s">
        <v>59</v>
      </c>
      <c r="F209" s="5" t="e">
        <f>VLOOKUP(B209,'Türkkep Jira'!B:F,5,0)</f>
        <v>#N/A</v>
      </c>
      <c r="G209" t="str">
        <f>IF(IFERROR(VLOOKUP(B209,'Devam Eden Sprint'!B:B,1,0),"-")=B209,"Devam Eden Sprint","-")</f>
        <v>-</v>
      </c>
      <c r="H209" t="str">
        <f>IF(IFERROR(VLOOKUP(B209,'Gelecek Sprint'!B:B,1,0),"-")=B209,"Gelecek Sprint","-")</f>
        <v>-</v>
      </c>
      <c r="I209" t="str">
        <f t="shared" si="9"/>
        <v>Ürün İş Listesi</v>
      </c>
      <c r="J209" s="5">
        <v>1</v>
      </c>
    </row>
    <row r="210" spans="1:10" x14ac:dyDescent="0.25">
      <c r="A210" t="s">
        <v>14</v>
      </c>
      <c r="B210" t="s">
        <v>469</v>
      </c>
      <c r="C210" t="s">
        <v>16</v>
      </c>
      <c r="D210" t="s">
        <v>470</v>
      </c>
      <c r="E210" s="5" t="s">
        <v>59</v>
      </c>
      <c r="F210" s="5" t="e">
        <f>VLOOKUP(B210,'Türkkep Jira'!B:F,5,0)</f>
        <v>#N/A</v>
      </c>
      <c r="G210" t="str">
        <f>IF(IFERROR(VLOOKUP(B210,'Devam Eden Sprint'!B:B,1,0),"-")=B210,"Devam Eden Sprint","-")</f>
        <v>-</v>
      </c>
      <c r="H210" t="str">
        <f>IF(IFERROR(VLOOKUP(B210,'Gelecek Sprint'!B:B,1,0),"-")=B210,"Gelecek Sprint","-")</f>
        <v>-</v>
      </c>
      <c r="I210" t="str">
        <f t="shared" si="9"/>
        <v>Ürün İş Listesi</v>
      </c>
      <c r="J210" s="5">
        <v>3</v>
      </c>
    </row>
    <row r="211" spans="1:10" x14ac:dyDescent="0.25">
      <c r="A211" t="s">
        <v>14</v>
      </c>
      <c r="B211" t="s">
        <v>471</v>
      </c>
      <c r="C211" t="s">
        <v>16</v>
      </c>
      <c r="D211" t="s">
        <v>472</v>
      </c>
      <c r="E211" s="5" t="s">
        <v>59</v>
      </c>
      <c r="F211" s="5" t="e">
        <f>VLOOKUP(B211,'Türkkep Jira'!B:F,5,0)</f>
        <v>#N/A</v>
      </c>
      <c r="G211" t="str">
        <f>IF(IFERROR(VLOOKUP(B211,'Devam Eden Sprint'!B:B,1,0),"-")=B211,"Devam Eden Sprint","-")</f>
        <v>-</v>
      </c>
      <c r="H211" t="str">
        <f>IF(IFERROR(VLOOKUP(B211,'Gelecek Sprint'!B:B,1,0),"-")=B211,"Gelecek Sprint","-")</f>
        <v>-</v>
      </c>
      <c r="I211" t="str">
        <f t="shared" si="9"/>
        <v>Ürün İş Listesi</v>
      </c>
      <c r="J211" s="5">
        <v>1</v>
      </c>
    </row>
    <row r="212" spans="1:10" x14ac:dyDescent="0.25">
      <c r="A212" t="s">
        <v>14</v>
      </c>
      <c r="B212" t="s">
        <v>473</v>
      </c>
      <c r="C212" t="s">
        <v>16</v>
      </c>
      <c r="D212" t="s">
        <v>474</v>
      </c>
      <c r="E212" s="5" t="s">
        <v>59</v>
      </c>
      <c r="F212" s="5" t="e">
        <f>VLOOKUP(B212,'Türkkep Jira'!B:F,5,0)</f>
        <v>#N/A</v>
      </c>
      <c r="G212" t="str">
        <f>IF(IFERROR(VLOOKUP(B212,'Devam Eden Sprint'!B:B,1,0),"-")=B212,"Devam Eden Sprint","-")</f>
        <v>-</v>
      </c>
      <c r="H212" t="str">
        <f>IF(IFERROR(VLOOKUP(B212,'Gelecek Sprint'!B:B,1,0),"-")=B212,"Gelecek Sprint","-")</f>
        <v>-</v>
      </c>
      <c r="I212" t="str">
        <f t="shared" si="9"/>
        <v>Ürün İş Listesi</v>
      </c>
      <c r="J212" s="5">
        <v>1</v>
      </c>
    </row>
    <row r="213" spans="1:10" x14ac:dyDescent="0.25">
      <c r="A213" t="s">
        <v>14</v>
      </c>
      <c r="B213" t="s">
        <v>475</v>
      </c>
      <c r="C213" t="s">
        <v>16</v>
      </c>
      <c r="D213" t="s">
        <v>476</v>
      </c>
      <c r="E213" s="5" t="s">
        <v>59</v>
      </c>
      <c r="F213" s="5" t="e">
        <f>VLOOKUP(B213,'Türkkep Jira'!B:F,5,0)</f>
        <v>#N/A</v>
      </c>
      <c r="G213" t="str">
        <f>IF(IFERROR(VLOOKUP(B213,'Devam Eden Sprint'!B:B,1,0),"-")=B213,"Devam Eden Sprint","-")</f>
        <v>-</v>
      </c>
      <c r="H213" t="str">
        <f>IF(IFERROR(VLOOKUP(B213,'Gelecek Sprint'!B:B,1,0),"-")=B213,"Gelecek Sprint","-")</f>
        <v>-</v>
      </c>
      <c r="I213" t="str">
        <f t="shared" si="9"/>
        <v>Ürün İş Listesi</v>
      </c>
      <c r="J213" s="5">
        <v>1</v>
      </c>
    </row>
    <row r="214" spans="1:10" x14ac:dyDescent="0.25">
      <c r="A214" t="s">
        <v>14</v>
      </c>
      <c r="B214" t="s">
        <v>477</v>
      </c>
      <c r="C214" t="s">
        <v>16</v>
      </c>
      <c r="D214" t="s">
        <v>478</v>
      </c>
      <c r="E214" s="5" t="s">
        <v>59</v>
      </c>
      <c r="F214" s="5" t="e">
        <f>VLOOKUP(B214,'Türkkep Jira'!B:F,5,0)</f>
        <v>#N/A</v>
      </c>
      <c r="G214" t="str">
        <f>IF(IFERROR(VLOOKUP(B214,'Devam Eden Sprint'!B:B,1,0),"-")=B214,"Devam Eden Sprint","-")</f>
        <v>-</v>
      </c>
      <c r="H214" t="str">
        <f>IF(IFERROR(VLOOKUP(B214,'Gelecek Sprint'!B:B,1,0),"-")=B214,"Gelecek Sprint","-")</f>
        <v>-</v>
      </c>
      <c r="I214" t="str">
        <f t="shared" si="9"/>
        <v>Ürün İş Listesi</v>
      </c>
      <c r="J214" s="5">
        <v>1</v>
      </c>
    </row>
    <row r="215" spans="1:10" x14ac:dyDescent="0.25">
      <c r="A215" t="s">
        <v>77</v>
      </c>
      <c r="B215" t="s">
        <v>479</v>
      </c>
      <c r="C215" t="s">
        <v>16</v>
      </c>
      <c r="D215" t="s">
        <v>480</v>
      </c>
      <c r="E215" s="5" t="s">
        <v>59</v>
      </c>
      <c r="F215" s="5" t="e">
        <f>VLOOKUP(B215,'Türkkep Jira'!B:F,5,0)</f>
        <v>#N/A</v>
      </c>
      <c r="G215" t="str">
        <f>IF(IFERROR(VLOOKUP(B215,'Devam Eden Sprint'!B:B,1,0),"-")=B215,"Devam Eden Sprint","-")</f>
        <v>-</v>
      </c>
      <c r="H215" t="str">
        <f>IF(IFERROR(VLOOKUP(B215,'Gelecek Sprint'!B:B,1,0),"-")=B215,"Gelecek Sprint","-")</f>
        <v>-</v>
      </c>
      <c r="I215" t="str">
        <f t="shared" si="9"/>
        <v>Ürün İş Listesi</v>
      </c>
      <c r="J215" s="5">
        <v>1</v>
      </c>
    </row>
    <row r="216" spans="1:10" x14ac:dyDescent="0.25">
      <c r="A216" t="s">
        <v>77</v>
      </c>
      <c r="B216" t="s">
        <v>481</v>
      </c>
      <c r="C216" t="s">
        <v>16</v>
      </c>
      <c r="D216" t="s">
        <v>482</v>
      </c>
      <c r="E216" s="5" t="s">
        <v>59</v>
      </c>
      <c r="F216" s="5" t="e">
        <f>VLOOKUP(B216,'Türkkep Jira'!B:F,5,0)</f>
        <v>#N/A</v>
      </c>
      <c r="G216" t="str">
        <f>IF(IFERROR(VLOOKUP(B216,'Devam Eden Sprint'!B:B,1,0),"-")=B216,"Devam Eden Sprint","-")</f>
        <v>-</v>
      </c>
      <c r="H216" t="str">
        <f>IF(IFERROR(VLOOKUP(B216,'Gelecek Sprint'!B:B,1,0),"-")=B216,"Gelecek Sprint","-")</f>
        <v>-</v>
      </c>
      <c r="I216" t="str">
        <f t="shared" si="9"/>
        <v>Ürün İş Listesi</v>
      </c>
      <c r="J216" s="5">
        <v>1</v>
      </c>
    </row>
    <row r="217" spans="1:10" x14ac:dyDescent="0.25">
      <c r="A217" t="s">
        <v>14</v>
      </c>
      <c r="B217" t="s">
        <v>483</v>
      </c>
      <c r="C217" t="s">
        <v>16</v>
      </c>
      <c r="D217" t="s">
        <v>484</v>
      </c>
      <c r="E217" s="5" t="s">
        <v>59</v>
      </c>
      <c r="F217" s="5" t="e">
        <f>VLOOKUP(B217,'Türkkep Jira'!B:F,5,0)</f>
        <v>#N/A</v>
      </c>
      <c r="G217" t="str">
        <f>IF(IFERROR(VLOOKUP(B217,'Devam Eden Sprint'!B:B,1,0),"-")=B217,"Devam Eden Sprint","-")</f>
        <v>-</v>
      </c>
      <c r="H217" t="str">
        <f>IF(IFERROR(VLOOKUP(B217,'Gelecek Sprint'!B:B,1,0),"-")=B217,"Gelecek Sprint","-")</f>
        <v>-</v>
      </c>
      <c r="I217" t="str">
        <f t="shared" si="9"/>
        <v>Ürün İş Listesi</v>
      </c>
      <c r="J217" s="5">
        <v>3</v>
      </c>
    </row>
    <row r="218" spans="1:10" x14ac:dyDescent="0.25">
      <c r="A218" t="s">
        <v>77</v>
      </c>
      <c r="B218" t="s">
        <v>485</v>
      </c>
      <c r="C218" t="s">
        <v>16</v>
      </c>
      <c r="D218" t="s">
        <v>486</v>
      </c>
      <c r="E218" s="5" t="s">
        <v>59</v>
      </c>
      <c r="F218" s="5" t="e">
        <f>VLOOKUP(B218,'Türkkep Jira'!B:F,5,0)</f>
        <v>#N/A</v>
      </c>
      <c r="G218" t="str">
        <f>IF(IFERROR(VLOOKUP(B218,'Devam Eden Sprint'!B:B,1,0),"-")=B218,"Devam Eden Sprint","-")</f>
        <v>-</v>
      </c>
      <c r="H218" t="str">
        <f>IF(IFERROR(VLOOKUP(B218,'Gelecek Sprint'!B:B,1,0),"-")=B218,"Gelecek Sprint","-")</f>
        <v>-</v>
      </c>
      <c r="I218" t="str">
        <f t="shared" si="9"/>
        <v>Ürün İş Listesi</v>
      </c>
      <c r="J218" s="5">
        <v>1</v>
      </c>
    </row>
    <row r="219" spans="1:10" x14ac:dyDescent="0.25">
      <c r="A219" t="s">
        <v>77</v>
      </c>
      <c r="B219" t="s">
        <v>487</v>
      </c>
      <c r="C219" t="s">
        <v>16</v>
      </c>
      <c r="D219" t="s">
        <v>488</v>
      </c>
      <c r="E219" s="5" t="s">
        <v>59</v>
      </c>
      <c r="F219" s="5" t="e">
        <f>VLOOKUP(B219,'Türkkep Jira'!B:F,5,0)</f>
        <v>#N/A</v>
      </c>
      <c r="G219" t="str">
        <f>IF(IFERROR(VLOOKUP(B219,'Devam Eden Sprint'!B:B,1,0),"-")=B219,"Devam Eden Sprint","-")</f>
        <v>-</v>
      </c>
      <c r="H219" t="str">
        <f>IF(IFERROR(VLOOKUP(B219,'Gelecek Sprint'!B:B,1,0),"-")=B219,"Gelecek Sprint","-")</f>
        <v>-</v>
      </c>
      <c r="I219" t="str">
        <f t="shared" si="9"/>
        <v>Ürün İş Listesi</v>
      </c>
      <c r="J219" s="5">
        <v>1</v>
      </c>
    </row>
    <row r="220" spans="1:10" x14ac:dyDescent="0.25">
      <c r="A220" t="s">
        <v>14</v>
      </c>
      <c r="B220" t="s">
        <v>489</v>
      </c>
      <c r="C220" t="s">
        <v>16</v>
      </c>
      <c r="D220" t="s">
        <v>340</v>
      </c>
      <c r="E220" s="5" t="s">
        <v>59</v>
      </c>
      <c r="F220" s="5" t="e">
        <f>VLOOKUP(B220,'Türkkep Jira'!B:F,5,0)</f>
        <v>#N/A</v>
      </c>
      <c r="G220" t="str">
        <f>IF(IFERROR(VLOOKUP(B220,'Devam Eden Sprint'!B:B,1,0),"-")=B220,"Devam Eden Sprint","-")</f>
        <v>-</v>
      </c>
      <c r="H220" t="str">
        <f>IF(IFERROR(VLOOKUP(B220,'Gelecek Sprint'!B:B,1,0),"-")=B220,"Gelecek Sprint","-")</f>
        <v>-</v>
      </c>
      <c r="I220" t="str">
        <f t="shared" si="9"/>
        <v>Ürün İş Listesi</v>
      </c>
      <c r="J220" s="5">
        <v>3</v>
      </c>
    </row>
    <row r="221" spans="1:10" x14ac:dyDescent="0.25">
      <c r="A221" t="s">
        <v>14</v>
      </c>
      <c r="B221" t="s">
        <v>490</v>
      </c>
      <c r="C221" t="s">
        <v>16</v>
      </c>
      <c r="D221" t="s">
        <v>491</v>
      </c>
      <c r="E221" s="5" t="s">
        <v>59</v>
      </c>
      <c r="F221" s="5" t="e">
        <f>VLOOKUP(B221,'Türkkep Jira'!B:F,5,0)</f>
        <v>#N/A</v>
      </c>
      <c r="G221" t="str">
        <f>IF(IFERROR(VLOOKUP(B221,'Devam Eden Sprint'!B:B,1,0),"-")=B221,"Devam Eden Sprint","-")</f>
        <v>-</v>
      </c>
      <c r="H221" t="str">
        <f>IF(IFERROR(VLOOKUP(B221,'Gelecek Sprint'!B:B,1,0),"-")=B221,"Gelecek Sprint","-")</f>
        <v>-</v>
      </c>
      <c r="I221" t="str">
        <f t="shared" si="9"/>
        <v>Ürün İş Listesi</v>
      </c>
      <c r="J221" s="5">
        <v>2</v>
      </c>
    </row>
    <row r="222" spans="1:10" x14ac:dyDescent="0.25">
      <c r="A222" t="s">
        <v>77</v>
      </c>
      <c r="B222" t="s">
        <v>492</v>
      </c>
      <c r="C222" t="s">
        <v>192</v>
      </c>
      <c r="D222" t="s">
        <v>462</v>
      </c>
      <c r="E222" s="5" t="s">
        <v>62</v>
      </c>
      <c r="F222" s="5" t="e">
        <f>VLOOKUP(B222,'Türkkep Jira'!B:F,5,0)</f>
        <v>#N/A</v>
      </c>
      <c r="G222" t="str">
        <f>IF(IFERROR(VLOOKUP(B222,'Devam Eden Sprint'!B:B,1,0),"-")=B222,"Devam Eden Sprint","-")</f>
        <v>-</v>
      </c>
      <c r="H222" t="str">
        <f>IF(IFERROR(VLOOKUP(B222,'Gelecek Sprint'!B:B,1,0),"-")=B222,"Gelecek Sprint","-")</f>
        <v>-</v>
      </c>
      <c r="I222" t="str">
        <f t="shared" si="9"/>
        <v>Ürün İş Listesi</v>
      </c>
    </row>
    <row r="223" spans="1:10" x14ac:dyDescent="0.25">
      <c r="A223" t="s">
        <v>14</v>
      </c>
      <c r="B223" t="s">
        <v>493</v>
      </c>
      <c r="C223" t="s">
        <v>16</v>
      </c>
      <c r="D223" t="s">
        <v>494</v>
      </c>
      <c r="E223" s="5" t="s">
        <v>62</v>
      </c>
      <c r="F223" s="5" t="e">
        <f>VLOOKUP(B223,'Türkkep Jira'!B:F,5,0)</f>
        <v>#N/A</v>
      </c>
      <c r="G223" t="str">
        <f>IF(IFERROR(VLOOKUP(B223,'Devam Eden Sprint'!B:B,1,0),"-")=B223,"Devam Eden Sprint","-")</f>
        <v>-</v>
      </c>
      <c r="H223" t="str">
        <f>IF(IFERROR(VLOOKUP(B223,'Gelecek Sprint'!B:B,1,0),"-")=B223,"Gelecek Sprint","-")</f>
        <v>-</v>
      </c>
      <c r="I223" t="str">
        <f t="shared" si="9"/>
        <v>Ürün İş Listesi</v>
      </c>
    </row>
    <row r="224" spans="1:10" x14ac:dyDescent="0.25">
      <c r="A224" t="s">
        <v>14</v>
      </c>
      <c r="B224" t="s">
        <v>495</v>
      </c>
      <c r="C224" t="s">
        <v>16</v>
      </c>
      <c r="D224" t="s">
        <v>496</v>
      </c>
      <c r="E224" s="5" t="s">
        <v>62</v>
      </c>
      <c r="F224" s="5" t="e">
        <f>VLOOKUP(B224,'Türkkep Jira'!B:F,5,0)</f>
        <v>#N/A</v>
      </c>
      <c r="G224" t="str">
        <f>IF(IFERROR(VLOOKUP(B224,'Devam Eden Sprint'!B:B,1,0),"-")=B224,"Devam Eden Sprint","-")</f>
        <v>-</v>
      </c>
      <c r="H224" t="str">
        <f>IF(IFERROR(VLOOKUP(B224,'Gelecek Sprint'!B:B,1,0),"-")=B224,"Gelecek Sprint","-")</f>
        <v>-</v>
      </c>
      <c r="I224" t="str">
        <f t="shared" si="9"/>
        <v>Ürün İş Listesi</v>
      </c>
    </row>
    <row r="225" spans="1:10" x14ac:dyDescent="0.25">
      <c r="A225" t="s">
        <v>14</v>
      </c>
      <c r="B225" t="s">
        <v>497</v>
      </c>
      <c r="C225" t="s">
        <v>16</v>
      </c>
      <c r="D225" t="s">
        <v>498</v>
      </c>
      <c r="E225" s="5" t="s">
        <v>62</v>
      </c>
      <c r="F225" s="5" t="e">
        <f>VLOOKUP(B225,'Türkkep Jira'!B:F,5,0)</f>
        <v>#N/A</v>
      </c>
      <c r="G225" t="str">
        <f>IF(IFERROR(VLOOKUP(B225,'Devam Eden Sprint'!B:B,1,0),"-")=B225,"Devam Eden Sprint","-")</f>
        <v>-</v>
      </c>
      <c r="H225" t="str">
        <f>IF(IFERROR(VLOOKUP(B225,'Gelecek Sprint'!B:B,1,0),"-")=B225,"Gelecek Sprint","-")</f>
        <v>-</v>
      </c>
      <c r="I225" t="str">
        <f t="shared" si="9"/>
        <v>Ürün İş Listesi</v>
      </c>
      <c r="J225" s="5">
        <v>5</v>
      </c>
    </row>
    <row r="226" spans="1:10" x14ac:dyDescent="0.25">
      <c r="A226" t="s">
        <v>14</v>
      </c>
      <c r="B226" t="s">
        <v>499</v>
      </c>
      <c r="C226" t="s">
        <v>16</v>
      </c>
      <c r="D226" t="s">
        <v>500</v>
      </c>
      <c r="E226" s="5" t="s">
        <v>62</v>
      </c>
      <c r="F226" s="5" t="e">
        <f>VLOOKUP(B226,'Türkkep Jira'!B:F,5,0)</f>
        <v>#N/A</v>
      </c>
      <c r="G226" t="str">
        <f>IF(IFERROR(VLOOKUP(B226,'Devam Eden Sprint'!B:B,1,0),"-")=B226,"Devam Eden Sprint","-")</f>
        <v>-</v>
      </c>
      <c r="H226" t="str">
        <f>IF(IFERROR(VLOOKUP(B226,'Gelecek Sprint'!B:B,1,0),"-")=B226,"Gelecek Sprint","-")</f>
        <v>-</v>
      </c>
      <c r="I226" t="str">
        <f t="shared" si="9"/>
        <v>Ürün İş Listesi</v>
      </c>
    </row>
    <row r="227" spans="1:10" x14ac:dyDescent="0.25">
      <c r="A227" t="s">
        <v>14</v>
      </c>
      <c r="B227" t="s">
        <v>501</v>
      </c>
      <c r="C227" t="s">
        <v>16</v>
      </c>
      <c r="D227" t="s">
        <v>502</v>
      </c>
      <c r="E227" s="5" t="s">
        <v>62</v>
      </c>
      <c r="F227" s="5" t="e">
        <f>VLOOKUP(B227,'Türkkep Jira'!B:F,5,0)</f>
        <v>#N/A</v>
      </c>
      <c r="G227" t="str">
        <f>IF(IFERROR(VLOOKUP(B227,'Devam Eden Sprint'!B:B,1,0),"-")=B227,"Devam Eden Sprint","-")</f>
        <v>-</v>
      </c>
      <c r="H227" t="str">
        <f>IF(IFERROR(VLOOKUP(B227,'Gelecek Sprint'!B:B,1,0),"-")=B227,"Gelecek Sprint","-")</f>
        <v>-</v>
      </c>
      <c r="I227" t="str">
        <f t="shared" si="9"/>
        <v>Ürün İş Listesi</v>
      </c>
      <c r="J227" s="5">
        <v>8</v>
      </c>
    </row>
    <row r="228" spans="1:10" x14ac:dyDescent="0.25">
      <c r="A228" t="s">
        <v>14</v>
      </c>
      <c r="B228" t="s">
        <v>503</v>
      </c>
      <c r="C228" t="s">
        <v>192</v>
      </c>
      <c r="D228" t="s">
        <v>504</v>
      </c>
      <c r="E228" s="5" t="s">
        <v>62</v>
      </c>
      <c r="F228" s="5" t="e">
        <f>VLOOKUP(B228,'Türkkep Jira'!B:F,5,0)</f>
        <v>#N/A</v>
      </c>
      <c r="G228" t="str">
        <f>IF(IFERROR(VLOOKUP(B228,'Devam Eden Sprint'!B:B,1,0),"-")=B228,"Devam Eden Sprint","-")</f>
        <v>-</v>
      </c>
      <c r="H228" t="str">
        <f>IF(IFERROR(VLOOKUP(B228,'Gelecek Sprint'!B:B,1,0),"-")=B228,"Gelecek Sprint","-")</f>
        <v>-</v>
      </c>
      <c r="I228" t="str">
        <f t="shared" si="9"/>
        <v>Ürün İş Listesi</v>
      </c>
    </row>
    <row r="229" spans="1:10" x14ac:dyDescent="0.25">
      <c r="A229" t="s">
        <v>14</v>
      </c>
      <c r="B229" t="s">
        <v>505</v>
      </c>
      <c r="C229" t="s">
        <v>10</v>
      </c>
      <c r="D229" t="s">
        <v>506</v>
      </c>
      <c r="E229" s="5" t="s">
        <v>62</v>
      </c>
      <c r="F229" s="5" t="e">
        <f>VLOOKUP(B229,'Türkkep Jira'!B:F,5,0)</f>
        <v>#N/A</v>
      </c>
      <c r="G229" t="str">
        <f>IF(IFERROR(VLOOKUP(B229,'Devam Eden Sprint'!B:B,1,0),"-")=B229,"Devam Eden Sprint","-")</f>
        <v>-</v>
      </c>
      <c r="H229" t="str">
        <f>IF(IFERROR(VLOOKUP(B229,'Gelecek Sprint'!B:B,1,0),"-")=B229,"Gelecek Sprint","-")</f>
        <v>-</v>
      </c>
      <c r="I229" t="str">
        <f t="shared" si="9"/>
        <v>Ürün İş Listesi</v>
      </c>
    </row>
    <row r="230" spans="1:10" x14ac:dyDescent="0.25">
      <c r="A230" t="s">
        <v>14</v>
      </c>
      <c r="B230" t="s">
        <v>507</v>
      </c>
      <c r="C230" t="s">
        <v>16</v>
      </c>
      <c r="D230" t="s">
        <v>508</v>
      </c>
      <c r="E230" s="5" t="s">
        <v>62</v>
      </c>
      <c r="F230" s="5" t="e">
        <f>VLOOKUP(B230,'Türkkep Jira'!B:F,5,0)</f>
        <v>#N/A</v>
      </c>
      <c r="G230" t="str">
        <f>IF(IFERROR(VLOOKUP(B230,'Devam Eden Sprint'!B:B,1,0),"-")=B230,"Devam Eden Sprint","-")</f>
        <v>-</v>
      </c>
      <c r="H230" t="str">
        <f>IF(IFERROR(VLOOKUP(B230,'Gelecek Sprint'!B:B,1,0),"-")=B230,"Gelecek Sprint","-")</f>
        <v>-</v>
      </c>
      <c r="I230" t="str">
        <f t="shared" si="9"/>
        <v>Ürün İş Listesi</v>
      </c>
    </row>
    <row r="231" spans="1:10" x14ac:dyDescent="0.25">
      <c r="A231" t="s">
        <v>14</v>
      </c>
      <c r="B231" t="s">
        <v>509</v>
      </c>
      <c r="C231" t="s">
        <v>16</v>
      </c>
      <c r="D231" t="s">
        <v>510</v>
      </c>
      <c r="E231" s="5" t="s">
        <v>62</v>
      </c>
      <c r="F231" s="5" t="e">
        <f>VLOOKUP(B231,'Türkkep Jira'!B:F,5,0)</f>
        <v>#N/A</v>
      </c>
      <c r="G231" t="str">
        <f>IF(IFERROR(VLOOKUP(B231,'Devam Eden Sprint'!B:B,1,0),"-")=B231,"Devam Eden Sprint","-")</f>
        <v>-</v>
      </c>
      <c r="H231" t="str">
        <f>IF(IFERROR(VLOOKUP(B231,'Gelecek Sprint'!B:B,1,0),"-")=B231,"Gelecek Sprint","-")</f>
        <v>-</v>
      </c>
      <c r="I231" t="str">
        <f t="shared" si="9"/>
        <v>Ürün İş Listesi</v>
      </c>
    </row>
    <row r="232" spans="1:10" x14ac:dyDescent="0.25">
      <c r="A232" t="s">
        <v>14</v>
      </c>
      <c r="B232" t="s">
        <v>511</v>
      </c>
      <c r="C232" t="s">
        <v>16</v>
      </c>
      <c r="D232" t="s">
        <v>512</v>
      </c>
      <c r="E232" s="5" t="s">
        <v>62</v>
      </c>
      <c r="F232" s="5" t="e">
        <f>VLOOKUP(B232,'Türkkep Jira'!B:F,5,0)</f>
        <v>#N/A</v>
      </c>
      <c r="G232" t="str">
        <f>IF(IFERROR(VLOOKUP(B232,'Devam Eden Sprint'!B:B,1,0),"-")=B232,"Devam Eden Sprint","-")</f>
        <v>-</v>
      </c>
      <c r="H232" t="str">
        <f>IF(IFERROR(VLOOKUP(B232,'Gelecek Sprint'!B:B,1,0),"-")=B232,"Gelecek Sprint","-")</f>
        <v>-</v>
      </c>
      <c r="I232" t="str">
        <f t="shared" si="9"/>
        <v>Ürün İş Listesi</v>
      </c>
    </row>
    <row r="233" spans="1:10" x14ac:dyDescent="0.25">
      <c r="A233" t="s">
        <v>77</v>
      </c>
      <c r="B233" t="s">
        <v>513</v>
      </c>
      <c r="C233" t="s">
        <v>16</v>
      </c>
      <c r="D233" t="s">
        <v>514</v>
      </c>
      <c r="E233" s="5" t="s">
        <v>62</v>
      </c>
      <c r="F233" s="5" t="e">
        <f>VLOOKUP(B233,'Türkkep Jira'!B:F,5,0)</f>
        <v>#N/A</v>
      </c>
      <c r="G233" t="str">
        <f>IF(IFERROR(VLOOKUP(B233,'Devam Eden Sprint'!B:B,1,0),"-")=B233,"Devam Eden Sprint","-")</f>
        <v>-</v>
      </c>
      <c r="H233" t="str">
        <f>IF(IFERROR(VLOOKUP(B233,'Gelecek Sprint'!B:B,1,0),"-")=B233,"Gelecek Sprint","-")</f>
        <v>-</v>
      </c>
      <c r="I233" t="str">
        <f t="shared" si="9"/>
        <v>Ürün İş Listesi</v>
      </c>
    </row>
    <row r="234" spans="1:10" x14ac:dyDescent="0.25">
      <c r="A234" t="s">
        <v>77</v>
      </c>
      <c r="B234" t="s">
        <v>515</v>
      </c>
      <c r="C234" t="s">
        <v>16</v>
      </c>
      <c r="D234" t="s">
        <v>516</v>
      </c>
      <c r="E234" s="5" t="s">
        <v>62</v>
      </c>
      <c r="F234" s="5" t="e">
        <f>VLOOKUP(B234,'Türkkep Jira'!B:F,5,0)</f>
        <v>#N/A</v>
      </c>
      <c r="G234" t="str">
        <f>IF(IFERROR(VLOOKUP(B234,'Devam Eden Sprint'!B:B,1,0),"-")=B234,"Devam Eden Sprint","-")</f>
        <v>-</v>
      </c>
      <c r="H234" t="str">
        <f>IF(IFERROR(VLOOKUP(B234,'Gelecek Sprint'!B:B,1,0),"-")=B234,"Gelecek Sprint","-")</f>
        <v>-</v>
      </c>
      <c r="I234" t="str">
        <f t="shared" si="9"/>
        <v>Ürün İş Listesi</v>
      </c>
    </row>
    <row r="235" spans="1:10" x14ac:dyDescent="0.25">
      <c r="A235" t="s">
        <v>14</v>
      </c>
      <c r="B235" t="s">
        <v>517</v>
      </c>
      <c r="C235" t="s">
        <v>10</v>
      </c>
      <c r="D235" t="s">
        <v>518</v>
      </c>
      <c r="E235" s="5" t="s">
        <v>62</v>
      </c>
      <c r="F235" s="5" t="e">
        <f>VLOOKUP(B235,'Türkkep Jira'!B:F,5,0)</f>
        <v>#N/A</v>
      </c>
      <c r="G235" t="str">
        <f>IF(IFERROR(VLOOKUP(B235,'Devam Eden Sprint'!B:B,1,0),"-")=B235,"Devam Eden Sprint","-")</f>
        <v>-</v>
      </c>
      <c r="H235" t="str">
        <f>IF(IFERROR(VLOOKUP(B235,'Gelecek Sprint'!B:B,1,0),"-")=B235,"Gelecek Sprint","-")</f>
        <v>-</v>
      </c>
      <c r="I235" t="str">
        <f t="shared" si="9"/>
        <v>Ürün İş Listesi</v>
      </c>
    </row>
    <row r="236" spans="1:10" x14ac:dyDescent="0.25">
      <c r="A236" t="s">
        <v>14</v>
      </c>
      <c r="B236" t="s">
        <v>519</v>
      </c>
      <c r="C236" t="s">
        <v>192</v>
      </c>
      <c r="D236" t="s">
        <v>520</v>
      </c>
      <c r="E236" s="5" t="s">
        <v>62</v>
      </c>
      <c r="F236" s="5" t="e">
        <f>VLOOKUP(B236,'Türkkep Jira'!B:F,5,0)</f>
        <v>#N/A</v>
      </c>
      <c r="G236" t="str">
        <f>IF(IFERROR(VLOOKUP(B236,'Devam Eden Sprint'!B:B,1,0),"-")=B236,"Devam Eden Sprint","-")</f>
        <v>-</v>
      </c>
      <c r="H236" t="str">
        <f>IF(IFERROR(VLOOKUP(B236,'Gelecek Sprint'!B:B,1,0),"-")=B236,"Gelecek Sprint","-")</f>
        <v>-</v>
      </c>
      <c r="I236" t="str">
        <f t="shared" si="9"/>
        <v>Ürün İş Listesi</v>
      </c>
    </row>
    <row r="237" spans="1:10" x14ac:dyDescent="0.25">
      <c r="A237" t="s">
        <v>14</v>
      </c>
      <c r="B237" t="s">
        <v>521</v>
      </c>
      <c r="C237" t="s">
        <v>16</v>
      </c>
      <c r="D237" t="s">
        <v>522</v>
      </c>
      <c r="E237" s="5" t="s">
        <v>62</v>
      </c>
      <c r="F237" s="5" t="e">
        <f>VLOOKUP(B237,'Türkkep Jira'!B:F,5,0)</f>
        <v>#N/A</v>
      </c>
      <c r="G237" t="str">
        <f>IF(IFERROR(VLOOKUP(B237,'Devam Eden Sprint'!B:B,1,0),"-")=B237,"Devam Eden Sprint","-")</f>
        <v>-</v>
      </c>
      <c r="H237" t="str">
        <f>IF(IFERROR(VLOOKUP(B237,'Gelecek Sprint'!B:B,1,0),"-")=B237,"Gelecek Sprint","-")</f>
        <v>-</v>
      </c>
      <c r="I237" t="str">
        <f t="shared" si="9"/>
        <v>Ürün İş Listesi</v>
      </c>
    </row>
    <row r="238" spans="1:10" x14ac:dyDescent="0.25">
      <c r="A238" t="s">
        <v>14</v>
      </c>
      <c r="B238" t="s">
        <v>523</v>
      </c>
      <c r="C238" t="s">
        <v>192</v>
      </c>
      <c r="D238" t="s">
        <v>524</v>
      </c>
      <c r="E238" s="5" t="s">
        <v>62</v>
      </c>
      <c r="F238" s="5" t="e">
        <f>VLOOKUP(B238,'Türkkep Jira'!B:F,5,0)</f>
        <v>#N/A</v>
      </c>
      <c r="G238" t="str">
        <f>IF(IFERROR(VLOOKUP(B238,'Devam Eden Sprint'!B:B,1,0),"-")=B238,"Devam Eden Sprint","-")</f>
        <v>-</v>
      </c>
      <c r="H238" t="str">
        <f>IF(IFERROR(VLOOKUP(B238,'Gelecek Sprint'!B:B,1,0),"-")=B238,"Gelecek Sprint","-")</f>
        <v>-</v>
      </c>
      <c r="I238" t="str">
        <f t="shared" si="9"/>
        <v>Ürün İş Listesi</v>
      </c>
    </row>
    <row r="239" spans="1:10" x14ac:dyDescent="0.25">
      <c r="A239" t="s">
        <v>14</v>
      </c>
      <c r="B239" t="s">
        <v>525</v>
      </c>
      <c r="C239" t="s">
        <v>192</v>
      </c>
      <c r="D239" t="s">
        <v>526</v>
      </c>
      <c r="E239" s="5" t="s">
        <v>62</v>
      </c>
      <c r="F239" s="5" t="e">
        <f>VLOOKUP(B239,'Türkkep Jira'!B:F,5,0)</f>
        <v>#N/A</v>
      </c>
      <c r="G239" t="str">
        <f>IF(IFERROR(VLOOKUP(B239,'Devam Eden Sprint'!B:B,1,0),"-")=B239,"Devam Eden Sprint","-")</f>
        <v>-</v>
      </c>
      <c r="H239" t="str">
        <f>IF(IFERROR(VLOOKUP(B239,'Gelecek Sprint'!B:B,1,0),"-")=B239,"Gelecek Sprint","-")</f>
        <v>-</v>
      </c>
      <c r="I239" t="str">
        <f t="shared" si="9"/>
        <v>Ürün İş Listesi</v>
      </c>
    </row>
    <row r="240" spans="1:10" x14ac:dyDescent="0.25">
      <c r="A240" t="s">
        <v>14</v>
      </c>
      <c r="B240" t="s">
        <v>527</v>
      </c>
      <c r="C240" t="s">
        <v>192</v>
      </c>
      <c r="D240" t="s">
        <v>528</v>
      </c>
      <c r="E240" s="5" t="s">
        <v>62</v>
      </c>
      <c r="F240" s="5" t="e">
        <f>VLOOKUP(B240,'Türkkep Jira'!B:F,5,0)</f>
        <v>#N/A</v>
      </c>
      <c r="G240" t="str">
        <f>IF(IFERROR(VLOOKUP(B240,'Devam Eden Sprint'!B:B,1,0),"-")=B240,"Devam Eden Sprint","-")</f>
        <v>-</v>
      </c>
      <c r="H240" t="str">
        <f>IF(IFERROR(VLOOKUP(B240,'Gelecek Sprint'!B:B,1,0),"-")=B240,"Gelecek Sprint","-")</f>
        <v>-</v>
      </c>
      <c r="I240" t="str">
        <f t="shared" si="9"/>
        <v>Ürün İş Listesi</v>
      </c>
    </row>
    <row r="241" spans="1:10" x14ac:dyDescent="0.25">
      <c r="A241" t="s">
        <v>77</v>
      </c>
      <c r="B241" t="s">
        <v>529</v>
      </c>
      <c r="C241" t="s">
        <v>192</v>
      </c>
      <c r="D241" t="s">
        <v>530</v>
      </c>
      <c r="E241" s="5" t="s">
        <v>62</v>
      </c>
      <c r="F241" s="5" t="e">
        <f>VLOOKUP(B241,'Türkkep Jira'!B:F,5,0)</f>
        <v>#N/A</v>
      </c>
      <c r="G241" t="str">
        <f>IF(IFERROR(VLOOKUP(B241,'Devam Eden Sprint'!B:B,1,0),"-")=B241,"Devam Eden Sprint","-")</f>
        <v>-</v>
      </c>
      <c r="H241" t="str">
        <f>IF(IFERROR(VLOOKUP(B241,'Gelecek Sprint'!B:B,1,0),"-")=B241,"Gelecek Sprint","-")</f>
        <v>-</v>
      </c>
      <c r="I241" t="str">
        <f t="shared" si="9"/>
        <v>Ürün İş Listesi</v>
      </c>
    </row>
    <row r="242" spans="1:10" x14ac:dyDescent="0.25">
      <c r="A242" t="s">
        <v>14</v>
      </c>
      <c r="B242" t="s">
        <v>531</v>
      </c>
      <c r="C242" t="s">
        <v>16</v>
      </c>
      <c r="D242" t="s">
        <v>532</v>
      </c>
      <c r="E242" s="5" t="s">
        <v>533</v>
      </c>
      <c r="F242" s="5" t="e">
        <f>VLOOKUP(B242,'Türkkep Jira'!B:F,5,0)</f>
        <v>#N/A</v>
      </c>
      <c r="G242" t="str">
        <f>IF(IFERROR(VLOOKUP(B242,'Devam Eden Sprint'!B:B,1,0),"-")=B242,"Devam Eden Sprint","-")</f>
        <v>-</v>
      </c>
      <c r="H242" t="str">
        <f>IF(IFERROR(VLOOKUP(B242,'Gelecek Sprint'!B:B,1,0),"-")=B242,"Gelecek Sprint","-")</f>
        <v>-</v>
      </c>
      <c r="I242" t="str">
        <f t="shared" si="9"/>
        <v>Ürün İş Listesi</v>
      </c>
      <c r="J242" s="5">
        <v>5</v>
      </c>
    </row>
    <row r="243" spans="1:10" x14ac:dyDescent="0.25">
      <c r="A243" t="s">
        <v>14</v>
      </c>
      <c r="B243" t="s">
        <v>534</v>
      </c>
      <c r="C243" t="s">
        <v>16</v>
      </c>
      <c r="D243" t="s">
        <v>535</v>
      </c>
      <c r="E243" s="5" t="s">
        <v>533</v>
      </c>
      <c r="F243" s="5" t="e">
        <f>VLOOKUP(B243,'Türkkep Jira'!B:F,5,0)</f>
        <v>#N/A</v>
      </c>
      <c r="G243" t="str">
        <f>IF(IFERROR(VLOOKUP(B243,'Devam Eden Sprint'!B:B,1,0),"-")=B243,"Devam Eden Sprint","-")</f>
        <v>-</v>
      </c>
      <c r="H243" t="str">
        <f>IF(IFERROR(VLOOKUP(B243,'Gelecek Sprint'!B:B,1,0),"-")=B243,"Gelecek Sprint","-")</f>
        <v>-</v>
      </c>
      <c r="I243" t="str">
        <f t="shared" si="9"/>
        <v>Ürün İş Listesi</v>
      </c>
      <c r="J243" s="5">
        <v>8</v>
      </c>
    </row>
    <row r="244" spans="1:10" x14ac:dyDescent="0.25">
      <c r="A244" t="s">
        <v>14</v>
      </c>
      <c r="B244" t="s">
        <v>536</v>
      </c>
      <c r="C244" t="s">
        <v>16</v>
      </c>
      <c r="D244" t="s">
        <v>537</v>
      </c>
      <c r="E244" s="5" t="s">
        <v>533</v>
      </c>
      <c r="F244" s="5" t="e">
        <f>VLOOKUP(B244,'Türkkep Jira'!B:F,5,0)</f>
        <v>#N/A</v>
      </c>
      <c r="G244" t="str">
        <f>IF(IFERROR(VLOOKUP(B244,'Devam Eden Sprint'!B:B,1,0),"-")=B244,"Devam Eden Sprint","-")</f>
        <v>-</v>
      </c>
      <c r="H244" t="str">
        <f>IF(IFERROR(VLOOKUP(B244,'Gelecek Sprint'!B:B,1,0),"-")=B244,"Gelecek Sprint","-")</f>
        <v>-</v>
      </c>
      <c r="I244" t="str">
        <f t="shared" si="9"/>
        <v>Ürün İş Listesi</v>
      </c>
      <c r="J244" s="5">
        <v>8</v>
      </c>
    </row>
    <row r="245" spans="1:10" x14ac:dyDescent="0.25">
      <c r="A245" t="s">
        <v>14</v>
      </c>
      <c r="B245" t="s">
        <v>538</v>
      </c>
      <c r="C245" t="s">
        <v>16</v>
      </c>
      <c r="D245" t="s">
        <v>539</v>
      </c>
      <c r="E245" s="5" t="s">
        <v>533</v>
      </c>
      <c r="F245" s="5" t="e">
        <f>VLOOKUP(B245,'Türkkep Jira'!B:F,5,0)</f>
        <v>#N/A</v>
      </c>
      <c r="G245" t="str">
        <f>IF(IFERROR(VLOOKUP(B245,'Devam Eden Sprint'!B:B,1,0),"-")=B245,"Devam Eden Sprint","-")</f>
        <v>-</v>
      </c>
      <c r="H245" t="str">
        <f>IF(IFERROR(VLOOKUP(B245,'Gelecek Sprint'!B:B,1,0),"-")=B245,"Gelecek Sprint","-")</f>
        <v>-</v>
      </c>
      <c r="I245" t="str">
        <f t="shared" si="9"/>
        <v>Ürün İş Listesi</v>
      </c>
      <c r="J245" s="5">
        <v>8</v>
      </c>
    </row>
    <row r="246" spans="1:10" x14ac:dyDescent="0.25">
      <c r="A246" t="s">
        <v>14</v>
      </c>
      <c r="B246" t="s">
        <v>540</v>
      </c>
      <c r="C246" t="s">
        <v>16</v>
      </c>
      <c r="D246" t="s">
        <v>541</v>
      </c>
      <c r="E246" s="5" t="s">
        <v>542</v>
      </c>
      <c r="F246" s="5" t="e">
        <f>VLOOKUP(B246,'Türkkep Jira'!B:F,5,0)</f>
        <v>#N/A</v>
      </c>
      <c r="G246" t="str">
        <f>IF(IFERROR(VLOOKUP(B246,'Devam Eden Sprint'!B:B,1,0),"-")=B246,"Devam Eden Sprint","-")</f>
        <v>-</v>
      </c>
      <c r="H246" t="str">
        <f>IF(IFERROR(VLOOKUP(B246,'Gelecek Sprint'!B:B,1,0),"-")=B246,"Gelecek Sprint","-")</f>
        <v>-</v>
      </c>
      <c r="I246" t="str">
        <f t="shared" si="9"/>
        <v>Ürün İş Listesi</v>
      </c>
      <c r="J246" s="5">
        <v>3</v>
      </c>
    </row>
    <row r="247" spans="1:10" x14ac:dyDescent="0.25">
      <c r="A247" t="s">
        <v>14</v>
      </c>
      <c r="B247" t="s">
        <v>543</v>
      </c>
      <c r="C247" t="s">
        <v>10</v>
      </c>
      <c r="D247" t="s">
        <v>544</v>
      </c>
      <c r="E247" s="5" t="s">
        <v>124</v>
      </c>
      <c r="F247" s="5" t="e">
        <f>VLOOKUP(B247,'Türkkep Jira'!B:F,5,0)</f>
        <v>#N/A</v>
      </c>
      <c r="G247" t="str">
        <f>IF(IFERROR(VLOOKUP(B247,'Devam Eden Sprint'!B:B,1,0),"-")=B247,"Devam Eden Sprint","-")</f>
        <v>-</v>
      </c>
      <c r="H247" t="str">
        <f>IF(IFERROR(VLOOKUP(B247,'Gelecek Sprint'!B:B,1,0),"-")=B247,"Gelecek Sprint","-")</f>
        <v>-</v>
      </c>
      <c r="I247" t="str">
        <f t="shared" si="9"/>
        <v>Ürün İş Listesi</v>
      </c>
    </row>
    <row r="248" spans="1:10" x14ac:dyDescent="0.25">
      <c r="A248" t="s">
        <v>14</v>
      </c>
      <c r="B248" t="s">
        <v>545</v>
      </c>
      <c r="C248" t="s">
        <v>16</v>
      </c>
      <c r="D248" t="s">
        <v>546</v>
      </c>
      <c r="E248" s="5" t="s">
        <v>124</v>
      </c>
      <c r="F248" s="5" t="e">
        <f>VLOOKUP(B248,'Türkkep Jira'!B:F,5,0)</f>
        <v>#N/A</v>
      </c>
      <c r="G248" t="str">
        <f>IF(IFERROR(VLOOKUP(B248,'Devam Eden Sprint'!B:B,1,0),"-")=B248,"Devam Eden Sprint","-")</f>
        <v>-</v>
      </c>
      <c r="H248" t="str">
        <f>IF(IFERROR(VLOOKUP(B248,'Gelecek Sprint'!B:B,1,0),"-")=B248,"Gelecek Sprint","-")</f>
        <v>-</v>
      </c>
      <c r="I248" t="str">
        <f t="shared" si="9"/>
        <v>Ürün İş Listesi</v>
      </c>
      <c r="J248" s="5">
        <v>13</v>
      </c>
    </row>
    <row r="249" spans="1:10" x14ac:dyDescent="0.25">
      <c r="A249" t="s">
        <v>14</v>
      </c>
      <c r="B249" t="s">
        <v>547</v>
      </c>
      <c r="C249" t="s">
        <v>16</v>
      </c>
      <c r="D249" t="s">
        <v>548</v>
      </c>
      <c r="E249" s="5" t="s">
        <v>127</v>
      </c>
      <c r="F249" s="5" t="e">
        <f>VLOOKUP(B249,'Türkkep Jira'!B:F,5,0)</f>
        <v>#N/A</v>
      </c>
      <c r="G249" t="str">
        <f>IF(IFERROR(VLOOKUP(B249,'Devam Eden Sprint'!B:B,1,0),"-")=B249,"Devam Eden Sprint","-")</f>
        <v>-</v>
      </c>
      <c r="H249" t="str">
        <f>IF(IFERROR(VLOOKUP(B249,'Gelecek Sprint'!B:B,1,0),"-")=B249,"Gelecek Sprint","-")</f>
        <v>-</v>
      </c>
      <c r="I249" t="str">
        <f t="shared" si="9"/>
        <v>Ürün İş Listesi</v>
      </c>
      <c r="J249" s="5">
        <v>8</v>
      </c>
    </row>
    <row r="250" spans="1:10" x14ac:dyDescent="0.25">
      <c r="A250" t="s">
        <v>14</v>
      </c>
      <c r="B250" t="s">
        <v>549</v>
      </c>
      <c r="C250" t="s">
        <v>16</v>
      </c>
      <c r="D250" t="s">
        <v>550</v>
      </c>
      <c r="E250" s="5" t="s">
        <v>127</v>
      </c>
      <c r="F250" s="5" t="e">
        <f>VLOOKUP(B250,'Türkkep Jira'!B:F,5,0)</f>
        <v>#N/A</v>
      </c>
      <c r="G250" t="str">
        <f>IF(IFERROR(VLOOKUP(B250,'Devam Eden Sprint'!B:B,1,0),"-")=B250,"Devam Eden Sprint","-")</f>
        <v>-</v>
      </c>
      <c r="H250" t="str">
        <f>IF(IFERROR(VLOOKUP(B250,'Gelecek Sprint'!B:B,1,0),"-")=B250,"Gelecek Sprint","-")</f>
        <v>-</v>
      </c>
      <c r="I250" t="str">
        <f t="shared" si="9"/>
        <v>Ürün İş Listesi</v>
      </c>
    </row>
    <row r="251" spans="1:10" x14ac:dyDescent="0.25">
      <c r="A251" t="s">
        <v>14</v>
      </c>
      <c r="B251" t="s">
        <v>551</v>
      </c>
      <c r="C251" t="s">
        <v>16</v>
      </c>
      <c r="D251" t="s">
        <v>552</v>
      </c>
      <c r="E251" s="5" t="s">
        <v>127</v>
      </c>
      <c r="F251" s="5" t="e">
        <f>VLOOKUP(B251,'Türkkep Jira'!B:F,5,0)</f>
        <v>#N/A</v>
      </c>
      <c r="G251" t="str">
        <f>IF(IFERROR(VLOOKUP(B251,'Devam Eden Sprint'!B:B,1,0),"-")=B251,"Devam Eden Sprint","-")</f>
        <v>-</v>
      </c>
      <c r="H251" t="str">
        <f>IF(IFERROR(VLOOKUP(B251,'Gelecek Sprint'!B:B,1,0),"-")=B251,"Gelecek Sprint","-")</f>
        <v>-</v>
      </c>
      <c r="I251" t="str">
        <f t="shared" si="9"/>
        <v>Ürün İş Listesi</v>
      </c>
    </row>
    <row r="252" spans="1:10" x14ac:dyDescent="0.25">
      <c r="A252" t="s">
        <v>14</v>
      </c>
      <c r="B252" t="s">
        <v>553</v>
      </c>
      <c r="C252" t="s">
        <v>16</v>
      </c>
      <c r="D252" t="s">
        <v>554</v>
      </c>
      <c r="E252" s="5" t="s">
        <v>127</v>
      </c>
      <c r="F252" s="5" t="e">
        <f>VLOOKUP(B252,'Türkkep Jira'!B:F,5,0)</f>
        <v>#N/A</v>
      </c>
      <c r="G252" t="str">
        <f>IF(IFERROR(VLOOKUP(B252,'Devam Eden Sprint'!B:B,1,0),"-")=B252,"Devam Eden Sprint","-")</f>
        <v>-</v>
      </c>
      <c r="H252" t="str">
        <f>IF(IFERROR(VLOOKUP(B252,'Gelecek Sprint'!B:B,1,0),"-")=B252,"Gelecek Sprint","-")</f>
        <v>-</v>
      </c>
      <c r="I252" t="str">
        <f t="shared" si="9"/>
        <v>Ürün İş Listesi</v>
      </c>
      <c r="J252" s="5">
        <v>5</v>
      </c>
    </row>
    <row r="253" spans="1:10" x14ac:dyDescent="0.25">
      <c r="A253" t="s">
        <v>14</v>
      </c>
      <c r="B253" t="s">
        <v>555</v>
      </c>
      <c r="C253" t="s">
        <v>16</v>
      </c>
      <c r="D253" t="s">
        <v>556</v>
      </c>
      <c r="E253" s="5" t="s">
        <v>127</v>
      </c>
      <c r="F253" s="5" t="e">
        <f>VLOOKUP(B253,'Türkkep Jira'!B:F,5,0)</f>
        <v>#N/A</v>
      </c>
      <c r="G253" t="str">
        <f>IF(IFERROR(VLOOKUP(B253,'Devam Eden Sprint'!B:B,1,0),"-")=B253,"Devam Eden Sprint","-")</f>
        <v>-</v>
      </c>
      <c r="H253" t="str">
        <f>IF(IFERROR(VLOOKUP(B253,'Gelecek Sprint'!B:B,1,0),"-")=B253,"Gelecek Sprint","-")</f>
        <v>-</v>
      </c>
      <c r="I253" t="str">
        <f t="shared" si="9"/>
        <v>Ürün İş Listesi</v>
      </c>
    </row>
    <row r="254" spans="1:10" x14ac:dyDescent="0.25">
      <c r="A254" t="s">
        <v>14</v>
      </c>
      <c r="B254" t="s">
        <v>557</v>
      </c>
      <c r="C254" t="s">
        <v>10</v>
      </c>
      <c r="D254" t="s">
        <v>558</v>
      </c>
      <c r="E254" s="5" t="s">
        <v>127</v>
      </c>
      <c r="F254" s="5" t="e">
        <f>VLOOKUP(B254,'Türkkep Jira'!B:F,5,0)</f>
        <v>#N/A</v>
      </c>
      <c r="G254" t="str">
        <f>IF(IFERROR(VLOOKUP(B254,'Devam Eden Sprint'!B:B,1,0),"-")=B254,"Devam Eden Sprint","-")</f>
        <v>-</v>
      </c>
      <c r="H254" t="str">
        <f>IF(IFERROR(VLOOKUP(B254,'Gelecek Sprint'!B:B,1,0),"-")=B254,"Gelecek Sprint","-")</f>
        <v>-</v>
      </c>
      <c r="I254" t="str">
        <f t="shared" si="9"/>
        <v>Ürün İş Listesi</v>
      </c>
    </row>
    <row r="255" spans="1:10" x14ac:dyDescent="0.25">
      <c r="A255" t="s">
        <v>14</v>
      </c>
      <c r="B255" t="s">
        <v>559</v>
      </c>
      <c r="C255" t="s">
        <v>16</v>
      </c>
      <c r="D255" t="s">
        <v>560</v>
      </c>
      <c r="E255" s="5" t="s">
        <v>127</v>
      </c>
      <c r="F255" s="5" t="e">
        <f>VLOOKUP(B255,'Türkkep Jira'!B:F,5,0)</f>
        <v>#N/A</v>
      </c>
      <c r="G255" t="str">
        <f>IF(IFERROR(VLOOKUP(B255,'Devam Eden Sprint'!B:B,1,0),"-")=B255,"Devam Eden Sprint","-")</f>
        <v>-</v>
      </c>
      <c r="H255" t="str">
        <f>IF(IFERROR(VLOOKUP(B255,'Gelecek Sprint'!B:B,1,0),"-")=B255,"Gelecek Sprint","-")</f>
        <v>-</v>
      </c>
      <c r="I255" t="str">
        <f t="shared" si="9"/>
        <v>Ürün İş Listesi</v>
      </c>
    </row>
    <row r="256" spans="1:10" x14ac:dyDescent="0.25">
      <c r="A256" t="s">
        <v>14</v>
      </c>
      <c r="B256" t="s">
        <v>561</v>
      </c>
      <c r="C256" t="s">
        <v>16</v>
      </c>
      <c r="D256" t="s">
        <v>562</v>
      </c>
      <c r="E256" s="5" t="s">
        <v>127</v>
      </c>
      <c r="F256" s="5" t="e">
        <f>VLOOKUP(B256,'Türkkep Jira'!B:F,5,0)</f>
        <v>#N/A</v>
      </c>
      <c r="G256" t="str">
        <f>IF(IFERROR(VLOOKUP(B256,'Devam Eden Sprint'!B:B,1,0),"-")=B256,"Devam Eden Sprint","-")</f>
        <v>-</v>
      </c>
      <c r="H256" t="str">
        <f>IF(IFERROR(VLOOKUP(B256,'Gelecek Sprint'!B:B,1,0),"-")=B256,"Gelecek Sprint","-")</f>
        <v>-</v>
      </c>
      <c r="I256" t="str">
        <f t="shared" si="9"/>
        <v>Ürün İş Listesi</v>
      </c>
    </row>
    <row r="257" spans="1:10" x14ac:dyDescent="0.25">
      <c r="A257" t="s">
        <v>14</v>
      </c>
      <c r="B257" t="s">
        <v>563</v>
      </c>
      <c r="C257" t="s">
        <v>16</v>
      </c>
      <c r="D257" t="s">
        <v>564</v>
      </c>
      <c r="E257" s="5" t="s">
        <v>127</v>
      </c>
      <c r="F257" s="5" t="e">
        <f>VLOOKUP(B257,'Türkkep Jira'!B:F,5,0)</f>
        <v>#N/A</v>
      </c>
      <c r="G257" t="str">
        <f>IF(IFERROR(VLOOKUP(B257,'Devam Eden Sprint'!B:B,1,0),"-")=B257,"Devam Eden Sprint","-")</f>
        <v>-</v>
      </c>
      <c r="H257" t="str">
        <f>IF(IFERROR(VLOOKUP(B257,'Gelecek Sprint'!B:B,1,0),"-")=B257,"Gelecek Sprint","-")</f>
        <v>-</v>
      </c>
      <c r="I257" t="str">
        <f t="shared" si="9"/>
        <v>Ürün İş Listesi</v>
      </c>
    </row>
    <row r="258" spans="1:10" x14ac:dyDescent="0.25">
      <c r="A258" t="s">
        <v>14</v>
      </c>
      <c r="B258" t="s">
        <v>565</v>
      </c>
      <c r="C258" t="s">
        <v>10</v>
      </c>
      <c r="D258" t="s">
        <v>566</v>
      </c>
      <c r="E258" s="5" t="s">
        <v>53</v>
      </c>
      <c r="F258" s="5" t="e">
        <f>VLOOKUP(B258,'Türkkep Jira'!B:F,5,0)</f>
        <v>#N/A</v>
      </c>
      <c r="G258" t="str">
        <f>IF(IFERROR(VLOOKUP(B258,'Devam Eden Sprint'!B:B,1,0),"-")=B258,"Devam Eden Sprint","-")</f>
        <v>-</v>
      </c>
      <c r="H258" t="str">
        <f>IF(IFERROR(VLOOKUP(B258,'Gelecek Sprint'!B:B,1,0),"-")=B258,"Gelecek Sprint","-")</f>
        <v>-</v>
      </c>
      <c r="I258" t="str">
        <f t="shared" ref="I258:I321" si="10">IFERROR(IF(AND(G258="Devam Eden Sprint",H258="Gelecek Sprint"),"Devam Eden ve Gelecek Sprint",IF(G258="Devam Eden Sprint","Devam Eden Sprint",IF(H258="Gelecek Sprint","Gelecek Sprint","Ürün İş Listesi"))),"Ürün İş Listesi")</f>
        <v>Ürün İş Listesi</v>
      </c>
    </row>
    <row r="259" spans="1:10" x14ac:dyDescent="0.25">
      <c r="A259" t="s">
        <v>14</v>
      </c>
      <c r="B259" t="s">
        <v>567</v>
      </c>
      <c r="C259" t="s">
        <v>16</v>
      </c>
      <c r="D259" t="s">
        <v>568</v>
      </c>
      <c r="E259" s="5" t="s">
        <v>53</v>
      </c>
      <c r="F259" s="5" t="e">
        <f>VLOOKUP(B259,'Türkkep Jira'!B:F,5,0)</f>
        <v>#N/A</v>
      </c>
      <c r="G259" t="str">
        <f>IF(IFERROR(VLOOKUP(B259,'Devam Eden Sprint'!B:B,1,0),"-")=B259,"Devam Eden Sprint","-")</f>
        <v>-</v>
      </c>
      <c r="H259" t="str">
        <f>IF(IFERROR(VLOOKUP(B259,'Gelecek Sprint'!B:B,1,0),"-")=B259,"Gelecek Sprint","-")</f>
        <v>-</v>
      </c>
      <c r="I259" t="str">
        <f t="shared" si="10"/>
        <v>Ürün İş Listesi</v>
      </c>
      <c r="J259" s="5">
        <v>5</v>
      </c>
    </row>
    <row r="260" spans="1:10" x14ac:dyDescent="0.25">
      <c r="A260" t="s">
        <v>14</v>
      </c>
      <c r="B260" t="s">
        <v>569</v>
      </c>
      <c r="C260" t="s">
        <v>10</v>
      </c>
      <c r="D260" t="s">
        <v>570</v>
      </c>
      <c r="E260" s="5" t="s">
        <v>53</v>
      </c>
      <c r="F260" s="5" t="e">
        <f>VLOOKUP(B260,'Türkkep Jira'!B:F,5,0)</f>
        <v>#N/A</v>
      </c>
      <c r="G260" t="str">
        <f>IF(IFERROR(VLOOKUP(B260,'Devam Eden Sprint'!B:B,1,0),"-")=B260,"Devam Eden Sprint","-")</f>
        <v>-</v>
      </c>
      <c r="H260" t="str">
        <f>IF(IFERROR(VLOOKUP(B260,'Gelecek Sprint'!B:B,1,0),"-")=B260,"Gelecek Sprint","-")</f>
        <v>-</v>
      </c>
      <c r="I260" t="str">
        <f t="shared" si="10"/>
        <v>Ürün İş Listesi</v>
      </c>
    </row>
    <row r="261" spans="1:10" x14ac:dyDescent="0.25">
      <c r="A261" t="s">
        <v>14</v>
      </c>
      <c r="B261" t="s">
        <v>571</v>
      </c>
      <c r="C261" t="s">
        <v>10</v>
      </c>
      <c r="D261" t="s">
        <v>572</v>
      </c>
      <c r="E261" s="5" t="s">
        <v>53</v>
      </c>
      <c r="F261" s="5" t="e">
        <f>VLOOKUP(B261,'Türkkep Jira'!B:F,5,0)</f>
        <v>#N/A</v>
      </c>
      <c r="G261" t="str">
        <f>IF(IFERROR(VLOOKUP(B261,'Devam Eden Sprint'!B:B,1,0),"-")=B261,"Devam Eden Sprint","-")</f>
        <v>-</v>
      </c>
      <c r="H261" t="str">
        <f>IF(IFERROR(VLOOKUP(B261,'Gelecek Sprint'!B:B,1,0),"-")=B261,"Gelecek Sprint","-")</f>
        <v>-</v>
      </c>
      <c r="I261" t="str">
        <f t="shared" si="10"/>
        <v>Ürün İş Listesi</v>
      </c>
    </row>
    <row r="262" spans="1:10" x14ac:dyDescent="0.25">
      <c r="A262" t="s">
        <v>14</v>
      </c>
      <c r="B262" t="s">
        <v>573</v>
      </c>
      <c r="C262" t="s">
        <v>10</v>
      </c>
      <c r="D262" t="s">
        <v>574</v>
      </c>
      <c r="E262" s="5" t="s">
        <v>53</v>
      </c>
      <c r="F262" s="5" t="e">
        <f>VLOOKUP(B262,'Türkkep Jira'!B:F,5,0)</f>
        <v>#N/A</v>
      </c>
      <c r="G262" t="str">
        <f>IF(IFERROR(VLOOKUP(B262,'Devam Eden Sprint'!B:B,1,0),"-")=B262,"Devam Eden Sprint","-")</f>
        <v>-</v>
      </c>
      <c r="H262" t="str">
        <f>IF(IFERROR(VLOOKUP(B262,'Gelecek Sprint'!B:B,1,0),"-")=B262,"Gelecek Sprint","-")</f>
        <v>-</v>
      </c>
      <c r="I262" t="str">
        <f t="shared" si="10"/>
        <v>Ürün İş Listesi</v>
      </c>
    </row>
    <row r="263" spans="1:10" x14ac:dyDescent="0.25">
      <c r="A263" t="s">
        <v>14</v>
      </c>
      <c r="B263" t="s">
        <v>575</v>
      </c>
      <c r="C263" t="s">
        <v>16</v>
      </c>
      <c r="D263" t="s">
        <v>576</v>
      </c>
      <c r="E263" s="5" t="s">
        <v>53</v>
      </c>
      <c r="F263" s="5" t="e">
        <f>VLOOKUP(B263,'Türkkep Jira'!B:F,5,0)</f>
        <v>#N/A</v>
      </c>
      <c r="G263" t="str">
        <f>IF(IFERROR(VLOOKUP(B263,'Devam Eden Sprint'!B:B,1,0),"-")=B263,"Devam Eden Sprint","-")</f>
        <v>-</v>
      </c>
      <c r="H263" t="str">
        <f>IF(IFERROR(VLOOKUP(B263,'Gelecek Sprint'!B:B,1,0),"-")=B263,"Gelecek Sprint","-")</f>
        <v>-</v>
      </c>
      <c r="I263" t="str">
        <f t="shared" si="10"/>
        <v>Ürün İş Listesi</v>
      </c>
      <c r="J263" s="5">
        <v>5</v>
      </c>
    </row>
    <row r="264" spans="1:10" x14ac:dyDescent="0.25">
      <c r="A264" t="s">
        <v>14</v>
      </c>
      <c r="B264" t="s">
        <v>577</v>
      </c>
      <c r="C264" t="s">
        <v>16</v>
      </c>
      <c r="D264" t="s">
        <v>578</v>
      </c>
      <c r="E264" s="5" t="s">
        <v>53</v>
      </c>
      <c r="F264" s="5" t="e">
        <f>VLOOKUP(B264,'Türkkep Jira'!B:F,5,0)</f>
        <v>#N/A</v>
      </c>
      <c r="G264" t="str">
        <f>IF(IFERROR(VLOOKUP(B264,'Devam Eden Sprint'!B:B,1,0),"-")=B264,"Devam Eden Sprint","-")</f>
        <v>-</v>
      </c>
      <c r="H264" t="str">
        <f>IF(IFERROR(VLOOKUP(B264,'Gelecek Sprint'!B:B,1,0),"-")=B264,"Gelecek Sprint","-")</f>
        <v>-</v>
      </c>
      <c r="I264" t="str">
        <f t="shared" si="10"/>
        <v>Ürün İş Listesi</v>
      </c>
      <c r="J264" s="5">
        <v>5</v>
      </c>
    </row>
    <row r="265" spans="1:10" x14ac:dyDescent="0.25">
      <c r="A265" t="s">
        <v>14</v>
      </c>
      <c r="B265" t="s">
        <v>579</v>
      </c>
      <c r="C265" t="s">
        <v>16</v>
      </c>
      <c r="D265" t="s">
        <v>580</v>
      </c>
      <c r="E265" s="5" t="s">
        <v>53</v>
      </c>
      <c r="F265" s="5" t="e">
        <f>VLOOKUP(B265,'Türkkep Jira'!B:F,5,0)</f>
        <v>#N/A</v>
      </c>
      <c r="G265" t="str">
        <f>IF(IFERROR(VLOOKUP(B265,'Devam Eden Sprint'!B:B,1,0),"-")=B265,"Devam Eden Sprint","-")</f>
        <v>-</v>
      </c>
      <c r="H265" t="str">
        <f>IF(IFERROR(VLOOKUP(B265,'Gelecek Sprint'!B:B,1,0),"-")=B265,"Gelecek Sprint","-")</f>
        <v>-</v>
      </c>
      <c r="I265" t="str">
        <f t="shared" si="10"/>
        <v>Ürün İş Listesi</v>
      </c>
      <c r="J265" s="5">
        <v>5</v>
      </c>
    </row>
    <row r="266" spans="1:10" x14ac:dyDescent="0.25">
      <c r="A266" t="s">
        <v>14</v>
      </c>
      <c r="B266" t="s">
        <v>581</v>
      </c>
      <c r="C266" t="s">
        <v>16</v>
      </c>
      <c r="D266" t="s">
        <v>582</v>
      </c>
      <c r="E266" s="5" t="s">
        <v>53</v>
      </c>
      <c r="F266" s="5" t="e">
        <f>VLOOKUP(B266,'Türkkep Jira'!B:F,5,0)</f>
        <v>#N/A</v>
      </c>
      <c r="G266" t="str">
        <f>IF(IFERROR(VLOOKUP(B266,'Devam Eden Sprint'!B:B,1,0),"-")=B266,"Devam Eden Sprint","-")</f>
        <v>-</v>
      </c>
      <c r="H266" t="str">
        <f>IF(IFERROR(VLOOKUP(B266,'Gelecek Sprint'!B:B,1,0),"-")=B266,"Gelecek Sprint","-")</f>
        <v>-</v>
      </c>
      <c r="I266" t="str">
        <f t="shared" si="10"/>
        <v>Ürün İş Listesi</v>
      </c>
      <c r="J266" s="5">
        <v>5</v>
      </c>
    </row>
    <row r="267" spans="1:10" x14ac:dyDescent="0.25">
      <c r="A267" t="s">
        <v>14</v>
      </c>
      <c r="B267" t="s">
        <v>583</v>
      </c>
      <c r="C267" t="s">
        <v>16</v>
      </c>
      <c r="D267" t="s">
        <v>584</v>
      </c>
      <c r="E267" s="5" t="s">
        <v>53</v>
      </c>
      <c r="F267" s="5" t="e">
        <f>VLOOKUP(B267,'Türkkep Jira'!B:F,5,0)</f>
        <v>#N/A</v>
      </c>
      <c r="G267" t="str">
        <f>IF(IFERROR(VLOOKUP(B267,'Devam Eden Sprint'!B:B,1,0),"-")=B267,"Devam Eden Sprint","-")</f>
        <v>-</v>
      </c>
      <c r="H267" t="str">
        <f>IF(IFERROR(VLOOKUP(B267,'Gelecek Sprint'!B:B,1,0),"-")=B267,"Gelecek Sprint","-")</f>
        <v>-</v>
      </c>
      <c r="I267" t="str">
        <f t="shared" si="10"/>
        <v>Ürün İş Listesi</v>
      </c>
      <c r="J267" s="5">
        <v>5</v>
      </c>
    </row>
    <row r="268" spans="1:10" x14ac:dyDescent="0.25">
      <c r="A268" t="s">
        <v>14</v>
      </c>
      <c r="B268" t="s">
        <v>585</v>
      </c>
      <c r="C268" t="s">
        <v>10</v>
      </c>
      <c r="D268" t="s">
        <v>586</v>
      </c>
      <c r="E268" s="5" t="s">
        <v>53</v>
      </c>
      <c r="F268" s="5" t="e">
        <f>VLOOKUP(B268,'Türkkep Jira'!B:F,5,0)</f>
        <v>#N/A</v>
      </c>
      <c r="G268" t="str">
        <f>IF(IFERROR(VLOOKUP(B268,'Devam Eden Sprint'!B:B,1,0),"-")=B268,"Devam Eden Sprint","-")</f>
        <v>-</v>
      </c>
      <c r="H268" t="str">
        <f>IF(IFERROR(VLOOKUP(B268,'Gelecek Sprint'!B:B,1,0),"-")=B268,"Gelecek Sprint","-")</f>
        <v>-</v>
      </c>
      <c r="I268" t="str">
        <f t="shared" si="10"/>
        <v>Ürün İş Listesi</v>
      </c>
    </row>
    <row r="269" spans="1:10" x14ac:dyDescent="0.25">
      <c r="A269" t="s">
        <v>14</v>
      </c>
      <c r="B269" t="s">
        <v>587</v>
      </c>
      <c r="C269" t="s">
        <v>16</v>
      </c>
      <c r="D269" t="s">
        <v>588</v>
      </c>
      <c r="E269" s="5" t="s">
        <v>53</v>
      </c>
      <c r="F269" s="5" t="e">
        <f>VLOOKUP(B269,'Türkkep Jira'!B:F,5,0)</f>
        <v>#N/A</v>
      </c>
      <c r="G269" t="str">
        <f>IF(IFERROR(VLOOKUP(B269,'Devam Eden Sprint'!B:B,1,0),"-")=B269,"Devam Eden Sprint","-")</f>
        <v>-</v>
      </c>
      <c r="H269" t="str">
        <f>IF(IFERROR(VLOOKUP(B269,'Gelecek Sprint'!B:B,1,0),"-")=B269,"Gelecek Sprint","-")</f>
        <v>-</v>
      </c>
      <c r="I269" t="str">
        <f t="shared" si="10"/>
        <v>Ürün İş Listesi</v>
      </c>
      <c r="J269" s="5">
        <v>8</v>
      </c>
    </row>
    <row r="270" spans="1:10" x14ac:dyDescent="0.25">
      <c r="A270" t="s">
        <v>14</v>
      </c>
      <c r="B270" t="s">
        <v>589</v>
      </c>
      <c r="C270" t="s">
        <v>16</v>
      </c>
      <c r="D270" t="s">
        <v>590</v>
      </c>
      <c r="E270" s="5" t="s">
        <v>53</v>
      </c>
      <c r="F270" s="5" t="e">
        <f>VLOOKUP(B270,'Türkkep Jira'!B:F,5,0)</f>
        <v>#N/A</v>
      </c>
      <c r="G270" t="str">
        <f>IF(IFERROR(VLOOKUP(B270,'Devam Eden Sprint'!B:B,1,0),"-")=B270,"Devam Eden Sprint","-")</f>
        <v>-</v>
      </c>
      <c r="H270" t="str">
        <f>IF(IFERROR(VLOOKUP(B270,'Gelecek Sprint'!B:B,1,0),"-")=B270,"Gelecek Sprint","-")</f>
        <v>-</v>
      </c>
      <c r="I270" t="str">
        <f t="shared" si="10"/>
        <v>Ürün İş Listesi</v>
      </c>
      <c r="J270" s="5">
        <v>8</v>
      </c>
    </row>
    <row r="271" spans="1:10" x14ac:dyDescent="0.25">
      <c r="A271" t="s">
        <v>14</v>
      </c>
      <c r="B271" t="s">
        <v>591</v>
      </c>
      <c r="C271" t="s">
        <v>16</v>
      </c>
      <c r="D271" t="s">
        <v>592</v>
      </c>
      <c r="E271" s="5" t="s">
        <v>53</v>
      </c>
      <c r="F271" s="5" t="e">
        <f>VLOOKUP(B271,'Türkkep Jira'!B:F,5,0)</f>
        <v>#N/A</v>
      </c>
      <c r="G271" t="str">
        <f>IF(IFERROR(VLOOKUP(B271,'Devam Eden Sprint'!B:B,1,0),"-")=B271,"Devam Eden Sprint","-")</f>
        <v>-</v>
      </c>
      <c r="H271" t="str">
        <f>IF(IFERROR(VLOOKUP(B271,'Gelecek Sprint'!B:B,1,0),"-")=B271,"Gelecek Sprint","-")</f>
        <v>-</v>
      </c>
      <c r="I271" t="str">
        <f t="shared" si="10"/>
        <v>Ürün İş Listesi</v>
      </c>
      <c r="J271" s="5">
        <v>5</v>
      </c>
    </row>
    <row r="272" spans="1:10" x14ac:dyDescent="0.25">
      <c r="A272" t="s">
        <v>14</v>
      </c>
      <c r="B272" t="s">
        <v>593</v>
      </c>
      <c r="C272" t="s">
        <v>16</v>
      </c>
      <c r="D272" t="s">
        <v>594</v>
      </c>
      <c r="E272" s="5" t="s">
        <v>53</v>
      </c>
      <c r="F272" s="5" t="e">
        <f>VLOOKUP(B272,'Türkkep Jira'!B:F,5,0)</f>
        <v>#N/A</v>
      </c>
      <c r="G272" t="str">
        <f>IF(IFERROR(VLOOKUP(B272,'Devam Eden Sprint'!B:B,1,0),"-")=B272,"Devam Eden Sprint","-")</f>
        <v>-</v>
      </c>
      <c r="H272" t="str">
        <f>IF(IFERROR(VLOOKUP(B272,'Gelecek Sprint'!B:B,1,0),"-")=B272,"Gelecek Sprint","-")</f>
        <v>-</v>
      </c>
      <c r="I272" t="str">
        <f t="shared" si="10"/>
        <v>Ürün İş Listesi</v>
      </c>
      <c r="J272" s="5">
        <v>5</v>
      </c>
    </row>
    <row r="273" spans="1:10" x14ac:dyDescent="0.25">
      <c r="A273" t="s">
        <v>14</v>
      </c>
      <c r="B273" t="s">
        <v>595</v>
      </c>
      <c r="C273" t="s">
        <v>16</v>
      </c>
      <c r="D273" t="s">
        <v>596</v>
      </c>
      <c r="E273" s="5" t="s">
        <v>53</v>
      </c>
      <c r="F273" s="5" t="e">
        <f>VLOOKUP(B273,'Türkkep Jira'!B:F,5,0)</f>
        <v>#N/A</v>
      </c>
      <c r="G273" t="str">
        <f>IF(IFERROR(VLOOKUP(B273,'Devam Eden Sprint'!B:B,1,0),"-")=B273,"Devam Eden Sprint","-")</f>
        <v>-</v>
      </c>
      <c r="H273" t="str">
        <f>IF(IFERROR(VLOOKUP(B273,'Gelecek Sprint'!B:B,1,0),"-")=B273,"Gelecek Sprint","-")</f>
        <v>-</v>
      </c>
      <c r="I273" t="str">
        <f t="shared" si="10"/>
        <v>Ürün İş Listesi</v>
      </c>
      <c r="J273" s="5">
        <v>3</v>
      </c>
    </row>
    <row r="274" spans="1:10" x14ac:dyDescent="0.25">
      <c r="A274" t="s">
        <v>14</v>
      </c>
      <c r="B274" t="s">
        <v>597</v>
      </c>
      <c r="C274" t="s">
        <v>16</v>
      </c>
      <c r="D274" t="s">
        <v>598</v>
      </c>
      <c r="E274" s="5" t="s">
        <v>53</v>
      </c>
      <c r="F274" s="5" t="e">
        <f>VLOOKUP(B274,'Türkkep Jira'!B:F,5,0)</f>
        <v>#N/A</v>
      </c>
      <c r="G274" t="str">
        <f>IF(IFERROR(VLOOKUP(B274,'Devam Eden Sprint'!B:B,1,0),"-")=B274,"Devam Eden Sprint","-")</f>
        <v>-</v>
      </c>
      <c r="H274" t="str">
        <f>IF(IFERROR(VLOOKUP(B274,'Gelecek Sprint'!B:B,1,0),"-")=B274,"Gelecek Sprint","-")</f>
        <v>-</v>
      </c>
      <c r="I274" t="str">
        <f t="shared" si="10"/>
        <v>Ürün İş Listesi</v>
      </c>
      <c r="J274" s="5">
        <v>5</v>
      </c>
    </row>
    <row r="275" spans="1:10" x14ac:dyDescent="0.25">
      <c r="A275" t="s">
        <v>14</v>
      </c>
      <c r="B275" t="s">
        <v>600</v>
      </c>
      <c r="C275" t="s">
        <v>16</v>
      </c>
      <c r="D275" t="s">
        <v>601</v>
      </c>
      <c r="E275" s="5" t="s">
        <v>53</v>
      </c>
      <c r="F275" s="5" t="e">
        <f>VLOOKUP(B275,'Türkkep Jira'!B:F,5,0)</f>
        <v>#N/A</v>
      </c>
      <c r="G275" t="str">
        <f>IF(IFERROR(VLOOKUP(B275,'Devam Eden Sprint'!B:B,1,0),"-")=B275,"Devam Eden Sprint","-")</f>
        <v>-</v>
      </c>
      <c r="H275" t="str">
        <f>IF(IFERROR(VLOOKUP(B275,'Gelecek Sprint'!B:B,1,0),"-")=B275,"Gelecek Sprint","-")</f>
        <v>-</v>
      </c>
      <c r="I275" t="str">
        <f t="shared" si="10"/>
        <v>Ürün İş Listesi</v>
      </c>
      <c r="J275" s="5">
        <v>5</v>
      </c>
    </row>
    <row r="276" spans="1:10" x14ac:dyDescent="0.25">
      <c r="A276" t="s">
        <v>14</v>
      </c>
      <c r="B276" t="s">
        <v>602</v>
      </c>
      <c r="C276" t="s">
        <v>16</v>
      </c>
      <c r="D276" t="s">
        <v>603</v>
      </c>
      <c r="E276" s="5" t="s">
        <v>53</v>
      </c>
      <c r="F276" s="5" t="e">
        <f>VLOOKUP(B276,'Türkkep Jira'!B:F,5,0)</f>
        <v>#N/A</v>
      </c>
      <c r="G276" t="str">
        <f>IF(IFERROR(VLOOKUP(B276,'Devam Eden Sprint'!B:B,1,0),"-")=B276,"Devam Eden Sprint","-")</f>
        <v>-</v>
      </c>
      <c r="H276" t="str">
        <f>IF(IFERROR(VLOOKUP(B276,'Gelecek Sprint'!B:B,1,0),"-")=B276,"Gelecek Sprint","-")</f>
        <v>-</v>
      </c>
      <c r="I276" t="str">
        <f t="shared" si="10"/>
        <v>Ürün İş Listesi</v>
      </c>
      <c r="J276" s="5">
        <v>13</v>
      </c>
    </row>
    <row r="277" spans="1:10" x14ac:dyDescent="0.25">
      <c r="A277" t="s">
        <v>14</v>
      </c>
      <c r="B277" t="s">
        <v>604</v>
      </c>
      <c r="C277" t="s">
        <v>16</v>
      </c>
      <c r="D277" t="s">
        <v>605</v>
      </c>
      <c r="E277" s="5" t="s">
        <v>53</v>
      </c>
      <c r="F277" s="5" t="e">
        <f>VLOOKUP(B277,'Türkkep Jira'!B:F,5,0)</f>
        <v>#N/A</v>
      </c>
      <c r="G277" t="str">
        <f>IF(IFERROR(VLOOKUP(B277,'Devam Eden Sprint'!B:B,1,0),"-")=B277,"Devam Eden Sprint","-")</f>
        <v>-</v>
      </c>
      <c r="H277" t="str">
        <f>IF(IFERROR(VLOOKUP(B277,'Gelecek Sprint'!B:B,1,0),"-")=B277,"Gelecek Sprint","-")</f>
        <v>-</v>
      </c>
      <c r="I277" t="str">
        <f t="shared" si="10"/>
        <v>Ürün İş Listesi</v>
      </c>
      <c r="J277" s="5">
        <v>8</v>
      </c>
    </row>
    <row r="278" spans="1:10" x14ac:dyDescent="0.25">
      <c r="A278" t="s">
        <v>14</v>
      </c>
      <c r="B278" t="s">
        <v>606</v>
      </c>
      <c r="C278" t="s">
        <v>16</v>
      </c>
      <c r="D278" t="s">
        <v>607</v>
      </c>
      <c r="E278" s="5" t="s">
        <v>53</v>
      </c>
      <c r="F278" s="5" t="e">
        <f>VLOOKUP(B278,'Türkkep Jira'!B:F,5,0)</f>
        <v>#N/A</v>
      </c>
      <c r="G278" t="str">
        <f>IF(IFERROR(VLOOKUP(B278,'Devam Eden Sprint'!B:B,1,0),"-")=B278,"Devam Eden Sprint","-")</f>
        <v>-</v>
      </c>
      <c r="H278" t="str">
        <f>IF(IFERROR(VLOOKUP(B278,'Gelecek Sprint'!B:B,1,0),"-")=B278,"Gelecek Sprint","-")</f>
        <v>-</v>
      </c>
      <c r="I278" t="str">
        <f t="shared" si="10"/>
        <v>Ürün İş Listesi</v>
      </c>
      <c r="J278" s="5">
        <v>8</v>
      </c>
    </row>
    <row r="279" spans="1:10" x14ac:dyDescent="0.25">
      <c r="A279" t="s">
        <v>14</v>
      </c>
      <c r="B279" t="s">
        <v>608</v>
      </c>
      <c r="C279" t="s">
        <v>16</v>
      </c>
      <c r="D279" t="s">
        <v>609</v>
      </c>
      <c r="E279" s="5" t="s">
        <v>53</v>
      </c>
      <c r="F279" s="5" t="e">
        <f>VLOOKUP(B279,'Türkkep Jira'!B:F,5,0)</f>
        <v>#N/A</v>
      </c>
      <c r="G279" t="str">
        <f>IF(IFERROR(VLOOKUP(B279,'Devam Eden Sprint'!B:B,1,0),"-")=B279,"Devam Eden Sprint","-")</f>
        <v>-</v>
      </c>
      <c r="H279" t="str">
        <f>IF(IFERROR(VLOOKUP(B279,'Gelecek Sprint'!B:B,1,0),"-")=B279,"Gelecek Sprint","-")</f>
        <v>-</v>
      </c>
      <c r="I279" t="str">
        <f t="shared" si="10"/>
        <v>Ürün İş Listesi</v>
      </c>
      <c r="J279" s="5">
        <v>1</v>
      </c>
    </row>
    <row r="280" spans="1:10" x14ac:dyDescent="0.25">
      <c r="A280" t="s">
        <v>77</v>
      </c>
      <c r="B280" t="s">
        <v>610</v>
      </c>
      <c r="C280" t="s">
        <v>16</v>
      </c>
      <c r="D280" t="s">
        <v>611</v>
      </c>
      <c r="E280" s="5" t="s">
        <v>53</v>
      </c>
      <c r="F280" s="5" t="e">
        <f>VLOOKUP(B280,'Türkkep Jira'!B:F,5,0)</f>
        <v>#N/A</v>
      </c>
      <c r="G280" t="str">
        <f>IF(IFERROR(VLOOKUP(B280,'Devam Eden Sprint'!B:B,1,0),"-")=B280,"Devam Eden Sprint","-")</f>
        <v>-</v>
      </c>
      <c r="H280" t="str">
        <f>IF(IFERROR(VLOOKUP(B280,'Gelecek Sprint'!B:B,1,0),"-")=B280,"Gelecek Sprint","-")</f>
        <v>-</v>
      </c>
      <c r="I280" t="str">
        <f t="shared" si="10"/>
        <v>Ürün İş Listesi</v>
      </c>
    </row>
    <row r="281" spans="1:10" x14ac:dyDescent="0.25">
      <c r="A281" t="s">
        <v>14</v>
      </c>
      <c r="B281" t="s">
        <v>612</v>
      </c>
      <c r="C281" t="s">
        <v>16</v>
      </c>
      <c r="D281" t="s">
        <v>613</v>
      </c>
      <c r="E281" s="5" t="s">
        <v>53</v>
      </c>
      <c r="F281" s="5" t="e">
        <f>VLOOKUP(B281,'Türkkep Jira'!B:F,5,0)</f>
        <v>#N/A</v>
      </c>
      <c r="G281" t="str">
        <f>IF(IFERROR(VLOOKUP(B281,'Devam Eden Sprint'!B:B,1,0),"-")=B281,"Devam Eden Sprint","-")</f>
        <v>-</v>
      </c>
      <c r="H281" t="str">
        <f>IF(IFERROR(VLOOKUP(B281,'Gelecek Sprint'!B:B,1,0),"-")=B281,"Gelecek Sprint","-")</f>
        <v>-</v>
      </c>
      <c r="I281" t="str">
        <f t="shared" si="10"/>
        <v>Ürün İş Listesi</v>
      </c>
      <c r="J281" s="5">
        <v>3</v>
      </c>
    </row>
    <row r="282" spans="1:10" x14ac:dyDescent="0.25">
      <c r="A282" t="s">
        <v>14</v>
      </c>
      <c r="B282" t="s">
        <v>614</v>
      </c>
      <c r="C282" t="s">
        <v>16</v>
      </c>
      <c r="D282" t="s">
        <v>615</v>
      </c>
      <c r="E282" s="5" t="s">
        <v>53</v>
      </c>
      <c r="F282" s="5" t="e">
        <f>VLOOKUP(B282,'Türkkep Jira'!B:F,5,0)</f>
        <v>#N/A</v>
      </c>
      <c r="G282" t="str">
        <f>IF(IFERROR(VLOOKUP(B282,'Devam Eden Sprint'!B:B,1,0),"-")=B282,"Devam Eden Sprint","-")</f>
        <v>-</v>
      </c>
      <c r="H282" t="str">
        <f>IF(IFERROR(VLOOKUP(B282,'Gelecek Sprint'!B:B,1,0),"-")=B282,"Gelecek Sprint","-")</f>
        <v>-</v>
      </c>
      <c r="I282" t="str">
        <f t="shared" si="10"/>
        <v>Ürün İş Listesi</v>
      </c>
      <c r="J282" s="5">
        <v>3</v>
      </c>
    </row>
    <row r="283" spans="1:10" x14ac:dyDescent="0.25">
      <c r="A283" t="s">
        <v>14</v>
      </c>
      <c r="B283" t="s">
        <v>616</v>
      </c>
      <c r="C283" t="s">
        <v>16</v>
      </c>
      <c r="D283" t="s">
        <v>617</v>
      </c>
      <c r="E283" s="5" t="s">
        <v>53</v>
      </c>
      <c r="F283" s="5" t="e">
        <f>VLOOKUP(B283,'Türkkep Jira'!B:F,5,0)</f>
        <v>#N/A</v>
      </c>
      <c r="G283" t="str">
        <f>IF(IFERROR(VLOOKUP(B283,'Devam Eden Sprint'!B:B,1,0),"-")=B283,"Devam Eden Sprint","-")</f>
        <v>-</v>
      </c>
      <c r="H283" t="str">
        <f>IF(IFERROR(VLOOKUP(B283,'Gelecek Sprint'!B:B,1,0),"-")=B283,"Gelecek Sprint","-")</f>
        <v>-</v>
      </c>
      <c r="I283" t="str">
        <f t="shared" si="10"/>
        <v>Ürün İş Listesi</v>
      </c>
      <c r="J283" s="5">
        <v>2</v>
      </c>
    </row>
    <row r="284" spans="1:10" x14ac:dyDescent="0.25">
      <c r="A284" t="s">
        <v>14</v>
      </c>
      <c r="B284" t="s">
        <v>618</v>
      </c>
      <c r="C284" t="s">
        <v>16</v>
      </c>
      <c r="D284" t="s">
        <v>619</v>
      </c>
      <c r="E284" s="5" t="s">
        <v>41</v>
      </c>
      <c r="F284" s="5" t="e">
        <f>VLOOKUP(B284,'Türkkep Jira'!B:F,5,0)</f>
        <v>#N/A</v>
      </c>
      <c r="G284" t="str">
        <f>IF(IFERROR(VLOOKUP(B284,'Devam Eden Sprint'!B:B,1,0),"-")=B284,"Devam Eden Sprint","-")</f>
        <v>-</v>
      </c>
      <c r="H284" t="str">
        <f>IF(IFERROR(VLOOKUP(B284,'Gelecek Sprint'!B:B,1,0),"-")=B284,"Gelecek Sprint","-")</f>
        <v>-</v>
      </c>
      <c r="I284" t="str">
        <f t="shared" si="10"/>
        <v>Ürün İş Listesi</v>
      </c>
      <c r="J284" s="5">
        <v>1</v>
      </c>
    </row>
    <row r="285" spans="1:10" x14ac:dyDescent="0.25">
      <c r="A285" t="s">
        <v>14</v>
      </c>
      <c r="B285" t="s">
        <v>620</v>
      </c>
      <c r="C285" t="s">
        <v>16</v>
      </c>
      <c r="D285" t="s">
        <v>621</v>
      </c>
      <c r="E285" s="5" t="s">
        <v>53</v>
      </c>
      <c r="F285" s="5" t="e">
        <f>VLOOKUP(B285,'Türkkep Jira'!B:F,5,0)</f>
        <v>#N/A</v>
      </c>
      <c r="G285" t="str">
        <f>IF(IFERROR(VLOOKUP(B285,'Devam Eden Sprint'!B:B,1,0),"-")=B285,"Devam Eden Sprint","-")</f>
        <v>-</v>
      </c>
      <c r="H285" t="str">
        <f>IF(IFERROR(VLOOKUP(B285,'Gelecek Sprint'!B:B,1,0),"-")=B285,"Gelecek Sprint","-")</f>
        <v>-</v>
      </c>
      <c r="I285" t="str">
        <f t="shared" si="10"/>
        <v>Ürün İş Listesi</v>
      </c>
      <c r="J285" s="5">
        <v>5</v>
      </c>
    </row>
    <row r="286" spans="1:10" x14ac:dyDescent="0.25">
      <c r="A286" t="s">
        <v>14</v>
      </c>
      <c r="B286" t="s">
        <v>622</v>
      </c>
      <c r="C286" t="s">
        <v>16</v>
      </c>
      <c r="D286" t="s">
        <v>623</v>
      </c>
      <c r="E286" s="5" t="s">
        <v>47</v>
      </c>
      <c r="F286" s="5" t="e">
        <f>VLOOKUP(B286,'Türkkep Jira'!B:F,5,0)</f>
        <v>#N/A</v>
      </c>
      <c r="G286" t="str">
        <f>IF(IFERROR(VLOOKUP(B286,'Devam Eden Sprint'!B:B,1,0),"-")=B286,"Devam Eden Sprint","-")</f>
        <v>-</v>
      </c>
      <c r="H286" t="str">
        <f>IF(IFERROR(VLOOKUP(B286,'Gelecek Sprint'!B:B,1,0),"-")=B286,"Gelecek Sprint","-")</f>
        <v>-</v>
      </c>
      <c r="I286" t="str">
        <f t="shared" si="10"/>
        <v>Ürün İş Listesi</v>
      </c>
      <c r="J286" s="5">
        <v>3</v>
      </c>
    </row>
    <row r="287" spans="1:10" x14ac:dyDescent="0.25">
      <c r="A287" t="s">
        <v>14</v>
      </c>
      <c r="B287" t="s">
        <v>624</v>
      </c>
      <c r="C287" t="s">
        <v>16</v>
      </c>
      <c r="D287" t="s">
        <v>625</v>
      </c>
      <c r="E287" s="5" t="s">
        <v>53</v>
      </c>
      <c r="F287" s="5" t="e">
        <f>VLOOKUP(B287,'Türkkep Jira'!B:F,5,0)</f>
        <v>#N/A</v>
      </c>
      <c r="G287" t="str">
        <f>IF(IFERROR(VLOOKUP(B287,'Devam Eden Sprint'!B:B,1,0),"-")=B287,"Devam Eden Sprint","-")</f>
        <v>-</v>
      </c>
      <c r="H287" t="str">
        <f>IF(IFERROR(VLOOKUP(B287,'Gelecek Sprint'!B:B,1,0),"-")=B287,"Gelecek Sprint","-")</f>
        <v>-</v>
      </c>
      <c r="I287" t="str">
        <f t="shared" si="10"/>
        <v>Ürün İş Listesi</v>
      </c>
      <c r="J287" s="5">
        <v>3</v>
      </c>
    </row>
    <row r="288" spans="1:10" x14ac:dyDescent="0.25">
      <c r="A288" t="s">
        <v>14</v>
      </c>
      <c r="B288" t="s">
        <v>626</v>
      </c>
      <c r="C288" t="s">
        <v>16</v>
      </c>
      <c r="D288" t="s">
        <v>627</v>
      </c>
      <c r="E288" s="5" t="s">
        <v>44</v>
      </c>
      <c r="F288" s="5" t="e">
        <f>VLOOKUP(B288,'Türkkep Jira'!B:F,5,0)</f>
        <v>#N/A</v>
      </c>
      <c r="G288" t="str">
        <f>IF(IFERROR(VLOOKUP(B288,'Devam Eden Sprint'!B:B,1,0),"-")=B288,"Devam Eden Sprint","-")</f>
        <v>-</v>
      </c>
      <c r="H288" t="str">
        <f>IF(IFERROR(VLOOKUP(B288,'Gelecek Sprint'!B:B,1,0),"-")=B288,"Gelecek Sprint","-")</f>
        <v>-</v>
      </c>
      <c r="I288" t="str">
        <f t="shared" si="10"/>
        <v>Ürün İş Listesi</v>
      </c>
      <c r="J288" s="5">
        <v>2</v>
      </c>
    </row>
    <row r="289" spans="1:10" x14ac:dyDescent="0.25">
      <c r="A289" t="s">
        <v>14</v>
      </c>
      <c r="B289" t="s">
        <v>628</v>
      </c>
      <c r="C289" t="s">
        <v>16</v>
      </c>
      <c r="D289" t="s">
        <v>629</v>
      </c>
      <c r="E289" s="5" t="s">
        <v>44</v>
      </c>
      <c r="F289" s="5" t="e">
        <f>VLOOKUP(B289,'Türkkep Jira'!B:F,5,0)</f>
        <v>#N/A</v>
      </c>
      <c r="G289" t="str">
        <f>IF(IFERROR(VLOOKUP(B289,'Devam Eden Sprint'!B:B,1,0),"-")=B289,"Devam Eden Sprint","-")</f>
        <v>-</v>
      </c>
      <c r="H289" t="str">
        <f>IF(IFERROR(VLOOKUP(B289,'Gelecek Sprint'!B:B,1,0),"-")=B289,"Gelecek Sprint","-")</f>
        <v>-</v>
      </c>
      <c r="I289" t="str">
        <f t="shared" si="10"/>
        <v>Ürün İş Listesi</v>
      </c>
      <c r="J289" s="5">
        <v>5</v>
      </c>
    </row>
    <row r="290" spans="1:10" x14ac:dyDescent="0.25">
      <c r="A290" t="s">
        <v>14</v>
      </c>
      <c r="B290" t="s">
        <v>630</v>
      </c>
      <c r="C290" t="s">
        <v>10</v>
      </c>
      <c r="D290" t="s">
        <v>631</v>
      </c>
      <c r="E290" s="5" t="s">
        <v>53</v>
      </c>
      <c r="F290" s="5" t="e">
        <f>VLOOKUP(B290,'Türkkep Jira'!B:F,5,0)</f>
        <v>#N/A</v>
      </c>
      <c r="G290" t="str">
        <f>IF(IFERROR(VLOOKUP(B290,'Devam Eden Sprint'!B:B,1,0),"-")=B290,"Devam Eden Sprint","-")</f>
        <v>-</v>
      </c>
      <c r="H290" t="str">
        <f>IF(IFERROR(VLOOKUP(B290,'Gelecek Sprint'!B:B,1,0),"-")=B290,"Gelecek Sprint","-")</f>
        <v>-</v>
      </c>
      <c r="I290" t="str">
        <f t="shared" si="10"/>
        <v>Ürün İş Listesi</v>
      </c>
    </row>
    <row r="291" spans="1:10" x14ac:dyDescent="0.25">
      <c r="A291" t="s">
        <v>14</v>
      </c>
      <c r="B291" t="s">
        <v>632</v>
      </c>
      <c r="C291" t="s">
        <v>16</v>
      </c>
      <c r="D291" t="s">
        <v>633</v>
      </c>
      <c r="E291" s="5" t="s">
        <v>53</v>
      </c>
      <c r="F291" s="5" t="e">
        <f>VLOOKUP(B291,'Türkkep Jira'!B:F,5,0)</f>
        <v>#N/A</v>
      </c>
      <c r="G291" t="str">
        <f>IF(IFERROR(VLOOKUP(B291,'Devam Eden Sprint'!B:B,1,0),"-")=B291,"Devam Eden Sprint","-")</f>
        <v>-</v>
      </c>
      <c r="H291" t="str">
        <f>IF(IFERROR(VLOOKUP(B291,'Gelecek Sprint'!B:B,1,0),"-")=B291,"Gelecek Sprint","-")</f>
        <v>-</v>
      </c>
      <c r="I291" t="str">
        <f t="shared" si="10"/>
        <v>Ürün İş Listesi</v>
      </c>
    </row>
    <row r="292" spans="1:10" x14ac:dyDescent="0.25">
      <c r="A292" t="s">
        <v>14</v>
      </c>
      <c r="B292" t="s">
        <v>634</v>
      </c>
      <c r="C292" t="s">
        <v>192</v>
      </c>
      <c r="D292" t="s">
        <v>635</v>
      </c>
      <c r="E292" s="5" t="s">
        <v>542</v>
      </c>
      <c r="F292" s="5" t="e">
        <f>VLOOKUP(B292,'Türkkep Jira'!B:F,5,0)</f>
        <v>#N/A</v>
      </c>
      <c r="G292" t="str">
        <f>IF(IFERROR(VLOOKUP(B292,'Devam Eden Sprint'!B:B,1,0),"-")=B292,"Devam Eden Sprint","-")</f>
        <v>-</v>
      </c>
      <c r="H292" t="str">
        <f>IF(IFERROR(VLOOKUP(B292,'Gelecek Sprint'!B:B,1,0),"-")=B292,"Gelecek Sprint","-")</f>
        <v>-</v>
      </c>
      <c r="I292" t="str">
        <f t="shared" si="10"/>
        <v>Ürün İş Listesi</v>
      </c>
    </row>
    <row r="293" spans="1:10" x14ac:dyDescent="0.25">
      <c r="A293" t="s">
        <v>14</v>
      </c>
      <c r="B293" t="s">
        <v>636</v>
      </c>
      <c r="C293" t="s">
        <v>16</v>
      </c>
      <c r="D293" t="s">
        <v>637</v>
      </c>
      <c r="E293" s="5" t="s">
        <v>47</v>
      </c>
      <c r="F293" s="5" t="e">
        <f>VLOOKUP(B293,'Türkkep Jira'!B:F,5,0)</f>
        <v>#N/A</v>
      </c>
      <c r="G293" t="str">
        <f>IF(IFERROR(VLOOKUP(B293,'Devam Eden Sprint'!B:B,1,0),"-")=B293,"Devam Eden Sprint","-")</f>
        <v>-</v>
      </c>
      <c r="H293" t="str">
        <f>IF(IFERROR(VLOOKUP(B293,'Gelecek Sprint'!B:B,1,0),"-")=B293,"Gelecek Sprint","-")</f>
        <v>-</v>
      </c>
      <c r="I293" t="str">
        <f t="shared" si="10"/>
        <v>Ürün İş Listesi</v>
      </c>
      <c r="J293" s="5">
        <v>2</v>
      </c>
    </row>
    <row r="294" spans="1:10" x14ac:dyDescent="0.25">
      <c r="A294" t="s">
        <v>14</v>
      </c>
      <c r="B294" t="s">
        <v>638</v>
      </c>
      <c r="C294" t="s">
        <v>10</v>
      </c>
      <c r="D294" t="s">
        <v>639</v>
      </c>
      <c r="E294" s="5" t="s">
        <v>44</v>
      </c>
      <c r="F294" s="5" t="e">
        <f>VLOOKUP(B294,'Türkkep Jira'!B:F,5,0)</f>
        <v>#N/A</v>
      </c>
      <c r="G294" t="str">
        <f>IF(IFERROR(VLOOKUP(B294,'Devam Eden Sprint'!B:B,1,0),"-")=B294,"Devam Eden Sprint","-")</f>
        <v>-</v>
      </c>
      <c r="H294" t="str">
        <f>IF(IFERROR(VLOOKUP(B294,'Gelecek Sprint'!B:B,1,0),"-")=B294,"Gelecek Sprint","-")</f>
        <v>-</v>
      </c>
      <c r="I294" t="str">
        <f t="shared" si="10"/>
        <v>Ürün İş Listesi</v>
      </c>
    </row>
    <row r="295" spans="1:10" x14ac:dyDescent="0.25">
      <c r="A295" t="s">
        <v>14</v>
      </c>
      <c r="B295" t="s">
        <v>640</v>
      </c>
      <c r="C295" t="s">
        <v>16</v>
      </c>
      <c r="D295" t="s">
        <v>641</v>
      </c>
      <c r="E295" s="5" t="s">
        <v>47</v>
      </c>
      <c r="F295" s="5" t="e">
        <f>VLOOKUP(B295,'Türkkep Jira'!B:F,5,0)</f>
        <v>#N/A</v>
      </c>
      <c r="G295" t="str">
        <f>IF(IFERROR(VLOOKUP(B295,'Devam Eden Sprint'!B:B,1,0),"-")=B295,"Devam Eden Sprint","-")</f>
        <v>-</v>
      </c>
      <c r="H295" t="str">
        <f>IF(IFERROR(VLOOKUP(B295,'Gelecek Sprint'!B:B,1,0),"-")=B295,"Gelecek Sprint","-")</f>
        <v>-</v>
      </c>
      <c r="I295" t="str">
        <f t="shared" si="10"/>
        <v>Ürün İş Listesi</v>
      </c>
      <c r="J295" s="5">
        <v>3</v>
      </c>
    </row>
    <row r="296" spans="1:10" x14ac:dyDescent="0.25">
      <c r="A296" t="s">
        <v>14</v>
      </c>
      <c r="B296" t="s">
        <v>642</v>
      </c>
      <c r="C296" t="s">
        <v>16</v>
      </c>
      <c r="D296" t="s">
        <v>643</v>
      </c>
      <c r="E296" s="5" t="s">
        <v>53</v>
      </c>
      <c r="F296" s="5" t="e">
        <f>VLOOKUP(B296,'Türkkep Jira'!B:F,5,0)</f>
        <v>#N/A</v>
      </c>
      <c r="G296" t="str">
        <f>IF(IFERROR(VLOOKUP(B296,'Devam Eden Sprint'!B:B,1,0),"-")=B296,"Devam Eden Sprint","-")</f>
        <v>-</v>
      </c>
      <c r="H296" t="str">
        <f>IF(IFERROR(VLOOKUP(B296,'Gelecek Sprint'!B:B,1,0),"-")=B296,"Gelecek Sprint","-")</f>
        <v>-</v>
      </c>
      <c r="I296" t="str">
        <f t="shared" si="10"/>
        <v>Ürün İş Listesi</v>
      </c>
      <c r="J296" s="5">
        <v>3</v>
      </c>
    </row>
    <row r="297" spans="1:10" x14ac:dyDescent="0.25">
      <c r="A297" t="s">
        <v>14</v>
      </c>
      <c r="B297" t="s">
        <v>644</v>
      </c>
      <c r="C297" t="s">
        <v>16</v>
      </c>
      <c r="D297" t="s">
        <v>645</v>
      </c>
      <c r="E297" s="5" t="s">
        <v>53</v>
      </c>
      <c r="F297" s="5" t="e">
        <f>VLOOKUP(B297,'Türkkep Jira'!B:F,5,0)</f>
        <v>#N/A</v>
      </c>
      <c r="G297" t="str">
        <f>IF(IFERROR(VLOOKUP(B297,'Devam Eden Sprint'!B:B,1,0),"-")=B297,"Devam Eden Sprint","-")</f>
        <v>-</v>
      </c>
      <c r="H297" t="str">
        <f>IF(IFERROR(VLOOKUP(B297,'Gelecek Sprint'!B:B,1,0),"-")=B297,"Gelecek Sprint","-")</f>
        <v>-</v>
      </c>
      <c r="I297" t="str">
        <f t="shared" si="10"/>
        <v>Ürün İş Listesi</v>
      </c>
      <c r="J297" s="5">
        <v>2</v>
      </c>
    </row>
    <row r="298" spans="1:10" x14ac:dyDescent="0.25">
      <c r="A298" t="s">
        <v>14</v>
      </c>
      <c r="B298" t="s">
        <v>646</v>
      </c>
      <c r="C298" t="s">
        <v>16</v>
      </c>
      <c r="D298" t="s">
        <v>647</v>
      </c>
      <c r="E298" s="5" t="s">
        <v>53</v>
      </c>
      <c r="F298" s="5" t="e">
        <f>VLOOKUP(B298,'Türkkep Jira'!B:F,5,0)</f>
        <v>#N/A</v>
      </c>
      <c r="G298" t="str">
        <f>IF(IFERROR(VLOOKUP(B298,'Devam Eden Sprint'!B:B,1,0),"-")=B298,"Devam Eden Sprint","-")</f>
        <v>-</v>
      </c>
      <c r="H298" t="str">
        <f>IF(IFERROR(VLOOKUP(B298,'Gelecek Sprint'!B:B,1,0),"-")=B298,"Gelecek Sprint","-")</f>
        <v>-</v>
      </c>
      <c r="I298" t="str">
        <f t="shared" si="10"/>
        <v>Ürün İş Listesi</v>
      </c>
      <c r="J298" s="5">
        <v>2</v>
      </c>
    </row>
    <row r="299" spans="1:10" x14ac:dyDescent="0.25">
      <c r="A299" t="s">
        <v>14</v>
      </c>
      <c r="B299" t="s">
        <v>648</v>
      </c>
      <c r="C299" t="s">
        <v>16</v>
      </c>
      <c r="D299" t="s">
        <v>649</v>
      </c>
      <c r="E299" s="5" t="s">
        <v>53</v>
      </c>
      <c r="F299" s="5" t="e">
        <f>VLOOKUP(B299,'Türkkep Jira'!B:F,5,0)</f>
        <v>#N/A</v>
      </c>
      <c r="G299" t="str">
        <f>IF(IFERROR(VLOOKUP(B299,'Devam Eden Sprint'!B:B,1,0),"-")=B299,"Devam Eden Sprint","-")</f>
        <v>-</v>
      </c>
      <c r="H299" t="str">
        <f>IF(IFERROR(VLOOKUP(B299,'Gelecek Sprint'!B:B,1,0),"-")=B299,"Gelecek Sprint","-")</f>
        <v>-</v>
      </c>
      <c r="I299" t="str">
        <f t="shared" si="10"/>
        <v>Ürün İş Listesi</v>
      </c>
      <c r="J299" s="5">
        <v>3</v>
      </c>
    </row>
    <row r="300" spans="1:10" x14ac:dyDescent="0.25">
      <c r="A300" t="s">
        <v>14</v>
      </c>
      <c r="B300" t="s">
        <v>650</v>
      </c>
      <c r="C300" t="s">
        <v>16</v>
      </c>
      <c r="D300" t="s">
        <v>651</v>
      </c>
      <c r="E300" s="5" t="s">
        <v>53</v>
      </c>
      <c r="F300" s="5" t="e">
        <f>VLOOKUP(B300,'Türkkep Jira'!B:F,5,0)</f>
        <v>#N/A</v>
      </c>
      <c r="G300" t="str">
        <f>IF(IFERROR(VLOOKUP(B300,'Devam Eden Sprint'!B:B,1,0),"-")=B300,"Devam Eden Sprint","-")</f>
        <v>-</v>
      </c>
      <c r="H300" t="str">
        <f>IF(IFERROR(VLOOKUP(B300,'Gelecek Sprint'!B:B,1,0),"-")=B300,"Gelecek Sprint","-")</f>
        <v>-</v>
      </c>
      <c r="I300" t="str">
        <f t="shared" si="10"/>
        <v>Ürün İş Listesi</v>
      </c>
      <c r="J300" s="5">
        <v>2</v>
      </c>
    </row>
    <row r="301" spans="1:10" x14ac:dyDescent="0.25">
      <c r="A301" t="s">
        <v>14</v>
      </c>
      <c r="B301" t="s">
        <v>652</v>
      </c>
      <c r="C301" t="s">
        <v>16</v>
      </c>
      <c r="D301" t="s">
        <v>611</v>
      </c>
      <c r="E301" s="5" t="s">
        <v>53</v>
      </c>
      <c r="F301" s="5" t="e">
        <f>VLOOKUP(B301,'Türkkep Jira'!B:F,5,0)</f>
        <v>#N/A</v>
      </c>
      <c r="G301" t="str">
        <f>IF(IFERROR(VLOOKUP(B301,'Devam Eden Sprint'!B:B,1,0),"-")=B301,"Devam Eden Sprint","-")</f>
        <v>-</v>
      </c>
      <c r="H301" t="str">
        <f>IF(IFERROR(VLOOKUP(B301,'Gelecek Sprint'!B:B,1,0),"-")=B301,"Gelecek Sprint","-")</f>
        <v>-</v>
      </c>
      <c r="I301" t="str">
        <f t="shared" si="10"/>
        <v>Ürün İş Listesi</v>
      </c>
    </row>
    <row r="302" spans="1:10" x14ac:dyDescent="0.25">
      <c r="A302" t="s">
        <v>14</v>
      </c>
      <c r="B302" t="s">
        <v>653</v>
      </c>
      <c r="C302" t="s">
        <v>16</v>
      </c>
      <c r="D302" t="s">
        <v>654</v>
      </c>
      <c r="E302" s="5" t="s">
        <v>53</v>
      </c>
      <c r="F302" s="5" t="e">
        <f>VLOOKUP(B302,'Türkkep Jira'!B:F,5,0)</f>
        <v>#N/A</v>
      </c>
      <c r="G302" t="str">
        <f>IF(IFERROR(VLOOKUP(B302,'Devam Eden Sprint'!B:B,1,0),"-")=B302,"Devam Eden Sprint","-")</f>
        <v>-</v>
      </c>
      <c r="H302" t="str">
        <f>IF(IFERROR(VLOOKUP(B302,'Gelecek Sprint'!B:B,1,0),"-")=B302,"Gelecek Sprint","-")</f>
        <v>-</v>
      </c>
      <c r="I302" t="str">
        <f t="shared" si="10"/>
        <v>Ürün İş Listesi</v>
      </c>
    </row>
    <row r="303" spans="1:10" x14ac:dyDescent="0.25">
      <c r="A303" t="s">
        <v>14</v>
      </c>
      <c r="B303" t="s">
        <v>655</v>
      </c>
      <c r="C303" t="s">
        <v>16</v>
      </c>
      <c r="D303" t="s">
        <v>656</v>
      </c>
      <c r="E303" s="5" t="s">
        <v>53</v>
      </c>
      <c r="F303" s="5" t="e">
        <f>VLOOKUP(B303,'Türkkep Jira'!B:F,5,0)</f>
        <v>#N/A</v>
      </c>
      <c r="G303" t="str">
        <f>IF(IFERROR(VLOOKUP(B303,'Devam Eden Sprint'!B:B,1,0),"-")=B303,"Devam Eden Sprint","-")</f>
        <v>-</v>
      </c>
      <c r="H303" t="str">
        <f>IF(IFERROR(VLOOKUP(B303,'Gelecek Sprint'!B:B,1,0),"-")=B303,"Gelecek Sprint","-")</f>
        <v>-</v>
      </c>
      <c r="I303" t="str">
        <f t="shared" si="10"/>
        <v>Ürün İş Listesi</v>
      </c>
    </row>
    <row r="304" spans="1:10" x14ac:dyDescent="0.25">
      <c r="A304" t="s">
        <v>14</v>
      </c>
      <c r="B304" t="s">
        <v>657</v>
      </c>
      <c r="C304" t="s">
        <v>16</v>
      </c>
      <c r="D304" t="s">
        <v>658</v>
      </c>
      <c r="E304" s="5" t="s">
        <v>59</v>
      </c>
      <c r="F304" s="5" t="e">
        <f>VLOOKUP(B304,'Türkkep Jira'!B:F,5,0)</f>
        <v>#N/A</v>
      </c>
      <c r="G304" t="str">
        <f>IF(IFERROR(VLOOKUP(B304,'Devam Eden Sprint'!B:B,1,0),"-")=B304,"Devam Eden Sprint","-")</f>
        <v>-</v>
      </c>
      <c r="H304" t="str">
        <f>IF(IFERROR(VLOOKUP(B304,'Gelecek Sprint'!B:B,1,0),"-")=B304,"Gelecek Sprint","-")</f>
        <v>-</v>
      </c>
      <c r="I304" t="str">
        <f t="shared" si="10"/>
        <v>Ürün İş Listesi</v>
      </c>
      <c r="J304" s="5">
        <v>2</v>
      </c>
    </row>
    <row r="305" spans="1:10" x14ac:dyDescent="0.25">
      <c r="A305" t="s">
        <v>14</v>
      </c>
      <c r="B305" t="s">
        <v>659</v>
      </c>
      <c r="C305" t="s">
        <v>16</v>
      </c>
      <c r="D305" t="s">
        <v>660</v>
      </c>
      <c r="E305" s="5" t="s">
        <v>47</v>
      </c>
      <c r="F305" s="5" t="e">
        <f>VLOOKUP(B305,'Türkkep Jira'!B:F,5,0)</f>
        <v>#N/A</v>
      </c>
      <c r="G305" t="str">
        <f>IF(IFERROR(VLOOKUP(B305,'Devam Eden Sprint'!B:B,1,0),"-")=B305,"Devam Eden Sprint","-")</f>
        <v>-</v>
      </c>
      <c r="H305" t="str">
        <f>IF(IFERROR(VLOOKUP(B305,'Gelecek Sprint'!B:B,1,0),"-")=B305,"Gelecek Sprint","-")</f>
        <v>-</v>
      </c>
      <c r="I305" t="str">
        <f t="shared" si="10"/>
        <v>Ürün İş Listesi</v>
      </c>
      <c r="J305" s="5">
        <v>3</v>
      </c>
    </row>
    <row r="306" spans="1:10" x14ac:dyDescent="0.25">
      <c r="A306" t="s">
        <v>14</v>
      </c>
      <c r="B306" t="s">
        <v>661</v>
      </c>
      <c r="C306" t="s">
        <v>16</v>
      </c>
      <c r="D306" t="s">
        <v>662</v>
      </c>
      <c r="E306" s="5" t="s">
        <v>50</v>
      </c>
      <c r="F306" s="5" t="e">
        <f>VLOOKUP(B306,'Türkkep Jira'!B:F,5,0)</f>
        <v>#N/A</v>
      </c>
      <c r="G306" t="str">
        <f>IF(IFERROR(VLOOKUP(B306,'Devam Eden Sprint'!B:B,1,0),"-")=B306,"Devam Eden Sprint","-")</f>
        <v>-</v>
      </c>
      <c r="H306" t="str">
        <f>IF(IFERROR(VLOOKUP(B306,'Gelecek Sprint'!B:B,1,0),"-")=B306,"Gelecek Sprint","-")</f>
        <v>-</v>
      </c>
      <c r="I306" t="str">
        <f t="shared" si="10"/>
        <v>Ürün İş Listesi</v>
      </c>
      <c r="J306" s="5">
        <v>2</v>
      </c>
    </row>
    <row r="307" spans="1:10" x14ac:dyDescent="0.25">
      <c r="A307" t="s">
        <v>14</v>
      </c>
      <c r="B307" t="s">
        <v>663</v>
      </c>
      <c r="C307" t="s">
        <v>16</v>
      </c>
      <c r="D307" t="s">
        <v>658</v>
      </c>
      <c r="E307" s="5" t="s">
        <v>50</v>
      </c>
      <c r="F307" s="5" t="e">
        <f>VLOOKUP(B307,'Türkkep Jira'!B:F,5,0)</f>
        <v>#N/A</v>
      </c>
      <c r="G307" t="str">
        <f>IF(IFERROR(VLOOKUP(B307,'Devam Eden Sprint'!B:B,1,0),"-")=B307,"Devam Eden Sprint","-")</f>
        <v>-</v>
      </c>
      <c r="H307" t="str">
        <f>IF(IFERROR(VLOOKUP(B307,'Gelecek Sprint'!B:B,1,0),"-")=B307,"Gelecek Sprint","-")</f>
        <v>-</v>
      </c>
      <c r="I307" t="str">
        <f t="shared" si="10"/>
        <v>Ürün İş Listesi</v>
      </c>
      <c r="J307" s="5">
        <v>2</v>
      </c>
    </row>
    <row r="308" spans="1:10" x14ac:dyDescent="0.25">
      <c r="A308" t="s">
        <v>77</v>
      </c>
      <c r="B308" t="s">
        <v>664</v>
      </c>
      <c r="C308" t="s">
        <v>16</v>
      </c>
      <c r="D308" t="s">
        <v>665</v>
      </c>
      <c r="E308" s="5" t="s">
        <v>50</v>
      </c>
      <c r="F308" s="5" t="e">
        <f>VLOOKUP(B308,'Türkkep Jira'!B:F,5,0)</f>
        <v>#N/A</v>
      </c>
      <c r="G308" t="str">
        <f>IF(IFERROR(VLOOKUP(B308,'Devam Eden Sprint'!B:B,1,0),"-")=B308,"Devam Eden Sprint","-")</f>
        <v>-</v>
      </c>
      <c r="H308" t="str">
        <f>IF(IFERROR(VLOOKUP(B308,'Gelecek Sprint'!B:B,1,0),"-")=B308,"Gelecek Sprint","-")</f>
        <v>-</v>
      </c>
      <c r="I308" t="str">
        <f t="shared" si="10"/>
        <v>Ürün İş Listesi</v>
      </c>
    </row>
    <row r="309" spans="1:10" x14ac:dyDescent="0.25">
      <c r="A309" t="s">
        <v>14</v>
      </c>
      <c r="B309" t="s">
        <v>666</v>
      </c>
      <c r="C309" t="s">
        <v>16</v>
      </c>
      <c r="D309" t="s">
        <v>324</v>
      </c>
      <c r="E309" s="5" t="s">
        <v>50</v>
      </c>
      <c r="F309" s="5" t="e">
        <f>VLOOKUP(B309,'Türkkep Jira'!B:F,5,0)</f>
        <v>#N/A</v>
      </c>
      <c r="G309" t="str">
        <f>IF(IFERROR(VLOOKUP(B309,'Devam Eden Sprint'!B:B,1,0),"-")=B309,"Devam Eden Sprint","-")</f>
        <v>-</v>
      </c>
      <c r="H309" t="str">
        <f>IF(IFERROR(VLOOKUP(B309,'Gelecek Sprint'!B:B,1,0),"-")=B309,"Gelecek Sprint","-")</f>
        <v>-</v>
      </c>
      <c r="I309" t="str">
        <f t="shared" si="10"/>
        <v>Ürün İş Listesi</v>
      </c>
    </row>
    <row r="310" spans="1:10" x14ac:dyDescent="0.25">
      <c r="A310" t="s">
        <v>14</v>
      </c>
      <c r="B310" t="s">
        <v>667</v>
      </c>
      <c r="C310" t="s">
        <v>16</v>
      </c>
      <c r="D310" t="s">
        <v>668</v>
      </c>
      <c r="E310" s="5" t="s">
        <v>50</v>
      </c>
      <c r="F310" s="5" t="e">
        <f>VLOOKUP(B310,'Türkkep Jira'!B:F,5,0)</f>
        <v>#N/A</v>
      </c>
      <c r="G310" t="str">
        <f>IF(IFERROR(VLOOKUP(B310,'Devam Eden Sprint'!B:B,1,0),"-")=B310,"Devam Eden Sprint","-")</f>
        <v>-</v>
      </c>
      <c r="H310" t="str">
        <f>IF(IFERROR(VLOOKUP(B310,'Gelecek Sprint'!B:B,1,0),"-")=B310,"Gelecek Sprint","-")</f>
        <v>-</v>
      </c>
      <c r="I310" t="str">
        <f t="shared" si="10"/>
        <v>Ürün İş Listesi</v>
      </c>
    </row>
    <row r="311" spans="1:10" x14ac:dyDescent="0.25">
      <c r="A311" t="s">
        <v>14</v>
      </c>
      <c r="B311" t="s">
        <v>669</v>
      </c>
      <c r="C311" t="s">
        <v>16</v>
      </c>
      <c r="D311" t="s">
        <v>332</v>
      </c>
      <c r="E311" s="5" t="s">
        <v>50</v>
      </c>
      <c r="F311" s="5" t="e">
        <f>VLOOKUP(B311,'Türkkep Jira'!B:F,5,0)</f>
        <v>#N/A</v>
      </c>
      <c r="G311" t="str">
        <f>IF(IFERROR(VLOOKUP(B311,'Devam Eden Sprint'!B:B,1,0),"-")=B311,"Devam Eden Sprint","-")</f>
        <v>-</v>
      </c>
      <c r="H311" t="str">
        <f>IF(IFERROR(VLOOKUP(B311,'Gelecek Sprint'!B:B,1,0),"-")=B311,"Gelecek Sprint","-")</f>
        <v>-</v>
      </c>
      <c r="I311" t="str">
        <f t="shared" si="10"/>
        <v>Ürün İş Listesi</v>
      </c>
    </row>
    <row r="312" spans="1:10" x14ac:dyDescent="0.25">
      <c r="A312" t="s">
        <v>14</v>
      </c>
      <c r="B312" t="s">
        <v>670</v>
      </c>
      <c r="C312" t="s">
        <v>16</v>
      </c>
      <c r="D312" t="s">
        <v>671</v>
      </c>
      <c r="E312" s="5" t="s">
        <v>44</v>
      </c>
      <c r="F312" s="5" t="e">
        <f>VLOOKUP(B312,'Türkkep Jira'!B:F,5,0)</f>
        <v>#N/A</v>
      </c>
      <c r="G312" t="str">
        <f>IF(IFERROR(VLOOKUP(B312,'Devam Eden Sprint'!B:B,1,0),"-")=B312,"Devam Eden Sprint","-")</f>
        <v>-</v>
      </c>
      <c r="H312" t="str">
        <f>IF(IFERROR(VLOOKUP(B312,'Gelecek Sprint'!B:B,1,0),"-")=B312,"Gelecek Sprint","-")</f>
        <v>-</v>
      </c>
      <c r="I312" t="str">
        <f t="shared" si="10"/>
        <v>Ürün İş Listesi</v>
      </c>
      <c r="J312" s="5">
        <v>2</v>
      </c>
    </row>
    <row r="313" spans="1:10" x14ac:dyDescent="0.25">
      <c r="A313" t="s">
        <v>14</v>
      </c>
      <c r="B313" t="s">
        <v>672</v>
      </c>
      <c r="C313" t="s">
        <v>16</v>
      </c>
      <c r="D313" t="s">
        <v>673</v>
      </c>
      <c r="E313" s="5" t="s">
        <v>44</v>
      </c>
      <c r="F313" s="5" t="e">
        <f>VLOOKUP(B313,'Türkkep Jira'!B:F,5,0)</f>
        <v>#N/A</v>
      </c>
      <c r="G313" t="str">
        <f>IF(IFERROR(VLOOKUP(B313,'Devam Eden Sprint'!B:B,1,0),"-")=B313,"Devam Eden Sprint","-")</f>
        <v>-</v>
      </c>
      <c r="H313" t="str">
        <f>IF(IFERROR(VLOOKUP(B313,'Gelecek Sprint'!B:B,1,0),"-")=B313,"Gelecek Sprint","-")</f>
        <v>-</v>
      </c>
      <c r="I313" t="str">
        <f t="shared" si="10"/>
        <v>Ürün İş Listesi</v>
      </c>
      <c r="J313" s="5">
        <v>5</v>
      </c>
    </row>
    <row r="314" spans="1:10" x14ac:dyDescent="0.25">
      <c r="A314" t="s">
        <v>14</v>
      </c>
      <c r="B314" t="s">
        <v>674</v>
      </c>
      <c r="C314" t="s">
        <v>16</v>
      </c>
      <c r="D314" t="s">
        <v>675</v>
      </c>
      <c r="E314" s="5" t="s">
        <v>44</v>
      </c>
      <c r="F314" s="5" t="e">
        <f>VLOOKUP(B314,'Türkkep Jira'!B:F,5,0)</f>
        <v>#N/A</v>
      </c>
      <c r="G314" t="str">
        <f>IF(IFERROR(VLOOKUP(B314,'Devam Eden Sprint'!B:B,1,0),"-")=B314,"Devam Eden Sprint","-")</f>
        <v>-</v>
      </c>
      <c r="H314" t="str">
        <f>IF(IFERROR(VLOOKUP(B314,'Gelecek Sprint'!B:B,1,0),"-")=B314,"Gelecek Sprint","-")</f>
        <v>-</v>
      </c>
      <c r="I314" t="str">
        <f t="shared" si="10"/>
        <v>Ürün İş Listesi</v>
      </c>
      <c r="J314" s="5">
        <v>3</v>
      </c>
    </row>
    <row r="315" spans="1:10" x14ac:dyDescent="0.25">
      <c r="A315" t="s">
        <v>14</v>
      </c>
      <c r="B315" t="s">
        <v>676</v>
      </c>
      <c r="C315" t="s">
        <v>16</v>
      </c>
      <c r="D315" t="s">
        <v>677</v>
      </c>
      <c r="E315" s="5" t="s">
        <v>44</v>
      </c>
      <c r="F315" s="5" t="e">
        <f>VLOOKUP(B315,'Türkkep Jira'!B:F,5,0)</f>
        <v>#N/A</v>
      </c>
      <c r="G315" t="str">
        <f>IF(IFERROR(VLOOKUP(B315,'Devam Eden Sprint'!B:B,1,0),"-")=B315,"Devam Eden Sprint","-")</f>
        <v>-</v>
      </c>
      <c r="H315" t="str">
        <f>IF(IFERROR(VLOOKUP(B315,'Gelecek Sprint'!B:B,1,0),"-")=B315,"Gelecek Sprint","-")</f>
        <v>-</v>
      </c>
      <c r="I315" t="str">
        <f t="shared" si="10"/>
        <v>Ürün İş Listesi</v>
      </c>
      <c r="J315" s="5">
        <v>3</v>
      </c>
    </row>
    <row r="316" spans="1:10" x14ac:dyDescent="0.25">
      <c r="A316" t="s">
        <v>14</v>
      </c>
      <c r="B316" t="s">
        <v>678</v>
      </c>
      <c r="C316" t="s">
        <v>16</v>
      </c>
      <c r="D316" t="s">
        <v>679</v>
      </c>
      <c r="E316" s="5" t="s">
        <v>44</v>
      </c>
      <c r="F316" s="5" t="e">
        <f>VLOOKUP(B316,'Türkkep Jira'!B:F,5,0)</f>
        <v>#N/A</v>
      </c>
      <c r="G316" t="str">
        <f>IF(IFERROR(VLOOKUP(B316,'Devam Eden Sprint'!B:B,1,0),"-")=B316,"Devam Eden Sprint","-")</f>
        <v>-</v>
      </c>
      <c r="H316" t="str">
        <f>IF(IFERROR(VLOOKUP(B316,'Gelecek Sprint'!B:B,1,0),"-")=B316,"Gelecek Sprint","-")</f>
        <v>-</v>
      </c>
      <c r="I316" t="str">
        <f t="shared" si="10"/>
        <v>Ürün İş Listesi</v>
      </c>
      <c r="J316" s="5">
        <v>3</v>
      </c>
    </row>
    <row r="317" spans="1:10" x14ac:dyDescent="0.25">
      <c r="A317" t="s">
        <v>14</v>
      </c>
      <c r="B317" t="s">
        <v>680</v>
      </c>
      <c r="C317" t="s">
        <v>16</v>
      </c>
      <c r="D317" t="s">
        <v>681</v>
      </c>
      <c r="E317" s="5" t="s">
        <v>44</v>
      </c>
      <c r="F317" s="5" t="e">
        <f>VLOOKUP(B317,'Türkkep Jira'!B:F,5,0)</f>
        <v>#N/A</v>
      </c>
      <c r="G317" t="str">
        <f>IF(IFERROR(VLOOKUP(B317,'Devam Eden Sprint'!B:B,1,0),"-")=B317,"Devam Eden Sprint","-")</f>
        <v>-</v>
      </c>
      <c r="H317" t="str">
        <f>IF(IFERROR(VLOOKUP(B317,'Gelecek Sprint'!B:B,1,0),"-")=B317,"Gelecek Sprint","-")</f>
        <v>-</v>
      </c>
      <c r="I317" t="str">
        <f t="shared" si="10"/>
        <v>Ürün İş Listesi</v>
      </c>
      <c r="J317" s="5">
        <v>3</v>
      </c>
    </row>
    <row r="318" spans="1:10" x14ac:dyDescent="0.25">
      <c r="A318" t="s">
        <v>14</v>
      </c>
      <c r="B318" t="s">
        <v>682</v>
      </c>
      <c r="C318" t="s">
        <v>10</v>
      </c>
      <c r="D318" t="s">
        <v>683</v>
      </c>
      <c r="E318" s="5" t="s">
        <v>44</v>
      </c>
      <c r="F318" s="5" t="e">
        <f>VLOOKUP(B318,'Türkkep Jira'!B:F,5,0)</f>
        <v>#N/A</v>
      </c>
      <c r="G318" t="str">
        <f>IF(IFERROR(VLOOKUP(B318,'Devam Eden Sprint'!B:B,1,0),"-")=B318,"Devam Eden Sprint","-")</f>
        <v>-</v>
      </c>
      <c r="H318" t="str">
        <f>IF(IFERROR(VLOOKUP(B318,'Gelecek Sprint'!B:B,1,0),"-")=B318,"Gelecek Sprint","-")</f>
        <v>-</v>
      </c>
      <c r="I318" t="str">
        <f t="shared" si="10"/>
        <v>Ürün İş Listesi</v>
      </c>
    </row>
    <row r="319" spans="1:10" x14ac:dyDescent="0.25">
      <c r="A319" t="s">
        <v>14</v>
      </c>
      <c r="B319" t="s">
        <v>684</v>
      </c>
      <c r="C319" t="s">
        <v>16</v>
      </c>
      <c r="D319" t="s">
        <v>685</v>
      </c>
      <c r="E319" s="5" t="s">
        <v>44</v>
      </c>
      <c r="F319" s="5" t="e">
        <f>VLOOKUP(B319,'Türkkep Jira'!B:F,5,0)</f>
        <v>#N/A</v>
      </c>
      <c r="G319" t="str">
        <f>IF(IFERROR(VLOOKUP(B319,'Devam Eden Sprint'!B:B,1,0),"-")=B319,"Devam Eden Sprint","-")</f>
        <v>-</v>
      </c>
      <c r="H319" t="str">
        <f>IF(IFERROR(VLOOKUP(B319,'Gelecek Sprint'!B:B,1,0),"-")=B319,"Gelecek Sprint","-")</f>
        <v>-</v>
      </c>
      <c r="I319" t="str">
        <f t="shared" si="10"/>
        <v>Ürün İş Listesi</v>
      </c>
      <c r="J319" s="5">
        <v>3</v>
      </c>
    </row>
    <row r="320" spans="1:10" x14ac:dyDescent="0.25">
      <c r="A320" t="s">
        <v>14</v>
      </c>
      <c r="B320" t="s">
        <v>686</v>
      </c>
      <c r="C320" t="s">
        <v>16</v>
      </c>
      <c r="D320" t="s">
        <v>623</v>
      </c>
      <c r="E320" s="5" t="s">
        <v>44</v>
      </c>
      <c r="F320" s="5" t="e">
        <f>VLOOKUP(B320,'Türkkep Jira'!B:F,5,0)</f>
        <v>#N/A</v>
      </c>
      <c r="G320" t="str">
        <f>IF(IFERROR(VLOOKUP(B320,'Devam Eden Sprint'!B:B,1,0),"-")=B320,"Devam Eden Sprint","-")</f>
        <v>-</v>
      </c>
      <c r="H320" t="str">
        <f>IF(IFERROR(VLOOKUP(B320,'Gelecek Sprint'!B:B,1,0),"-")=B320,"Gelecek Sprint","-")</f>
        <v>-</v>
      </c>
      <c r="I320" t="str">
        <f t="shared" si="10"/>
        <v>Ürün İş Listesi</v>
      </c>
    </row>
    <row r="321" spans="1:10" x14ac:dyDescent="0.25">
      <c r="A321" t="s">
        <v>14</v>
      </c>
      <c r="B321" t="s">
        <v>687</v>
      </c>
      <c r="C321" t="s">
        <v>16</v>
      </c>
      <c r="D321" t="s">
        <v>688</v>
      </c>
      <c r="E321" s="5" t="s">
        <v>44</v>
      </c>
      <c r="F321" s="5" t="e">
        <f>VLOOKUP(B321,'Türkkep Jira'!B:F,5,0)</f>
        <v>#N/A</v>
      </c>
      <c r="G321" t="str">
        <f>IF(IFERROR(VLOOKUP(B321,'Devam Eden Sprint'!B:B,1,0),"-")=B321,"Devam Eden Sprint","-")</f>
        <v>-</v>
      </c>
      <c r="H321" t="str">
        <f>IF(IFERROR(VLOOKUP(B321,'Gelecek Sprint'!B:B,1,0),"-")=B321,"Gelecek Sprint","-")</f>
        <v>-</v>
      </c>
      <c r="I321" t="str">
        <f t="shared" si="10"/>
        <v>Ürün İş Listesi</v>
      </c>
    </row>
    <row r="322" spans="1:10" x14ac:dyDescent="0.25">
      <c r="A322" t="s">
        <v>14</v>
      </c>
      <c r="B322" t="s">
        <v>689</v>
      </c>
      <c r="C322" t="s">
        <v>16</v>
      </c>
      <c r="D322" t="s">
        <v>690</v>
      </c>
      <c r="E322" s="5" t="s">
        <v>44</v>
      </c>
      <c r="F322" s="5" t="e">
        <f>VLOOKUP(B322,'Türkkep Jira'!B:F,5,0)</f>
        <v>#N/A</v>
      </c>
      <c r="G322" t="str">
        <f>IF(IFERROR(VLOOKUP(B322,'Devam Eden Sprint'!B:B,1,0),"-")=B322,"Devam Eden Sprint","-")</f>
        <v>-</v>
      </c>
      <c r="H322" t="str">
        <f>IF(IFERROR(VLOOKUP(B322,'Gelecek Sprint'!B:B,1,0),"-")=B322,"Gelecek Sprint","-")</f>
        <v>-</v>
      </c>
      <c r="I322" t="str">
        <f t="shared" ref="I322:I376" si="11">IFERROR(IF(AND(G322="Devam Eden Sprint",H322="Gelecek Sprint"),"Devam Eden ve Gelecek Sprint",IF(G322="Devam Eden Sprint","Devam Eden Sprint",IF(H322="Gelecek Sprint","Gelecek Sprint","Ürün İş Listesi"))),"Ürün İş Listesi")</f>
        <v>Ürün İş Listesi</v>
      </c>
    </row>
    <row r="323" spans="1:10" x14ac:dyDescent="0.25">
      <c r="A323" t="s">
        <v>14</v>
      </c>
      <c r="B323" t="s">
        <v>691</v>
      </c>
      <c r="C323" t="s">
        <v>16</v>
      </c>
      <c r="D323" t="s">
        <v>692</v>
      </c>
      <c r="E323" s="5" t="s">
        <v>44</v>
      </c>
      <c r="F323" s="5" t="e">
        <f>VLOOKUP(B323,'Türkkep Jira'!B:F,5,0)</f>
        <v>#N/A</v>
      </c>
      <c r="G323" t="str">
        <f>IF(IFERROR(VLOOKUP(B323,'Devam Eden Sprint'!B:B,1,0),"-")=B323,"Devam Eden Sprint","-")</f>
        <v>-</v>
      </c>
      <c r="H323" t="str">
        <f>IF(IFERROR(VLOOKUP(B323,'Gelecek Sprint'!B:B,1,0),"-")=B323,"Gelecek Sprint","-")</f>
        <v>-</v>
      </c>
      <c r="I323" t="str">
        <f t="shared" si="11"/>
        <v>Ürün İş Listesi</v>
      </c>
    </row>
    <row r="324" spans="1:10" x14ac:dyDescent="0.25">
      <c r="A324" t="s">
        <v>14</v>
      </c>
      <c r="B324" t="s">
        <v>693</v>
      </c>
      <c r="C324" t="s">
        <v>16</v>
      </c>
      <c r="D324" t="s">
        <v>694</v>
      </c>
      <c r="E324" s="5" t="s">
        <v>44</v>
      </c>
      <c r="F324" s="5" t="e">
        <f>VLOOKUP(B324,'Türkkep Jira'!B:F,5,0)</f>
        <v>#N/A</v>
      </c>
      <c r="G324" t="str">
        <f>IF(IFERROR(VLOOKUP(B324,'Devam Eden Sprint'!B:B,1,0),"-")=B324,"Devam Eden Sprint","-")</f>
        <v>-</v>
      </c>
      <c r="H324" t="str">
        <f>IF(IFERROR(VLOOKUP(B324,'Gelecek Sprint'!B:B,1,0),"-")=B324,"Gelecek Sprint","-")</f>
        <v>-</v>
      </c>
      <c r="I324" t="str">
        <f t="shared" si="11"/>
        <v>Ürün İş Listesi</v>
      </c>
    </row>
    <row r="325" spans="1:10" x14ac:dyDescent="0.25">
      <c r="A325" t="s">
        <v>14</v>
      </c>
      <c r="B325" t="s">
        <v>695</v>
      </c>
      <c r="C325" t="s">
        <v>16</v>
      </c>
      <c r="D325" t="s">
        <v>696</v>
      </c>
      <c r="E325" s="5" t="s">
        <v>41</v>
      </c>
      <c r="F325" s="5" t="e">
        <f>VLOOKUP(B325,'Türkkep Jira'!B:F,5,0)</f>
        <v>#N/A</v>
      </c>
      <c r="G325" t="str">
        <f>IF(IFERROR(VLOOKUP(B325,'Devam Eden Sprint'!B:B,1,0),"-")=B325,"Devam Eden Sprint","-")</f>
        <v>-</v>
      </c>
      <c r="H325" t="str">
        <f>IF(IFERROR(VLOOKUP(B325,'Gelecek Sprint'!B:B,1,0),"-")=B325,"Gelecek Sprint","-")</f>
        <v>-</v>
      </c>
      <c r="I325" t="str">
        <f t="shared" si="11"/>
        <v>Ürün İş Listesi</v>
      </c>
    </row>
    <row r="326" spans="1:10" x14ac:dyDescent="0.25">
      <c r="A326" t="s">
        <v>14</v>
      </c>
      <c r="B326" t="s">
        <v>697</v>
      </c>
      <c r="C326" t="s">
        <v>16</v>
      </c>
      <c r="D326" t="s">
        <v>698</v>
      </c>
      <c r="E326" s="5" t="s">
        <v>41</v>
      </c>
      <c r="F326" s="5" t="e">
        <f>VLOOKUP(B326,'Türkkep Jira'!B:F,5,0)</f>
        <v>#N/A</v>
      </c>
      <c r="G326" t="str">
        <f>IF(IFERROR(VLOOKUP(B326,'Devam Eden Sprint'!B:B,1,0),"-")=B326,"Devam Eden Sprint","-")</f>
        <v>-</v>
      </c>
      <c r="H326" t="str">
        <f>IF(IFERROR(VLOOKUP(B326,'Gelecek Sprint'!B:B,1,0),"-")=B326,"Gelecek Sprint","-")</f>
        <v>-</v>
      </c>
      <c r="I326" t="str">
        <f t="shared" si="11"/>
        <v>Ürün İş Listesi</v>
      </c>
      <c r="J326" s="5">
        <v>1</v>
      </c>
    </row>
    <row r="327" spans="1:10" x14ac:dyDescent="0.25">
      <c r="A327" t="s">
        <v>77</v>
      </c>
      <c r="B327" t="s">
        <v>699</v>
      </c>
      <c r="C327" t="s">
        <v>16</v>
      </c>
      <c r="D327" t="s">
        <v>700</v>
      </c>
      <c r="E327" s="5" t="s">
        <v>41</v>
      </c>
      <c r="F327" s="5" t="e">
        <f>VLOOKUP(B327,'Türkkep Jira'!B:F,5,0)</f>
        <v>#N/A</v>
      </c>
      <c r="G327" t="str">
        <f>IF(IFERROR(VLOOKUP(B327,'Devam Eden Sprint'!B:B,1,0),"-")=B327,"Devam Eden Sprint","-")</f>
        <v>-</v>
      </c>
      <c r="H327" t="str">
        <f>IF(IFERROR(VLOOKUP(B327,'Gelecek Sprint'!B:B,1,0),"-")=B327,"Gelecek Sprint","-")</f>
        <v>-</v>
      </c>
      <c r="I327" t="str">
        <f t="shared" si="11"/>
        <v>Ürün İş Listesi</v>
      </c>
      <c r="J327" s="5">
        <v>1</v>
      </c>
    </row>
    <row r="328" spans="1:10" x14ac:dyDescent="0.25">
      <c r="A328" t="s">
        <v>14</v>
      </c>
      <c r="B328" t="s">
        <v>701</v>
      </c>
      <c r="C328" t="s">
        <v>16</v>
      </c>
      <c r="D328" t="s">
        <v>702</v>
      </c>
      <c r="E328" s="5" t="s">
        <v>41</v>
      </c>
      <c r="F328" s="5" t="e">
        <f>VLOOKUP(B328,'Türkkep Jira'!B:F,5,0)</f>
        <v>#N/A</v>
      </c>
      <c r="G328" t="str">
        <f>IF(IFERROR(VLOOKUP(B328,'Devam Eden Sprint'!B:B,1,0),"-")=B328,"Devam Eden Sprint","-")</f>
        <v>-</v>
      </c>
      <c r="H328" t="str">
        <f>IF(IFERROR(VLOOKUP(B328,'Gelecek Sprint'!B:B,1,0),"-")=B328,"Gelecek Sprint","-")</f>
        <v>-</v>
      </c>
      <c r="I328" t="str">
        <f t="shared" si="11"/>
        <v>Ürün İş Listesi</v>
      </c>
      <c r="J328" s="5">
        <v>2</v>
      </c>
    </row>
    <row r="329" spans="1:10" x14ac:dyDescent="0.25">
      <c r="A329" t="s">
        <v>14</v>
      </c>
      <c r="B329" t="s">
        <v>703</v>
      </c>
      <c r="C329" t="s">
        <v>16</v>
      </c>
      <c r="D329" t="s">
        <v>704</v>
      </c>
      <c r="E329" s="5" t="s">
        <v>41</v>
      </c>
      <c r="F329" s="5" t="e">
        <f>VLOOKUP(B329,'Türkkep Jira'!B:F,5,0)</f>
        <v>#N/A</v>
      </c>
      <c r="G329" t="str">
        <f>IF(IFERROR(VLOOKUP(B329,'Devam Eden Sprint'!B:B,1,0),"-")=B329,"Devam Eden Sprint","-")</f>
        <v>-</v>
      </c>
      <c r="H329" t="str">
        <f>IF(IFERROR(VLOOKUP(B329,'Gelecek Sprint'!B:B,1,0),"-")=B329,"Gelecek Sprint","-")</f>
        <v>-</v>
      </c>
      <c r="I329" t="str">
        <f t="shared" si="11"/>
        <v>Ürün İş Listesi</v>
      </c>
      <c r="J329" s="5">
        <v>1</v>
      </c>
    </row>
    <row r="330" spans="1:10" x14ac:dyDescent="0.25">
      <c r="A330" t="s">
        <v>14</v>
      </c>
      <c r="B330" t="s">
        <v>705</v>
      </c>
      <c r="C330" t="s">
        <v>16</v>
      </c>
      <c r="D330" t="s">
        <v>706</v>
      </c>
      <c r="E330" s="5" t="s">
        <v>41</v>
      </c>
      <c r="F330" s="5" t="e">
        <f>VLOOKUP(B330,'Türkkep Jira'!B:F,5,0)</f>
        <v>#N/A</v>
      </c>
      <c r="G330" t="str">
        <f>IF(IFERROR(VLOOKUP(B330,'Devam Eden Sprint'!B:B,1,0),"-")=B330,"Devam Eden Sprint","-")</f>
        <v>-</v>
      </c>
      <c r="H330" t="str">
        <f>IF(IFERROR(VLOOKUP(B330,'Gelecek Sprint'!B:B,1,0),"-")=B330,"Gelecek Sprint","-")</f>
        <v>-</v>
      </c>
      <c r="I330" t="str">
        <f t="shared" si="11"/>
        <v>Ürün İş Listesi</v>
      </c>
      <c r="J330" s="5">
        <v>1</v>
      </c>
    </row>
    <row r="331" spans="1:10" x14ac:dyDescent="0.25">
      <c r="A331" t="s">
        <v>14</v>
      </c>
      <c r="B331" t="s">
        <v>707</v>
      </c>
      <c r="C331" t="s">
        <v>16</v>
      </c>
      <c r="D331" t="s">
        <v>708</v>
      </c>
      <c r="E331" s="5" t="s">
        <v>41</v>
      </c>
      <c r="F331" s="5" t="e">
        <f>VLOOKUP(B331,'Türkkep Jira'!B:F,5,0)</f>
        <v>#N/A</v>
      </c>
      <c r="G331" t="str">
        <f>IF(IFERROR(VLOOKUP(B331,'Devam Eden Sprint'!B:B,1,0),"-")=B331,"Devam Eden Sprint","-")</f>
        <v>-</v>
      </c>
      <c r="H331" t="str">
        <f>IF(IFERROR(VLOOKUP(B331,'Gelecek Sprint'!B:B,1,0),"-")=B331,"Gelecek Sprint","-")</f>
        <v>-</v>
      </c>
      <c r="I331" t="str">
        <f t="shared" si="11"/>
        <v>Ürün İş Listesi</v>
      </c>
      <c r="J331" s="5">
        <v>2</v>
      </c>
    </row>
    <row r="332" spans="1:10" x14ac:dyDescent="0.25">
      <c r="A332" t="s">
        <v>14</v>
      </c>
      <c r="B332" t="s">
        <v>709</v>
      </c>
      <c r="C332" t="s">
        <v>16</v>
      </c>
      <c r="D332" t="s">
        <v>710</v>
      </c>
      <c r="E332" s="5" t="s">
        <v>41</v>
      </c>
      <c r="F332" s="5" t="e">
        <f>VLOOKUP(B332,'Türkkep Jira'!B:F,5,0)</f>
        <v>#N/A</v>
      </c>
      <c r="G332" t="str">
        <f>IF(IFERROR(VLOOKUP(B332,'Devam Eden Sprint'!B:B,1,0),"-")=B332,"Devam Eden Sprint","-")</f>
        <v>-</v>
      </c>
      <c r="H332" t="str">
        <f>IF(IFERROR(VLOOKUP(B332,'Gelecek Sprint'!B:B,1,0),"-")=B332,"Gelecek Sprint","-")</f>
        <v>-</v>
      </c>
      <c r="I332" t="str">
        <f t="shared" si="11"/>
        <v>Ürün İş Listesi</v>
      </c>
    </row>
    <row r="333" spans="1:10" x14ac:dyDescent="0.25">
      <c r="A333" t="s">
        <v>14</v>
      </c>
      <c r="B333" t="s">
        <v>711</v>
      </c>
      <c r="C333" t="s">
        <v>16</v>
      </c>
      <c r="D333" t="s">
        <v>712</v>
      </c>
      <c r="E333" s="5" t="s">
        <v>41</v>
      </c>
      <c r="F333" s="5" t="e">
        <f>VLOOKUP(B333,'Türkkep Jira'!B:F,5,0)</f>
        <v>#N/A</v>
      </c>
      <c r="G333" t="str">
        <f>IF(IFERROR(VLOOKUP(B333,'Devam Eden Sprint'!B:B,1,0),"-")=B333,"Devam Eden Sprint","-")</f>
        <v>-</v>
      </c>
      <c r="H333" t="str">
        <f>IF(IFERROR(VLOOKUP(B333,'Gelecek Sprint'!B:B,1,0),"-")=B333,"Gelecek Sprint","-")</f>
        <v>-</v>
      </c>
      <c r="I333" t="str">
        <f t="shared" si="11"/>
        <v>Ürün İş Listesi</v>
      </c>
    </row>
    <row r="334" spans="1:10" x14ac:dyDescent="0.25">
      <c r="A334" t="s">
        <v>14</v>
      </c>
      <c r="B334" t="s">
        <v>713</v>
      </c>
      <c r="C334" t="s">
        <v>16</v>
      </c>
      <c r="D334" t="s">
        <v>714</v>
      </c>
      <c r="E334" s="5" t="s">
        <v>38</v>
      </c>
      <c r="F334" s="5" t="e">
        <f>VLOOKUP(B334,'Türkkep Jira'!B:F,5,0)</f>
        <v>#N/A</v>
      </c>
      <c r="G334" t="str">
        <f>IF(IFERROR(VLOOKUP(B334,'Devam Eden Sprint'!B:B,1,0),"-")=B334,"Devam Eden Sprint","-")</f>
        <v>-</v>
      </c>
      <c r="H334" t="str">
        <f>IF(IFERROR(VLOOKUP(B334,'Gelecek Sprint'!B:B,1,0),"-")=B334,"Gelecek Sprint","-")</f>
        <v>-</v>
      </c>
      <c r="I334" t="str">
        <f t="shared" si="11"/>
        <v>Ürün İş Listesi</v>
      </c>
      <c r="J334" s="5">
        <v>3</v>
      </c>
    </row>
    <row r="335" spans="1:10" x14ac:dyDescent="0.25">
      <c r="A335" t="s">
        <v>77</v>
      </c>
      <c r="B335" t="s">
        <v>715</v>
      </c>
      <c r="C335" t="s">
        <v>16</v>
      </c>
      <c r="D335" t="s">
        <v>716</v>
      </c>
      <c r="E335" s="5" t="s">
        <v>38</v>
      </c>
      <c r="F335" s="5" t="e">
        <f>VLOOKUP(B335,'Türkkep Jira'!B:F,5,0)</f>
        <v>#N/A</v>
      </c>
      <c r="G335" t="str">
        <f>IF(IFERROR(VLOOKUP(B335,'Devam Eden Sprint'!B:B,1,0),"-")=B335,"Devam Eden Sprint","-")</f>
        <v>-</v>
      </c>
      <c r="H335" t="str">
        <f>IF(IFERROR(VLOOKUP(B335,'Gelecek Sprint'!B:B,1,0),"-")=B335,"Gelecek Sprint","-")</f>
        <v>-</v>
      </c>
      <c r="I335" t="str">
        <f t="shared" si="11"/>
        <v>Ürün İş Listesi</v>
      </c>
    </row>
    <row r="336" spans="1:10" x14ac:dyDescent="0.25">
      <c r="A336" t="s">
        <v>14</v>
      </c>
      <c r="B336" t="s">
        <v>717</v>
      </c>
      <c r="C336" t="s">
        <v>16</v>
      </c>
      <c r="D336" t="s">
        <v>718</v>
      </c>
      <c r="E336" s="5" t="s">
        <v>38</v>
      </c>
      <c r="F336" s="5" t="e">
        <f>VLOOKUP(B336,'Türkkep Jira'!B:F,5,0)</f>
        <v>#N/A</v>
      </c>
      <c r="G336" t="str">
        <f>IF(IFERROR(VLOOKUP(B336,'Devam Eden Sprint'!B:B,1,0),"-")=B336,"Devam Eden Sprint","-")</f>
        <v>-</v>
      </c>
      <c r="H336" t="str">
        <f>IF(IFERROR(VLOOKUP(B336,'Gelecek Sprint'!B:B,1,0),"-")=B336,"Gelecek Sprint","-")</f>
        <v>-</v>
      </c>
      <c r="I336" t="str">
        <f t="shared" si="11"/>
        <v>Ürün İş Listesi</v>
      </c>
    </row>
    <row r="337" spans="1:10" x14ac:dyDescent="0.25">
      <c r="A337" t="s">
        <v>14</v>
      </c>
      <c r="B337" t="s">
        <v>719</v>
      </c>
      <c r="C337" t="s">
        <v>16</v>
      </c>
      <c r="D337" t="s">
        <v>720</v>
      </c>
      <c r="E337" s="5" t="s">
        <v>38</v>
      </c>
      <c r="F337" s="5" t="e">
        <f>VLOOKUP(B337,'Türkkep Jira'!B:F,5,0)</f>
        <v>#N/A</v>
      </c>
      <c r="G337" t="str">
        <f>IF(IFERROR(VLOOKUP(B337,'Devam Eden Sprint'!B:B,1,0),"-")=B337,"Devam Eden Sprint","-")</f>
        <v>-</v>
      </c>
      <c r="H337" t="str">
        <f>IF(IFERROR(VLOOKUP(B337,'Gelecek Sprint'!B:B,1,0),"-")=B337,"Gelecek Sprint","-")</f>
        <v>-</v>
      </c>
      <c r="I337" t="str">
        <f t="shared" si="11"/>
        <v>Ürün İş Listesi</v>
      </c>
    </row>
    <row r="338" spans="1:10" x14ac:dyDescent="0.25">
      <c r="A338" t="s">
        <v>14</v>
      </c>
      <c r="B338" t="s">
        <v>721</v>
      </c>
      <c r="C338" t="s">
        <v>16</v>
      </c>
      <c r="D338" t="s">
        <v>722</v>
      </c>
      <c r="E338" s="5" t="s">
        <v>38</v>
      </c>
      <c r="F338" s="5" t="e">
        <f>VLOOKUP(B338,'Türkkep Jira'!B:F,5,0)</f>
        <v>#N/A</v>
      </c>
      <c r="G338" t="str">
        <f>IF(IFERROR(VLOOKUP(B338,'Devam Eden Sprint'!B:B,1,0),"-")=B338,"Devam Eden Sprint","-")</f>
        <v>-</v>
      </c>
      <c r="H338" t="str">
        <f>IF(IFERROR(VLOOKUP(B338,'Gelecek Sprint'!B:B,1,0),"-")=B338,"Gelecek Sprint","-")</f>
        <v>-</v>
      </c>
      <c r="I338" t="str">
        <f t="shared" si="11"/>
        <v>Ürün İş Listesi</v>
      </c>
    </row>
    <row r="339" spans="1:10" x14ac:dyDescent="0.25">
      <c r="A339" t="s">
        <v>14</v>
      </c>
      <c r="B339" t="s">
        <v>723</v>
      </c>
      <c r="C339" t="s">
        <v>16</v>
      </c>
      <c r="D339" t="s">
        <v>724</v>
      </c>
      <c r="E339" s="5" t="s">
        <v>12</v>
      </c>
      <c r="F339" s="5" t="e">
        <f>VLOOKUP(B339,'Türkkep Jira'!B:F,5,0)</f>
        <v>#N/A</v>
      </c>
      <c r="G339" t="str">
        <f>IF(IFERROR(VLOOKUP(B339,'Devam Eden Sprint'!B:B,1,0),"-")=B339,"Devam Eden Sprint","-")</f>
        <v>-</v>
      </c>
      <c r="H339" t="str">
        <f>IF(IFERROR(VLOOKUP(B339,'Gelecek Sprint'!B:B,1,0),"-")=B339,"Gelecek Sprint","-")</f>
        <v>-</v>
      </c>
      <c r="I339" t="str">
        <f t="shared" si="11"/>
        <v>Ürün İş Listesi</v>
      </c>
      <c r="J339" s="5">
        <v>8</v>
      </c>
    </row>
    <row r="340" spans="1:10" x14ac:dyDescent="0.25">
      <c r="A340" t="s">
        <v>77</v>
      </c>
      <c r="B340" t="s">
        <v>725</v>
      </c>
      <c r="C340" t="s">
        <v>16</v>
      </c>
      <c r="D340" t="s">
        <v>726</v>
      </c>
      <c r="E340" s="5" t="s">
        <v>12</v>
      </c>
      <c r="F340" s="5" t="e">
        <f>VLOOKUP(B340,'Türkkep Jira'!B:F,5,0)</f>
        <v>#N/A</v>
      </c>
      <c r="G340" t="str">
        <f>IF(IFERROR(VLOOKUP(B340,'Devam Eden Sprint'!B:B,1,0),"-")=B340,"Devam Eden Sprint","-")</f>
        <v>-</v>
      </c>
      <c r="H340" t="str">
        <f>IF(IFERROR(VLOOKUP(B340,'Gelecek Sprint'!B:B,1,0),"-")=B340,"Gelecek Sprint","-")</f>
        <v>-</v>
      </c>
      <c r="I340" t="str">
        <f t="shared" si="11"/>
        <v>Ürün İş Listesi</v>
      </c>
      <c r="J340" s="5">
        <v>1</v>
      </c>
    </row>
    <row r="341" spans="1:10" x14ac:dyDescent="0.25">
      <c r="A341" t="s">
        <v>14</v>
      </c>
      <c r="B341" t="s">
        <v>727</v>
      </c>
      <c r="C341" t="s">
        <v>16</v>
      </c>
      <c r="D341" t="s">
        <v>728</v>
      </c>
      <c r="E341" s="5" t="s">
        <v>12</v>
      </c>
      <c r="F341" s="5" t="e">
        <f>VLOOKUP(B341,'Türkkep Jira'!B:F,5,0)</f>
        <v>#N/A</v>
      </c>
      <c r="G341" t="str">
        <f>IF(IFERROR(VLOOKUP(B341,'Devam Eden Sprint'!B:B,1,0),"-")=B341,"Devam Eden Sprint","-")</f>
        <v>-</v>
      </c>
      <c r="H341" t="str">
        <f>IF(IFERROR(VLOOKUP(B341,'Gelecek Sprint'!B:B,1,0),"-")=B341,"Gelecek Sprint","-")</f>
        <v>-</v>
      </c>
      <c r="I341" t="str">
        <f t="shared" si="11"/>
        <v>Ürün İş Listesi</v>
      </c>
    </row>
    <row r="342" spans="1:10" x14ac:dyDescent="0.25">
      <c r="A342" t="s">
        <v>14</v>
      </c>
      <c r="B342" t="s">
        <v>729</v>
      </c>
      <c r="C342" t="s">
        <v>16</v>
      </c>
      <c r="D342" t="s">
        <v>730</v>
      </c>
      <c r="E342" s="5" t="s">
        <v>12</v>
      </c>
      <c r="F342" s="5" t="e">
        <f>VLOOKUP(B342,'Türkkep Jira'!B:F,5,0)</f>
        <v>#N/A</v>
      </c>
      <c r="G342" t="str">
        <f>IF(IFERROR(VLOOKUP(B342,'Devam Eden Sprint'!B:B,1,0),"-")=B342,"Devam Eden Sprint","-")</f>
        <v>-</v>
      </c>
      <c r="H342" t="str">
        <f>IF(IFERROR(VLOOKUP(B342,'Gelecek Sprint'!B:B,1,0),"-")=B342,"Gelecek Sprint","-")</f>
        <v>-</v>
      </c>
      <c r="I342" t="str">
        <f t="shared" si="11"/>
        <v>Ürün İş Listesi</v>
      </c>
      <c r="J342" s="5">
        <v>3</v>
      </c>
    </row>
    <row r="343" spans="1:10" x14ac:dyDescent="0.25">
      <c r="A343" t="s">
        <v>14</v>
      </c>
      <c r="B343" t="s">
        <v>731</v>
      </c>
      <c r="C343" t="s">
        <v>16</v>
      </c>
      <c r="D343" t="s">
        <v>732</v>
      </c>
      <c r="E343" s="5" t="s">
        <v>12</v>
      </c>
      <c r="F343" s="5" t="e">
        <f>VLOOKUP(B343,'Türkkep Jira'!B:F,5,0)</f>
        <v>#N/A</v>
      </c>
      <c r="G343" t="str">
        <f>IF(IFERROR(VLOOKUP(B343,'Devam Eden Sprint'!B:B,1,0),"-")=B343,"Devam Eden Sprint","-")</f>
        <v>-</v>
      </c>
      <c r="H343" t="str">
        <f>IF(IFERROR(VLOOKUP(B343,'Gelecek Sprint'!B:B,1,0),"-")=B343,"Gelecek Sprint","-")</f>
        <v>-</v>
      </c>
      <c r="I343" t="str">
        <f t="shared" si="11"/>
        <v>Ürün İş Listesi</v>
      </c>
      <c r="J343" s="5">
        <v>1</v>
      </c>
    </row>
    <row r="344" spans="1:10" x14ac:dyDescent="0.25">
      <c r="A344" t="s">
        <v>14</v>
      </c>
      <c r="B344" t="s">
        <v>733</v>
      </c>
      <c r="C344" t="s">
        <v>10</v>
      </c>
      <c r="D344" t="s">
        <v>734</v>
      </c>
      <c r="E344" s="5" t="s">
        <v>12</v>
      </c>
      <c r="F344" s="5" t="e">
        <f>VLOOKUP(B344,'Türkkep Jira'!B:F,5,0)</f>
        <v>#N/A</v>
      </c>
      <c r="G344" t="str">
        <f>IF(IFERROR(VLOOKUP(B344,'Devam Eden Sprint'!B:B,1,0),"-")=B344,"Devam Eden Sprint","-")</f>
        <v>-</v>
      </c>
      <c r="H344" t="str">
        <f>IF(IFERROR(VLOOKUP(B344,'Gelecek Sprint'!B:B,1,0),"-")=B344,"Gelecek Sprint","-")</f>
        <v>-</v>
      </c>
      <c r="I344" t="str">
        <f t="shared" si="11"/>
        <v>Ürün İş Listesi</v>
      </c>
    </row>
    <row r="345" spans="1:10" x14ac:dyDescent="0.25">
      <c r="A345" t="s">
        <v>14</v>
      </c>
      <c r="B345" t="s">
        <v>735</v>
      </c>
      <c r="C345" t="s">
        <v>10</v>
      </c>
      <c r="D345" t="s">
        <v>736</v>
      </c>
      <c r="E345" s="5" t="s">
        <v>12</v>
      </c>
      <c r="F345" s="5" t="e">
        <f>VLOOKUP(B345,'Türkkep Jira'!B:F,5,0)</f>
        <v>#N/A</v>
      </c>
      <c r="G345" t="str">
        <f>IF(IFERROR(VLOOKUP(B345,'Devam Eden Sprint'!B:B,1,0),"-")=B345,"Devam Eden Sprint","-")</f>
        <v>-</v>
      </c>
      <c r="H345" t="str">
        <f>IF(IFERROR(VLOOKUP(B345,'Gelecek Sprint'!B:B,1,0),"-")=B345,"Gelecek Sprint","-")</f>
        <v>-</v>
      </c>
      <c r="I345" t="str">
        <f t="shared" si="11"/>
        <v>Ürün İş Listesi</v>
      </c>
    </row>
    <row r="346" spans="1:10" x14ac:dyDescent="0.25">
      <c r="A346" t="s">
        <v>14</v>
      </c>
      <c r="B346" t="s">
        <v>737</v>
      </c>
      <c r="C346" t="s">
        <v>16</v>
      </c>
      <c r="D346" t="s">
        <v>738</v>
      </c>
      <c r="E346" s="5" t="s">
        <v>12</v>
      </c>
      <c r="F346" s="5" t="e">
        <f>VLOOKUP(B346,'Türkkep Jira'!B:F,5,0)</f>
        <v>#N/A</v>
      </c>
      <c r="G346" t="str">
        <f>IF(IFERROR(VLOOKUP(B346,'Devam Eden Sprint'!B:B,1,0),"-")=B346,"Devam Eden Sprint","-")</f>
        <v>-</v>
      </c>
      <c r="H346" t="str">
        <f>IF(IFERROR(VLOOKUP(B346,'Gelecek Sprint'!B:B,1,0),"-")=B346,"Gelecek Sprint","-")</f>
        <v>-</v>
      </c>
      <c r="I346" t="str">
        <f t="shared" si="11"/>
        <v>Ürün İş Listesi</v>
      </c>
    </row>
    <row r="347" spans="1:10" x14ac:dyDescent="0.25">
      <c r="A347" t="s">
        <v>14</v>
      </c>
      <c r="B347" t="s">
        <v>739</v>
      </c>
      <c r="C347" t="s">
        <v>16</v>
      </c>
      <c r="D347" t="s">
        <v>740</v>
      </c>
      <c r="E347" s="5" t="s">
        <v>12</v>
      </c>
      <c r="F347" s="5" t="e">
        <f>VLOOKUP(B347,'Türkkep Jira'!B:F,5,0)</f>
        <v>#N/A</v>
      </c>
      <c r="G347" t="str">
        <f>IF(IFERROR(VLOOKUP(B347,'Devam Eden Sprint'!B:B,1,0),"-")=B347,"Devam Eden Sprint","-")</f>
        <v>-</v>
      </c>
      <c r="H347" t="str">
        <f>IF(IFERROR(VLOOKUP(B347,'Gelecek Sprint'!B:B,1,0),"-")=B347,"Gelecek Sprint","-")</f>
        <v>-</v>
      </c>
      <c r="I347" t="str">
        <f t="shared" si="11"/>
        <v>Ürün İş Listesi</v>
      </c>
    </row>
    <row r="348" spans="1:10" x14ac:dyDescent="0.25">
      <c r="A348" t="s">
        <v>14</v>
      </c>
      <c r="B348" t="s">
        <v>741</v>
      </c>
      <c r="C348" t="s">
        <v>16</v>
      </c>
      <c r="D348" t="s">
        <v>742</v>
      </c>
      <c r="E348" s="5" t="s">
        <v>12</v>
      </c>
      <c r="F348" s="5" t="e">
        <f>VLOOKUP(B348,'Türkkep Jira'!B:F,5,0)</f>
        <v>#N/A</v>
      </c>
      <c r="G348" t="str">
        <f>IF(IFERROR(VLOOKUP(B348,'Devam Eden Sprint'!B:B,1,0),"-")=B348,"Devam Eden Sprint","-")</f>
        <v>-</v>
      </c>
      <c r="H348" t="str">
        <f>IF(IFERROR(VLOOKUP(B348,'Gelecek Sprint'!B:B,1,0),"-")=B348,"Gelecek Sprint","-")</f>
        <v>-</v>
      </c>
      <c r="I348" t="str">
        <f t="shared" si="11"/>
        <v>Ürün İş Listesi</v>
      </c>
    </row>
    <row r="349" spans="1:10" x14ac:dyDescent="0.25">
      <c r="A349" t="s">
        <v>77</v>
      </c>
      <c r="B349" t="s">
        <v>743</v>
      </c>
      <c r="C349" t="s">
        <v>16</v>
      </c>
      <c r="D349" t="s">
        <v>744</v>
      </c>
      <c r="E349" s="5" t="s">
        <v>38</v>
      </c>
      <c r="F349" s="5" t="e">
        <f>VLOOKUP(B349,'Türkkep Jira'!B:F,5,0)</f>
        <v>#N/A</v>
      </c>
      <c r="G349" t="str">
        <f>IF(IFERROR(VLOOKUP(B349,'Devam Eden Sprint'!B:B,1,0),"-")=B349,"Devam Eden Sprint","-")</f>
        <v>-</v>
      </c>
      <c r="H349" t="str">
        <f>IF(IFERROR(VLOOKUP(B349,'Gelecek Sprint'!B:B,1,0),"-")=B349,"Gelecek Sprint","-")</f>
        <v>-</v>
      </c>
      <c r="I349" t="str">
        <f t="shared" si="11"/>
        <v>Ürün İş Listesi</v>
      </c>
      <c r="J349" s="5">
        <v>1</v>
      </c>
    </row>
    <row r="350" spans="1:10" x14ac:dyDescent="0.25">
      <c r="A350" t="s">
        <v>14</v>
      </c>
      <c r="B350" t="s">
        <v>745</v>
      </c>
      <c r="C350" t="s">
        <v>16</v>
      </c>
      <c r="D350" t="s">
        <v>332</v>
      </c>
      <c r="E350" s="5" t="s">
        <v>59</v>
      </c>
      <c r="F350" s="5" t="e">
        <f>VLOOKUP(B350,'Türkkep Jira'!B:F,5,0)</f>
        <v>#N/A</v>
      </c>
      <c r="G350" t="str">
        <f>IF(IFERROR(VLOOKUP(B350,'Devam Eden Sprint'!B:B,1,0),"-")=B350,"Devam Eden Sprint","-")</f>
        <v>-</v>
      </c>
      <c r="H350" t="str">
        <f>IF(IFERROR(VLOOKUP(B350,'Gelecek Sprint'!B:B,1,0),"-")=B350,"Gelecek Sprint","-")</f>
        <v>-</v>
      </c>
      <c r="I350" t="str">
        <f t="shared" si="11"/>
        <v>Ürün İş Listesi</v>
      </c>
      <c r="J350" s="5">
        <v>2</v>
      </c>
    </row>
    <row r="351" spans="1:10" x14ac:dyDescent="0.25">
      <c r="A351" t="s">
        <v>14</v>
      </c>
      <c r="B351" t="s">
        <v>746</v>
      </c>
      <c r="C351" t="s">
        <v>16</v>
      </c>
      <c r="D351" t="s">
        <v>747</v>
      </c>
      <c r="E351" s="5" t="s">
        <v>130</v>
      </c>
      <c r="F351" s="5" t="e">
        <f>VLOOKUP(B351,'Türkkep Jira'!B:F,5,0)</f>
        <v>#N/A</v>
      </c>
      <c r="G351" t="str">
        <f>IF(IFERROR(VLOOKUP(B351,'Devam Eden Sprint'!B:B,1,0),"-")=B351,"Devam Eden Sprint","-")</f>
        <v>-</v>
      </c>
      <c r="H351" t="str">
        <f>IF(IFERROR(VLOOKUP(B351,'Gelecek Sprint'!B:B,1,0),"-")=B351,"Gelecek Sprint","-")</f>
        <v>-</v>
      </c>
      <c r="I351" t="str">
        <f t="shared" si="11"/>
        <v>Ürün İş Listesi</v>
      </c>
      <c r="J351" s="5">
        <v>5</v>
      </c>
    </row>
    <row r="352" spans="1:10" x14ac:dyDescent="0.25">
      <c r="A352" t="s">
        <v>77</v>
      </c>
      <c r="B352" t="s">
        <v>748</v>
      </c>
      <c r="C352" t="s">
        <v>16</v>
      </c>
      <c r="D352" t="s">
        <v>749</v>
      </c>
      <c r="E352" s="5" t="s">
        <v>50</v>
      </c>
      <c r="F352" s="5" t="e">
        <f>VLOOKUP(B352,'Türkkep Jira'!B:F,5,0)</f>
        <v>#N/A</v>
      </c>
      <c r="G352" t="str">
        <f>IF(IFERROR(VLOOKUP(B352,'Devam Eden Sprint'!B:B,1,0),"-")=B352,"Devam Eden Sprint","-")</f>
        <v>-</v>
      </c>
      <c r="H352" t="str">
        <f>IF(IFERROR(VLOOKUP(B352,'Gelecek Sprint'!B:B,1,0),"-")=B352,"Gelecek Sprint","-")</f>
        <v>-</v>
      </c>
      <c r="I352" t="str">
        <f t="shared" si="11"/>
        <v>Ürün İş Listesi</v>
      </c>
      <c r="J352" s="5">
        <v>2</v>
      </c>
    </row>
    <row r="353" spans="1:10" x14ac:dyDescent="0.25">
      <c r="A353" t="s">
        <v>77</v>
      </c>
      <c r="B353" t="s">
        <v>750</v>
      </c>
      <c r="C353" t="s">
        <v>16</v>
      </c>
      <c r="D353" t="s">
        <v>751</v>
      </c>
      <c r="E353" s="5" t="s">
        <v>50</v>
      </c>
      <c r="F353" s="5" t="e">
        <f>VLOOKUP(B353,'Türkkep Jira'!B:F,5,0)</f>
        <v>#N/A</v>
      </c>
      <c r="G353" t="str">
        <f>IF(IFERROR(VLOOKUP(B353,'Devam Eden Sprint'!B:B,1,0),"-")=B353,"Devam Eden Sprint","-")</f>
        <v>-</v>
      </c>
      <c r="H353" t="str">
        <f>IF(IFERROR(VLOOKUP(B353,'Gelecek Sprint'!B:B,1,0),"-")=B353,"Gelecek Sprint","-")</f>
        <v>-</v>
      </c>
      <c r="I353" t="str">
        <f t="shared" si="11"/>
        <v>Ürün İş Listesi</v>
      </c>
      <c r="J353" s="5">
        <v>3</v>
      </c>
    </row>
    <row r="354" spans="1:10" x14ac:dyDescent="0.25">
      <c r="A354" t="s">
        <v>14</v>
      </c>
      <c r="B354" t="s">
        <v>752</v>
      </c>
      <c r="C354" t="s">
        <v>16</v>
      </c>
      <c r="D354" t="s">
        <v>753</v>
      </c>
      <c r="E354" s="5" t="s">
        <v>44</v>
      </c>
      <c r="F354" s="5" t="e">
        <f>VLOOKUP(B354,'Türkkep Jira'!B:F,5,0)</f>
        <v>#N/A</v>
      </c>
      <c r="G354" t="str">
        <f>IF(IFERROR(VLOOKUP(B354,'Devam Eden Sprint'!B:B,1,0),"-")=B354,"Devam Eden Sprint","-")</f>
        <v>-</v>
      </c>
      <c r="H354" t="str">
        <f>IF(IFERROR(VLOOKUP(B354,'Gelecek Sprint'!B:B,1,0),"-")=B354,"Gelecek Sprint","-")</f>
        <v>-</v>
      </c>
      <c r="I354" t="str">
        <f t="shared" si="11"/>
        <v>Ürün İş Listesi</v>
      </c>
      <c r="J354" s="5">
        <v>2</v>
      </c>
    </row>
    <row r="355" spans="1:10" x14ac:dyDescent="0.25">
      <c r="A355" t="s">
        <v>14</v>
      </c>
      <c r="B355" t="s">
        <v>754</v>
      </c>
      <c r="C355" t="s">
        <v>16</v>
      </c>
      <c r="D355" t="s">
        <v>755</v>
      </c>
      <c r="E355" s="5" t="s">
        <v>44</v>
      </c>
      <c r="F355" s="5" t="e">
        <f>VLOOKUP(B355,'Türkkep Jira'!B:F,5,0)</f>
        <v>#N/A</v>
      </c>
      <c r="G355" t="str">
        <f>IF(IFERROR(VLOOKUP(B355,'Devam Eden Sprint'!B:B,1,0),"-")=B355,"Devam Eden Sprint","-")</f>
        <v>-</v>
      </c>
      <c r="H355" t="str">
        <f>IF(IFERROR(VLOOKUP(B355,'Gelecek Sprint'!B:B,1,0),"-")=B355,"Gelecek Sprint","-")</f>
        <v>-</v>
      </c>
      <c r="I355" t="str">
        <f t="shared" si="11"/>
        <v>Ürün İş Listesi</v>
      </c>
      <c r="J355" s="5">
        <v>5</v>
      </c>
    </row>
    <row r="356" spans="1:10" x14ac:dyDescent="0.25">
      <c r="A356" t="s">
        <v>77</v>
      </c>
      <c r="B356" t="s">
        <v>756</v>
      </c>
      <c r="C356" t="s">
        <v>16</v>
      </c>
      <c r="D356" t="s">
        <v>757</v>
      </c>
      <c r="E356" s="5" t="s">
        <v>41</v>
      </c>
      <c r="F356" s="5" t="e">
        <f>VLOOKUP(B356,'Türkkep Jira'!B:F,5,0)</f>
        <v>#N/A</v>
      </c>
      <c r="G356" t="str">
        <f>IF(IFERROR(VLOOKUP(B356,'Devam Eden Sprint'!B:B,1,0),"-")=B356,"Devam Eden Sprint","-")</f>
        <v>-</v>
      </c>
      <c r="H356" t="str">
        <f>IF(IFERROR(VLOOKUP(B356,'Gelecek Sprint'!B:B,1,0),"-")=B356,"Gelecek Sprint","-")</f>
        <v>-</v>
      </c>
      <c r="I356" t="str">
        <f t="shared" si="11"/>
        <v>Ürün İş Listesi</v>
      </c>
      <c r="J356" s="5">
        <v>1</v>
      </c>
    </row>
    <row r="357" spans="1:10" x14ac:dyDescent="0.25">
      <c r="A357" t="s">
        <v>14</v>
      </c>
      <c r="B357" t="s">
        <v>758</v>
      </c>
      <c r="C357" t="s">
        <v>16</v>
      </c>
      <c r="D357" t="s">
        <v>759</v>
      </c>
      <c r="E357" s="5" t="s">
        <v>41</v>
      </c>
      <c r="F357" s="5" t="e">
        <f>VLOOKUP(B357,'Türkkep Jira'!B:F,5,0)</f>
        <v>#N/A</v>
      </c>
      <c r="G357" t="str">
        <f>IF(IFERROR(VLOOKUP(B357,'Devam Eden Sprint'!B:B,1,0),"-")=B357,"Devam Eden Sprint","-")</f>
        <v>-</v>
      </c>
      <c r="H357" t="str">
        <f>IF(IFERROR(VLOOKUP(B357,'Gelecek Sprint'!B:B,1,0),"-")=B357,"Gelecek Sprint","-")</f>
        <v>-</v>
      </c>
      <c r="I357" t="str">
        <f t="shared" si="11"/>
        <v>Ürün İş Listesi</v>
      </c>
      <c r="J357" s="5">
        <v>13</v>
      </c>
    </row>
    <row r="358" spans="1:10" x14ac:dyDescent="0.25">
      <c r="A358" t="s">
        <v>14</v>
      </c>
      <c r="B358" t="s">
        <v>760</v>
      </c>
      <c r="C358" t="s">
        <v>16</v>
      </c>
      <c r="D358" t="s">
        <v>761</v>
      </c>
      <c r="E358" s="5" t="s">
        <v>35</v>
      </c>
      <c r="F358" s="5" t="e">
        <f>VLOOKUP(B358,'Türkkep Jira'!B:F,5,0)</f>
        <v>#N/A</v>
      </c>
      <c r="G358" t="str">
        <f>IF(IFERROR(VLOOKUP(B358,'Devam Eden Sprint'!B:B,1,0),"-")=B358,"Devam Eden Sprint","-")</f>
        <v>-</v>
      </c>
      <c r="H358" t="str">
        <f>IF(IFERROR(VLOOKUP(B358,'Gelecek Sprint'!B:B,1,0),"-")=B358,"Gelecek Sprint","-")</f>
        <v>-</v>
      </c>
      <c r="I358" t="str">
        <f t="shared" si="11"/>
        <v>Ürün İş Listesi</v>
      </c>
      <c r="J358" s="5">
        <v>3</v>
      </c>
    </row>
    <row r="359" spans="1:10" x14ac:dyDescent="0.25">
      <c r="A359" t="s">
        <v>14</v>
      </c>
      <c r="B359" t="s">
        <v>762</v>
      </c>
      <c r="C359" t="s">
        <v>10</v>
      </c>
      <c r="D359" t="s">
        <v>763</v>
      </c>
      <c r="E359" s="5" t="s">
        <v>35</v>
      </c>
      <c r="F359" s="5" t="e">
        <f>VLOOKUP(B359,'Türkkep Jira'!B:F,5,0)</f>
        <v>#N/A</v>
      </c>
      <c r="G359" t="str">
        <f>IF(IFERROR(VLOOKUP(B359,'Devam Eden Sprint'!B:B,1,0),"-")=B359,"Devam Eden Sprint","-")</f>
        <v>-</v>
      </c>
      <c r="H359" t="str">
        <f>IF(IFERROR(VLOOKUP(B359,'Gelecek Sprint'!B:B,1,0),"-")=B359,"Gelecek Sprint","-")</f>
        <v>-</v>
      </c>
      <c r="I359" t="str">
        <f t="shared" si="11"/>
        <v>Ürün İş Listesi</v>
      </c>
    </row>
    <row r="360" spans="1:10" x14ac:dyDescent="0.25">
      <c r="A360" t="s">
        <v>14</v>
      </c>
      <c r="B360" t="s">
        <v>764</v>
      </c>
      <c r="C360" t="s">
        <v>10</v>
      </c>
      <c r="D360" t="s">
        <v>765</v>
      </c>
      <c r="E360" s="5" t="s">
        <v>35</v>
      </c>
      <c r="F360" s="5" t="e">
        <f>VLOOKUP(B360,'Türkkep Jira'!B:F,5,0)</f>
        <v>#N/A</v>
      </c>
      <c r="G360" t="str">
        <f>IF(IFERROR(VLOOKUP(B360,'Devam Eden Sprint'!B:B,1,0),"-")=B360,"Devam Eden Sprint","-")</f>
        <v>-</v>
      </c>
      <c r="H360" t="str">
        <f>IF(IFERROR(VLOOKUP(B360,'Gelecek Sprint'!B:B,1,0),"-")=B360,"Gelecek Sprint","-")</f>
        <v>-</v>
      </c>
      <c r="I360" t="str">
        <f t="shared" si="11"/>
        <v>Ürün İş Listesi</v>
      </c>
    </row>
    <row r="361" spans="1:10" x14ac:dyDescent="0.25">
      <c r="A361" t="s">
        <v>14</v>
      </c>
      <c r="B361" t="s">
        <v>766</v>
      </c>
      <c r="C361" t="s">
        <v>10</v>
      </c>
      <c r="D361" t="s">
        <v>767</v>
      </c>
      <c r="E361" s="5" t="s">
        <v>35</v>
      </c>
      <c r="F361" s="5" t="e">
        <f>VLOOKUP(B361,'Türkkep Jira'!B:F,5,0)</f>
        <v>#N/A</v>
      </c>
      <c r="G361" t="str">
        <f>IF(IFERROR(VLOOKUP(B361,'Devam Eden Sprint'!B:B,1,0),"-")=B361,"Devam Eden Sprint","-")</f>
        <v>-</v>
      </c>
      <c r="H361" t="str">
        <f>IF(IFERROR(VLOOKUP(B361,'Gelecek Sprint'!B:B,1,0),"-")=B361,"Gelecek Sprint","-")</f>
        <v>-</v>
      </c>
      <c r="I361" t="str">
        <f t="shared" si="11"/>
        <v>Ürün İş Listesi</v>
      </c>
    </row>
    <row r="362" spans="1:10" x14ac:dyDescent="0.25">
      <c r="A362" t="s">
        <v>14</v>
      </c>
      <c r="B362" t="s">
        <v>768</v>
      </c>
      <c r="C362" t="s">
        <v>16</v>
      </c>
      <c r="D362" t="s">
        <v>769</v>
      </c>
      <c r="E362" s="5" t="s">
        <v>35</v>
      </c>
      <c r="F362" s="5" t="e">
        <f>VLOOKUP(B362,'Türkkep Jira'!B:F,5,0)</f>
        <v>#N/A</v>
      </c>
      <c r="G362" t="str">
        <f>IF(IFERROR(VLOOKUP(B362,'Devam Eden Sprint'!B:B,1,0),"-")=B362,"Devam Eden Sprint","-")</f>
        <v>-</v>
      </c>
      <c r="H362" t="str">
        <f>IF(IFERROR(VLOOKUP(B362,'Gelecek Sprint'!B:B,1,0),"-")=B362,"Gelecek Sprint","-")</f>
        <v>-</v>
      </c>
      <c r="I362" t="str">
        <f t="shared" si="11"/>
        <v>Ürün İş Listesi</v>
      </c>
      <c r="J362" s="5">
        <v>3</v>
      </c>
    </row>
    <row r="363" spans="1:10" x14ac:dyDescent="0.25">
      <c r="A363" t="s">
        <v>14</v>
      </c>
      <c r="B363" t="s">
        <v>770</v>
      </c>
      <c r="C363" t="s">
        <v>16</v>
      </c>
      <c r="D363" t="s">
        <v>771</v>
      </c>
      <c r="E363" s="5" t="s">
        <v>35</v>
      </c>
      <c r="F363" s="5" t="e">
        <f>VLOOKUP(B363,'Türkkep Jira'!B:F,5,0)</f>
        <v>#N/A</v>
      </c>
      <c r="G363" t="str">
        <f>IF(IFERROR(VLOOKUP(B363,'Devam Eden Sprint'!B:B,1,0),"-")=B363,"Devam Eden Sprint","-")</f>
        <v>-</v>
      </c>
      <c r="H363" t="str">
        <f>IF(IFERROR(VLOOKUP(B363,'Gelecek Sprint'!B:B,1,0),"-")=B363,"Gelecek Sprint","-")</f>
        <v>-</v>
      </c>
      <c r="I363" t="str">
        <f t="shared" si="11"/>
        <v>Ürün İş Listesi</v>
      </c>
      <c r="J363" s="5">
        <v>2</v>
      </c>
    </row>
    <row r="364" spans="1:10" x14ac:dyDescent="0.25">
      <c r="A364" t="s">
        <v>14</v>
      </c>
      <c r="B364" t="s">
        <v>772</v>
      </c>
      <c r="C364" t="s">
        <v>16</v>
      </c>
      <c r="D364" t="s">
        <v>773</v>
      </c>
      <c r="E364" s="5" t="s">
        <v>38</v>
      </c>
      <c r="F364" s="5" t="e">
        <f>VLOOKUP(B364,'Türkkep Jira'!B:F,5,0)</f>
        <v>#N/A</v>
      </c>
      <c r="G364" t="str">
        <f>IF(IFERROR(VLOOKUP(B364,'Devam Eden Sprint'!B:B,1,0),"-")=B364,"Devam Eden Sprint","-")</f>
        <v>-</v>
      </c>
      <c r="H364" t="str">
        <f>IF(IFERROR(VLOOKUP(B364,'Gelecek Sprint'!B:B,1,0),"-")=B364,"Gelecek Sprint","-")</f>
        <v>-</v>
      </c>
      <c r="I364" t="str">
        <f t="shared" si="11"/>
        <v>Ürün İş Listesi</v>
      </c>
      <c r="J364" s="5">
        <v>5</v>
      </c>
    </row>
    <row r="365" spans="1:10" x14ac:dyDescent="0.25">
      <c r="A365" t="s">
        <v>14</v>
      </c>
      <c r="B365" t="s">
        <v>774</v>
      </c>
      <c r="C365" t="s">
        <v>16</v>
      </c>
      <c r="D365" t="s">
        <v>775</v>
      </c>
      <c r="E365" s="5" t="s">
        <v>44</v>
      </c>
      <c r="F365" s="5" t="e">
        <f>VLOOKUP(B365,'Türkkep Jira'!B:F,5,0)</f>
        <v>#N/A</v>
      </c>
      <c r="G365" t="str">
        <f>IF(IFERROR(VLOOKUP(B365,'Devam Eden Sprint'!B:B,1,0),"-")=B365,"Devam Eden Sprint","-")</f>
        <v>-</v>
      </c>
      <c r="H365" t="str">
        <f>IF(IFERROR(VLOOKUP(B365,'Gelecek Sprint'!B:B,1,0),"-")=B365,"Gelecek Sprint","-")</f>
        <v>-</v>
      </c>
      <c r="I365" t="str">
        <f t="shared" si="11"/>
        <v>Ürün İş Listesi</v>
      </c>
      <c r="J365" s="5">
        <v>3</v>
      </c>
    </row>
    <row r="366" spans="1:10" x14ac:dyDescent="0.25">
      <c r="A366" t="s">
        <v>77</v>
      </c>
      <c r="B366" t="s">
        <v>776</v>
      </c>
      <c r="C366" t="s">
        <v>16</v>
      </c>
      <c r="D366" t="s">
        <v>777</v>
      </c>
      <c r="E366" s="5" t="s">
        <v>56</v>
      </c>
      <c r="F366" s="5" t="e">
        <f>VLOOKUP(B366,'Türkkep Jira'!B:F,5,0)</f>
        <v>#N/A</v>
      </c>
      <c r="G366" t="str">
        <f>IF(IFERROR(VLOOKUP(B366,'Devam Eden Sprint'!B:B,1,0),"-")=B366,"Devam Eden Sprint","-")</f>
        <v>-</v>
      </c>
      <c r="H366" t="str">
        <f>IF(IFERROR(VLOOKUP(B366,'Gelecek Sprint'!B:B,1,0),"-")=B366,"Gelecek Sprint","-")</f>
        <v>-</v>
      </c>
      <c r="I366" t="str">
        <f t="shared" si="11"/>
        <v>Ürün İş Listesi</v>
      </c>
      <c r="J366" s="5">
        <v>3</v>
      </c>
    </row>
    <row r="367" spans="1:10" x14ac:dyDescent="0.25">
      <c r="A367" t="s">
        <v>77</v>
      </c>
      <c r="B367" t="s">
        <v>778</v>
      </c>
      <c r="C367" t="s">
        <v>16</v>
      </c>
      <c r="D367" t="s">
        <v>779</v>
      </c>
      <c r="E367" s="5" t="s">
        <v>56</v>
      </c>
      <c r="F367" s="5" t="e">
        <f>VLOOKUP(B367,'Türkkep Jira'!B:F,5,0)</f>
        <v>#N/A</v>
      </c>
      <c r="G367" t="str">
        <f>IF(IFERROR(VLOOKUP(B367,'Devam Eden Sprint'!B:B,1,0),"-")=B367,"Devam Eden Sprint","-")</f>
        <v>-</v>
      </c>
      <c r="H367" t="str">
        <f>IF(IFERROR(VLOOKUP(B367,'Gelecek Sprint'!B:B,1,0),"-")=B367,"Gelecek Sprint","-")</f>
        <v>-</v>
      </c>
      <c r="I367" t="str">
        <f t="shared" si="11"/>
        <v>Ürün İş Listesi</v>
      </c>
      <c r="J367" s="5">
        <v>3</v>
      </c>
    </row>
    <row r="368" spans="1:10" x14ac:dyDescent="0.25">
      <c r="A368" t="s">
        <v>77</v>
      </c>
      <c r="B368" t="s">
        <v>780</v>
      </c>
      <c r="C368" t="s">
        <v>10</v>
      </c>
      <c r="D368" t="s">
        <v>781</v>
      </c>
      <c r="E368" s="5" t="s">
        <v>56</v>
      </c>
      <c r="F368" s="5" t="e">
        <f>VLOOKUP(B368,'Türkkep Jira'!B:F,5,0)</f>
        <v>#N/A</v>
      </c>
      <c r="G368" t="str">
        <f>IF(IFERROR(VLOOKUP(B368,'Devam Eden Sprint'!B:B,1,0),"-")=B368,"Devam Eden Sprint","-")</f>
        <v>-</v>
      </c>
      <c r="H368" t="str">
        <f>IF(IFERROR(VLOOKUP(B368,'Gelecek Sprint'!B:B,1,0),"-")=B368,"Gelecek Sprint","-")</f>
        <v>-</v>
      </c>
      <c r="I368" t="str">
        <f t="shared" si="11"/>
        <v>Ürün İş Listesi</v>
      </c>
      <c r="J368" s="5">
        <v>5</v>
      </c>
    </row>
    <row r="369" spans="1:10" x14ac:dyDescent="0.25">
      <c r="A369" t="s">
        <v>14</v>
      </c>
      <c r="B369" t="s">
        <v>782</v>
      </c>
      <c r="C369" t="s">
        <v>16</v>
      </c>
      <c r="D369" t="s">
        <v>783</v>
      </c>
      <c r="E369" s="5" t="s">
        <v>53</v>
      </c>
      <c r="F369" s="5" t="e">
        <f>VLOOKUP(B369,'Türkkep Jira'!B:F,5,0)</f>
        <v>#N/A</v>
      </c>
      <c r="G369" t="str">
        <f>IF(IFERROR(VLOOKUP(B369,'Devam Eden Sprint'!B:B,1,0),"-")=B369,"Devam Eden Sprint","-")</f>
        <v>-</v>
      </c>
      <c r="H369" t="str">
        <f>IF(IFERROR(VLOOKUP(B369,'Gelecek Sprint'!B:B,1,0),"-")=B369,"Gelecek Sprint","-")</f>
        <v>-</v>
      </c>
      <c r="I369" t="str">
        <f t="shared" si="11"/>
        <v>Ürün İş Listesi</v>
      </c>
      <c r="J369" s="5">
        <v>1</v>
      </c>
    </row>
    <row r="370" spans="1:10" x14ac:dyDescent="0.25">
      <c r="A370" t="s">
        <v>14</v>
      </c>
      <c r="B370" t="s">
        <v>784</v>
      </c>
      <c r="C370" t="s">
        <v>16</v>
      </c>
      <c r="D370" t="s">
        <v>785</v>
      </c>
      <c r="E370" s="5" t="s">
        <v>53</v>
      </c>
      <c r="F370" s="5" t="e">
        <f>VLOOKUP(B370,'Türkkep Jira'!B:F,5,0)</f>
        <v>#N/A</v>
      </c>
      <c r="G370" t="str">
        <f>IF(IFERROR(VLOOKUP(B370,'Devam Eden Sprint'!B:B,1,0),"-")=B370,"Devam Eden Sprint","-")</f>
        <v>-</v>
      </c>
      <c r="H370" t="str">
        <f>IF(IFERROR(VLOOKUP(B370,'Gelecek Sprint'!B:B,1,0),"-")=B370,"Gelecek Sprint","-")</f>
        <v>-</v>
      </c>
      <c r="I370" t="str">
        <f t="shared" si="11"/>
        <v>Ürün İş Listesi</v>
      </c>
      <c r="J370" s="5">
        <v>2</v>
      </c>
    </row>
    <row r="371" spans="1:10" x14ac:dyDescent="0.25">
      <c r="A371" t="s">
        <v>14</v>
      </c>
      <c r="B371" t="s">
        <v>786</v>
      </c>
      <c r="C371" t="s">
        <v>16</v>
      </c>
      <c r="D371" t="s">
        <v>787</v>
      </c>
      <c r="E371" s="5" t="s">
        <v>53</v>
      </c>
      <c r="F371" s="5" t="e">
        <f>VLOOKUP(B371,'Türkkep Jira'!B:F,5,0)</f>
        <v>#N/A</v>
      </c>
      <c r="G371" t="str">
        <f>IF(IFERROR(VLOOKUP(B371,'Devam Eden Sprint'!B:B,1,0),"-")=B371,"Devam Eden Sprint","-")</f>
        <v>-</v>
      </c>
      <c r="H371" t="str">
        <f>IF(IFERROR(VLOOKUP(B371,'Gelecek Sprint'!B:B,1,0),"-")=B371,"Gelecek Sprint","-")</f>
        <v>-</v>
      </c>
      <c r="I371" t="str">
        <f t="shared" si="11"/>
        <v>Ürün İş Listesi</v>
      </c>
      <c r="J371" s="5">
        <v>1</v>
      </c>
    </row>
    <row r="372" spans="1:10" x14ac:dyDescent="0.25">
      <c r="A372" t="s">
        <v>14</v>
      </c>
      <c r="B372" t="s">
        <v>788</v>
      </c>
      <c r="C372" t="s">
        <v>16</v>
      </c>
      <c r="D372" t="s">
        <v>789</v>
      </c>
      <c r="E372" s="5" t="s">
        <v>127</v>
      </c>
      <c r="F372" s="5" t="e">
        <f>VLOOKUP(B372,'Türkkep Jira'!B:F,5,0)</f>
        <v>#N/A</v>
      </c>
      <c r="G372" t="str">
        <f>IF(IFERROR(VLOOKUP(B372,'Devam Eden Sprint'!B:B,1,0),"-")=B372,"Devam Eden Sprint","-")</f>
        <v>-</v>
      </c>
      <c r="H372" t="str">
        <f>IF(IFERROR(VLOOKUP(B372,'Gelecek Sprint'!B:B,1,0),"-")=B372,"Gelecek Sprint","-")</f>
        <v>-</v>
      </c>
      <c r="I372" t="str">
        <f t="shared" si="11"/>
        <v>Ürün İş Listesi</v>
      </c>
      <c r="J372" s="5">
        <v>2</v>
      </c>
    </row>
    <row r="373" spans="1:10" x14ac:dyDescent="0.25">
      <c r="A373" t="s">
        <v>14</v>
      </c>
      <c r="B373" t="s">
        <v>790</v>
      </c>
      <c r="C373" t="s">
        <v>16</v>
      </c>
      <c r="D373" t="s">
        <v>791</v>
      </c>
      <c r="E373" s="5" t="s">
        <v>127</v>
      </c>
      <c r="F373" s="5" t="e">
        <f>VLOOKUP(B373,'Türkkep Jira'!B:F,5,0)</f>
        <v>#N/A</v>
      </c>
      <c r="G373" t="str">
        <f>IF(IFERROR(VLOOKUP(B373,'Devam Eden Sprint'!B:B,1,0),"-")=B373,"Devam Eden Sprint","-")</f>
        <v>-</v>
      </c>
      <c r="H373" t="str">
        <f>IF(IFERROR(VLOOKUP(B373,'Gelecek Sprint'!B:B,1,0),"-")=B373,"Gelecek Sprint","-")</f>
        <v>-</v>
      </c>
      <c r="I373" t="str">
        <f t="shared" si="11"/>
        <v>Ürün İş Listesi</v>
      </c>
      <c r="J373" s="5">
        <v>3</v>
      </c>
    </row>
    <row r="374" spans="1:10" x14ac:dyDescent="0.25">
      <c r="A374" t="s">
        <v>77</v>
      </c>
      <c r="B374" t="s">
        <v>792</v>
      </c>
      <c r="C374" t="s">
        <v>16</v>
      </c>
      <c r="D374" t="s">
        <v>793</v>
      </c>
      <c r="E374" s="5" t="s">
        <v>533</v>
      </c>
      <c r="F374" s="5" t="e">
        <f>VLOOKUP(B374,'Türkkep Jira'!B:F,5,0)</f>
        <v>#N/A</v>
      </c>
      <c r="G374" t="str">
        <f>IF(IFERROR(VLOOKUP(B374,'Devam Eden Sprint'!B:B,1,0),"-")=B374,"Devam Eden Sprint","-")</f>
        <v>-</v>
      </c>
      <c r="H374" t="str">
        <f>IF(IFERROR(VLOOKUP(B374,'Gelecek Sprint'!B:B,1,0),"-")=B374,"Gelecek Sprint","-")</f>
        <v>-</v>
      </c>
      <c r="I374" t="str">
        <f t="shared" si="11"/>
        <v>Ürün İş Listesi</v>
      </c>
      <c r="J374" s="5">
        <v>1</v>
      </c>
    </row>
    <row r="375" spans="1:10" x14ac:dyDescent="0.25">
      <c r="A375" t="s">
        <v>14</v>
      </c>
      <c r="B375" t="s">
        <v>794</v>
      </c>
      <c r="C375" t="s">
        <v>16</v>
      </c>
      <c r="D375" t="s">
        <v>795</v>
      </c>
      <c r="E375" s="5" t="s">
        <v>47</v>
      </c>
      <c r="F375" s="5" t="e">
        <f>VLOOKUP(B375,'Türkkep Jira'!B:F,5,0)</f>
        <v>#N/A</v>
      </c>
      <c r="G375" t="str">
        <f>IF(IFERROR(VLOOKUP(B375,'Devam Eden Sprint'!B:B,1,0),"-")=B375,"Devam Eden Sprint","-")</f>
        <v>-</v>
      </c>
      <c r="H375" t="str">
        <f>IF(IFERROR(VLOOKUP(B375,'Gelecek Sprint'!B:B,1,0),"-")=B375,"Gelecek Sprint","-")</f>
        <v>-</v>
      </c>
      <c r="I375" t="str">
        <f t="shared" si="11"/>
        <v>Ürün İş Listesi</v>
      </c>
      <c r="J375" s="5">
        <v>3</v>
      </c>
    </row>
    <row r="376" spans="1:10" x14ac:dyDescent="0.25">
      <c r="A376" t="s">
        <v>14</v>
      </c>
      <c r="B376" t="s">
        <v>796</v>
      </c>
      <c r="C376" t="s">
        <v>16</v>
      </c>
      <c r="D376" t="s">
        <v>797</v>
      </c>
      <c r="E376" s="5" t="s">
        <v>47</v>
      </c>
      <c r="F376" s="5" t="e">
        <f>VLOOKUP(B376,'Türkkep Jira'!B:F,5,0)</f>
        <v>#N/A</v>
      </c>
      <c r="G376" t="str">
        <f>IF(IFERROR(VLOOKUP(B376,'Devam Eden Sprint'!B:B,1,0),"-")=B376,"Devam Eden Sprint","-")</f>
        <v>-</v>
      </c>
      <c r="H376" t="str">
        <f>IF(IFERROR(VLOOKUP(B376,'Gelecek Sprint'!B:B,1,0),"-")=B376,"Gelecek Sprint","-")</f>
        <v>-</v>
      </c>
      <c r="I376" t="str">
        <f t="shared" si="11"/>
        <v>Ürün İş Listesi</v>
      </c>
      <c r="J376" s="5">
        <v>3</v>
      </c>
    </row>
    <row r="377" spans="1:10" x14ac:dyDescent="0.25">
      <c r="A377" t="s">
        <v>14</v>
      </c>
      <c r="B377" t="s">
        <v>798</v>
      </c>
      <c r="C377" t="s">
        <v>16</v>
      </c>
      <c r="D377" t="s">
        <v>799</v>
      </c>
      <c r="E377" s="5" t="s">
        <v>127</v>
      </c>
      <c r="F377" s="5" t="e">
        <f>VLOOKUP(B377,'Türkkep Jira'!B:F,5,0)</f>
        <v>#N/A</v>
      </c>
      <c r="G377" t="str">
        <f>IF(IFERROR(VLOOKUP(B377,'Devam Eden Sprint'!B:B,1,0),"-")=B377,"Devam Eden Sprint","-")</f>
        <v>-</v>
      </c>
      <c r="H377" t="str">
        <f>IF(IFERROR(VLOOKUP(B377,'Gelecek Sprint'!B:B,1,0),"-")=B377,"Gelecek Sprint","-")</f>
        <v>-</v>
      </c>
      <c r="I377" t="str">
        <f>IFERROR(IF(AND(G377="Devam Eden Sprint",H377="Gelecek Sprint"),"Devam Eden ve Gelecek Sprint",IF(G377="Devam Eden Sprint","Devam Eden Sprint",IF(H377="Gelecek Sprint","Gelecek Sprint","Ürün İş Listesi"))),"Ürün İş Listesi")</f>
        <v>Ürün İş Listesi</v>
      </c>
    </row>
    <row r="378" spans="1:10" x14ac:dyDescent="0.25">
      <c r="A378" t="s">
        <v>14</v>
      </c>
      <c r="B378" t="s">
        <v>800</v>
      </c>
      <c r="C378" t="s">
        <v>16</v>
      </c>
      <c r="D378" t="s">
        <v>801</v>
      </c>
      <c r="E378" s="5" t="s">
        <v>127</v>
      </c>
      <c r="F378" s="5" t="e">
        <f>VLOOKUP(B378,'Türkkep Jira'!B:F,5,0)</f>
        <v>#N/A</v>
      </c>
      <c r="G378" t="str">
        <f>IF(IFERROR(VLOOKUP(B378,'Devam Eden Sprint'!B:B,1,0),"-")=B378,"Devam Eden Sprint","-")</f>
        <v>-</v>
      </c>
      <c r="H378" t="str">
        <f>IF(IFERROR(VLOOKUP(B378,'Gelecek Sprint'!B:B,1,0),"-")=B378,"Gelecek Sprint","-")</f>
        <v>-</v>
      </c>
      <c r="I378" t="str">
        <f>IFERROR(IF(AND(G378="Devam Eden Sprint",H378="Gelecek Sprint"),"Devam Eden ve Gelecek Sprint",IF(G378="Devam Eden Sprint","Devam Eden Sprint",IF(H378="Gelecek Sprint","Gelecek Sprint","Ürün İş Listesi"))),"Ürün İş Listesi")</f>
        <v>Ürün İş Listesi</v>
      </c>
      <c r="J378" s="5">
        <v>5</v>
      </c>
    </row>
    <row r="379" spans="1:10" x14ac:dyDescent="0.25">
      <c r="A379" t="s">
        <v>14</v>
      </c>
      <c r="B379" t="s">
        <v>802</v>
      </c>
      <c r="C379" t="s">
        <v>16</v>
      </c>
      <c r="D379" t="s">
        <v>803</v>
      </c>
      <c r="E379" s="5" t="s">
        <v>35</v>
      </c>
      <c r="F379" s="5" t="e">
        <f>VLOOKUP(B379,'Türkkep Jira'!B:F,5,0)</f>
        <v>#N/A</v>
      </c>
      <c r="G379" t="str">
        <f>IF(IFERROR(VLOOKUP(B379,'Devam Eden Sprint'!B:B,1,0),"-")=B379,"Devam Eden Sprint","-")</f>
        <v>-</v>
      </c>
      <c r="H379" t="str">
        <f>IF(IFERROR(VLOOKUP(B379,'Gelecek Sprint'!B:B,1,0),"-")=B379,"Gelecek Sprint","-")</f>
        <v>-</v>
      </c>
      <c r="I379" t="str">
        <f>IFERROR(IF(AND(G379="Devam Eden Sprint",H379="Gelecek Sprint"),"Devam Eden ve Gelecek Sprint",IF(G379="Devam Eden Sprint","Devam Eden Sprint",IF(H379="Gelecek Sprint","Gelecek Sprint","Ürün İş Listesi"))),"Ürün İş Listesi")</f>
        <v>Ürün İş Listesi</v>
      </c>
      <c r="J379" s="5">
        <v>2</v>
      </c>
    </row>
    <row r="380" spans="1:10" x14ac:dyDescent="0.25">
      <c r="A380" t="s">
        <v>14</v>
      </c>
      <c r="B380" t="s">
        <v>804</v>
      </c>
      <c r="C380" t="s">
        <v>16</v>
      </c>
      <c r="D380" t="s">
        <v>805</v>
      </c>
      <c r="E380" s="5" t="s">
        <v>56</v>
      </c>
      <c r="F380" s="5" t="e">
        <f>VLOOKUP(B380,'Türkkep Jira'!B:F,5,0)</f>
        <v>#N/A</v>
      </c>
      <c r="G380" t="str">
        <f>IF(IFERROR(VLOOKUP(B380,'Devam Eden Sprint'!B:B,1,0),"-")=B380,"Devam Eden Sprint","-")</f>
        <v>-</v>
      </c>
      <c r="H380" t="str">
        <f>IF(IFERROR(VLOOKUP(B380,'Gelecek Sprint'!B:B,1,0),"-")=B380,"Gelecek Sprint","-")</f>
        <v>-</v>
      </c>
      <c r="I380" t="str">
        <f>IFERROR(IF(AND(G380="Devam Eden Sprint",H380="Gelecek Sprint"),"Devam Eden ve Gelecek Sprint",IF(G380="Devam Eden Sprint","Devam Eden Sprint",IF(H380="Gelecek Sprint","Gelecek Sprint","Ürün İş Listesi"))),"Ürün İş Listesi")</f>
        <v>Ürün İş Listesi</v>
      </c>
      <c r="J380" s="5">
        <v>5</v>
      </c>
    </row>
    <row r="381" spans="1:10" x14ac:dyDescent="0.25">
      <c r="A381" t="s">
        <v>77</v>
      </c>
      <c r="B381" t="s">
        <v>806</v>
      </c>
      <c r="C381" t="s">
        <v>16</v>
      </c>
      <c r="D381" t="s">
        <v>807</v>
      </c>
      <c r="E381" s="5" t="s">
        <v>44</v>
      </c>
      <c r="F381" s="5" t="e">
        <f>VLOOKUP(B381,'Türkkep Jira'!B:F,5,0)</f>
        <v>#N/A</v>
      </c>
      <c r="G381" t="str">
        <f>IF(IFERROR(VLOOKUP(B381,'Devam Eden Sprint'!B:B,1,0),"-")=B381,"Devam Eden Sprint","-")</f>
        <v>-</v>
      </c>
      <c r="H381" t="str">
        <f>IF(IFERROR(VLOOKUP(B381,'Gelecek Sprint'!B:B,1,0),"-")=B381,"Gelecek Sprint","-")</f>
        <v>-</v>
      </c>
      <c r="I381" t="str">
        <f>IFERROR(IF(AND(G381="Devam Eden Sprint",H381="Gelecek Sprint"),"Devam Eden ve Gelecek Sprint",IF(G381="Devam Eden Sprint","Devam Eden Sprint",IF(H381="Gelecek Sprint","Gelecek Sprint","Ürün İş Listesi"))),"Ürün İş Listesi")</f>
        <v>Ürün İş Listesi</v>
      </c>
      <c r="J381" s="5">
        <v>3</v>
      </c>
    </row>
    <row r="382" spans="1:10" x14ac:dyDescent="0.25">
      <c r="A382" t="s">
        <v>14</v>
      </c>
      <c r="B382" t="s">
        <v>808</v>
      </c>
      <c r="C382" t="s">
        <v>16</v>
      </c>
      <c r="D382" t="s">
        <v>809</v>
      </c>
      <c r="E382" s="5" t="s">
        <v>41</v>
      </c>
      <c r="F382" s="5" t="e">
        <f>VLOOKUP(B382,'Türkkep Jira'!B:F,5,0)</f>
        <v>#N/A</v>
      </c>
      <c r="G382" t="str">
        <f>IF(IFERROR(VLOOKUP(B382,'Devam Eden Sprint'!B:B,1,0),"-")=B382,"Devam Eden Sprint","-")</f>
        <v>-</v>
      </c>
      <c r="H382" t="str">
        <f>IF(IFERROR(VLOOKUP(B382,'Gelecek Sprint'!B:B,1,0),"-")=B382,"Gelecek Sprint","-")</f>
        <v>-</v>
      </c>
      <c r="I382" t="str">
        <f t="shared" ref="I382:I445" si="12">IFERROR(IF(AND(G382="Devam Eden Sprint",H382="Gelecek Sprint"),"Devam Eden ve Gelecek Sprint",IF(G382="Devam Eden Sprint","Devam Eden Sprint",IF(H382="Gelecek Sprint","Gelecek Sprint","Ürün İş Listesi"))),"Ürün İş Listesi")</f>
        <v>Ürün İş Listesi</v>
      </c>
      <c r="J382" s="5">
        <v>1</v>
      </c>
    </row>
    <row r="383" spans="1:10" x14ac:dyDescent="0.25">
      <c r="A383" t="s">
        <v>14</v>
      </c>
      <c r="B383" t="s">
        <v>810</v>
      </c>
      <c r="C383" t="s">
        <v>16</v>
      </c>
      <c r="D383" t="s">
        <v>811</v>
      </c>
      <c r="E383" s="5" t="s">
        <v>41</v>
      </c>
      <c r="F383" s="5" t="e">
        <f>VLOOKUP(B383,'Türkkep Jira'!B:F,5,0)</f>
        <v>#N/A</v>
      </c>
      <c r="G383" t="str">
        <f>IF(IFERROR(VLOOKUP(B383,'Devam Eden Sprint'!B:B,1,0),"-")=B383,"Devam Eden Sprint","-")</f>
        <v>-</v>
      </c>
      <c r="H383" t="str">
        <f>IF(IFERROR(VLOOKUP(B383,'Gelecek Sprint'!B:B,1,0),"-")=B383,"Gelecek Sprint","-")</f>
        <v>-</v>
      </c>
      <c r="I383" t="str">
        <f t="shared" si="12"/>
        <v>Ürün İş Listesi</v>
      </c>
      <c r="J383" s="5">
        <v>2</v>
      </c>
    </row>
    <row r="384" spans="1:10" x14ac:dyDescent="0.25">
      <c r="A384" t="s">
        <v>14</v>
      </c>
      <c r="B384" t="s">
        <v>812</v>
      </c>
      <c r="C384" t="s">
        <v>16</v>
      </c>
      <c r="D384" t="s">
        <v>813</v>
      </c>
      <c r="E384" s="5" t="s">
        <v>41</v>
      </c>
      <c r="F384" s="5" t="e">
        <f>VLOOKUP(B384,'Türkkep Jira'!B:F,5,0)</f>
        <v>#N/A</v>
      </c>
      <c r="G384" t="str">
        <f>IF(IFERROR(VLOOKUP(B384,'Devam Eden Sprint'!B:B,1,0),"-")=B384,"Devam Eden Sprint","-")</f>
        <v>-</v>
      </c>
      <c r="H384" t="str">
        <f>IF(IFERROR(VLOOKUP(B384,'Gelecek Sprint'!B:B,1,0),"-")=B384,"Gelecek Sprint","-")</f>
        <v>-</v>
      </c>
      <c r="I384" t="str">
        <f t="shared" si="12"/>
        <v>Ürün İş Listesi</v>
      </c>
      <c r="J384" s="5">
        <v>2</v>
      </c>
    </row>
    <row r="385" spans="1:10" x14ac:dyDescent="0.25">
      <c r="A385" t="s">
        <v>14</v>
      </c>
      <c r="B385" t="s">
        <v>814</v>
      </c>
      <c r="C385" t="s">
        <v>16</v>
      </c>
      <c r="D385" t="s">
        <v>815</v>
      </c>
      <c r="E385" s="5" t="s">
        <v>35</v>
      </c>
      <c r="F385" s="5" t="e">
        <f>VLOOKUP(B385,'Türkkep Jira'!B:F,5,0)</f>
        <v>#N/A</v>
      </c>
      <c r="G385" t="str">
        <f>IF(IFERROR(VLOOKUP(B385,'Devam Eden Sprint'!B:B,1,0),"-")=B385,"Devam Eden Sprint","-")</f>
        <v>-</v>
      </c>
      <c r="H385" t="str">
        <f>IF(IFERROR(VLOOKUP(B385,'Gelecek Sprint'!B:B,1,0),"-")=B385,"Gelecek Sprint","-")</f>
        <v>-</v>
      </c>
      <c r="I385" t="str">
        <f t="shared" si="12"/>
        <v>Ürün İş Listesi</v>
      </c>
      <c r="J385" s="5">
        <v>3</v>
      </c>
    </row>
    <row r="386" spans="1:10" x14ac:dyDescent="0.25">
      <c r="A386" t="s">
        <v>14</v>
      </c>
      <c r="B386" t="s">
        <v>816</v>
      </c>
      <c r="C386" t="s">
        <v>16</v>
      </c>
      <c r="D386" t="s">
        <v>765</v>
      </c>
      <c r="E386" s="5" t="s">
        <v>38</v>
      </c>
      <c r="F386" s="5" t="e">
        <f>VLOOKUP(B386,'Türkkep Jira'!B:F,5,0)</f>
        <v>#N/A</v>
      </c>
      <c r="G386" t="str">
        <f>IF(IFERROR(VLOOKUP(B386,'Devam Eden Sprint'!B:B,1,0),"-")=B386,"Devam Eden Sprint","-")</f>
        <v>-</v>
      </c>
      <c r="H386" t="str">
        <f>IF(IFERROR(VLOOKUP(B386,'Gelecek Sprint'!B:B,1,0),"-")=B386,"Gelecek Sprint","-")</f>
        <v>-</v>
      </c>
      <c r="I386" t="str">
        <f t="shared" si="12"/>
        <v>Ürün İş Listesi</v>
      </c>
      <c r="J386" s="5">
        <v>2</v>
      </c>
    </row>
    <row r="387" spans="1:10" x14ac:dyDescent="0.25">
      <c r="A387" t="s">
        <v>77</v>
      </c>
      <c r="B387" t="s">
        <v>817</v>
      </c>
      <c r="C387" t="s">
        <v>16</v>
      </c>
      <c r="D387" t="s">
        <v>818</v>
      </c>
      <c r="E387" s="5" t="s">
        <v>41</v>
      </c>
      <c r="F387" s="5" t="e">
        <f>VLOOKUP(B387,'Türkkep Jira'!B:F,5,0)</f>
        <v>#N/A</v>
      </c>
      <c r="G387" t="str">
        <f>IF(IFERROR(VLOOKUP(B387,'Devam Eden Sprint'!B:B,1,0),"-")=B387,"Devam Eden Sprint","-")</f>
        <v>-</v>
      </c>
      <c r="H387" t="str">
        <f>IF(IFERROR(VLOOKUP(B387,'Gelecek Sprint'!B:B,1,0),"-")=B387,"Gelecek Sprint","-")</f>
        <v>-</v>
      </c>
      <c r="I387" t="str">
        <f t="shared" si="12"/>
        <v>Ürün İş Listesi</v>
      </c>
      <c r="J387" s="5">
        <v>1</v>
      </c>
    </row>
    <row r="388" spans="1:10" x14ac:dyDescent="0.25">
      <c r="A388" t="s">
        <v>77</v>
      </c>
      <c r="B388" t="s">
        <v>819</v>
      </c>
      <c r="C388" t="s">
        <v>16</v>
      </c>
      <c r="D388" t="s">
        <v>820</v>
      </c>
      <c r="E388" s="5" t="s">
        <v>41</v>
      </c>
      <c r="F388" s="5" t="e">
        <f>VLOOKUP(B388,'Türkkep Jira'!B:F,5,0)</f>
        <v>#N/A</v>
      </c>
      <c r="G388" t="str">
        <f>IF(IFERROR(VLOOKUP(B388,'Devam Eden Sprint'!B:B,1,0),"-")=B388,"Devam Eden Sprint","-")</f>
        <v>-</v>
      </c>
      <c r="H388" t="str">
        <f>IF(IFERROR(VLOOKUP(B388,'Gelecek Sprint'!B:B,1,0),"-")=B388,"Gelecek Sprint","-")</f>
        <v>-</v>
      </c>
      <c r="I388" t="str">
        <f t="shared" si="12"/>
        <v>Ürün İş Listesi</v>
      </c>
      <c r="J388" s="5">
        <v>1</v>
      </c>
    </row>
    <row r="389" spans="1:10" x14ac:dyDescent="0.25">
      <c r="A389" t="s">
        <v>14</v>
      </c>
      <c r="B389" t="s">
        <v>821</v>
      </c>
      <c r="C389" t="s">
        <v>16</v>
      </c>
      <c r="D389" t="s">
        <v>822</v>
      </c>
      <c r="E389" s="5" t="s">
        <v>59</v>
      </c>
      <c r="F389" s="5" t="e">
        <f>VLOOKUP(B389,'Türkkep Jira'!B:F,5,0)</f>
        <v>#N/A</v>
      </c>
      <c r="G389" t="str">
        <f>IF(IFERROR(VLOOKUP(B389,'Devam Eden Sprint'!B:B,1,0),"-")=B389,"Devam Eden Sprint","-")</f>
        <v>-</v>
      </c>
      <c r="H389" t="str">
        <f>IF(IFERROR(VLOOKUP(B389,'Gelecek Sprint'!B:B,1,0),"-")=B389,"Gelecek Sprint","-")</f>
        <v>-</v>
      </c>
      <c r="I389" t="str">
        <f t="shared" si="12"/>
        <v>Ürün İş Listesi</v>
      </c>
      <c r="J389" s="5">
        <v>3</v>
      </c>
    </row>
    <row r="390" spans="1:10" x14ac:dyDescent="0.25">
      <c r="A390" t="s">
        <v>77</v>
      </c>
      <c r="B390" t="s">
        <v>823</v>
      </c>
      <c r="C390" t="s">
        <v>16</v>
      </c>
      <c r="D390" t="s">
        <v>824</v>
      </c>
      <c r="E390" s="5" t="s">
        <v>53</v>
      </c>
      <c r="F390" s="5" t="e">
        <f>VLOOKUP(B390,'Türkkep Jira'!B:F,5,0)</f>
        <v>#N/A</v>
      </c>
      <c r="G390" t="str">
        <f>IF(IFERROR(VLOOKUP(B390,'Devam Eden Sprint'!B:B,1,0),"-")=B390,"Devam Eden Sprint","-")</f>
        <v>-</v>
      </c>
      <c r="H390" t="str">
        <f>IF(IFERROR(VLOOKUP(B390,'Gelecek Sprint'!B:B,1,0),"-")=B390,"Gelecek Sprint","-")</f>
        <v>-</v>
      </c>
      <c r="I390" t="str">
        <f t="shared" si="12"/>
        <v>Ürün İş Listesi</v>
      </c>
      <c r="J390" s="5">
        <v>1</v>
      </c>
    </row>
    <row r="391" spans="1:10" x14ac:dyDescent="0.25">
      <c r="A391" t="s">
        <v>77</v>
      </c>
      <c r="B391" t="s">
        <v>825</v>
      </c>
      <c r="C391" t="s">
        <v>16</v>
      </c>
      <c r="D391" t="s">
        <v>826</v>
      </c>
      <c r="E391" s="5" t="s">
        <v>53</v>
      </c>
      <c r="F391" s="5" t="e">
        <f>VLOOKUP(B391,'Türkkep Jira'!B:F,5,0)</f>
        <v>#N/A</v>
      </c>
      <c r="G391" t="str">
        <f>IF(IFERROR(VLOOKUP(B391,'Devam Eden Sprint'!B:B,1,0),"-")=B391,"Devam Eden Sprint","-")</f>
        <v>-</v>
      </c>
      <c r="H391" t="str">
        <f>IF(IFERROR(VLOOKUP(B391,'Gelecek Sprint'!B:B,1,0),"-")=B391,"Gelecek Sprint","-")</f>
        <v>-</v>
      </c>
      <c r="I391" t="str">
        <f t="shared" si="12"/>
        <v>Ürün İş Listesi</v>
      </c>
      <c r="J391" s="5">
        <v>2</v>
      </c>
    </row>
    <row r="392" spans="1:10" x14ac:dyDescent="0.25">
      <c r="A392" t="s">
        <v>14</v>
      </c>
      <c r="B392" t="s">
        <v>827</v>
      </c>
      <c r="C392" t="s">
        <v>16</v>
      </c>
      <c r="D392" t="s">
        <v>828</v>
      </c>
      <c r="E392" s="5" t="s">
        <v>53</v>
      </c>
      <c r="F392" s="5" t="e">
        <f>VLOOKUP(B392,'Türkkep Jira'!B:F,5,0)</f>
        <v>#N/A</v>
      </c>
      <c r="G392" t="str">
        <f>IF(IFERROR(VLOOKUP(B392,'Devam Eden Sprint'!B:B,1,0),"-")=B392,"Devam Eden Sprint","-")</f>
        <v>-</v>
      </c>
      <c r="H392" t="str">
        <f>IF(IFERROR(VLOOKUP(B392,'Gelecek Sprint'!B:B,1,0),"-")=B392,"Gelecek Sprint","-")</f>
        <v>-</v>
      </c>
      <c r="I392" t="str">
        <f t="shared" si="12"/>
        <v>Ürün İş Listesi</v>
      </c>
      <c r="J392" s="5">
        <v>3</v>
      </c>
    </row>
    <row r="393" spans="1:10" x14ac:dyDescent="0.25">
      <c r="A393" t="s">
        <v>14</v>
      </c>
      <c r="B393" t="s">
        <v>829</v>
      </c>
      <c r="C393" t="s">
        <v>16</v>
      </c>
      <c r="D393" t="s">
        <v>830</v>
      </c>
      <c r="E393" s="5" t="s">
        <v>53</v>
      </c>
      <c r="F393" s="5" t="e">
        <f>VLOOKUP(B393,'Türkkep Jira'!B:F,5,0)</f>
        <v>#N/A</v>
      </c>
      <c r="G393" t="str">
        <f>IF(IFERROR(VLOOKUP(B393,'Devam Eden Sprint'!B:B,1,0),"-")=B393,"Devam Eden Sprint","-")</f>
        <v>-</v>
      </c>
      <c r="H393" t="str">
        <f>IF(IFERROR(VLOOKUP(B393,'Gelecek Sprint'!B:B,1,0),"-")=B393,"Gelecek Sprint","-")</f>
        <v>-</v>
      </c>
      <c r="I393" t="str">
        <f t="shared" si="12"/>
        <v>Ürün İş Listesi</v>
      </c>
      <c r="J393" s="5">
        <v>2</v>
      </c>
    </row>
    <row r="394" spans="1:10" x14ac:dyDescent="0.25">
      <c r="A394" t="s">
        <v>14</v>
      </c>
      <c r="B394" t="s">
        <v>831</v>
      </c>
      <c r="C394" t="s">
        <v>16</v>
      </c>
      <c r="D394" t="s">
        <v>832</v>
      </c>
      <c r="E394" s="5" t="s">
        <v>53</v>
      </c>
      <c r="F394" s="5" t="e">
        <f>VLOOKUP(B394,'Türkkep Jira'!B:F,5,0)</f>
        <v>#N/A</v>
      </c>
      <c r="G394" t="str">
        <f>IF(IFERROR(VLOOKUP(B394,'Devam Eden Sprint'!B:B,1,0),"-")=B394,"Devam Eden Sprint","-")</f>
        <v>-</v>
      </c>
      <c r="H394" t="str">
        <f>IF(IFERROR(VLOOKUP(B394,'Gelecek Sprint'!B:B,1,0),"-")=B394,"Gelecek Sprint","-")</f>
        <v>-</v>
      </c>
      <c r="I394" t="str">
        <f t="shared" si="12"/>
        <v>Ürün İş Listesi</v>
      </c>
      <c r="J394" s="5">
        <v>2</v>
      </c>
    </row>
    <row r="395" spans="1:10" x14ac:dyDescent="0.25">
      <c r="A395" t="s">
        <v>14</v>
      </c>
      <c r="B395" t="s">
        <v>833</v>
      </c>
      <c r="C395" t="s">
        <v>16</v>
      </c>
      <c r="D395" t="s">
        <v>834</v>
      </c>
      <c r="E395" s="5" t="s">
        <v>53</v>
      </c>
      <c r="F395" s="5" t="e">
        <f>VLOOKUP(B395,'Türkkep Jira'!B:F,5,0)</f>
        <v>#N/A</v>
      </c>
      <c r="G395" t="str">
        <f>IF(IFERROR(VLOOKUP(B395,'Devam Eden Sprint'!B:B,1,0),"-")=B395,"Devam Eden Sprint","-")</f>
        <v>-</v>
      </c>
      <c r="H395" t="str">
        <f>IF(IFERROR(VLOOKUP(B395,'Gelecek Sprint'!B:B,1,0),"-")=B395,"Gelecek Sprint","-")</f>
        <v>-</v>
      </c>
      <c r="I395" t="str">
        <f t="shared" si="12"/>
        <v>Ürün İş Listesi</v>
      </c>
      <c r="J395" s="5">
        <v>3</v>
      </c>
    </row>
    <row r="396" spans="1:10" x14ac:dyDescent="0.25">
      <c r="A396" t="s">
        <v>77</v>
      </c>
      <c r="B396" t="s">
        <v>835</v>
      </c>
      <c r="C396" t="s">
        <v>16</v>
      </c>
      <c r="D396" t="s">
        <v>836</v>
      </c>
      <c r="E396" s="5" t="s">
        <v>127</v>
      </c>
      <c r="F396" s="5" t="e">
        <f>VLOOKUP(B396,'Türkkep Jira'!B:F,5,0)</f>
        <v>#N/A</v>
      </c>
      <c r="G396" t="str">
        <f>IF(IFERROR(VLOOKUP(B396,'Devam Eden Sprint'!B:B,1,0),"-")=B396,"Devam Eden Sprint","-")</f>
        <v>-</v>
      </c>
      <c r="H396" t="str">
        <f>IF(IFERROR(VLOOKUP(B396,'Gelecek Sprint'!B:B,1,0),"-")=B396,"Gelecek Sprint","-")</f>
        <v>-</v>
      </c>
      <c r="I396" t="str">
        <f t="shared" si="12"/>
        <v>Ürün İş Listesi</v>
      </c>
      <c r="J396" s="5">
        <v>2</v>
      </c>
    </row>
    <row r="397" spans="1:10" x14ac:dyDescent="0.25">
      <c r="A397" t="s">
        <v>14</v>
      </c>
      <c r="B397" t="s">
        <v>837</v>
      </c>
      <c r="C397" t="s">
        <v>16</v>
      </c>
      <c r="D397" t="s">
        <v>838</v>
      </c>
      <c r="E397" s="5" t="s">
        <v>127</v>
      </c>
      <c r="F397" s="5" t="e">
        <f>VLOOKUP(B397,'Türkkep Jira'!B:F,5,0)</f>
        <v>#N/A</v>
      </c>
      <c r="G397" t="str">
        <f>IF(IFERROR(VLOOKUP(B397,'Devam Eden Sprint'!B:B,1,0),"-")=B397,"Devam Eden Sprint","-")</f>
        <v>-</v>
      </c>
      <c r="H397" t="str">
        <f>IF(IFERROR(VLOOKUP(B397,'Gelecek Sprint'!B:B,1,0),"-")=B397,"Gelecek Sprint","-")</f>
        <v>-</v>
      </c>
      <c r="I397" t="str">
        <f t="shared" si="12"/>
        <v>Ürün İş Listesi</v>
      </c>
    </row>
    <row r="398" spans="1:10" x14ac:dyDescent="0.25">
      <c r="A398" t="s">
        <v>14</v>
      </c>
      <c r="B398" t="s">
        <v>839</v>
      </c>
      <c r="C398" t="s">
        <v>16</v>
      </c>
      <c r="D398" t="s">
        <v>840</v>
      </c>
      <c r="E398" s="5" t="s">
        <v>127</v>
      </c>
      <c r="F398" s="5" t="e">
        <f>VLOOKUP(B398,'Türkkep Jira'!B:F,5,0)</f>
        <v>#N/A</v>
      </c>
      <c r="G398" t="str">
        <f>IF(IFERROR(VLOOKUP(B398,'Devam Eden Sprint'!B:B,1,0),"-")=B398,"Devam Eden Sprint","-")</f>
        <v>-</v>
      </c>
      <c r="H398" t="str">
        <f>IF(IFERROR(VLOOKUP(B398,'Gelecek Sprint'!B:B,1,0),"-")=B398,"Gelecek Sprint","-")</f>
        <v>-</v>
      </c>
      <c r="I398" t="str">
        <f t="shared" si="12"/>
        <v>Ürün İş Listesi</v>
      </c>
      <c r="J398" s="5">
        <v>3</v>
      </c>
    </row>
    <row r="399" spans="1:10" x14ac:dyDescent="0.25">
      <c r="A399" t="s">
        <v>14</v>
      </c>
      <c r="B399" t="s">
        <v>841</v>
      </c>
      <c r="C399" t="s">
        <v>16</v>
      </c>
      <c r="D399" t="s">
        <v>842</v>
      </c>
      <c r="E399" s="5" t="s">
        <v>127</v>
      </c>
      <c r="F399" s="5" t="e">
        <f>VLOOKUP(B399,'Türkkep Jira'!B:F,5,0)</f>
        <v>#N/A</v>
      </c>
      <c r="G399" t="str">
        <f>IF(IFERROR(VLOOKUP(B399,'Devam Eden Sprint'!B:B,1,0),"-")=B399,"Devam Eden Sprint","-")</f>
        <v>-</v>
      </c>
      <c r="H399" t="str">
        <f>IF(IFERROR(VLOOKUP(B399,'Gelecek Sprint'!B:B,1,0),"-")=B399,"Gelecek Sprint","-")</f>
        <v>-</v>
      </c>
      <c r="I399" t="str">
        <f t="shared" si="12"/>
        <v>Ürün İş Listesi</v>
      </c>
      <c r="J399" s="5">
        <v>13</v>
      </c>
    </row>
    <row r="400" spans="1:10" x14ac:dyDescent="0.25">
      <c r="A400" t="s">
        <v>14</v>
      </c>
      <c r="B400" t="s">
        <v>843</v>
      </c>
      <c r="C400" t="s">
        <v>16</v>
      </c>
      <c r="D400" t="s">
        <v>844</v>
      </c>
      <c r="E400" s="5" t="s">
        <v>127</v>
      </c>
      <c r="F400" s="5" t="e">
        <f>VLOOKUP(B400,'Türkkep Jira'!B:F,5,0)</f>
        <v>#N/A</v>
      </c>
      <c r="G400" t="str">
        <f>IF(IFERROR(VLOOKUP(B400,'Devam Eden Sprint'!B:B,1,0),"-")=B400,"Devam Eden Sprint","-")</f>
        <v>-</v>
      </c>
      <c r="H400" t="str">
        <f>IF(IFERROR(VLOOKUP(B400,'Gelecek Sprint'!B:B,1,0),"-")=B400,"Gelecek Sprint","-")</f>
        <v>-</v>
      </c>
      <c r="I400" t="str">
        <f t="shared" si="12"/>
        <v>Ürün İş Listesi</v>
      </c>
      <c r="J400" s="5">
        <v>13</v>
      </c>
    </row>
    <row r="401" spans="1:10" x14ac:dyDescent="0.25">
      <c r="A401" t="s">
        <v>77</v>
      </c>
      <c r="B401" t="s">
        <v>845</v>
      </c>
      <c r="C401" t="s">
        <v>16</v>
      </c>
      <c r="D401" t="s">
        <v>846</v>
      </c>
      <c r="E401" s="5" t="s">
        <v>542</v>
      </c>
      <c r="F401" s="5" t="e">
        <f>VLOOKUP(B401,'Türkkep Jira'!B:F,5,0)</f>
        <v>#N/A</v>
      </c>
      <c r="G401" t="str">
        <f>IF(IFERROR(VLOOKUP(B401,'Devam Eden Sprint'!B:B,1,0),"-")=B401,"Devam Eden Sprint","-")</f>
        <v>-</v>
      </c>
      <c r="H401" t="str">
        <f>IF(IFERROR(VLOOKUP(B401,'Gelecek Sprint'!B:B,1,0),"-")=B401,"Gelecek Sprint","-")</f>
        <v>-</v>
      </c>
      <c r="I401" t="str">
        <f t="shared" si="12"/>
        <v>Ürün İş Listesi</v>
      </c>
    </row>
    <row r="402" spans="1:10" x14ac:dyDescent="0.25">
      <c r="A402" t="s">
        <v>77</v>
      </c>
      <c r="B402" t="s">
        <v>847</v>
      </c>
      <c r="C402" t="s">
        <v>16</v>
      </c>
      <c r="D402" t="s">
        <v>848</v>
      </c>
      <c r="E402" s="5" t="s">
        <v>542</v>
      </c>
      <c r="F402" s="5" t="e">
        <f>VLOOKUP(B402,'Türkkep Jira'!B:F,5,0)</f>
        <v>#N/A</v>
      </c>
      <c r="G402" t="str">
        <f>IF(IFERROR(VLOOKUP(B402,'Devam Eden Sprint'!B:B,1,0),"-")=B402,"Devam Eden Sprint","-")</f>
        <v>-</v>
      </c>
      <c r="H402" t="str">
        <f>IF(IFERROR(VLOOKUP(B402,'Gelecek Sprint'!B:B,1,0),"-")=B402,"Gelecek Sprint","-")</f>
        <v>-</v>
      </c>
      <c r="I402" t="str">
        <f t="shared" si="12"/>
        <v>Ürün İş Listesi</v>
      </c>
      <c r="J402" s="5">
        <v>8</v>
      </c>
    </row>
    <row r="403" spans="1:10" x14ac:dyDescent="0.25">
      <c r="A403" t="s">
        <v>77</v>
      </c>
      <c r="B403" t="s">
        <v>849</v>
      </c>
      <c r="C403" t="s">
        <v>16</v>
      </c>
      <c r="D403" t="s">
        <v>850</v>
      </c>
      <c r="E403" s="5" t="s">
        <v>542</v>
      </c>
      <c r="F403" s="5" t="e">
        <f>VLOOKUP(B403,'Türkkep Jira'!B:F,5,0)</f>
        <v>#N/A</v>
      </c>
      <c r="G403" t="str">
        <f>IF(IFERROR(VLOOKUP(B403,'Devam Eden Sprint'!B:B,1,0),"-")=B403,"Devam Eden Sprint","-")</f>
        <v>-</v>
      </c>
      <c r="H403" t="str">
        <f>IF(IFERROR(VLOOKUP(B403,'Gelecek Sprint'!B:B,1,0),"-")=B403,"Gelecek Sprint","-")</f>
        <v>-</v>
      </c>
      <c r="I403" t="str">
        <f t="shared" si="12"/>
        <v>Ürün İş Listesi</v>
      </c>
      <c r="J403" s="5">
        <v>3</v>
      </c>
    </row>
    <row r="404" spans="1:10" x14ac:dyDescent="0.25">
      <c r="A404" t="s">
        <v>77</v>
      </c>
      <c r="B404" t="s">
        <v>851</v>
      </c>
      <c r="C404" t="s">
        <v>16</v>
      </c>
      <c r="D404" t="s">
        <v>852</v>
      </c>
      <c r="E404" s="5" t="s">
        <v>56</v>
      </c>
      <c r="F404" s="5" t="e">
        <f>VLOOKUP(B404,'Türkkep Jira'!B:F,5,0)</f>
        <v>#N/A</v>
      </c>
      <c r="G404" t="str">
        <f>IF(IFERROR(VLOOKUP(B404,'Devam Eden Sprint'!B:B,1,0),"-")=B404,"Devam Eden Sprint","-")</f>
        <v>-</v>
      </c>
      <c r="H404" t="str">
        <f>IF(IFERROR(VLOOKUP(B404,'Gelecek Sprint'!B:B,1,0),"-")=B404,"Gelecek Sprint","-")</f>
        <v>-</v>
      </c>
      <c r="I404" t="str">
        <f t="shared" si="12"/>
        <v>Ürün İş Listesi</v>
      </c>
      <c r="J404" s="5">
        <v>3</v>
      </c>
    </row>
    <row r="405" spans="1:10" x14ac:dyDescent="0.25">
      <c r="A405" t="s">
        <v>14</v>
      </c>
      <c r="B405" t="s">
        <v>853</v>
      </c>
      <c r="C405" t="s">
        <v>16</v>
      </c>
      <c r="D405" t="s">
        <v>854</v>
      </c>
      <c r="E405" s="5" t="s">
        <v>56</v>
      </c>
      <c r="F405" s="5" t="e">
        <f>VLOOKUP(B405,'Türkkep Jira'!B:F,5,0)</f>
        <v>#N/A</v>
      </c>
      <c r="G405" t="str">
        <f>IF(IFERROR(VLOOKUP(B405,'Devam Eden Sprint'!B:B,1,0),"-")=B405,"Devam Eden Sprint","-")</f>
        <v>-</v>
      </c>
      <c r="H405" t="str">
        <f>IF(IFERROR(VLOOKUP(B405,'Gelecek Sprint'!B:B,1,0),"-")=B405,"Gelecek Sprint","-")</f>
        <v>-</v>
      </c>
      <c r="I405" t="str">
        <f t="shared" si="12"/>
        <v>Ürün İş Listesi</v>
      </c>
    </row>
    <row r="406" spans="1:10" x14ac:dyDescent="0.25">
      <c r="A406" t="s">
        <v>14</v>
      </c>
      <c r="B406" t="s">
        <v>855</v>
      </c>
      <c r="C406" t="s">
        <v>10</v>
      </c>
      <c r="D406" t="s">
        <v>856</v>
      </c>
      <c r="E406" s="5" t="s">
        <v>56</v>
      </c>
      <c r="F406" s="5" t="str">
        <f>VLOOKUP(B406,'Türkkep Jira'!B:F,5,0)</f>
        <v>To Do</v>
      </c>
      <c r="G406" t="str">
        <f>IF(IFERROR(VLOOKUP(B406,'Devam Eden Sprint'!B:B,1,0),"-")=B406,"Devam Eden Sprint","-")</f>
        <v>-</v>
      </c>
      <c r="H406" t="str">
        <f>IF(IFERROR(VLOOKUP(B406,'Gelecek Sprint'!B:B,1,0),"-")=B406,"Gelecek Sprint","-")</f>
        <v>-</v>
      </c>
      <c r="I406" t="str">
        <f t="shared" si="12"/>
        <v>Ürün İş Listesi</v>
      </c>
    </row>
    <row r="407" spans="1:10" x14ac:dyDescent="0.25">
      <c r="A407" t="s">
        <v>14</v>
      </c>
      <c r="B407" t="s">
        <v>857</v>
      </c>
      <c r="C407" t="s">
        <v>10</v>
      </c>
      <c r="D407" t="s">
        <v>858</v>
      </c>
      <c r="E407" s="5" t="s">
        <v>47</v>
      </c>
      <c r="F407" s="5" t="e">
        <f>VLOOKUP(B407,'Türkkep Jira'!B:F,5,0)</f>
        <v>#N/A</v>
      </c>
      <c r="G407" t="str">
        <f>IF(IFERROR(VLOOKUP(B407,'Devam Eden Sprint'!B:B,1,0),"-")=B407,"Devam Eden Sprint","-")</f>
        <v>-</v>
      </c>
      <c r="H407" t="str">
        <f>IF(IFERROR(VLOOKUP(B407,'Gelecek Sprint'!B:B,1,0),"-")=B407,"Gelecek Sprint","-")</f>
        <v>-</v>
      </c>
      <c r="I407" t="str">
        <f t="shared" si="12"/>
        <v>Ürün İş Listesi</v>
      </c>
    </row>
    <row r="408" spans="1:10" x14ac:dyDescent="0.25">
      <c r="A408" t="s">
        <v>14</v>
      </c>
      <c r="B408" t="s">
        <v>859</v>
      </c>
      <c r="C408" t="s">
        <v>10</v>
      </c>
      <c r="D408" t="s">
        <v>860</v>
      </c>
      <c r="E408" s="5" t="s">
        <v>41</v>
      </c>
      <c r="F408" s="5" t="e">
        <f>VLOOKUP(B408,'Türkkep Jira'!B:F,5,0)</f>
        <v>#N/A</v>
      </c>
      <c r="G408" t="str">
        <f>IF(IFERROR(VLOOKUP(B408,'Devam Eden Sprint'!B:B,1,0),"-")=B408,"Devam Eden Sprint","-")</f>
        <v>-</v>
      </c>
      <c r="H408" t="str">
        <f>IF(IFERROR(VLOOKUP(B408,'Gelecek Sprint'!B:B,1,0),"-")=B408,"Gelecek Sprint","-")</f>
        <v>-</v>
      </c>
      <c r="I408" t="str">
        <f t="shared" si="12"/>
        <v>Ürün İş Listesi</v>
      </c>
    </row>
    <row r="409" spans="1:10" x14ac:dyDescent="0.25">
      <c r="A409" t="s">
        <v>14</v>
      </c>
      <c r="B409" t="s">
        <v>861</v>
      </c>
      <c r="C409" t="s">
        <v>10</v>
      </c>
      <c r="D409" t="s">
        <v>862</v>
      </c>
      <c r="E409" s="5" t="s">
        <v>41</v>
      </c>
      <c r="F409" s="5" t="e">
        <f>VLOOKUP(B409,'Türkkep Jira'!B:F,5,0)</f>
        <v>#N/A</v>
      </c>
      <c r="G409" t="str">
        <f>IF(IFERROR(VLOOKUP(B409,'Devam Eden Sprint'!B:B,1,0),"-")=B409,"Devam Eden Sprint","-")</f>
        <v>-</v>
      </c>
      <c r="H409" t="str">
        <f>IF(IFERROR(VLOOKUP(B409,'Gelecek Sprint'!B:B,1,0),"-")=B409,"Gelecek Sprint","-")</f>
        <v>-</v>
      </c>
      <c r="I409" t="str">
        <f t="shared" si="12"/>
        <v>Ürün İş Listesi</v>
      </c>
    </row>
    <row r="410" spans="1:10" x14ac:dyDescent="0.25">
      <c r="A410" t="s">
        <v>14</v>
      </c>
      <c r="B410" t="s">
        <v>863</v>
      </c>
      <c r="C410" t="s">
        <v>10</v>
      </c>
      <c r="D410" t="s">
        <v>864</v>
      </c>
      <c r="E410" s="5" t="s">
        <v>41</v>
      </c>
      <c r="F410" s="5" t="e">
        <f>VLOOKUP(B410,'Türkkep Jira'!B:F,5,0)</f>
        <v>#N/A</v>
      </c>
      <c r="G410" t="str">
        <f>IF(IFERROR(VLOOKUP(B410,'Devam Eden Sprint'!B:B,1,0),"-")=B410,"Devam Eden Sprint","-")</f>
        <v>-</v>
      </c>
      <c r="H410" t="str">
        <f>IF(IFERROR(VLOOKUP(B410,'Gelecek Sprint'!B:B,1,0),"-")=B410,"Gelecek Sprint","-")</f>
        <v>-</v>
      </c>
      <c r="I410" t="str">
        <f t="shared" si="12"/>
        <v>Ürün İş Listesi</v>
      </c>
    </row>
    <row r="411" spans="1:10" x14ac:dyDescent="0.25">
      <c r="A411" t="s">
        <v>14</v>
      </c>
      <c r="B411" t="s">
        <v>865</v>
      </c>
      <c r="C411" t="s">
        <v>10</v>
      </c>
      <c r="D411" t="s">
        <v>866</v>
      </c>
      <c r="E411" s="5" t="s">
        <v>41</v>
      </c>
      <c r="F411" s="5" t="e">
        <f>VLOOKUP(B411,'Türkkep Jira'!B:F,5,0)</f>
        <v>#N/A</v>
      </c>
      <c r="G411" t="str">
        <f>IF(IFERROR(VLOOKUP(B411,'Devam Eden Sprint'!B:B,1,0),"-")=B411,"Devam Eden Sprint","-")</f>
        <v>-</v>
      </c>
      <c r="H411" t="str">
        <f>IF(IFERROR(VLOOKUP(B411,'Gelecek Sprint'!B:B,1,0),"-")=B411,"Gelecek Sprint","-")</f>
        <v>-</v>
      </c>
      <c r="I411" t="str">
        <f t="shared" si="12"/>
        <v>Ürün İş Listesi</v>
      </c>
    </row>
    <row r="412" spans="1:10" x14ac:dyDescent="0.25">
      <c r="A412" t="s">
        <v>14</v>
      </c>
      <c r="B412" t="s">
        <v>867</v>
      </c>
      <c r="C412" t="s">
        <v>10</v>
      </c>
      <c r="D412" t="s">
        <v>868</v>
      </c>
      <c r="E412" s="5" t="s">
        <v>41</v>
      </c>
      <c r="F412" s="5" t="e">
        <f>VLOOKUP(B412,'Türkkep Jira'!B:F,5,0)</f>
        <v>#N/A</v>
      </c>
      <c r="G412" t="str">
        <f>IF(IFERROR(VLOOKUP(B412,'Devam Eden Sprint'!B:B,1,0),"-")=B412,"Devam Eden Sprint","-")</f>
        <v>-</v>
      </c>
      <c r="H412" t="str">
        <f>IF(IFERROR(VLOOKUP(B412,'Gelecek Sprint'!B:B,1,0),"-")=B412,"Gelecek Sprint","-")</f>
        <v>-</v>
      </c>
      <c r="I412" t="str">
        <f t="shared" si="12"/>
        <v>Ürün İş Listesi</v>
      </c>
    </row>
    <row r="413" spans="1:10" x14ac:dyDescent="0.25">
      <c r="A413" t="s">
        <v>14</v>
      </c>
      <c r="B413" t="s">
        <v>869</v>
      </c>
      <c r="C413" t="s">
        <v>10</v>
      </c>
      <c r="D413" t="s">
        <v>870</v>
      </c>
      <c r="E413" s="5" t="s">
        <v>41</v>
      </c>
      <c r="F413" s="5" t="e">
        <f>VLOOKUP(B413,'Türkkep Jira'!B:F,5,0)</f>
        <v>#N/A</v>
      </c>
      <c r="G413" t="str">
        <f>IF(IFERROR(VLOOKUP(B413,'Devam Eden Sprint'!B:B,1,0),"-")=B413,"Devam Eden Sprint","-")</f>
        <v>-</v>
      </c>
      <c r="H413" t="str">
        <f>IF(IFERROR(VLOOKUP(B413,'Gelecek Sprint'!B:B,1,0),"-")=B413,"Gelecek Sprint","-")</f>
        <v>-</v>
      </c>
      <c r="I413" t="str">
        <f t="shared" si="12"/>
        <v>Ürün İş Listesi</v>
      </c>
    </row>
    <row r="414" spans="1:10" x14ac:dyDescent="0.25">
      <c r="A414" t="s">
        <v>14</v>
      </c>
      <c r="B414" t="s">
        <v>871</v>
      </c>
      <c r="C414" t="s">
        <v>10</v>
      </c>
      <c r="D414" t="s">
        <v>872</v>
      </c>
      <c r="E414" s="5" t="s">
        <v>41</v>
      </c>
      <c r="F414" s="5" t="e">
        <f>VLOOKUP(B414,'Türkkep Jira'!B:F,5,0)</f>
        <v>#N/A</v>
      </c>
      <c r="G414" t="str">
        <f>IF(IFERROR(VLOOKUP(B414,'Devam Eden Sprint'!B:B,1,0),"-")=B414,"Devam Eden Sprint","-")</f>
        <v>-</v>
      </c>
      <c r="H414" t="str">
        <f>IF(IFERROR(VLOOKUP(B414,'Gelecek Sprint'!B:B,1,0),"-")=B414,"Gelecek Sprint","-")</f>
        <v>-</v>
      </c>
      <c r="I414" t="str">
        <f t="shared" si="12"/>
        <v>Ürün İş Listesi</v>
      </c>
    </row>
    <row r="415" spans="1:10" x14ac:dyDescent="0.25">
      <c r="A415" t="s">
        <v>14</v>
      </c>
      <c r="B415" t="s">
        <v>873</v>
      </c>
      <c r="C415" t="s">
        <v>10</v>
      </c>
      <c r="D415" t="s">
        <v>874</v>
      </c>
      <c r="E415" s="5" t="s">
        <v>41</v>
      </c>
      <c r="F415" s="5" t="e">
        <f>VLOOKUP(B415,'Türkkep Jira'!B:F,5,0)</f>
        <v>#N/A</v>
      </c>
      <c r="G415" t="str">
        <f>IF(IFERROR(VLOOKUP(B415,'Devam Eden Sprint'!B:B,1,0),"-")=B415,"Devam Eden Sprint","-")</f>
        <v>-</v>
      </c>
      <c r="H415" t="str">
        <f>IF(IFERROR(VLOOKUP(B415,'Gelecek Sprint'!B:B,1,0),"-")=B415,"Gelecek Sprint","-")</f>
        <v>-</v>
      </c>
      <c r="I415" t="str">
        <f t="shared" si="12"/>
        <v>Ürün İş Listesi</v>
      </c>
    </row>
    <row r="416" spans="1:10" x14ac:dyDescent="0.25">
      <c r="A416" t="s">
        <v>14</v>
      </c>
      <c r="B416" t="s">
        <v>875</v>
      </c>
      <c r="C416" t="s">
        <v>10</v>
      </c>
      <c r="D416" t="s">
        <v>876</v>
      </c>
      <c r="E416" s="5" t="s">
        <v>41</v>
      </c>
      <c r="F416" s="5" t="e">
        <f>VLOOKUP(B416,'Türkkep Jira'!B:F,5,0)</f>
        <v>#N/A</v>
      </c>
      <c r="G416" t="str">
        <f>IF(IFERROR(VLOOKUP(B416,'Devam Eden Sprint'!B:B,1,0),"-")=B416,"Devam Eden Sprint","-")</f>
        <v>-</v>
      </c>
      <c r="H416" t="str">
        <f>IF(IFERROR(VLOOKUP(B416,'Gelecek Sprint'!B:B,1,0),"-")=B416,"Gelecek Sprint","-")</f>
        <v>-</v>
      </c>
      <c r="I416" t="str">
        <f t="shared" si="12"/>
        <v>Ürün İş Listesi</v>
      </c>
    </row>
    <row r="417" spans="1:10" x14ac:dyDescent="0.25">
      <c r="A417" t="s">
        <v>14</v>
      </c>
      <c r="B417" t="s">
        <v>877</v>
      </c>
      <c r="C417" t="s">
        <v>10</v>
      </c>
      <c r="D417" t="s">
        <v>878</v>
      </c>
      <c r="E417" s="5" t="s">
        <v>41</v>
      </c>
      <c r="F417" s="5" t="e">
        <f>VLOOKUP(B417,'Türkkep Jira'!B:F,5,0)</f>
        <v>#N/A</v>
      </c>
      <c r="G417" t="str">
        <f>IF(IFERROR(VLOOKUP(B417,'Devam Eden Sprint'!B:B,1,0),"-")=B417,"Devam Eden Sprint","-")</f>
        <v>-</v>
      </c>
      <c r="H417" t="str">
        <f>IF(IFERROR(VLOOKUP(B417,'Gelecek Sprint'!B:B,1,0),"-")=B417,"Gelecek Sprint","-")</f>
        <v>-</v>
      </c>
      <c r="I417" t="str">
        <f t="shared" si="12"/>
        <v>Ürün İş Listesi</v>
      </c>
    </row>
    <row r="418" spans="1:10" x14ac:dyDescent="0.25">
      <c r="A418" t="s">
        <v>14</v>
      </c>
      <c r="B418" t="s">
        <v>879</v>
      </c>
      <c r="C418" t="s">
        <v>10</v>
      </c>
      <c r="D418" t="s">
        <v>880</v>
      </c>
      <c r="E418" s="5" t="s">
        <v>41</v>
      </c>
      <c r="F418" s="5" t="e">
        <f>VLOOKUP(B418,'Türkkep Jira'!B:F,5,0)</f>
        <v>#N/A</v>
      </c>
      <c r="G418" t="str">
        <f>IF(IFERROR(VLOOKUP(B418,'Devam Eden Sprint'!B:B,1,0),"-")=B418,"Devam Eden Sprint","-")</f>
        <v>-</v>
      </c>
      <c r="H418" t="str">
        <f>IF(IFERROR(VLOOKUP(B418,'Gelecek Sprint'!B:B,1,0),"-")=B418,"Gelecek Sprint","-")</f>
        <v>-</v>
      </c>
      <c r="I418" t="str">
        <f t="shared" si="12"/>
        <v>Ürün İş Listesi</v>
      </c>
    </row>
    <row r="419" spans="1:10" x14ac:dyDescent="0.25">
      <c r="A419" t="s">
        <v>14</v>
      </c>
      <c r="B419" t="s">
        <v>881</v>
      </c>
      <c r="C419" t="s">
        <v>10</v>
      </c>
      <c r="D419" t="s">
        <v>882</v>
      </c>
      <c r="E419" s="5" t="s">
        <v>41</v>
      </c>
      <c r="F419" s="5" t="e">
        <f>VLOOKUP(B419,'Türkkep Jira'!B:F,5,0)</f>
        <v>#N/A</v>
      </c>
      <c r="G419" t="str">
        <f>IF(IFERROR(VLOOKUP(B419,'Devam Eden Sprint'!B:B,1,0),"-")=B419,"Devam Eden Sprint","-")</f>
        <v>-</v>
      </c>
      <c r="H419" t="str">
        <f>IF(IFERROR(VLOOKUP(B419,'Gelecek Sprint'!B:B,1,0),"-")=B419,"Gelecek Sprint","-")</f>
        <v>-</v>
      </c>
      <c r="I419" t="str">
        <f t="shared" si="12"/>
        <v>Ürün İş Listesi</v>
      </c>
    </row>
    <row r="420" spans="1:10" x14ac:dyDescent="0.25">
      <c r="A420" t="s">
        <v>14</v>
      </c>
      <c r="B420" t="s">
        <v>883</v>
      </c>
      <c r="C420" t="s">
        <v>10</v>
      </c>
      <c r="D420" t="s">
        <v>884</v>
      </c>
      <c r="E420" s="5" t="s">
        <v>41</v>
      </c>
      <c r="F420" s="5" t="e">
        <f>VLOOKUP(B420,'Türkkep Jira'!B:F,5,0)</f>
        <v>#N/A</v>
      </c>
      <c r="G420" t="str">
        <f>IF(IFERROR(VLOOKUP(B420,'Devam Eden Sprint'!B:B,1,0),"-")=B420,"Devam Eden Sprint","-")</f>
        <v>-</v>
      </c>
      <c r="H420" t="str">
        <f>IF(IFERROR(VLOOKUP(B420,'Gelecek Sprint'!B:B,1,0),"-")=B420,"Gelecek Sprint","-")</f>
        <v>-</v>
      </c>
      <c r="I420" t="str">
        <f t="shared" si="12"/>
        <v>Ürün İş Listesi</v>
      </c>
    </row>
    <row r="421" spans="1:10" x14ac:dyDescent="0.25">
      <c r="A421" t="s">
        <v>14</v>
      </c>
      <c r="B421" t="s">
        <v>885</v>
      </c>
      <c r="C421" t="s">
        <v>16</v>
      </c>
      <c r="D421" t="s">
        <v>886</v>
      </c>
      <c r="E421" s="5" t="s">
        <v>41</v>
      </c>
      <c r="F421" s="5" t="e">
        <f>VLOOKUP(B421,'Türkkep Jira'!B:F,5,0)</f>
        <v>#N/A</v>
      </c>
      <c r="G421" t="str">
        <f>IF(IFERROR(VLOOKUP(B421,'Devam Eden Sprint'!B:B,1,0),"-")=B421,"Devam Eden Sprint","-")</f>
        <v>-</v>
      </c>
      <c r="H421" t="str">
        <f>IF(IFERROR(VLOOKUP(B421,'Gelecek Sprint'!B:B,1,0),"-")=B421,"Gelecek Sprint","-")</f>
        <v>-</v>
      </c>
      <c r="I421" t="str">
        <f t="shared" si="12"/>
        <v>Ürün İş Listesi</v>
      </c>
      <c r="J421" s="5">
        <v>1</v>
      </c>
    </row>
    <row r="422" spans="1:10" x14ac:dyDescent="0.25">
      <c r="A422" t="s">
        <v>14</v>
      </c>
      <c r="B422" t="s">
        <v>887</v>
      </c>
      <c r="C422" t="s">
        <v>16</v>
      </c>
      <c r="D422" t="s">
        <v>888</v>
      </c>
      <c r="E422" s="5" t="s">
        <v>41</v>
      </c>
      <c r="F422" s="5" t="e">
        <f>VLOOKUP(B422,'Türkkep Jira'!B:F,5,0)</f>
        <v>#N/A</v>
      </c>
      <c r="G422" t="str">
        <f>IF(IFERROR(VLOOKUP(B422,'Devam Eden Sprint'!B:B,1,0),"-")=B422,"Devam Eden Sprint","-")</f>
        <v>-</v>
      </c>
      <c r="H422" t="str">
        <f>IF(IFERROR(VLOOKUP(B422,'Gelecek Sprint'!B:B,1,0),"-")=B422,"Gelecek Sprint","-")</f>
        <v>-</v>
      </c>
      <c r="I422" t="str">
        <f t="shared" si="12"/>
        <v>Ürün İş Listesi</v>
      </c>
      <c r="J422" s="5">
        <v>1</v>
      </c>
    </row>
    <row r="423" spans="1:10" x14ac:dyDescent="0.25">
      <c r="A423" t="s">
        <v>14</v>
      </c>
      <c r="B423" t="s">
        <v>889</v>
      </c>
      <c r="C423" t="s">
        <v>16</v>
      </c>
      <c r="D423" t="s">
        <v>890</v>
      </c>
      <c r="E423" s="5" t="s">
        <v>41</v>
      </c>
      <c r="F423" s="5" t="e">
        <f>VLOOKUP(B423,'Türkkep Jira'!B:F,5,0)</f>
        <v>#N/A</v>
      </c>
      <c r="G423" t="str">
        <f>IF(IFERROR(VLOOKUP(B423,'Devam Eden Sprint'!B:B,1,0),"-")=B423,"Devam Eden Sprint","-")</f>
        <v>-</v>
      </c>
      <c r="H423" t="str">
        <f>IF(IFERROR(VLOOKUP(B423,'Gelecek Sprint'!B:B,1,0),"-")=B423,"Gelecek Sprint","-")</f>
        <v>-</v>
      </c>
      <c r="I423" t="str">
        <f t="shared" si="12"/>
        <v>Ürün İş Listesi</v>
      </c>
      <c r="J423" s="5">
        <v>1</v>
      </c>
    </row>
    <row r="424" spans="1:10" x14ac:dyDescent="0.25">
      <c r="A424" t="s">
        <v>14</v>
      </c>
      <c r="B424" t="s">
        <v>891</v>
      </c>
      <c r="C424" t="s">
        <v>16</v>
      </c>
      <c r="D424" t="s">
        <v>892</v>
      </c>
      <c r="E424" s="5" t="s">
        <v>41</v>
      </c>
      <c r="F424" s="5" t="e">
        <f>VLOOKUP(B424,'Türkkep Jira'!B:F,5,0)</f>
        <v>#N/A</v>
      </c>
      <c r="G424" t="str">
        <f>IF(IFERROR(VLOOKUP(B424,'Devam Eden Sprint'!B:B,1,0),"-")=B424,"Devam Eden Sprint","-")</f>
        <v>-</v>
      </c>
      <c r="H424" t="str">
        <f>IF(IFERROR(VLOOKUP(B424,'Gelecek Sprint'!B:B,1,0),"-")=B424,"Gelecek Sprint","-")</f>
        <v>-</v>
      </c>
      <c r="I424" t="str">
        <f t="shared" si="12"/>
        <v>Ürün İş Listesi</v>
      </c>
      <c r="J424" s="5">
        <v>1</v>
      </c>
    </row>
    <row r="425" spans="1:10" x14ac:dyDescent="0.25">
      <c r="A425" t="s">
        <v>14</v>
      </c>
      <c r="B425" t="s">
        <v>893</v>
      </c>
      <c r="C425" t="s">
        <v>192</v>
      </c>
      <c r="D425" t="s">
        <v>767</v>
      </c>
      <c r="E425" s="5" t="s">
        <v>38</v>
      </c>
      <c r="F425" s="5" t="e">
        <f>VLOOKUP(B425,'Türkkep Jira'!B:F,5,0)</f>
        <v>#N/A</v>
      </c>
      <c r="G425" t="str">
        <f>IF(IFERROR(VLOOKUP(B425,'Devam Eden Sprint'!B:B,1,0),"-")=B425,"Devam Eden Sprint","-")</f>
        <v>-</v>
      </c>
      <c r="H425" t="str">
        <f>IF(IFERROR(VLOOKUP(B425,'Gelecek Sprint'!B:B,1,0),"-")=B425,"Gelecek Sprint","-")</f>
        <v>-</v>
      </c>
      <c r="I425" t="str">
        <f t="shared" si="12"/>
        <v>Ürün İş Listesi</v>
      </c>
    </row>
    <row r="426" spans="1:10" x14ac:dyDescent="0.25">
      <c r="A426" t="s">
        <v>14</v>
      </c>
      <c r="B426" t="s">
        <v>894</v>
      </c>
      <c r="C426" t="s">
        <v>10</v>
      </c>
      <c r="D426" t="s">
        <v>895</v>
      </c>
      <c r="E426" s="5" t="s">
        <v>53</v>
      </c>
      <c r="F426" s="5" t="e">
        <f>VLOOKUP(B426,'Türkkep Jira'!B:F,5,0)</f>
        <v>#N/A</v>
      </c>
      <c r="G426" t="str">
        <f>IF(IFERROR(VLOOKUP(B426,'Devam Eden Sprint'!B:B,1,0),"-")=B426,"Devam Eden Sprint","-")</f>
        <v>-</v>
      </c>
      <c r="H426" t="str">
        <f>IF(IFERROR(VLOOKUP(B426,'Gelecek Sprint'!B:B,1,0),"-")=B426,"Gelecek Sprint","-")</f>
        <v>-</v>
      </c>
      <c r="I426" t="str">
        <f t="shared" si="12"/>
        <v>Ürün İş Listesi</v>
      </c>
    </row>
    <row r="427" spans="1:10" x14ac:dyDescent="0.25">
      <c r="A427" t="s">
        <v>14</v>
      </c>
      <c r="B427" t="s">
        <v>896</v>
      </c>
      <c r="C427" t="s">
        <v>16</v>
      </c>
      <c r="D427" t="s">
        <v>897</v>
      </c>
      <c r="E427" s="5" t="s">
        <v>53</v>
      </c>
      <c r="F427" s="5" t="e">
        <f>VLOOKUP(B427,'Türkkep Jira'!B:F,5,0)</f>
        <v>#N/A</v>
      </c>
      <c r="G427" t="str">
        <f>IF(IFERROR(VLOOKUP(B427,'Devam Eden Sprint'!B:B,1,0),"-")=B427,"Devam Eden Sprint","-")</f>
        <v>-</v>
      </c>
      <c r="H427" t="str">
        <f>IF(IFERROR(VLOOKUP(B427,'Gelecek Sprint'!B:B,1,0),"-")=B427,"Gelecek Sprint","-")</f>
        <v>-</v>
      </c>
      <c r="I427" t="str">
        <f t="shared" si="12"/>
        <v>Ürün İş Listesi</v>
      </c>
      <c r="J427" s="5">
        <v>1</v>
      </c>
    </row>
    <row r="428" spans="1:10" x14ac:dyDescent="0.25">
      <c r="A428" t="s">
        <v>77</v>
      </c>
      <c r="B428" t="s">
        <v>898</v>
      </c>
      <c r="C428" t="s">
        <v>16</v>
      </c>
      <c r="D428" t="s">
        <v>899</v>
      </c>
      <c r="E428" s="5" t="s">
        <v>53</v>
      </c>
      <c r="F428" s="5" t="e">
        <f>VLOOKUP(B428,'Türkkep Jira'!B:F,5,0)</f>
        <v>#N/A</v>
      </c>
      <c r="G428" t="str">
        <f>IF(IFERROR(VLOOKUP(B428,'Devam Eden Sprint'!B:B,1,0),"-")=B428,"Devam Eden Sprint","-")</f>
        <v>-</v>
      </c>
      <c r="H428" t="str">
        <f>IF(IFERROR(VLOOKUP(B428,'Gelecek Sprint'!B:B,1,0),"-")=B428,"Gelecek Sprint","-")</f>
        <v>-</v>
      </c>
      <c r="I428" t="str">
        <f t="shared" si="12"/>
        <v>Ürün İş Listesi</v>
      </c>
    </row>
    <row r="429" spans="1:10" x14ac:dyDescent="0.25">
      <c r="A429" t="s">
        <v>14</v>
      </c>
      <c r="B429" t="s">
        <v>900</v>
      </c>
      <c r="C429" t="s">
        <v>16</v>
      </c>
      <c r="D429" t="s">
        <v>901</v>
      </c>
      <c r="E429" s="5" t="s">
        <v>53</v>
      </c>
      <c r="F429" s="5" t="e">
        <f>VLOOKUP(B429,'Türkkep Jira'!B:F,5,0)</f>
        <v>#N/A</v>
      </c>
      <c r="G429" t="str">
        <f>IF(IFERROR(VLOOKUP(B429,'Devam Eden Sprint'!B:B,1,0),"-")=B429,"Devam Eden Sprint","-")</f>
        <v>-</v>
      </c>
      <c r="H429" t="str">
        <f>IF(IFERROR(VLOOKUP(B429,'Gelecek Sprint'!B:B,1,0),"-")=B429,"Gelecek Sprint","-")</f>
        <v>-</v>
      </c>
      <c r="I429" t="str">
        <f t="shared" si="12"/>
        <v>Ürün İş Listesi</v>
      </c>
    </row>
    <row r="430" spans="1:10" x14ac:dyDescent="0.25">
      <c r="A430" t="s">
        <v>77</v>
      </c>
      <c r="B430" t="s">
        <v>902</v>
      </c>
      <c r="C430" t="s">
        <v>16</v>
      </c>
      <c r="D430" t="s">
        <v>903</v>
      </c>
      <c r="E430" s="5" t="s">
        <v>53</v>
      </c>
      <c r="F430" s="5" t="e">
        <f>VLOOKUP(B430,'Türkkep Jira'!B:F,5,0)</f>
        <v>#N/A</v>
      </c>
      <c r="G430" t="str">
        <f>IF(IFERROR(VLOOKUP(B430,'Devam Eden Sprint'!B:B,1,0),"-")=B430,"Devam Eden Sprint","-")</f>
        <v>-</v>
      </c>
      <c r="H430" t="str">
        <f>IF(IFERROR(VLOOKUP(B430,'Gelecek Sprint'!B:B,1,0),"-")=B430,"Gelecek Sprint","-")</f>
        <v>-</v>
      </c>
      <c r="I430" t="str">
        <f t="shared" si="12"/>
        <v>Ürün İş Listesi</v>
      </c>
    </row>
    <row r="431" spans="1:10" x14ac:dyDescent="0.25">
      <c r="A431" t="s">
        <v>14</v>
      </c>
      <c r="B431" t="s">
        <v>904</v>
      </c>
      <c r="C431" t="s">
        <v>16</v>
      </c>
      <c r="D431" t="s">
        <v>905</v>
      </c>
      <c r="E431" s="5" t="s">
        <v>53</v>
      </c>
      <c r="F431" s="5" t="e">
        <f>VLOOKUP(B431,'Türkkep Jira'!B:F,5,0)</f>
        <v>#N/A</v>
      </c>
      <c r="G431" t="str">
        <f>IF(IFERROR(VLOOKUP(B431,'Devam Eden Sprint'!B:B,1,0),"-")=B431,"Devam Eden Sprint","-")</f>
        <v>-</v>
      </c>
      <c r="H431" t="str">
        <f>IF(IFERROR(VLOOKUP(B431,'Gelecek Sprint'!B:B,1,0),"-")=B431,"Gelecek Sprint","-")</f>
        <v>-</v>
      </c>
      <c r="I431" t="str">
        <f t="shared" si="12"/>
        <v>Ürün İş Listesi</v>
      </c>
    </row>
    <row r="432" spans="1:10" x14ac:dyDescent="0.25">
      <c r="A432" t="s">
        <v>14</v>
      </c>
      <c r="B432" t="s">
        <v>906</v>
      </c>
      <c r="C432" t="s">
        <v>16</v>
      </c>
      <c r="D432" t="s">
        <v>907</v>
      </c>
      <c r="E432" s="5" t="s">
        <v>53</v>
      </c>
      <c r="F432" s="5" t="e">
        <f>VLOOKUP(B432,'Türkkep Jira'!B:F,5,0)</f>
        <v>#N/A</v>
      </c>
      <c r="G432" t="str">
        <f>IF(IFERROR(VLOOKUP(B432,'Devam Eden Sprint'!B:B,1,0),"-")=B432,"Devam Eden Sprint","-")</f>
        <v>-</v>
      </c>
      <c r="H432" t="str">
        <f>IF(IFERROR(VLOOKUP(B432,'Gelecek Sprint'!B:B,1,0),"-")=B432,"Gelecek Sprint","-")</f>
        <v>-</v>
      </c>
      <c r="I432" t="str">
        <f t="shared" si="12"/>
        <v>Ürün İş Listesi</v>
      </c>
    </row>
    <row r="433" spans="1:10" x14ac:dyDescent="0.25">
      <c r="A433" t="s">
        <v>14</v>
      </c>
      <c r="B433" t="s">
        <v>908</v>
      </c>
      <c r="C433" t="s">
        <v>16</v>
      </c>
      <c r="D433" t="s">
        <v>909</v>
      </c>
      <c r="E433" s="5" t="s">
        <v>53</v>
      </c>
      <c r="F433" s="5" t="e">
        <f>VLOOKUP(B433,'Türkkep Jira'!B:F,5,0)</f>
        <v>#N/A</v>
      </c>
      <c r="G433" t="str">
        <f>IF(IFERROR(VLOOKUP(B433,'Devam Eden Sprint'!B:B,1,0),"-")=B433,"Devam Eden Sprint","-")</f>
        <v>-</v>
      </c>
      <c r="H433" t="str">
        <f>IF(IFERROR(VLOOKUP(B433,'Gelecek Sprint'!B:B,1,0),"-")=B433,"Gelecek Sprint","-")</f>
        <v>-</v>
      </c>
      <c r="I433" t="str">
        <f t="shared" si="12"/>
        <v>Ürün İş Listesi</v>
      </c>
    </row>
    <row r="434" spans="1:10" x14ac:dyDescent="0.25">
      <c r="A434" t="s">
        <v>14</v>
      </c>
      <c r="B434" t="s">
        <v>910</v>
      </c>
      <c r="C434" t="s">
        <v>16</v>
      </c>
      <c r="D434" t="s">
        <v>911</v>
      </c>
      <c r="E434" s="5" t="s">
        <v>127</v>
      </c>
      <c r="F434" s="5" t="e">
        <f>VLOOKUP(B434,'Türkkep Jira'!B:F,5,0)</f>
        <v>#N/A</v>
      </c>
      <c r="G434" t="str">
        <f>IF(IFERROR(VLOOKUP(B434,'Devam Eden Sprint'!B:B,1,0),"-")=B434,"Devam Eden Sprint","-")</f>
        <v>-</v>
      </c>
      <c r="H434" t="str">
        <f>IF(IFERROR(VLOOKUP(B434,'Gelecek Sprint'!B:B,1,0),"-")=B434,"Gelecek Sprint","-")</f>
        <v>-</v>
      </c>
      <c r="I434" t="str">
        <f t="shared" si="12"/>
        <v>Ürün İş Listesi</v>
      </c>
      <c r="J434" s="5">
        <v>5</v>
      </c>
    </row>
    <row r="435" spans="1:10" x14ac:dyDescent="0.25">
      <c r="A435" t="s">
        <v>14</v>
      </c>
      <c r="B435" t="s">
        <v>912</v>
      </c>
      <c r="C435" t="s">
        <v>16</v>
      </c>
      <c r="D435" t="s">
        <v>913</v>
      </c>
      <c r="E435" s="5" t="s">
        <v>127</v>
      </c>
      <c r="F435" s="5" t="e">
        <f>VLOOKUP(B435,'Türkkep Jira'!B:F,5,0)</f>
        <v>#N/A</v>
      </c>
      <c r="G435" t="str">
        <f>IF(IFERROR(VLOOKUP(B435,'Devam Eden Sprint'!B:B,1,0),"-")=B435,"Devam Eden Sprint","-")</f>
        <v>-</v>
      </c>
      <c r="H435" t="str">
        <f>IF(IFERROR(VLOOKUP(B435,'Gelecek Sprint'!B:B,1,0),"-")=B435,"Gelecek Sprint","-")</f>
        <v>-</v>
      </c>
      <c r="I435" t="str">
        <f t="shared" si="12"/>
        <v>Ürün İş Listesi</v>
      </c>
    </row>
    <row r="436" spans="1:10" x14ac:dyDescent="0.25">
      <c r="A436" t="s">
        <v>14</v>
      </c>
      <c r="B436" t="s">
        <v>914</v>
      </c>
      <c r="C436" t="s">
        <v>16</v>
      </c>
      <c r="D436" t="s">
        <v>915</v>
      </c>
      <c r="E436" s="5" t="s">
        <v>127</v>
      </c>
      <c r="F436" s="5" t="e">
        <f>VLOOKUP(B436,'Türkkep Jira'!B:F,5,0)</f>
        <v>#N/A</v>
      </c>
      <c r="G436" t="str">
        <f>IF(IFERROR(VLOOKUP(B436,'Devam Eden Sprint'!B:B,1,0),"-")=B436,"Devam Eden Sprint","-")</f>
        <v>-</v>
      </c>
      <c r="H436" t="str">
        <f>IF(IFERROR(VLOOKUP(B436,'Gelecek Sprint'!B:B,1,0),"-")=B436,"Gelecek Sprint","-")</f>
        <v>-</v>
      </c>
      <c r="I436" t="str">
        <f t="shared" si="12"/>
        <v>Ürün İş Listesi</v>
      </c>
    </row>
    <row r="437" spans="1:10" x14ac:dyDescent="0.25">
      <c r="A437" t="s">
        <v>14</v>
      </c>
      <c r="B437" t="s">
        <v>916</v>
      </c>
      <c r="C437" t="s">
        <v>16</v>
      </c>
      <c r="D437" t="s">
        <v>917</v>
      </c>
      <c r="E437" s="5" t="s">
        <v>127</v>
      </c>
      <c r="F437" s="5" t="e">
        <f>VLOOKUP(B437,'Türkkep Jira'!B:F,5,0)</f>
        <v>#N/A</v>
      </c>
      <c r="G437" t="str">
        <f>IF(IFERROR(VLOOKUP(B437,'Devam Eden Sprint'!B:B,1,0),"-")=B437,"Devam Eden Sprint","-")</f>
        <v>-</v>
      </c>
      <c r="H437" t="str">
        <f>IF(IFERROR(VLOOKUP(B437,'Gelecek Sprint'!B:B,1,0),"-")=B437,"Gelecek Sprint","-")</f>
        <v>-</v>
      </c>
      <c r="I437" t="str">
        <f t="shared" si="12"/>
        <v>Ürün İş Listesi</v>
      </c>
    </row>
    <row r="438" spans="1:10" x14ac:dyDescent="0.25">
      <c r="A438" t="s">
        <v>14</v>
      </c>
      <c r="B438" t="s">
        <v>918</v>
      </c>
      <c r="C438" t="s">
        <v>16</v>
      </c>
      <c r="D438" t="s">
        <v>919</v>
      </c>
      <c r="E438" s="5" t="s">
        <v>127</v>
      </c>
      <c r="F438" s="5" t="e">
        <f>VLOOKUP(B438,'Türkkep Jira'!B:F,5,0)</f>
        <v>#N/A</v>
      </c>
      <c r="G438" t="str">
        <f>IF(IFERROR(VLOOKUP(B438,'Devam Eden Sprint'!B:B,1,0),"-")=B438,"Devam Eden Sprint","-")</f>
        <v>-</v>
      </c>
      <c r="H438" t="str">
        <f>IF(IFERROR(VLOOKUP(B438,'Gelecek Sprint'!B:B,1,0),"-")=B438,"Gelecek Sprint","-")</f>
        <v>-</v>
      </c>
      <c r="I438" t="str">
        <f t="shared" si="12"/>
        <v>Ürün İş Listesi</v>
      </c>
    </row>
    <row r="439" spans="1:10" x14ac:dyDescent="0.25">
      <c r="A439" t="s">
        <v>14</v>
      </c>
      <c r="B439" t="s">
        <v>920</v>
      </c>
      <c r="C439" t="s">
        <v>16</v>
      </c>
      <c r="D439" t="s">
        <v>921</v>
      </c>
      <c r="E439" s="5" t="s">
        <v>127</v>
      </c>
      <c r="F439" s="5" t="e">
        <f>VLOOKUP(B439,'Türkkep Jira'!B:F,5,0)</f>
        <v>#N/A</v>
      </c>
      <c r="G439" t="str">
        <f>IF(IFERROR(VLOOKUP(B439,'Devam Eden Sprint'!B:B,1,0),"-")=B439,"Devam Eden Sprint","-")</f>
        <v>-</v>
      </c>
      <c r="H439" t="str">
        <f>IF(IFERROR(VLOOKUP(B439,'Gelecek Sprint'!B:B,1,0),"-")=B439,"Gelecek Sprint","-")</f>
        <v>-</v>
      </c>
      <c r="I439" t="str">
        <f t="shared" si="12"/>
        <v>Ürün İş Listesi</v>
      </c>
    </row>
    <row r="440" spans="1:10" x14ac:dyDescent="0.25">
      <c r="A440" t="s">
        <v>14</v>
      </c>
      <c r="B440" t="s">
        <v>922</v>
      </c>
      <c r="C440" t="s">
        <v>16</v>
      </c>
      <c r="D440" t="s">
        <v>923</v>
      </c>
      <c r="E440" s="5" t="s">
        <v>127</v>
      </c>
      <c r="F440" s="5" t="e">
        <f>VLOOKUP(B440,'Türkkep Jira'!B:F,5,0)</f>
        <v>#N/A</v>
      </c>
      <c r="G440" t="str">
        <f>IF(IFERROR(VLOOKUP(B440,'Devam Eden Sprint'!B:B,1,0),"-")=B440,"Devam Eden Sprint","-")</f>
        <v>-</v>
      </c>
      <c r="H440" t="str">
        <f>IF(IFERROR(VLOOKUP(B440,'Gelecek Sprint'!B:B,1,0),"-")=B440,"Gelecek Sprint","-")</f>
        <v>-</v>
      </c>
      <c r="I440" t="str">
        <f t="shared" si="12"/>
        <v>Ürün İş Listesi</v>
      </c>
    </row>
    <row r="441" spans="1:10" x14ac:dyDescent="0.25">
      <c r="A441" t="s">
        <v>14</v>
      </c>
      <c r="B441" t="s">
        <v>924</v>
      </c>
      <c r="C441" t="s">
        <v>16</v>
      </c>
      <c r="D441" t="s">
        <v>925</v>
      </c>
      <c r="E441" s="5" t="s">
        <v>127</v>
      </c>
      <c r="F441" s="5" t="e">
        <f>VLOOKUP(B441,'Türkkep Jira'!B:F,5,0)</f>
        <v>#N/A</v>
      </c>
      <c r="G441" t="str">
        <f>IF(IFERROR(VLOOKUP(B441,'Devam Eden Sprint'!B:B,1,0),"-")=B441,"Devam Eden Sprint","-")</f>
        <v>-</v>
      </c>
      <c r="H441" t="str">
        <f>IF(IFERROR(VLOOKUP(B441,'Gelecek Sprint'!B:B,1,0),"-")=B441,"Gelecek Sprint","-")</f>
        <v>-</v>
      </c>
      <c r="I441" t="str">
        <f t="shared" si="12"/>
        <v>Ürün İş Listesi</v>
      </c>
    </row>
    <row r="442" spans="1:10" x14ac:dyDescent="0.25">
      <c r="A442" t="s">
        <v>14</v>
      </c>
      <c r="B442" t="s">
        <v>926</v>
      </c>
      <c r="C442" t="s">
        <v>16</v>
      </c>
      <c r="D442" t="s">
        <v>927</v>
      </c>
      <c r="E442" s="5" t="s">
        <v>124</v>
      </c>
      <c r="F442" s="5" t="e">
        <f>VLOOKUP(B442,'Türkkep Jira'!B:F,5,0)</f>
        <v>#N/A</v>
      </c>
      <c r="G442" t="str">
        <f>IF(IFERROR(VLOOKUP(B442,'Devam Eden Sprint'!B:B,1,0),"-")=B442,"Devam Eden Sprint","-")</f>
        <v>-</v>
      </c>
      <c r="H442" t="str">
        <f>IF(IFERROR(VLOOKUP(B442,'Gelecek Sprint'!B:B,1,0),"-")=B442,"Gelecek Sprint","-")</f>
        <v>-</v>
      </c>
      <c r="I442" t="str">
        <f t="shared" si="12"/>
        <v>Ürün İş Listesi</v>
      </c>
    </row>
    <row r="443" spans="1:10" x14ac:dyDescent="0.25">
      <c r="A443" t="s">
        <v>14</v>
      </c>
      <c r="B443" t="s">
        <v>928</v>
      </c>
      <c r="C443" t="s">
        <v>16</v>
      </c>
      <c r="D443" t="s">
        <v>929</v>
      </c>
      <c r="E443" s="5" t="s">
        <v>124</v>
      </c>
      <c r="F443" s="5" t="e">
        <f>VLOOKUP(B443,'Türkkep Jira'!B:F,5,0)</f>
        <v>#N/A</v>
      </c>
      <c r="G443" t="str">
        <f>IF(IFERROR(VLOOKUP(B443,'Devam Eden Sprint'!B:B,1,0),"-")=B443,"Devam Eden Sprint","-")</f>
        <v>-</v>
      </c>
      <c r="H443" t="str">
        <f>IF(IFERROR(VLOOKUP(B443,'Gelecek Sprint'!B:B,1,0),"-")=B443,"Gelecek Sprint","-")</f>
        <v>-</v>
      </c>
      <c r="I443" t="str">
        <f t="shared" si="12"/>
        <v>Ürün İş Listesi</v>
      </c>
    </row>
    <row r="444" spans="1:10" x14ac:dyDescent="0.25">
      <c r="A444" t="s">
        <v>14</v>
      </c>
      <c r="B444" t="s">
        <v>930</v>
      </c>
      <c r="C444" t="s">
        <v>16</v>
      </c>
      <c r="D444" t="s">
        <v>931</v>
      </c>
      <c r="E444" s="5" t="s">
        <v>124</v>
      </c>
      <c r="F444" s="5" t="e">
        <f>VLOOKUP(B444,'Türkkep Jira'!B:F,5,0)</f>
        <v>#N/A</v>
      </c>
      <c r="G444" t="str">
        <f>IF(IFERROR(VLOOKUP(B444,'Devam Eden Sprint'!B:B,1,0),"-")=B444,"Devam Eden Sprint","-")</f>
        <v>-</v>
      </c>
      <c r="H444" t="str">
        <f>IF(IFERROR(VLOOKUP(B444,'Gelecek Sprint'!B:B,1,0),"-")=B444,"Gelecek Sprint","-")</f>
        <v>-</v>
      </c>
      <c r="I444" t="str">
        <f t="shared" si="12"/>
        <v>Ürün İş Listesi</v>
      </c>
    </row>
    <row r="445" spans="1:10" x14ac:dyDescent="0.25">
      <c r="A445" t="s">
        <v>14</v>
      </c>
      <c r="B445" t="s">
        <v>932</v>
      </c>
      <c r="C445" t="s">
        <v>16</v>
      </c>
      <c r="D445" t="s">
        <v>933</v>
      </c>
      <c r="E445" s="5" t="s">
        <v>124</v>
      </c>
      <c r="F445" s="5" t="e">
        <f>VLOOKUP(B445,'Türkkep Jira'!B:F,5,0)</f>
        <v>#N/A</v>
      </c>
      <c r="G445" t="str">
        <f>IF(IFERROR(VLOOKUP(B445,'Devam Eden Sprint'!B:B,1,0),"-")=B445,"Devam Eden Sprint","-")</f>
        <v>-</v>
      </c>
      <c r="H445" t="str">
        <f>IF(IFERROR(VLOOKUP(B445,'Gelecek Sprint'!B:B,1,0),"-")=B445,"Gelecek Sprint","-")</f>
        <v>-</v>
      </c>
      <c r="I445" t="str">
        <f t="shared" si="12"/>
        <v>Ürün İş Listesi</v>
      </c>
    </row>
    <row r="446" spans="1:10" x14ac:dyDescent="0.25">
      <c r="A446" t="s">
        <v>14</v>
      </c>
      <c r="B446" t="s">
        <v>934</v>
      </c>
      <c r="C446" t="s">
        <v>16</v>
      </c>
      <c r="D446" t="s">
        <v>935</v>
      </c>
      <c r="E446" s="5" t="s">
        <v>124</v>
      </c>
      <c r="F446" s="5" t="e">
        <f>VLOOKUP(B446,'Türkkep Jira'!B:F,5,0)</f>
        <v>#N/A</v>
      </c>
      <c r="G446" t="str">
        <f>IF(IFERROR(VLOOKUP(B446,'Devam Eden Sprint'!B:B,1,0),"-")=B446,"Devam Eden Sprint","-")</f>
        <v>-</v>
      </c>
      <c r="H446" t="str">
        <f>IF(IFERROR(VLOOKUP(B446,'Gelecek Sprint'!B:B,1,0),"-")=B446,"Gelecek Sprint","-")</f>
        <v>-</v>
      </c>
      <c r="I446" t="str">
        <f t="shared" ref="I446:I486" si="13">IFERROR(IF(AND(G446="Devam Eden Sprint",H446="Gelecek Sprint"),"Devam Eden ve Gelecek Sprint",IF(G446="Devam Eden Sprint","Devam Eden Sprint",IF(H446="Gelecek Sprint","Gelecek Sprint","Ürün İş Listesi"))),"Ürün İş Listesi")</f>
        <v>Ürün İş Listesi</v>
      </c>
    </row>
    <row r="447" spans="1:10" x14ac:dyDescent="0.25">
      <c r="A447" t="s">
        <v>14</v>
      </c>
      <c r="B447" t="s">
        <v>936</v>
      </c>
      <c r="C447" t="s">
        <v>16</v>
      </c>
      <c r="D447" t="s">
        <v>937</v>
      </c>
      <c r="E447" s="5" t="s">
        <v>124</v>
      </c>
      <c r="F447" s="5" t="e">
        <f>VLOOKUP(B447,'Türkkep Jira'!B:F,5,0)</f>
        <v>#N/A</v>
      </c>
      <c r="G447" t="str">
        <f>IF(IFERROR(VLOOKUP(B447,'Devam Eden Sprint'!B:B,1,0),"-")=B447,"Devam Eden Sprint","-")</f>
        <v>-</v>
      </c>
      <c r="H447" t="str">
        <f>IF(IFERROR(VLOOKUP(B447,'Gelecek Sprint'!B:B,1,0),"-")=B447,"Gelecek Sprint","-")</f>
        <v>-</v>
      </c>
      <c r="I447" t="str">
        <f t="shared" si="13"/>
        <v>Ürün İş Listesi</v>
      </c>
    </row>
    <row r="448" spans="1:10" x14ac:dyDescent="0.25">
      <c r="A448" t="s">
        <v>14</v>
      </c>
      <c r="B448" t="s">
        <v>938</v>
      </c>
      <c r="C448" t="s">
        <v>16</v>
      </c>
      <c r="D448" t="s">
        <v>939</v>
      </c>
      <c r="E448" s="5" t="s">
        <v>124</v>
      </c>
      <c r="F448" s="5" t="e">
        <f>VLOOKUP(B448,'Türkkep Jira'!B:F,5,0)</f>
        <v>#N/A</v>
      </c>
      <c r="G448" t="str">
        <f>IF(IFERROR(VLOOKUP(B448,'Devam Eden Sprint'!B:B,1,0),"-")=B448,"Devam Eden Sprint","-")</f>
        <v>-</v>
      </c>
      <c r="H448" t="str">
        <f>IF(IFERROR(VLOOKUP(B448,'Gelecek Sprint'!B:B,1,0),"-")=B448,"Gelecek Sprint","-")</f>
        <v>-</v>
      </c>
      <c r="I448" t="str">
        <f t="shared" si="13"/>
        <v>Ürün İş Listesi</v>
      </c>
    </row>
    <row r="449" spans="1:10" x14ac:dyDescent="0.25">
      <c r="A449" t="s">
        <v>14</v>
      </c>
      <c r="B449" t="s">
        <v>940</v>
      </c>
      <c r="C449" t="s">
        <v>16</v>
      </c>
      <c r="D449" t="s">
        <v>941</v>
      </c>
      <c r="E449" s="5" t="s">
        <v>124</v>
      </c>
      <c r="F449" s="5" t="e">
        <f>VLOOKUP(B449,'Türkkep Jira'!B:F,5,0)</f>
        <v>#N/A</v>
      </c>
      <c r="G449" t="str">
        <f>IF(IFERROR(VLOOKUP(B449,'Devam Eden Sprint'!B:B,1,0),"-")=B449,"Devam Eden Sprint","-")</f>
        <v>-</v>
      </c>
      <c r="H449" t="str">
        <f>IF(IFERROR(VLOOKUP(B449,'Gelecek Sprint'!B:B,1,0),"-")=B449,"Gelecek Sprint","-")</f>
        <v>-</v>
      </c>
      <c r="I449" t="str">
        <f t="shared" si="13"/>
        <v>Ürün İş Listesi</v>
      </c>
    </row>
    <row r="450" spans="1:10" x14ac:dyDescent="0.25">
      <c r="A450" t="s">
        <v>14</v>
      </c>
      <c r="B450" t="s">
        <v>942</v>
      </c>
      <c r="C450" t="s">
        <v>16</v>
      </c>
      <c r="D450" t="s">
        <v>913</v>
      </c>
      <c r="E450" s="5" t="s">
        <v>542</v>
      </c>
      <c r="F450" s="5" t="e">
        <f>VLOOKUP(B450,'Türkkep Jira'!B:F,5,0)</f>
        <v>#N/A</v>
      </c>
      <c r="G450" t="str">
        <f>IF(IFERROR(VLOOKUP(B450,'Devam Eden Sprint'!B:B,1,0),"-")=B450,"Devam Eden Sprint","-")</f>
        <v>-</v>
      </c>
      <c r="H450" t="str">
        <f>IF(IFERROR(VLOOKUP(B450,'Gelecek Sprint'!B:B,1,0),"-")=B450,"Gelecek Sprint","-")</f>
        <v>-</v>
      </c>
      <c r="I450" t="str">
        <f t="shared" si="13"/>
        <v>Ürün İş Listesi</v>
      </c>
    </row>
    <row r="451" spans="1:10" x14ac:dyDescent="0.25">
      <c r="A451" t="s">
        <v>77</v>
      </c>
      <c r="B451" t="s">
        <v>943</v>
      </c>
      <c r="C451" t="s">
        <v>16</v>
      </c>
      <c r="D451" t="s">
        <v>944</v>
      </c>
      <c r="E451" s="5" t="s">
        <v>56</v>
      </c>
      <c r="F451" s="5" t="e">
        <f>VLOOKUP(B451,'Türkkep Jira'!B:F,5,0)</f>
        <v>#N/A</v>
      </c>
      <c r="G451" t="str">
        <f>IF(IFERROR(VLOOKUP(B451,'Devam Eden Sprint'!B:B,1,0),"-")=B451,"Devam Eden Sprint","-")</f>
        <v>-</v>
      </c>
      <c r="H451" t="str">
        <f>IF(IFERROR(VLOOKUP(B451,'Gelecek Sprint'!B:B,1,0),"-")=B451,"Gelecek Sprint","-")</f>
        <v>-</v>
      </c>
      <c r="I451" t="str">
        <f t="shared" si="13"/>
        <v>Ürün İş Listesi</v>
      </c>
      <c r="J451" s="5">
        <v>3</v>
      </c>
    </row>
    <row r="452" spans="1:10" x14ac:dyDescent="0.25">
      <c r="A452" t="s">
        <v>77</v>
      </c>
      <c r="B452" t="s">
        <v>945</v>
      </c>
      <c r="C452" t="s">
        <v>16</v>
      </c>
      <c r="D452" t="s">
        <v>946</v>
      </c>
      <c r="E452" s="5" t="s">
        <v>56</v>
      </c>
      <c r="F452" s="5" t="e">
        <f>VLOOKUP(B452,'Türkkep Jira'!B:F,5,0)</f>
        <v>#N/A</v>
      </c>
      <c r="G452" t="str">
        <f>IF(IFERROR(VLOOKUP(B452,'Devam Eden Sprint'!B:B,1,0),"-")=B452,"Devam Eden Sprint","-")</f>
        <v>-</v>
      </c>
      <c r="H452" t="str">
        <f>IF(IFERROR(VLOOKUP(B452,'Gelecek Sprint'!B:B,1,0),"-")=B452,"Gelecek Sprint","-")</f>
        <v>-</v>
      </c>
      <c r="I452" t="str">
        <f t="shared" si="13"/>
        <v>Ürün İş Listesi</v>
      </c>
      <c r="J452" s="5">
        <v>3</v>
      </c>
    </row>
    <row r="453" spans="1:10" x14ac:dyDescent="0.25">
      <c r="A453" t="s">
        <v>77</v>
      </c>
      <c r="B453" t="s">
        <v>947</v>
      </c>
      <c r="C453" t="s">
        <v>16</v>
      </c>
      <c r="D453" t="s">
        <v>948</v>
      </c>
      <c r="E453" s="5" t="s">
        <v>56</v>
      </c>
      <c r="F453" s="5" t="e">
        <f>VLOOKUP(B453,'Türkkep Jira'!B:F,5,0)</f>
        <v>#N/A</v>
      </c>
      <c r="G453" t="str">
        <f>IF(IFERROR(VLOOKUP(B453,'Devam Eden Sprint'!B:B,1,0),"-")=B453,"Devam Eden Sprint","-")</f>
        <v>-</v>
      </c>
      <c r="H453" t="str">
        <f>IF(IFERROR(VLOOKUP(B453,'Gelecek Sprint'!B:B,1,0),"-")=B453,"Gelecek Sprint","-")</f>
        <v>-</v>
      </c>
      <c r="I453" t="str">
        <f t="shared" si="13"/>
        <v>Ürün İş Listesi</v>
      </c>
      <c r="J453" s="5">
        <v>3</v>
      </c>
    </row>
    <row r="454" spans="1:10" x14ac:dyDescent="0.25">
      <c r="A454" t="s">
        <v>14</v>
      </c>
      <c r="B454" t="s">
        <v>949</v>
      </c>
      <c r="C454" t="s">
        <v>10</v>
      </c>
      <c r="D454" t="s">
        <v>950</v>
      </c>
      <c r="E454" s="5" t="s">
        <v>47</v>
      </c>
      <c r="F454" s="5" t="e">
        <f>VLOOKUP(B454,'Türkkep Jira'!B:F,5,0)</f>
        <v>#N/A</v>
      </c>
      <c r="G454" t="str">
        <f>IF(IFERROR(VLOOKUP(B454,'Devam Eden Sprint'!B:B,1,0),"-")=B454,"Devam Eden Sprint","-")</f>
        <v>-</v>
      </c>
      <c r="H454" t="str">
        <f>IF(IFERROR(VLOOKUP(B454,'Gelecek Sprint'!B:B,1,0),"-")=B454,"Gelecek Sprint","-")</f>
        <v>-</v>
      </c>
      <c r="I454" t="str">
        <f t="shared" si="13"/>
        <v>Ürün İş Listesi</v>
      </c>
    </row>
    <row r="455" spans="1:10" x14ac:dyDescent="0.25">
      <c r="A455" t="s">
        <v>14</v>
      </c>
      <c r="B455" t="s">
        <v>951</v>
      </c>
      <c r="C455" t="s">
        <v>16</v>
      </c>
      <c r="D455" t="s">
        <v>952</v>
      </c>
      <c r="E455" s="5" t="s">
        <v>47</v>
      </c>
      <c r="F455" s="5" t="e">
        <f>VLOOKUP(B455,'Türkkep Jira'!B:F,5,0)</f>
        <v>#N/A</v>
      </c>
      <c r="G455" t="str">
        <f>IF(IFERROR(VLOOKUP(B455,'Devam Eden Sprint'!B:B,1,0),"-")=B455,"Devam Eden Sprint","-")</f>
        <v>-</v>
      </c>
      <c r="H455" t="str">
        <f>IF(IFERROR(VLOOKUP(B455,'Gelecek Sprint'!B:B,1,0),"-")=B455,"Gelecek Sprint","-")</f>
        <v>-</v>
      </c>
      <c r="I455" t="str">
        <f t="shared" si="13"/>
        <v>Ürün İş Listesi</v>
      </c>
    </row>
    <row r="456" spans="1:10" x14ac:dyDescent="0.25">
      <c r="A456" t="s">
        <v>14</v>
      </c>
      <c r="B456" t="s">
        <v>953</v>
      </c>
      <c r="C456" t="s">
        <v>10</v>
      </c>
      <c r="D456" t="s">
        <v>954</v>
      </c>
      <c r="E456" s="5" t="s">
        <v>47</v>
      </c>
      <c r="F456" s="5" t="e">
        <f>VLOOKUP(B456,'Türkkep Jira'!B:F,5,0)</f>
        <v>#N/A</v>
      </c>
      <c r="G456" t="str">
        <f>IF(IFERROR(VLOOKUP(B456,'Devam Eden Sprint'!B:B,1,0),"-")=B456,"Devam Eden Sprint","-")</f>
        <v>-</v>
      </c>
      <c r="H456" t="str">
        <f>IF(IFERROR(VLOOKUP(B456,'Gelecek Sprint'!B:B,1,0),"-")=B456,"Gelecek Sprint","-")</f>
        <v>-</v>
      </c>
      <c r="I456" t="str">
        <f t="shared" si="13"/>
        <v>Ürün İş Listesi</v>
      </c>
    </row>
    <row r="457" spans="1:10" x14ac:dyDescent="0.25">
      <c r="A457" t="s">
        <v>14</v>
      </c>
      <c r="B457" t="s">
        <v>955</v>
      </c>
      <c r="C457" t="s">
        <v>16</v>
      </c>
      <c r="D457" t="s">
        <v>956</v>
      </c>
      <c r="E457" s="5" t="s">
        <v>47</v>
      </c>
      <c r="F457" s="5" t="e">
        <f>VLOOKUP(B457,'Türkkep Jira'!B:F,5,0)</f>
        <v>#N/A</v>
      </c>
      <c r="G457" t="str">
        <f>IF(IFERROR(VLOOKUP(B457,'Devam Eden Sprint'!B:B,1,0),"-")=B457,"Devam Eden Sprint","-")</f>
        <v>-</v>
      </c>
      <c r="H457" t="str">
        <f>IF(IFERROR(VLOOKUP(B457,'Gelecek Sprint'!B:B,1,0),"-")=B457,"Gelecek Sprint","-")</f>
        <v>-</v>
      </c>
      <c r="I457" t="str">
        <f t="shared" si="13"/>
        <v>Ürün İş Listesi</v>
      </c>
    </row>
    <row r="458" spans="1:10" x14ac:dyDescent="0.25">
      <c r="A458" t="s">
        <v>14</v>
      </c>
      <c r="B458" t="s">
        <v>957</v>
      </c>
      <c r="C458" t="s">
        <v>16</v>
      </c>
      <c r="D458" t="s">
        <v>958</v>
      </c>
      <c r="E458" s="5" t="s">
        <v>47</v>
      </c>
      <c r="F458" s="5" t="e">
        <f>VLOOKUP(B458,'Türkkep Jira'!B:F,5,0)</f>
        <v>#N/A</v>
      </c>
      <c r="G458" t="str">
        <f>IF(IFERROR(VLOOKUP(B458,'Devam Eden Sprint'!B:B,1,0),"-")=B458,"Devam Eden Sprint","-")</f>
        <v>-</v>
      </c>
      <c r="H458" t="str">
        <f>IF(IFERROR(VLOOKUP(B458,'Gelecek Sprint'!B:B,1,0),"-")=B458,"Gelecek Sprint","-")</f>
        <v>-</v>
      </c>
      <c r="I458" t="str">
        <f t="shared" si="13"/>
        <v>Ürün İş Listesi</v>
      </c>
    </row>
    <row r="459" spans="1:10" x14ac:dyDescent="0.25">
      <c r="A459" t="s">
        <v>14</v>
      </c>
      <c r="B459" t="s">
        <v>959</v>
      </c>
      <c r="C459" t="s">
        <v>10</v>
      </c>
      <c r="D459" t="s">
        <v>960</v>
      </c>
      <c r="E459" s="5" t="s">
        <v>47</v>
      </c>
      <c r="F459" s="5" t="e">
        <f>VLOOKUP(B459,'Türkkep Jira'!B:F,5,0)</f>
        <v>#N/A</v>
      </c>
      <c r="G459" t="str">
        <f>IF(IFERROR(VLOOKUP(B459,'Devam Eden Sprint'!B:B,1,0),"-")=B459,"Devam Eden Sprint","-")</f>
        <v>-</v>
      </c>
      <c r="H459" t="str">
        <f>IF(IFERROR(VLOOKUP(B459,'Gelecek Sprint'!B:B,1,0),"-")=B459,"Gelecek Sprint","-")</f>
        <v>-</v>
      </c>
      <c r="I459" t="str">
        <f t="shared" si="13"/>
        <v>Ürün İş Listesi</v>
      </c>
    </row>
    <row r="460" spans="1:10" x14ac:dyDescent="0.25">
      <c r="A460" t="s">
        <v>77</v>
      </c>
      <c r="B460" t="s">
        <v>961</v>
      </c>
      <c r="C460" t="s">
        <v>16</v>
      </c>
      <c r="D460" t="s">
        <v>962</v>
      </c>
      <c r="E460" s="5" t="s">
        <v>136</v>
      </c>
      <c r="F460" s="5" t="e">
        <f>VLOOKUP(B460,'Türkkep Jira'!B:F,5,0)</f>
        <v>#N/A</v>
      </c>
      <c r="G460" t="str">
        <f>IF(IFERROR(VLOOKUP(B460,'Devam Eden Sprint'!B:B,1,0),"-")=B460,"Devam Eden Sprint","-")</f>
        <v>-</v>
      </c>
      <c r="H460" t="str">
        <f>IF(IFERROR(VLOOKUP(B460,'Gelecek Sprint'!B:B,1,0),"-")=B460,"Gelecek Sprint","-")</f>
        <v>-</v>
      </c>
      <c r="I460" t="str">
        <f t="shared" si="13"/>
        <v>Ürün İş Listesi</v>
      </c>
      <c r="J460" s="5">
        <v>3</v>
      </c>
    </row>
    <row r="461" spans="1:10" x14ac:dyDescent="0.25">
      <c r="A461" t="s">
        <v>14</v>
      </c>
      <c r="B461" t="s">
        <v>963</v>
      </c>
      <c r="C461" t="s">
        <v>16</v>
      </c>
      <c r="D461" t="s">
        <v>964</v>
      </c>
      <c r="E461" s="5" t="s">
        <v>136</v>
      </c>
      <c r="F461" s="5" t="e">
        <f>VLOOKUP(B461,'Türkkep Jira'!B:F,5,0)</f>
        <v>#N/A</v>
      </c>
      <c r="G461" t="str">
        <f>IF(IFERROR(VLOOKUP(B461,'Devam Eden Sprint'!B:B,1,0),"-")=B461,"Devam Eden Sprint","-")</f>
        <v>-</v>
      </c>
      <c r="H461" t="str">
        <f>IF(IFERROR(VLOOKUP(B461,'Gelecek Sprint'!B:B,1,0),"-")=B461,"Gelecek Sprint","-")</f>
        <v>-</v>
      </c>
      <c r="I461" t="str">
        <f t="shared" si="13"/>
        <v>Ürün İş Listesi</v>
      </c>
    </row>
    <row r="462" spans="1:10" x14ac:dyDescent="0.25">
      <c r="A462" t="s">
        <v>14</v>
      </c>
      <c r="B462" t="s">
        <v>965</v>
      </c>
      <c r="C462" t="s">
        <v>16</v>
      </c>
      <c r="D462" t="s">
        <v>966</v>
      </c>
      <c r="E462" s="5" t="s">
        <v>136</v>
      </c>
      <c r="F462" s="5" t="e">
        <f>VLOOKUP(B462,'Türkkep Jira'!B:F,5,0)</f>
        <v>#N/A</v>
      </c>
      <c r="G462" t="str">
        <f>IF(IFERROR(VLOOKUP(B462,'Devam Eden Sprint'!B:B,1,0),"-")=B462,"Devam Eden Sprint","-")</f>
        <v>-</v>
      </c>
      <c r="H462" t="str">
        <f>IF(IFERROR(VLOOKUP(B462,'Gelecek Sprint'!B:B,1,0),"-")=B462,"Gelecek Sprint","-")</f>
        <v>-</v>
      </c>
      <c r="I462" t="str">
        <f t="shared" si="13"/>
        <v>Ürün İş Listesi</v>
      </c>
    </row>
    <row r="463" spans="1:10" x14ac:dyDescent="0.25">
      <c r="A463" t="s">
        <v>14</v>
      </c>
      <c r="B463" t="s">
        <v>967</v>
      </c>
      <c r="C463" t="s">
        <v>16</v>
      </c>
      <c r="D463" t="s">
        <v>968</v>
      </c>
      <c r="E463" s="5" t="s">
        <v>41</v>
      </c>
      <c r="F463" s="5" t="e">
        <f>VLOOKUP(B463,'Türkkep Jira'!B:F,5,0)</f>
        <v>#N/A</v>
      </c>
      <c r="G463" t="str">
        <f>IF(IFERROR(VLOOKUP(B463,'Devam Eden Sprint'!B:B,1,0),"-")=B463,"Devam Eden Sprint","-")</f>
        <v>-</v>
      </c>
      <c r="H463" t="str">
        <f>IF(IFERROR(VLOOKUP(B463,'Gelecek Sprint'!B:B,1,0),"-")=B463,"Gelecek Sprint","-")</f>
        <v>-</v>
      </c>
      <c r="I463" t="str">
        <f t="shared" si="13"/>
        <v>Ürün İş Listesi</v>
      </c>
      <c r="J463" s="5">
        <v>2</v>
      </c>
    </row>
    <row r="464" spans="1:10" x14ac:dyDescent="0.25">
      <c r="A464" t="s">
        <v>77</v>
      </c>
      <c r="B464" t="s">
        <v>969</v>
      </c>
      <c r="C464" t="s">
        <v>16</v>
      </c>
      <c r="D464" t="s">
        <v>970</v>
      </c>
      <c r="E464" s="5" t="s">
        <v>41</v>
      </c>
      <c r="F464" s="5" t="e">
        <f>VLOOKUP(B464,'Türkkep Jira'!B:F,5,0)</f>
        <v>#N/A</v>
      </c>
      <c r="G464" t="str">
        <f>IF(IFERROR(VLOOKUP(B464,'Devam Eden Sprint'!B:B,1,0),"-")=B464,"Devam Eden Sprint","-")</f>
        <v>-</v>
      </c>
      <c r="H464" t="str">
        <f>IF(IFERROR(VLOOKUP(B464,'Gelecek Sprint'!B:B,1,0),"-")=B464,"Gelecek Sprint","-")</f>
        <v>-</v>
      </c>
      <c r="I464" t="str">
        <f t="shared" si="13"/>
        <v>Ürün İş Listesi</v>
      </c>
      <c r="J464" s="5">
        <v>1</v>
      </c>
    </row>
    <row r="465" spans="1:10" x14ac:dyDescent="0.25">
      <c r="A465" t="s">
        <v>14</v>
      </c>
      <c r="B465" t="s">
        <v>971</v>
      </c>
      <c r="C465" t="s">
        <v>16</v>
      </c>
      <c r="D465" t="s">
        <v>972</v>
      </c>
      <c r="E465" s="5" t="s">
        <v>38</v>
      </c>
      <c r="F465" s="5" t="e">
        <f>VLOOKUP(B465,'Türkkep Jira'!B:F,5,0)</f>
        <v>#N/A</v>
      </c>
      <c r="G465" t="str">
        <f>IF(IFERROR(VLOOKUP(B465,'Devam Eden Sprint'!B:B,1,0),"-")=B465,"Devam Eden Sprint","-")</f>
        <v>-</v>
      </c>
      <c r="H465" t="str">
        <f>IF(IFERROR(VLOOKUP(B465,'Gelecek Sprint'!B:B,1,0),"-")=B465,"Gelecek Sprint","-")</f>
        <v>-</v>
      </c>
      <c r="I465" t="str">
        <f t="shared" si="13"/>
        <v>Ürün İş Listesi</v>
      </c>
      <c r="J465" s="5">
        <v>5</v>
      </c>
    </row>
    <row r="466" spans="1:10" x14ac:dyDescent="0.25">
      <c r="A466" t="s">
        <v>14</v>
      </c>
      <c r="B466" t="s">
        <v>973</v>
      </c>
      <c r="C466" t="s">
        <v>16</v>
      </c>
      <c r="D466" t="s">
        <v>974</v>
      </c>
      <c r="E466" s="5" t="s">
        <v>133</v>
      </c>
      <c r="F466" s="5" t="e">
        <f>VLOOKUP(B466,'Türkkep Jira'!B:F,5,0)</f>
        <v>#N/A</v>
      </c>
      <c r="G466" t="str">
        <f>IF(IFERROR(VLOOKUP(B466,'Devam Eden Sprint'!B:B,1,0),"-")=B466,"Devam Eden Sprint","-")</f>
        <v>-</v>
      </c>
      <c r="H466" t="str">
        <f>IF(IFERROR(VLOOKUP(B466,'Gelecek Sprint'!B:B,1,0),"-")=B466,"Gelecek Sprint","-")</f>
        <v>-</v>
      </c>
      <c r="I466" t="str">
        <f t="shared" si="13"/>
        <v>Ürün İş Listesi</v>
      </c>
    </row>
    <row r="467" spans="1:10" x14ac:dyDescent="0.25">
      <c r="A467" t="s">
        <v>14</v>
      </c>
      <c r="B467" t="s">
        <v>975</v>
      </c>
      <c r="C467" t="s">
        <v>16</v>
      </c>
      <c r="D467" t="s">
        <v>976</v>
      </c>
      <c r="E467" s="5" t="s">
        <v>133</v>
      </c>
      <c r="F467" s="5" t="e">
        <f>VLOOKUP(B467,'Türkkep Jira'!B:F,5,0)</f>
        <v>#N/A</v>
      </c>
      <c r="G467" t="str">
        <f>IF(IFERROR(VLOOKUP(B467,'Devam Eden Sprint'!B:B,1,0),"-")=B467,"Devam Eden Sprint","-")</f>
        <v>-</v>
      </c>
      <c r="H467" t="str">
        <f>IF(IFERROR(VLOOKUP(B467,'Gelecek Sprint'!B:B,1,0),"-")=B467,"Gelecek Sprint","-")</f>
        <v>-</v>
      </c>
      <c r="I467" t="str">
        <f t="shared" si="13"/>
        <v>Ürün İş Listesi</v>
      </c>
    </row>
    <row r="468" spans="1:10" x14ac:dyDescent="0.25">
      <c r="A468" t="s">
        <v>14</v>
      </c>
      <c r="B468" t="s">
        <v>977</v>
      </c>
      <c r="C468" t="s">
        <v>16</v>
      </c>
      <c r="D468" t="s">
        <v>978</v>
      </c>
      <c r="E468" s="5" t="s">
        <v>133</v>
      </c>
      <c r="F468" s="5" t="e">
        <f>VLOOKUP(B468,'Türkkep Jira'!B:F,5,0)</f>
        <v>#N/A</v>
      </c>
      <c r="G468" t="str">
        <f>IF(IFERROR(VLOOKUP(B468,'Devam Eden Sprint'!B:B,1,0),"-")=B468,"Devam Eden Sprint","-")</f>
        <v>-</v>
      </c>
      <c r="H468" t="str">
        <f>IF(IFERROR(VLOOKUP(B468,'Gelecek Sprint'!B:B,1,0),"-")=B468,"Gelecek Sprint","-")</f>
        <v>-</v>
      </c>
      <c r="I468" t="str">
        <f t="shared" si="13"/>
        <v>Ürün İş Listesi</v>
      </c>
    </row>
    <row r="469" spans="1:10" x14ac:dyDescent="0.25">
      <c r="A469" t="s">
        <v>14</v>
      </c>
      <c r="B469" t="s">
        <v>979</v>
      </c>
      <c r="C469" t="s">
        <v>16</v>
      </c>
      <c r="D469" t="s">
        <v>980</v>
      </c>
      <c r="E469" s="5" t="s">
        <v>133</v>
      </c>
      <c r="F469" s="5" t="e">
        <f>VLOOKUP(B469,'Türkkep Jira'!B:F,5,0)</f>
        <v>#N/A</v>
      </c>
      <c r="G469" t="str">
        <f>IF(IFERROR(VLOOKUP(B469,'Devam Eden Sprint'!B:B,1,0),"-")=B469,"Devam Eden Sprint","-")</f>
        <v>-</v>
      </c>
      <c r="H469" t="str">
        <f>IF(IFERROR(VLOOKUP(B469,'Gelecek Sprint'!B:B,1,0),"-")=B469,"Gelecek Sprint","-")</f>
        <v>-</v>
      </c>
      <c r="I469" t="str">
        <f t="shared" si="13"/>
        <v>Ürün İş Listesi</v>
      </c>
    </row>
    <row r="470" spans="1:10" x14ac:dyDescent="0.25">
      <c r="A470" t="s">
        <v>14</v>
      </c>
      <c r="B470" t="s">
        <v>981</v>
      </c>
      <c r="C470" t="s">
        <v>16</v>
      </c>
      <c r="D470" t="s">
        <v>982</v>
      </c>
      <c r="E470" s="5" t="s">
        <v>133</v>
      </c>
      <c r="F470" s="5" t="e">
        <f>VLOOKUP(B470,'Türkkep Jira'!B:F,5,0)</f>
        <v>#N/A</v>
      </c>
      <c r="G470" t="str">
        <f>IF(IFERROR(VLOOKUP(B470,'Devam Eden Sprint'!B:B,1,0),"-")=B470,"Devam Eden Sprint","-")</f>
        <v>-</v>
      </c>
      <c r="H470" t="str">
        <f>IF(IFERROR(VLOOKUP(B470,'Gelecek Sprint'!B:B,1,0),"-")=B470,"Gelecek Sprint","-")</f>
        <v>-</v>
      </c>
      <c r="I470" t="str">
        <f t="shared" si="13"/>
        <v>Ürün İş Listesi</v>
      </c>
    </row>
    <row r="471" spans="1:10" x14ac:dyDescent="0.25">
      <c r="A471" t="s">
        <v>14</v>
      </c>
      <c r="B471" t="s">
        <v>983</v>
      </c>
      <c r="C471" t="s">
        <v>16</v>
      </c>
      <c r="D471" t="s">
        <v>984</v>
      </c>
      <c r="E471" s="5" t="s">
        <v>133</v>
      </c>
      <c r="F471" s="5" t="e">
        <f>VLOOKUP(B471,'Türkkep Jira'!B:F,5,0)</f>
        <v>#N/A</v>
      </c>
      <c r="G471" t="str">
        <f>IF(IFERROR(VLOOKUP(B471,'Devam Eden Sprint'!B:B,1,0),"-")=B471,"Devam Eden Sprint","-")</f>
        <v>-</v>
      </c>
      <c r="H471" t="str">
        <f>IF(IFERROR(VLOOKUP(B471,'Gelecek Sprint'!B:B,1,0),"-")=B471,"Gelecek Sprint","-")</f>
        <v>-</v>
      </c>
      <c r="I471" t="str">
        <f t="shared" si="13"/>
        <v>Ürün İş Listesi</v>
      </c>
    </row>
    <row r="472" spans="1:10" x14ac:dyDescent="0.25">
      <c r="A472" t="s">
        <v>14</v>
      </c>
      <c r="B472" t="s">
        <v>985</v>
      </c>
      <c r="C472" t="s">
        <v>16</v>
      </c>
      <c r="D472" t="s">
        <v>986</v>
      </c>
      <c r="E472" s="5" t="s">
        <v>133</v>
      </c>
      <c r="F472" s="5" t="e">
        <f>VLOOKUP(B472,'Türkkep Jira'!B:F,5,0)</f>
        <v>#N/A</v>
      </c>
      <c r="G472" t="str">
        <f>IF(IFERROR(VLOOKUP(B472,'Devam Eden Sprint'!B:B,1,0),"-")=B472,"Devam Eden Sprint","-")</f>
        <v>-</v>
      </c>
      <c r="H472" t="str">
        <f>IF(IFERROR(VLOOKUP(B472,'Gelecek Sprint'!B:B,1,0),"-")=B472,"Gelecek Sprint","-")</f>
        <v>-</v>
      </c>
      <c r="I472" t="str">
        <f t="shared" si="13"/>
        <v>Ürün İş Listesi</v>
      </c>
    </row>
    <row r="473" spans="1:10" x14ac:dyDescent="0.25">
      <c r="A473" t="s">
        <v>14</v>
      </c>
      <c r="B473" t="s">
        <v>987</v>
      </c>
      <c r="C473" t="s">
        <v>16</v>
      </c>
      <c r="D473" t="s">
        <v>988</v>
      </c>
      <c r="E473" s="5" t="s">
        <v>133</v>
      </c>
      <c r="F473" s="5" t="e">
        <f>VLOOKUP(B473,'Türkkep Jira'!B:F,5,0)</f>
        <v>#N/A</v>
      </c>
      <c r="G473" t="str">
        <f>IF(IFERROR(VLOOKUP(B473,'Devam Eden Sprint'!B:B,1,0),"-")=B473,"Devam Eden Sprint","-")</f>
        <v>-</v>
      </c>
      <c r="H473" t="str">
        <f>IF(IFERROR(VLOOKUP(B473,'Gelecek Sprint'!B:B,1,0),"-")=B473,"Gelecek Sprint","-")</f>
        <v>-</v>
      </c>
      <c r="I473" t="str">
        <f t="shared" si="13"/>
        <v>Ürün İş Listesi</v>
      </c>
    </row>
    <row r="474" spans="1:10" x14ac:dyDescent="0.25">
      <c r="A474" t="s">
        <v>14</v>
      </c>
      <c r="B474" t="s">
        <v>989</v>
      </c>
      <c r="C474" t="s">
        <v>16</v>
      </c>
      <c r="D474" t="s">
        <v>990</v>
      </c>
      <c r="E474" s="5" t="s">
        <v>991</v>
      </c>
      <c r="F474" s="5" t="e">
        <f>VLOOKUP(B474,'Türkkep Jira'!B:F,5,0)</f>
        <v>#N/A</v>
      </c>
      <c r="G474" t="str">
        <f>IF(IFERROR(VLOOKUP(B474,'Devam Eden Sprint'!B:B,1,0),"-")=B474,"Devam Eden Sprint","-")</f>
        <v>-</v>
      </c>
      <c r="H474" t="str">
        <f>IF(IFERROR(VLOOKUP(B474,'Gelecek Sprint'!B:B,1,0),"-")=B474,"Gelecek Sprint","-")</f>
        <v>-</v>
      </c>
      <c r="I474" t="str">
        <f t="shared" si="13"/>
        <v>Ürün İş Listesi</v>
      </c>
    </row>
    <row r="475" spans="1:10" x14ac:dyDescent="0.25">
      <c r="A475" t="s">
        <v>14</v>
      </c>
      <c r="B475" t="s">
        <v>992</v>
      </c>
      <c r="C475" t="s">
        <v>16</v>
      </c>
      <c r="D475" t="s">
        <v>993</v>
      </c>
      <c r="E475" s="5" t="s">
        <v>991</v>
      </c>
      <c r="F475" s="5" t="e">
        <f>VLOOKUP(B475,'Türkkep Jira'!B:F,5,0)</f>
        <v>#N/A</v>
      </c>
      <c r="G475" t="str">
        <f>IF(IFERROR(VLOOKUP(B475,'Devam Eden Sprint'!B:B,1,0),"-")=B475,"Devam Eden Sprint","-")</f>
        <v>-</v>
      </c>
      <c r="H475" t="str">
        <f>IF(IFERROR(VLOOKUP(B475,'Gelecek Sprint'!B:B,1,0),"-")=B475,"Gelecek Sprint","-")</f>
        <v>-</v>
      </c>
      <c r="I475" t="str">
        <f t="shared" si="13"/>
        <v>Ürün İş Listesi</v>
      </c>
    </row>
    <row r="476" spans="1:10" x14ac:dyDescent="0.25">
      <c r="A476" t="s">
        <v>14</v>
      </c>
      <c r="B476" t="s">
        <v>994</v>
      </c>
      <c r="C476" t="s">
        <v>16</v>
      </c>
      <c r="D476" t="s">
        <v>995</v>
      </c>
      <c r="E476" s="5" t="s">
        <v>991</v>
      </c>
      <c r="F476" s="5" t="e">
        <f>VLOOKUP(B476,'Türkkep Jira'!B:F,5,0)</f>
        <v>#N/A</v>
      </c>
      <c r="G476" t="str">
        <f>IF(IFERROR(VLOOKUP(B476,'Devam Eden Sprint'!B:B,1,0),"-")=B476,"Devam Eden Sprint","-")</f>
        <v>-</v>
      </c>
      <c r="H476" t="str">
        <f>IF(IFERROR(VLOOKUP(B476,'Gelecek Sprint'!B:B,1,0),"-")=B476,"Gelecek Sprint","-")</f>
        <v>-</v>
      </c>
      <c r="I476" t="str">
        <f t="shared" si="13"/>
        <v>Ürün İş Listesi</v>
      </c>
    </row>
    <row r="477" spans="1:10" x14ac:dyDescent="0.25">
      <c r="A477" t="s">
        <v>14</v>
      </c>
      <c r="B477" t="s">
        <v>996</v>
      </c>
      <c r="C477" t="s">
        <v>16</v>
      </c>
      <c r="D477" t="s">
        <v>997</v>
      </c>
      <c r="E477" s="5" t="s">
        <v>991</v>
      </c>
      <c r="F477" s="5" t="e">
        <f>VLOOKUP(B477,'Türkkep Jira'!B:F,5,0)</f>
        <v>#N/A</v>
      </c>
      <c r="G477" t="str">
        <f>IF(IFERROR(VLOOKUP(B477,'Devam Eden Sprint'!B:B,1,0),"-")=B477,"Devam Eden Sprint","-")</f>
        <v>-</v>
      </c>
      <c r="H477" t="str">
        <f>IF(IFERROR(VLOOKUP(B477,'Gelecek Sprint'!B:B,1,0),"-")=B477,"Gelecek Sprint","-")</f>
        <v>-</v>
      </c>
      <c r="I477" t="str">
        <f t="shared" si="13"/>
        <v>Ürün İş Listesi</v>
      </c>
    </row>
    <row r="478" spans="1:10" x14ac:dyDescent="0.25">
      <c r="A478" t="s">
        <v>14</v>
      </c>
      <c r="B478" t="s">
        <v>998</v>
      </c>
      <c r="C478" t="s">
        <v>16</v>
      </c>
      <c r="D478" t="s">
        <v>999</v>
      </c>
      <c r="E478" s="5" t="s">
        <v>991</v>
      </c>
      <c r="F478" s="5" t="e">
        <f>VLOOKUP(B478,'Türkkep Jira'!B:F,5,0)</f>
        <v>#N/A</v>
      </c>
      <c r="G478" t="str">
        <f>IF(IFERROR(VLOOKUP(B478,'Devam Eden Sprint'!B:B,1,0),"-")=B478,"Devam Eden Sprint","-")</f>
        <v>-</v>
      </c>
      <c r="H478" t="str">
        <f>IF(IFERROR(VLOOKUP(B478,'Gelecek Sprint'!B:B,1,0),"-")=B478,"Gelecek Sprint","-")</f>
        <v>-</v>
      </c>
      <c r="I478" t="str">
        <f t="shared" si="13"/>
        <v>Ürün İş Listesi</v>
      </c>
    </row>
    <row r="479" spans="1:10" x14ac:dyDescent="0.25">
      <c r="A479" t="s">
        <v>14</v>
      </c>
      <c r="B479" t="s">
        <v>1000</v>
      </c>
      <c r="C479" t="s">
        <v>16</v>
      </c>
      <c r="D479" t="s">
        <v>1001</v>
      </c>
      <c r="E479" s="5" t="s">
        <v>991</v>
      </c>
      <c r="F479" s="5" t="e">
        <f>VLOOKUP(B479,'Türkkep Jira'!B:F,5,0)</f>
        <v>#N/A</v>
      </c>
      <c r="G479" t="str">
        <f>IF(IFERROR(VLOOKUP(B479,'Devam Eden Sprint'!B:B,1,0),"-")=B479,"Devam Eden Sprint","-")</f>
        <v>-</v>
      </c>
      <c r="H479" t="str">
        <f>IF(IFERROR(VLOOKUP(B479,'Gelecek Sprint'!B:B,1,0),"-")=B479,"Gelecek Sprint","-")</f>
        <v>-</v>
      </c>
      <c r="I479" t="str">
        <f t="shared" si="13"/>
        <v>Ürün İş Listesi</v>
      </c>
    </row>
    <row r="480" spans="1:10" x14ac:dyDescent="0.25">
      <c r="A480" t="s">
        <v>14</v>
      </c>
      <c r="B480" t="s">
        <v>1002</v>
      </c>
      <c r="C480" t="s">
        <v>16</v>
      </c>
      <c r="D480" t="s">
        <v>1003</v>
      </c>
      <c r="E480" s="5" t="s">
        <v>991</v>
      </c>
      <c r="F480" s="5" t="e">
        <f>VLOOKUP(B480,'Türkkep Jira'!B:F,5,0)</f>
        <v>#N/A</v>
      </c>
      <c r="G480" t="str">
        <f>IF(IFERROR(VLOOKUP(B480,'Devam Eden Sprint'!B:B,1,0),"-")=B480,"Devam Eden Sprint","-")</f>
        <v>-</v>
      </c>
      <c r="H480" t="str">
        <f>IF(IFERROR(VLOOKUP(B480,'Gelecek Sprint'!B:B,1,0),"-")=B480,"Gelecek Sprint","-")</f>
        <v>-</v>
      </c>
      <c r="I480" t="str">
        <f t="shared" si="13"/>
        <v>Ürün İş Listesi</v>
      </c>
    </row>
    <row r="481" spans="1:10" x14ac:dyDescent="0.25">
      <c r="A481" t="s">
        <v>14</v>
      </c>
      <c r="B481" t="s">
        <v>1004</v>
      </c>
      <c r="C481" t="s">
        <v>28</v>
      </c>
      <c r="D481" t="s">
        <v>1005</v>
      </c>
      <c r="E481" s="5" t="s">
        <v>12</v>
      </c>
      <c r="F481" s="5" t="str">
        <f>VLOOKUP(B481,'Türkkep Jira'!B:F,5,0)</f>
        <v>In Test</v>
      </c>
      <c r="G481" t="str">
        <f>IF(IFERROR(VLOOKUP(B481,'Devam Eden Sprint'!B:B,1,0),"-")=B481,"Devam Eden Sprint","-")</f>
        <v>Devam Eden Sprint</v>
      </c>
      <c r="H481" t="str">
        <f>IF(IFERROR(VLOOKUP(B481,'Gelecek Sprint'!B:B,1,0),"-")=B481,"Gelecek Sprint","-")</f>
        <v>Gelecek Sprint</v>
      </c>
      <c r="I481" t="str">
        <f t="shared" si="13"/>
        <v>Devam Eden ve Gelecek Sprint</v>
      </c>
      <c r="J481" s="5">
        <v>5</v>
      </c>
    </row>
    <row r="482" spans="1:10" x14ac:dyDescent="0.25">
      <c r="A482" t="s">
        <v>14</v>
      </c>
      <c r="B482" t="s">
        <v>1006</v>
      </c>
      <c r="C482" t="s">
        <v>16</v>
      </c>
      <c r="D482" t="s">
        <v>1007</v>
      </c>
      <c r="E482" s="5" t="s">
        <v>12</v>
      </c>
      <c r="F482" s="5" t="e">
        <f>VLOOKUP(B482,'Türkkep Jira'!B:F,5,0)</f>
        <v>#N/A</v>
      </c>
      <c r="G482" t="str">
        <f>IF(IFERROR(VLOOKUP(B482,'Devam Eden Sprint'!B:B,1,0),"-")=B482,"Devam Eden Sprint","-")</f>
        <v>-</v>
      </c>
      <c r="H482" t="str">
        <f>IF(IFERROR(VLOOKUP(B482,'Gelecek Sprint'!B:B,1,0),"-")=B482,"Gelecek Sprint","-")</f>
        <v>-</v>
      </c>
      <c r="I482" t="str">
        <f t="shared" si="13"/>
        <v>Ürün İş Listesi</v>
      </c>
      <c r="J482" s="5">
        <v>3</v>
      </c>
    </row>
    <row r="483" spans="1:10" x14ac:dyDescent="0.25">
      <c r="A483" t="s">
        <v>14</v>
      </c>
      <c r="B483" t="s">
        <v>1008</v>
      </c>
      <c r="C483" t="s">
        <v>27</v>
      </c>
      <c r="D483" t="s">
        <v>1009</v>
      </c>
      <c r="E483" s="5" t="s">
        <v>12</v>
      </c>
      <c r="F483" s="5" t="e">
        <f>VLOOKUP(B483,'Türkkep Jira'!B:F,5,0)</f>
        <v>#N/A</v>
      </c>
      <c r="G483" t="str">
        <f>IF(IFERROR(VLOOKUP(B483,'Devam Eden Sprint'!B:B,1,0),"-")=B483,"Devam Eden Sprint","-")</f>
        <v>-</v>
      </c>
      <c r="H483" t="str">
        <f>IF(IFERROR(VLOOKUP(B483,'Gelecek Sprint'!B:B,1,0),"-")=B483,"Gelecek Sprint","-")</f>
        <v>-</v>
      </c>
      <c r="I483" t="str">
        <f t="shared" si="13"/>
        <v>Ürün İş Listesi</v>
      </c>
      <c r="J483" s="5">
        <v>3</v>
      </c>
    </row>
    <row r="484" spans="1:10" x14ac:dyDescent="0.25">
      <c r="A484" t="s">
        <v>14</v>
      </c>
      <c r="B484" t="s">
        <v>1010</v>
      </c>
      <c r="C484" t="s">
        <v>27</v>
      </c>
      <c r="D484" t="s">
        <v>1011</v>
      </c>
      <c r="E484" s="5" t="s">
        <v>12</v>
      </c>
      <c r="F484" s="5" t="e">
        <f>VLOOKUP(B484,'Türkkep Jira'!B:F,5,0)</f>
        <v>#N/A</v>
      </c>
      <c r="G484" t="str">
        <f>IF(IFERROR(VLOOKUP(B484,'Devam Eden Sprint'!B:B,1,0),"-")=B484,"Devam Eden Sprint","-")</f>
        <v>-</v>
      </c>
      <c r="H484" t="str">
        <f>IF(IFERROR(VLOOKUP(B484,'Gelecek Sprint'!B:B,1,0),"-")=B484,"Gelecek Sprint","-")</f>
        <v>-</v>
      </c>
      <c r="I484" t="str">
        <f t="shared" si="13"/>
        <v>Ürün İş Listesi</v>
      </c>
      <c r="J484" s="5">
        <v>5</v>
      </c>
    </row>
    <row r="485" spans="1:10" x14ac:dyDescent="0.25">
      <c r="A485" t="s">
        <v>14</v>
      </c>
      <c r="B485" t="s">
        <v>1012</v>
      </c>
      <c r="C485" t="s">
        <v>16</v>
      </c>
      <c r="D485" t="s">
        <v>1013</v>
      </c>
      <c r="E485" s="5" t="s">
        <v>12</v>
      </c>
      <c r="F485" s="5" t="e">
        <f>VLOOKUP(B485,'Türkkep Jira'!B:F,5,0)</f>
        <v>#N/A</v>
      </c>
      <c r="G485" t="str">
        <f>IF(IFERROR(VLOOKUP(B485,'Devam Eden Sprint'!B:B,1,0),"-")=B485,"Devam Eden Sprint","-")</f>
        <v>-</v>
      </c>
      <c r="H485" t="str">
        <f>IF(IFERROR(VLOOKUP(B485,'Gelecek Sprint'!B:B,1,0),"-")=B485,"Gelecek Sprint","-")</f>
        <v>-</v>
      </c>
      <c r="I485" t="str">
        <f t="shared" si="13"/>
        <v>Ürün İş Listesi</v>
      </c>
      <c r="J485" s="5">
        <v>2</v>
      </c>
    </row>
    <row r="486" spans="1:10" x14ac:dyDescent="0.25">
      <c r="A486" t="s">
        <v>77</v>
      </c>
      <c r="B486" t="s">
        <v>1014</v>
      </c>
      <c r="C486" t="s">
        <v>16</v>
      </c>
      <c r="D486" t="s">
        <v>1015</v>
      </c>
      <c r="E486" s="5" t="s">
        <v>12</v>
      </c>
      <c r="F486" s="5" t="e">
        <f>VLOOKUP(B486,'Türkkep Jira'!B:F,5,0)</f>
        <v>#N/A</v>
      </c>
      <c r="G486" t="str">
        <f>IF(IFERROR(VLOOKUP(B486,'Devam Eden Sprint'!B:B,1,0),"-")=B486,"Devam Eden Sprint","-")</f>
        <v>-</v>
      </c>
      <c r="H486" t="str">
        <f>IF(IFERROR(VLOOKUP(B486,'Gelecek Sprint'!B:B,1,0),"-")=B486,"Gelecek Sprint","-")</f>
        <v>-</v>
      </c>
      <c r="I486" t="str">
        <f t="shared" si="13"/>
        <v>Ürün İş Listesi</v>
      </c>
      <c r="J486" s="5">
        <v>1</v>
      </c>
    </row>
    <row r="487" spans="1:10" x14ac:dyDescent="0.25">
      <c r="A487" t="s">
        <v>14</v>
      </c>
      <c r="B487" t="s">
        <v>1016</v>
      </c>
      <c r="C487" t="s">
        <v>16</v>
      </c>
      <c r="D487" t="s">
        <v>1017</v>
      </c>
      <c r="E487" s="5" t="s">
        <v>44</v>
      </c>
      <c r="F487" s="5" t="e">
        <f>VLOOKUP(B487,'Türkkep Jira'!B:F,5,0)</f>
        <v>#N/A</v>
      </c>
      <c r="G487" t="str">
        <f>IF(IFERROR(VLOOKUP(B487,'Devam Eden Sprint'!B:B,1,0),"-")=B487,"Devam Eden Sprint","-")</f>
        <v>-</v>
      </c>
      <c r="H487" t="str">
        <f>IF(IFERROR(VLOOKUP(B487,'Gelecek Sprint'!B:B,1,0),"-")=B487,"Gelecek Sprint","-")</f>
        <v>-</v>
      </c>
      <c r="I487" t="str">
        <f>IFERROR(IF(AND(G487="Devam Eden Sprint",H487="Gelecek Sprint"),"Devam Eden ve Gelecek Sprint",IF(G487="Devam Eden Sprint","Devam Eden Sprint",IF(H487="Gelecek Sprint","Gelecek Sprint","Ürün İş Listesi"))),"Ürün İş Listesi")</f>
        <v>Ürün İş Listesi</v>
      </c>
      <c r="J487" s="5">
        <v>5</v>
      </c>
    </row>
    <row r="488" spans="1:10" x14ac:dyDescent="0.25">
      <c r="A488" t="s">
        <v>14</v>
      </c>
      <c r="B488" t="s">
        <v>1018</v>
      </c>
      <c r="C488" t="s">
        <v>16</v>
      </c>
      <c r="D488" t="s">
        <v>1019</v>
      </c>
      <c r="E488" s="5" t="s">
        <v>44</v>
      </c>
      <c r="F488" s="5" t="e">
        <f>VLOOKUP(B488,'Türkkep Jira'!B:F,5,0)</f>
        <v>#N/A</v>
      </c>
      <c r="G488" t="str">
        <f>IF(IFERROR(VLOOKUP(B488,'Devam Eden Sprint'!B:B,1,0),"-")=B488,"Devam Eden Sprint","-")</f>
        <v>-</v>
      </c>
      <c r="H488" t="str">
        <f>IF(IFERROR(VLOOKUP(B488,'Gelecek Sprint'!B:B,1,0),"-")=B488,"Gelecek Sprint","-")</f>
        <v>-</v>
      </c>
      <c r="I488" t="str">
        <f>IFERROR(IF(AND(G488="Devam Eden Sprint",H488="Gelecek Sprint"),"Devam Eden ve Gelecek Sprint",IF(G488="Devam Eden Sprint","Devam Eden Sprint",IF(H488="Gelecek Sprint","Gelecek Sprint","Ürün İş Listesi"))),"Ürün İş Listesi")</f>
        <v>Ürün İş Listesi</v>
      </c>
      <c r="J488" s="5">
        <v>3</v>
      </c>
    </row>
    <row r="489" spans="1:10" x14ac:dyDescent="0.25">
      <c r="A489" t="s">
        <v>14</v>
      </c>
      <c r="B489" t="s">
        <v>1020</v>
      </c>
      <c r="C489" t="s">
        <v>16</v>
      </c>
      <c r="D489" t="s">
        <v>332</v>
      </c>
      <c r="E489" s="5" t="s">
        <v>59</v>
      </c>
      <c r="F489" s="5" t="e">
        <f>VLOOKUP(B489,'Türkkep Jira'!B:F,5,0)</f>
        <v>#N/A</v>
      </c>
      <c r="G489" t="str">
        <f>IF(IFERROR(VLOOKUP(B489,'Devam Eden Sprint'!B:B,1,0),"-")=B489,"Devam Eden Sprint","-")</f>
        <v>-</v>
      </c>
      <c r="H489" t="str">
        <f>IF(IFERROR(VLOOKUP(B489,'Gelecek Sprint'!B:B,1,0),"-")=B489,"Gelecek Sprint","-")</f>
        <v>-</v>
      </c>
      <c r="I489" t="str">
        <f t="shared" ref="I489:I552" si="14">IFERROR(IF(AND(G489="Devam Eden Sprint",H489="Gelecek Sprint"),"Devam Eden ve Gelecek Sprint",IF(G489="Devam Eden Sprint","Devam Eden Sprint",IF(H489="Gelecek Sprint","Gelecek Sprint","Ürün İş Listesi"))),"Ürün İş Listesi")</f>
        <v>Ürün İş Listesi</v>
      </c>
      <c r="J489" s="5">
        <v>2</v>
      </c>
    </row>
    <row r="490" spans="1:10" x14ac:dyDescent="0.25">
      <c r="A490" t="s">
        <v>14</v>
      </c>
      <c r="B490" t="s">
        <v>1021</v>
      </c>
      <c r="C490" t="s">
        <v>16</v>
      </c>
      <c r="D490" t="s">
        <v>1022</v>
      </c>
      <c r="E490" s="5" t="s">
        <v>56</v>
      </c>
      <c r="F490" s="5" t="e">
        <f>VLOOKUP(B490,'Türkkep Jira'!B:F,5,0)</f>
        <v>#N/A</v>
      </c>
      <c r="G490" t="str">
        <f>IF(IFERROR(VLOOKUP(B490,'Devam Eden Sprint'!B:B,1,0),"-")=B490,"Devam Eden Sprint","-")</f>
        <v>-</v>
      </c>
      <c r="H490" t="str">
        <f>IF(IFERROR(VLOOKUP(B490,'Gelecek Sprint'!B:B,1,0),"-")=B490,"Gelecek Sprint","-")</f>
        <v>-</v>
      </c>
      <c r="I490" t="str">
        <f t="shared" si="14"/>
        <v>Ürün İş Listesi</v>
      </c>
      <c r="J490" s="5">
        <v>5</v>
      </c>
    </row>
    <row r="491" spans="1:10" x14ac:dyDescent="0.25">
      <c r="A491" t="s">
        <v>14</v>
      </c>
      <c r="B491" t="s">
        <v>1023</v>
      </c>
      <c r="C491" t="s">
        <v>10</v>
      </c>
      <c r="D491" t="s">
        <v>1024</v>
      </c>
      <c r="E491" s="5" t="s">
        <v>56</v>
      </c>
      <c r="F491" s="5" t="str">
        <f>VLOOKUP(B491,'Türkkep Jira'!B:F,5,0)</f>
        <v>To Do</v>
      </c>
      <c r="G491" t="str">
        <f>IF(IFERROR(VLOOKUP(B491,'Devam Eden Sprint'!B:B,1,0),"-")=B491,"Devam Eden Sprint","-")</f>
        <v>-</v>
      </c>
      <c r="H491" t="str">
        <f>IF(IFERROR(VLOOKUP(B491,'Gelecek Sprint'!B:B,1,0),"-")=B491,"Gelecek Sprint","-")</f>
        <v>Gelecek Sprint</v>
      </c>
      <c r="I491" t="str">
        <f t="shared" si="14"/>
        <v>Gelecek Sprint</v>
      </c>
    </row>
    <row r="492" spans="1:10" x14ac:dyDescent="0.25">
      <c r="A492" t="s">
        <v>14</v>
      </c>
      <c r="B492" t="s">
        <v>1025</v>
      </c>
      <c r="C492" t="s">
        <v>16</v>
      </c>
      <c r="D492" t="s">
        <v>1026</v>
      </c>
      <c r="E492" s="5" t="s">
        <v>56</v>
      </c>
      <c r="F492" s="5" t="e">
        <f>VLOOKUP(B492,'Türkkep Jira'!B:F,5,0)</f>
        <v>#N/A</v>
      </c>
      <c r="G492" t="str">
        <f>IF(IFERROR(VLOOKUP(B492,'Devam Eden Sprint'!B:B,1,0),"-")=B492,"Devam Eden Sprint","-")</f>
        <v>-</v>
      </c>
      <c r="H492" t="str">
        <f>IF(IFERROR(VLOOKUP(B492,'Gelecek Sprint'!B:B,1,0),"-")=B492,"Gelecek Sprint","-")</f>
        <v>-</v>
      </c>
      <c r="I492" t="str">
        <f t="shared" si="14"/>
        <v>Ürün İş Listesi</v>
      </c>
      <c r="J492" s="5">
        <v>3</v>
      </c>
    </row>
    <row r="493" spans="1:10" x14ac:dyDescent="0.25">
      <c r="A493" t="s">
        <v>14</v>
      </c>
      <c r="B493" t="s">
        <v>1027</v>
      </c>
      <c r="C493" t="s">
        <v>16</v>
      </c>
      <c r="D493" t="s">
        <v>1028</v>
      </c>
      <c r="E493" s="5" t="s">
        <v>56</v>
      </c>
      <c r="F493" s="5" t="e">
        <f>VLOOKUP(B493,'Türkkep Jira'!B:F,5,0)</f>
        <v>#N/A</v>
      </c>
      <c r="G493" t="str">
        <f>IF(IFERROR(VLOOKUP(B493,'Devam Eden Sprint'!B:B,1,0),"-")=B493,"Devam Eden Sprint","-")</f>
        <v>-</v>
      </c>
      <c r="H493" t="str">
        <f>IF(IFERROR(VLOOKUP(B493,'Gelecek Sprint'!B:B,1,0),"-")=B493,"Gelecek Sprint","-")</f>
        <v>-</v>
      </c>
      <c r="I493" t="str">
        <f t="shared" si="14"/>
        <v>Ürün İş Listesi</v>
      </c>
      <c r="J493" s="5">
        <v>5</v>
      </c>
    </row>
    <row r="494" spans="1:10" x14ac:dyDescent="0.25">
      <c r="A494" t="s">
        <v>14</v>
      </c>
      <c r="B494" t="s">
        <v>1029</v>
      </c>
      <c r="C494" t="s">
        <v>16</v>
      </c>
      <c r="D494" t="s">
        <v>1030</v>
      </c>
      <c r="E494" s="5" t="s">
        <v>56</v>
      </c>
      <c r="F494" s="5" t="e">
        <f>VLOOKUP(B494,'Türkkep Jira'!B:F,5,0)</f>
        <v>#N/A</v>
      </c>
      <c r="G494" t="str">
        <f>IF(IFERROR(VLOOKUP(B494,'Devam Eden Sprint'!B:B,1,0),"-")=B494,"Devam Eden Sprint","-")</f>
        <v>-</v>
      </c>
      <c r="H494" t="str">
        <f>IF(IFERROR(VLOOKUP(B494,'Gelecek Sprint'!B:B,1,0),"-")=B494,"Gelecek Sprint","-")</f>
        <v>-</v>
      </c>
      <c r="I494" t="str">
        <f t="shared" si="14"/>
        <v>Ürün İş Listesi</v>
      </c>
      <c r="J494" s="5">
        <v>3</v>
      </c>
    </row>
    <row r="495" spans="1:10" x14ac:dyDescent="0.25">
      <c r="A495" t="s">
        <v>14</v>
      </c>
      <c r="B495" t="s">
        <v>1031</v>
      </c>
      <c r="C495" t="s">
        <v>16</v>
      </c>
      <c r="D495" t="s">
        <v>1032</v>
      </c>
      <c r="E495" s="5" t="s">
        <v>56</v>
      </c>
      <c r="F495" s="5" t="e">
        <f>VLOOKUP(B495,'Türkkep Jira'!B:F,5,0)</f>
        <v>#N/A</v>
      </c>
      <c r="G495" t="str">
        <f>IF(IFERROR(VLOOKUP(B495,'Devam Eden Sprint'!B:B,1,0),"-")=B495,"Devam Eden Sprint","-")</f>
        <v>-</v>
      </c>
      <c r="H495" t="str">
        <f>IF(IFERROR(VLOOKUP(B495,'Gelecek Sprint'!B:B,1,0),"-")=B495,"Gelecek Sprint","-")</f>
        <v>-</v>
      </c>
      <c r="I495" t="str">
        <f t="shared" si="14"/>
        <v>Ürün İş Listesi</v>
      </c>
      <c r="J495" s="5">
        <v>3</v>
      </c>
    </row>
    <row r="496" spans="1:10" x14ac:dyDescent="0.25">
      <c r="A496" t="s">
        <v>14</v>
      </c>
      <c r="B496" t="s">
        <v>1033</v>
      </c>
      <c r="C496" t="s">
        <v>10</v>
      </c>
      <c r="D496" t="s">
        <v>1034</v>
      </c>
      <c r="E496" s="5" t="s">
        <v>56</v>
      </c>
      <c r="F496" s="5" t="str">
        <f>VLOOKUP(B496,'Türkkep Jira'!B:F,5,0)</f>
        <v>To Do</v>
      </c>
      <c r="G496" t="str">
        <f>IF(IFERROR(VLOOKUP(B496,'Devam Eden Sprint'!B:B,1,0),"-")=B496,"Devam Eden Sprint","-")</f>
        <v>-</v>
      </c>
      <c r="H496" t="str">
        <f>IF(IFERROR(VLOOKUP(B496,'Gelecek Sprint'!B:B,1,0),"-")=B496,"Gelecek Sprint","-")</f>
        <v>-</v>
      </c>
      <c r="I496" t="str">
        <f t="shared" si="14"/>
        <v>Ürün İş Listesi</v>
      </c>
      <c r="J496" s="5">
        <v>5</v>
      </c>
    </row>
    <row r="497" spans="1:10" x14ac:dyDescent="0.25">
      <c r="A497" t="s">
        <v>77</v>
      </c>
      <c r="B497" t="s">
        <v>1035</v>
      </c>
      <c r="C497" t="s">
        <v>16</v>
      </c>
      <c r="D497" t="s">
        <v>1036</v>
      </c>
      <c r="E497" s="5" t="s">
        <v>56</v>
      </c>
      <c r="F497" s="5" t="e">
        <f>VLOOKUP(B497,'Türkkep Jira'!B:F,5,0)</f>
        <v>#N/A</v>
      </c>
      <c r="G497" t="str">
        <f>IF(IFERROR(VLOOKUP(B497,'Devam Eden Sprint'!B:B,1,0),"-")=B497,"Devam Eden Sprint","-")</f>
        <v>-</v>
      </c>
      <c r="H497" t="str">
        <f>IF(IFERROR(VLOOKUP(B497,'Gelecek Sprint'!B:B,1,0),"-")=B497,"Gelecek Sprint","-")</f>
        <v>-</v>
      </c>
      <c r="I497" t="str">
        <f t="shared" si="14"/>
        <v>Ürün İş Listesi</v>
      </c>
      <c r="J497" s="5">
        <v>3</v>
      </c>
    </row>
    <row r="498" spans="1:10" x14ac:dyDescent="0.25">
      <c r="A498" t="s">
        <v>77</v>
      </c>
      <c r="B498" t="s">
        <v>1037</v>
      </c>
      <c r="C498" t="s">
        <v>16</v>
      </c>
      <c r="D498" t="s">
        <v>1038</v>
      </c>
      <c r="E498" s="5" t="s">
        <v>56</v>
      </c>
      <c r="F498" s="5" t="e">
        <f>VLOOKUP(B498,'Türkkep Jira'!B:F,5,0)</f>
        <v>#N/A</v>
      </c>
      <c r="G498" t="str">
        <f>IF(IFERROR(VLOOKUP(B498,'Devam Eden Sprint'!B:B,1,0),"-")=B498,"Devam Eden Sprint","-")</f>
        <v>-</v>
      </c>
      <c r="H498" t="str">
        <f>IF(IFERROR(VLOOKUP(B498,'Gelecek Sprint'!B:B,1,0),"-")=B498,"Gelecek Sprint","-")</f>
        <v>-</v>
      </c>
      <c r="I498" t="str">
        <f t="shared" si="14"/>
        <v>Ürün İş Listesi</v>
      </c>
      <c r="J498" s="5">
        <v>3</v>
      </c>
    </row>
    <row r="499" spans="1:10" x14ac:dyDescent="0.25">
      <c r="A499" t="s">
        <v>77</v>
      </c>
      <c r="B499" t="s">
        <v>1039</v>
      </c>
      <c r="C499" t="s">
        <v>16</v>
      </c>
      <c r="D499" t="s">
        <v>1040</v>
      </c>
      <c r="E499" s="5" t="s">
        <v>56</v>
      </c>
      <c r="F499" s="5" t="e">
        <f>VLOOKUP(B499,'Türkkep Jira'!B:F,5,0)</f>
        <v>#N/A</v>
      </c>
      <c r="G499" t="str">
        <f>IF(IFERROR(VLOOKUP(B499,'Devam Eden Sprint'!B:B,1,0),"-")=B499,"Devam Eden Sprint","-")</f>
        <v>-</v>
      </c>
      <c r="H499" t="str">
        <f>IF(IFERROR(VLOOKUP(B499,'Gelecek Sprint'!B:B,1,0),"-")=B499,"Gelecek Sprint","-")</f>
        <v>-</v>
      </c>
      <c r="I499" t="str">
        <f t="shared" si="14"/>
        <v>Ürün İş Listesi</v>
      </c>
      <c r="J499" s="5">
        <v>3</v>
      </c>
    </row>
    <row r="500" spans="1:10" x14ac:dyDescent="0.25">
      <c r="A500" t="s">
        <v>77</v>
      </c>
      <c r="B500" t="s">
        <v>1041</v>
      </c>
      <c r="C500" t="s">
        <v>16</v>
      </c>
      <c r="D500" t="s">
        <v>1042</v>
      </c>
      <c r="E500" s="5" t="s">
        <v>56</v>
      </c>
      <c r="F500" s="5" t="e">
        <f>VLOOKUP(B500,'Türkkep Jira'!B:F,5,0)</f>
        <v>#N/A</v>
      </c>
      <c r="G500" t="str">
        <f>IF(IFERROR(VLOOKUP(B500,'Devam Eden Sprint'!B:B,1,0),"-")=B500,"Devam Eden Sprint","-")</f>
        <v>-</v>
      </c>
      <c r="H500" t="str">
        <f>IF(IFERROR(VLOOKUP(B500,'Gelecek Sprint'!B:B,1,0),"-")=B500,"Gelecek Sprint","-")</f>
        <v>-</v>
      </c>
      <c r="I500" t="str">
        <f t="shared" si="14"/>
        <v>Ürün İş Listesi</v>
      </c>
      <c r="J500" s="5">
        <v>2</v>
      </c>
    </row>
    <row r="501" spans="1:10" x14ac:dyDescent="0.25">
      <c r="A501" t="s">
        <v>77</v>
      </c>
      <c r="B501" t="s">
        <v>1043</v>
      </c>
      <c r="C501" t="s">
        <v>16</v>
      </c>
      <c r="D501" t="s">
        <v>1044</v>
      </c>
      <c r="E501" s="5" t="s">
        <v>56</v>
      </c>
      <c r="F501" s="5" t="e">
        <f>VLOOKUP(B501,'Türkkep Jira'!B:F,5,0)</f>
        <v>#N/A</v>
      </c>
      <c r="G501" t="str">
        <f>IF(IFERROR(VLOOKUP(B501,'Devam Eden Sprint'!B:B,1,0),"-")=B501,"Devam Eden Sprint","-")</f>
        <v>-</v>
      </c>
      <c r="H501" t="str">
        <f>IF(IFERROR(VLOOKUP(B501,'Gelecek Sprint'!B:B,1,0),"-")=B501,"Gelecek Sprint","-")</f>
        <v>-</v>
      </c>
      <c r="I501" t="str">
        <f t="shared" si="14"/>
        <v>Ürün İş Listesi</v>
      </c>
      <c r="J501" s="5">
        <v>1</v>
      </c>
    </row>
    <row r="502" spans="1:10" x14ac:dyDescent="0.25">
      <c r="A502" t="s">
        <v>14</v>
      </c>
      <c r="B502" t="s">
        <v>1045</v>
      </c>
      <c r="C502" t="s">
        <v>10</v>
      </c>
      <c r="D502" t="s">
        <v>1046</v>
      </c>
      <c r="E502" s="5" t="s">
        <v>56</v>
      </c>
      <c r="F502" s="5" t="str">
        <f>VLOOKUP(B502,'Türkkep Jira'!B:F,5,0)</f>
        <v>To Do</v>
      </c>
      <c r="G502" t="str">
        <f>IF(IFERROR(VLOOKUP(B502,'Devam Eden Sprint'!B:B,1,0),"-")=B502,"Devam Eden Sprint","-")</f>
        <v>-</v>
      </c>
      <c r="H502" t="str">
        <f>IF(IFERROR(VLOOKUP(B502,'Gelecek Sprint'!B:B,1,0),"-")=B502,"Gelecek Sprint","-")</f>
        <v>Gelecek Sprint</v>
      </c>
      <c r="I502" t="str">
        <f t="shared" si="14"/>
        <v>Gelecek Sprint</v>
      </c>
    </row>
    <row r="503" spans="1:10" x14ac:dyDescent="0.25">
      <c r="A503" t="s">
        <v>77</v>
      </c>
      <c r="B503" t="s">
        <v>1047</v>
      </c>
      <c r="C503" t="s">
        <v>16</v>
      </c>
      <c r="D503" t="s">
        <v>1048</v>
      </c>
      <c r="E503" s="5" t="s">
        <v>56</v>
      </c>
      <c r="F503" s="5" t="e">
        <f>VLOOKUP(B503,'Türkkep Jira'!B:F,5,0)</f>
        <v>#N/A</v>
      </c>
      <c r="G503" t="str">
        <f>IF(IFERROR(VLOOKUP(B503,'Devam Eden Sprint'!B:B,1,0),"-")=B503,"Devam Eden Sprint","-")</f>
        <v>-</v>
      </c>
      <c r="H503" t="str">
        <f>IF(IFERROR(VLOOKUP(B503,'Gelecek Sprint'!B:B,1,0),"-")=B503,"Gelecek Sprint","-")</f>
        <v>-</v>
      </c>
      <c r="I503" t="str">
        <f t="shared" si="14"/>
        <v>Ürün İş Listesi</v>
      </c>
      <c r="J503" s="5">
        <v>2</v>
      </c>
    </row>
    <row r="504" spans="1:10" x14ac:dyDescent="0.25">
      <c r="A504" t="s">
        <v>77</v>
      </c>
      <c r="B504" t="s">
        <v>1049</v>
      </c>
      <c r="C504" t="s">
        <v>16</v>
      </c>
      <c r="D504" t="s">
        <v>1050</v>
      </c>
      <c r="E504" s="5" t="s">
        <v>56</v>
      </c>
      <c r="F504" s="5" t="e">
        <f>VLOOKUP(B504,'Türkkep Jira'!B:F,5,0)</f>
        <v>#N/A</v>
      </c>
      <c r="G504" t="str">
        <f>IF(IFERROR(VLOOKUP(B504,'Devam Eden Sprint'!B:B,1,0),"-")=B504,"Devam Eden Sprint","-")</f>
        <v>-</v>
      </c>
      <c r="H504" t="str">
        <f>IF(IFERROR(VLOOKUP(B504,'Gelecek Sprint'!B:B,1,0),"-")=B504,"Gelecek Sprint","-")</f>
        <v>-</v>
      </c>
      <c r="I504" t="str">
        <f t="shared" si="14"/>
        <v>Ürün İş Listesi</v>
      </c>
      <c r="J504" s="5">
        <v>3</v>
      </c>
    </row>
    <row r="505" spans="1:10" x14ac:dyDescent="0.25">
      <c r="A505" t="s">
        <v>14</v>
      </c>
      <c r="B505" t="s">
        <v>1051</v>
      </c>
      <c r="C505" t="s">
        <v>10</v>
      </c>
      <c r="D505" t="s">
        <v>1052</v>
      </c>
      <c r="E505" s="5" t="s">
        <v>56</v>
      </c>
      <c r="F505" s="5" t="str">
        <f>VLOOKUP(B505,'Türkkep Jira'!B:F,5,0)</f>
        <v>To Do</v>
      </c>
      <c r="G505" t="str">
        <f>IF(IFERROR(VLOOKUP(B505,'Devam Eden Sprint'!B:B,1,0),"-")=B505,"Devam Eden Sprint","-")</f>
        <v>-</v>
      </c>
      <c r="H505" t="str">
        <f>IF(IFERROR(VLOOKUP(B505,'Gelecek Sprint'!B:B,1,0),"-")=B505,"Gelecek Sprint","-")</f>
        <v>-</v>
      </c>
      <c r="I505" t="str">
        <f t="shared" si="14"/>
        <v>Ürün İş Listesi</v>
      </c>
    </row>
    <row r="506" spans="1:10" x14ac:dyDescent="0.25">
      <c r="A506" t="s">
        <v>14</v>
      </c>
      <c r="B506" t="s">
        <v>1053</v>
      </c>
      <c r="C506" t="s">
        <v>10</v>
      </c>
      <c r="D506" t="s">
        <v>1054</v>
      </c>
      <c r="E506" s="5" t="s">
        <v>56</v>
      </c>
      <c r="F506" s="5" t="e">
        <f>VLOOKUP(B506,'Türkkep Jira'!B:F,5,0)</f>
        <v>#N/A</v>
      </c>
      <c r="G506" t="str">
        <f>IF(IFERROR(VLOOKUP(B506,'Devam Eden Sprint'!B:B,1,0),"-")=B506,"Devam Eden Sprint","-")</f>
        <v>-</v>
      </c>
      <c r="H506" t="str">
        <f>IF(IFERROR(VLOOKUP(B506,'Gelecek Sprint'!B:B,1,0),"-")=B506,"Gelecek Sprint","-")</f>
        <v>-</v>
      </c>
      <c r="I506" t="str">
        <f t="shared" si="14"/>
        <v>Ürün İş Listesi</v>
      </c>
    </row>
    <row r="507" spans="1:10" x14ac:dyDescent="0.25">
      <c r="A507" t="s">
        <v>77</v>
      </c>
      <c r="B507" t="s">
        <v>1055</v>
      </c>
      <c r="C507" t="s">
        <v>16</v>
      </c>
      <c r="D507" t="s">
        <v>1056</v>
      </c>
      <c r="E507" s="5" t="s">
        <v>56</v>
      </c>
      <c r="F507" s="5" t="e">
        <f>VLOOKUP(B507,'Türkkep Jira'!B:F,5,0)</f>
        <v>#N/A</v>
      </c>
      <c r="G507" t="str">
        <f>IF(IFERROR(VLOOKUP(B507,'Devam Eden Sprint'!B:B,1,0),"-")=B507,"Devam Eden Sprint","-")</f>
        <v>-</v>
      </c>
      <c r="H507" t="str">
        <f>IF(IFERROR(VLOOKUP(B507,'Gelecek Sprint'!B:B,1,0),"-")=B507,"Gelecek Sprint","-")</f>
        <v>-</v>
      </c>
      <c r="I507" t="str">
        <f t="shared" si="14"/>
        <v>Ürün İş Listesi</v>
      </c>
      <c r="J507" s="5">
        <v>1</v>
      </c>
    </row>
    <row r="508" spans="1:10" x14ac:dyDescent="0.25">
      <c r="A508" t="s">
        <v>77</v>
      </c>
      <c r="B508" t="s">
        <v>1057</v>
      </c>
      <c r="C508" t="s">
        <v>16</v>
      </c>
      <c r="D508" t="s">
        <v>1058</v>
      </c>
      <c r="E508" s="5" t="s">
        <v>56</v>
      </c>
      <c r="F508" s="5" t="e">
        <f>VLOOKUP(B508,'Türkkep Jira'!B:F,5,0)</f>
        <v>#N/A</v>
      </c>
      <c r="G508" t="str">
        <f>IF(IFERROR(VLOOKUP(B508,'Devam Eden Sprint'!B:B,1,0),"-")=B508,"Devam Eden Sprint","-")</f>
        <v>-</v>
      </c>
      <c r="H508" t="str">
        <f>IF(IFERROR(VLOOKUP(B508,'Gelecek Sprint'!B:B,1,0),"-")=B508,"Gelecek Sprint","-")</f>
        <v>-</v>
      </c>
      <c r="I508" t="str">
        <f t="shared" si="14"/>
        <v>Ürün İş Listesi</v>
      </c>
      <c r="J508" s="5">
        <v>3</v>
      </c>
    </row>
    <row r="509" spans="1:10" x14ac:dyDescent="0.25">
      <c r="A509" t="s">
        <v>77</v>
      </c>
      <c r="B509" t="s">
        <v>1059</v>
      </c>
      <c r="C509" t="s">
        <v>16</v>
      </c>
      <c r="D509" t="s">
        <v>1060</v>
      </c>
      <c r="E509" s="5" t="s">
        <v>56</v>
      </c>
      <c r="F509" s="5" t="e">
        <f>VLOOKUP(B509,'Türkkep Jira'!B:F,5,0)</f>
        <v>#N/A</v>
      </c>
      <c r="G509" t="str">
        <f>IF(IFERROR(VLOOKUP(B509,'Devam Eden Sprint'!B:B,1,0),"-")=B509,"Devam Eden Sprint","-")</f>
        <v>-</v>
      </c>
      <c r="H509" t="str">
        <f>IF(IFERROR(VLOOKUP(B509,'Gelecek Sprint'!B:B,1,0),"-")=B509,"Gelecek Sprint","-")</f>
        <v>-</v>
      </c>
      <c r="I509" t="str">
        <f t="shared" si="14"/>
        <v>Ürün İş Listesi</v>
      </c>
      <c r="J509" s="5">
        <v>1</v>
      </c>
    </row>
    <row r="510" spans="1:10" x14ac:dyDescent="0.25">
      <c r="A510" t="s">
        <v>14</v>
      </c>
      <c r="B510" t="s">
        <v>1061</v>
      </c>
      <c r="C510" t="s">
        <v>16</v>
      </c>
      <c r="D510" t="s">
        <v>1062</v>
      </c>
      <c r="E510" s="5" t="s">
        <v>56</v>
      </c>
      <c r="F510" s="5" t="e">
        <f>VLOOKUP(B510,'Türkkep Jira'!B:F,5,0)</f>
        <v>#N/A</v>
      </c>
      <c r="G510" t="str">
        <f>IF(IFERROR(VLOOKUP(B510,'Devam Eden Sprint'!B:B,1,0),"-")=B510,"Devam Eden Sprint","-")</f>
        <v>-</v>
      </c>
      <c r="H510" t="str">
        <f>IF(IFERROR(VLOOKUP(B510,'Gelecek Sprint'!B:B,1,0),"-")=B510,"Gelecek Sprint","-")</f>
        <v>-</v>
      </c>
      <c r="I510" t="str">
        <f t="shared" si="14"/>
        <v>Ürün İş Listesi</v>
      </c>
      <c r="J510" s="5">
        <v>3</v>
      </c>
    </row>
    <row r="511" spans="1:10" x14ac:dyDescent="0.25">
      <c r="A511" t="s">
        <v>77</v>
      </c>
      <c r="B511" t="s">
        <v>1063</v>
      </c>
      <c r="C511" t="s">
        <v>16</v>
      </c>
      <c r="D511" t="s">
        <v>1064</v>
      </c>
      <c r="E511" s="5" t="s">
        <v>56</v>
      </c>
      <c r="F511" s="5" t="e">
        <f>VLOOKUP(B511,'Türkkep Jira'!B:F,5,0)</f>
        <v>#N/A</v>
      </c>
      <c r="G511" t="str">
        <f>IF(IFERROR(VLOOKUP(B511,'Devam Eden Sprint'!B:B,1,0),"-")=B511,"Devam Eden Sprint","-")</f>
        <v>-</v>
      </c>
      <c r="H511" t="str">
        <f>IF(IFERROR(VLOOKUP(B511,'Gelecek Sprint'!B:B,1,0),"-")=B511,"Gelecek Sprint","-")</f>
        <v>-</v>
      </c>
      <c r="I511" t="str">
        <f t="shared" si="14"/>
        <v>Ürün İş Listesi</v>
      </c>
      <c r="J511" s="5">
        <v>5</v>
      </c>
    </row>
    <row r="512" spans="1:10" x14ac:dyDescent="0.25">
      <c r="A512" t="s">
        <v>77</v>
      </c>
      <c r="B512" t="s">
        <v>1065</v>
      </c>
      <c r="C512" t="s">
        <v>16</v>
      </c>
      <c r="D512" t="s">
        <v>1066</v>
      </c>
      <c r="E512" s="5" t="s">
        <v>56</v>
      </c>
      <c r="F512" s="5" t="e">
        <f>VLOOKUP(B512,'Türkkep Jira'!B:F,5,0)</f>
        <v>#N/A</v>
      </c>
      <c r="G512" t="str">
        <f>IF(IFERROR(VLOOKUP(B512,'Devam Eden Sprint'!B:B,1,0),"-")=B512,"Devam Eden Sprint","-")</f>
        <v>-</v>
      </c>
      <c r="H512" t="str">
        <f>IF(IFERROR(VLOOKUP(B512,'Gelecek Sprint'!B:B,1,0),"-")=B512,"Gelecek Sprint","-")</f>
        <v>-</v>
      </c>
      <c r="I512" t="str">
        <f t="shared" si="14"/>
        <v>Ürün İş Listesi</v>
      </c>
      <c r="J512" s="5">
        <v>3</v>
      </c>
    </row>
    <row r="513" spans="1:10" x14ac:dyDescent="0.25">
      <c r="A513" t="s">
        <v>77</v>
      </c>
      <c r="B513" t="s">
        <v>1067</v>
      </c>
      <c r="C513" t="s">
        <v>16</v>
      </c>
      <c r="D513" t="s">
        <v>1068</v>
      </c>
      <c r="E513" s="5" t="s">
        <v>56</v>
      </c>
      <c r="F513" s="5" t="e">
        <f>VLOOKUP(B513,'Türkkep Jira'!B:F,5,0)</f>
        <v>#N/A</v>
      </c>
      <c r="G513" t="str">
        <f>IF(IFERROR(VLOOKUP(B513,'Devam Eden Sprint'!B:B,1,0),"-")=B513,"Devam Eden Sprint","-")</f>
        <v>-</v>
      </c>
      <c r="H513" t="str">
        <f>IF(IFERROR(VLOOKUP(B513,'Gelecek Sprint'!B:B,1,0),"-")=B513,"Gelecek Sprint","-")</f>
        <v>-</v>
      </c>
      <c r="I513" t="str">
        <f t="shared" si="14"/>
        <v>Ürün İş Listesi</v>
      </c>
    </row>
    <row r="514" spans="1:10" x14ac:dyDescent="0.25">
      <c r="A514" t="s">
        <v>77</v>
      </c>
      <c r="B514" t="s">
        <v>1069</v>
      </c>
      <c r="C514" t="s">
        <v>16</v>
      </c>
      <c r="D514" t="s">
        <v>1070</v>
      </c>
      <c r="E514" s="5" t="s">
        <v>56</v>
      </c>
      <c r="F514" s="5" t="e">
        <f>VLOOKUP(B514,'Türkkep Jira'!B:F,5,0)</f>
        <v>#N/A</v>
      </c>
      <c r="G514" t="str">
        <f>IF(IFERROR(VLOOKUP(B514,'Devam Eden Sprint'!B:B,1,0),"-")=B514,"Devam Eden Sprint","-")</f>
        <v>-</v>
      </c>
      <c r="H514" t="str">
        <f>IF(IFERROR(VLOOKUP(B514,'Gelecek Sprint'!B:B,1,0),"-")=B514,"Gelecek Sprint","-")</f>
        <v>-</v>
      </c>
      <c r="I514" t="str">
        <f t="shared" si="14"/>
        <v>Ürün İş Listesi</v>
      </c>
    </row>
    <row r="515" spans="1:10" x14ac:dyDescent="0.25">
      <c r="A515" t="s">
        <v>77</v>
      </c>
      <c r="B515" t="s">
        <v>1071</v>
      </c>
      <c r="C515" t="s">
        <v>16</v>
      </c>
      <c r="D515" t="s">
        <v>1072</v>
      </c>
      <c r="E515" s="5" t="s">
        <v>56</v>
      </c>
      <c r="F515" s="5" t="e">
        <f>VLOOKUP(B515,'Türkkep Jira'!B:F,5,0)</f>
        <v>#N/A</v>
      </c>
      <c r="G515" t="str">
        <f>IF(IFERROR(VLOOKUP(B515,'Devam Eden Sprint'!B:B,1,0),"-")=B515,"Devam Eden Sprint","-")</f>
        <v>-</v>
      </c>
      <c r="H515" t="str">
        <f>IF(IFERROR(VLOOKUP(B515,'Gelecek Sprint'!B:B,1,0),"-")=B515,"Gelecek Sprint","-")</f>
        <v>-</v>
      </c>
      <c r="I515" t="str">
        <f t="shared" si="14"/>
        <v>Ürün İş Listesi</v>
      </c>
    </row>
    <row r="516" spans="1:10" x14ac:dyDescent="0.25">
      <c r="A516" t="s">
        <v>14</v>
      </c>
      <c r="B516" t="s">
        <v>1073</v>
      </c>
      <c r="C516" t="s">
        <v>16</v>
      </c>
      <c r="D516" t="s">
        <v>1074</v>
      </c>
      <c r="E516" s="5" t="s">
        <v>47</v>
      </c>
      <c r="F516" s="5" t="e">
        <f>VLOOKUP(B516,'Türkkep Jira'!B:F,5,0)</f>
        <v>#N/A</v>
      </c>
      <c r="G516" t="str">
        <f>IF(IFERROR(VLOOKUP(B516,'Devam Eden Sprint'!B:B,1,0),"-")=B516,"Devam Eden Sprint","-")</f>
        <v>-</v>
      </c>
      <c r="H516" t="str">
        <f>IF(IFERROR(VLOOKUP(B516,'Gelecek Sprint'!B:B,1,0),"-")=B516,"Gelecek Sprint","-")</f>
        <v>-</v>
      </c>
      <c r="I516" t="str">
        <f t="shared" si="14"/>
        <v>Ürün İş Listesi</v>
      </c>
    </row>
    <row r="517" spans="1:10" x14ac:dyDescent="0.25">
      <c r="A517" t="s">
        <v>14</v>
      </c>
      <c r="B517" t="s">
        <v>1075</v>
      </c>
      <c r="C517" t="s">
        <v>16</v>
      </c>
      <c r="D517" t="s">
        <v>1076</v>
      </c>
      <c r="E517" s="5" t="s">
        <v>47</v>
      </c>
      <c r="F517" s="5" t="e">
        <f>VLOOKUP(B517,'Türkkep Jira'!B:F,5,0)</f>
        <v>#N/A</v>
      </c>
      <c r="G517" t="str">
        <f>IF(IFERROR(VLOOKUP(B517,'Devam Eden Sprint'!B:B,1,0),"-")=B517,"Devam Eden Sprint","-")</f>
        <v>-</v>
      </c>
      <c r="H517" t="str">
        <f>IF(IFERROR(VLOOKUP(B517,'Gelecek Sprint'!B:B,1,0),"-")=B517,"Gelecek Sprint","-")</f>
        <v>-</v>
      </c>
      <c r="I517" t="str">
        <f t="shared" si="14"/>
        <v>Ürün İş Listesi</v>
      </c>
    </row>
    <row r="518" spans="1:10" x14ac:dyDescent="0.25">
      <c r="A518" t="s">
        <v>14</v>
      </c>
      <c r="B518" t="s">
        <v>1077</v>
      </c>
      <c r="C518" t="s">
        <v>10</v>
      </c>
      <c r="D518" t="s">
        <v>1078</v>
      </c>
      <c r="E518" s="5" t="s">
        <v>47</v>
      </c>
      <c r="F518" s="5" t="e">
        <f>VLOOKUP(B518,'Türkkep Jira'!B:F,5,0)</f>
        <v>#N/A</v>
      </c>
      <c r="G518" t="str">
        <f>IF(IFERROR(VLOOKUP(B518,'Devam Eden Sprint'!B:B,1,0),"-")=B518,"Devam Eden Sprint","-")</f>
        <v>-</v>
      </c>
      <c r="H518" t="str">
        <f>IF(IFERROR(VLOOKUP(B518,'Gelecek Sprint'!B:B,1,0),"-")=B518,"Gelecek Sprint","-")</f>
        <v>-</v>
      </c>
      <c r="I518" t="str">
        <f t="shared" si="14"/>
        <v>Ürün İş Listesi</v>
      </c>
    </row>
    <row r="519" spans="1:10" x14ac:dyDescent="0.25">
      <c r="A519" t="s">
        <v>14</v>
      </c>
      <c r="B519" t="s">
        <v>1079</v>
      </c>
      <c r="C519" t="s">
        <v>10</v>
      </c>
      <c r="D519" t="s">
        <v>1080</v>
      </c>
      <c r="E519" s="5" t="s">
        <v>991</v>
      </c>
      <c r="F519" s="5" t="str">
        <f>VLOOKUP(B519,'Türkkep Jira'!B:F,5,0)</f>
        <v>To Do</v>
      </c>
      <c r="G519" t="str">
        <f>IF(IFERROR(VLOOKUP(B519,'Devam Eden Sprint'!B:B,1,0),"-")=B519,"Devam Eden Sprint","-")</f>
        <v>-</v>
      </c>
      <c r="H519" t="str">
        <f>IF(IFERROR(VLOOKUP(B519,'Gelecek Sprint'!B:B,1,0),"-")=B519,"Gelecek Sprint","-")</f>
        <v>-</v>
      </c>
      <c r="I519" t="str">
        <f t="shared" si="14"/>
        <v>Ürün İş Listesi</v>
      </c>
    </row>
    <row r="520" spans="1:10" x14ac:dyDescent="0.25">
      <c r="A520" t="s">
        <v>14</v>
      </c>
      <c r="B520" t="s">
        <v>1081</v>
      </c>
      <c r="C520" t="s">
        <v>16</v>
      </c>
      <c r="D520" t="s">
        <v>1082</v>
      </c>
      <c r="E520" s="5" t="s">
        <v>991</v>
      </c>
      <c r="F520" s="5" t="e">
        <f>VLOOKUP(B520,'Türkkep Jira'!B:F,5,0)</f>
        <v>#N/A</v>
      </c>
      <c r="G520" t="str">
        <f>IF(IFERROR(VLOOKUP(B520,'Devam Eden Sprint'!B:B,1,0),"-")=B520,"Devam Eden Sprint","-")</f>
        <v>-</v>
      </c>
      <c r="H520" t="str">
        <f>IF(IFERROR(VLOOKUP(B520,'Gelecek Sprint'!B:B,1,0),"-")=B520,"Gelecek Sprint","-")</f>
        <v>-</v>
      </c>
      <c r="I520" t="str">
        <f t="shared" si="14"/>
        <v>Ürün İş Listesi</v>
      </c>
    </row>
    <row r="521" spans="1:10" x14ac:dyDescent="0.25">
      <c r="A521" t="s">
        <v>14</v>
      </c>
      <c r="B521" t="s">
        <v>1083</v>
      </c>
      <c r="C521" t="s">
        <v>10</v>
      </c>
      <c r="D521" t="s">
        <v>1084</v>
      </c>
      <c r="E521" s="5" t="s">
        <v>991</v>
      </c>
      <c r="F521" s="5" t="str">
        <f>VLOOKUP(B521,'Türkkep Jira'!B:F,5,0)</f>
        <v>To Do</v>
      </c>
      <c r="G521" t="str">
        <f>IF(IFERROR(VLOOKUP(B521,'Devam Eden Sprint'!B:B,1,0),"-")=B521,"Devam Eden Sprint","-")</f>
        <v>-</v>
      </c>
      <c r="H521" t="str">
        <f>IF(IFERROR(VLOOKUP(B521,'Gelecek Sprint'!B:B,1,0),"-")=B521,"Gelecek Sprint","-")</f>
        <v>-</v>
      </c>
      <c r="I521" t="str">
        <f t="shared" si="14"/>
        <v>Ürün İş Listesi</v>
      </c>
    </row>
    <row r="522" spans="1:10" x14ac:dyDescent="0.25">
      <c r="A522" t="s">
        <v>14</v>
      </c>
      <c r="B522" t="s">
        <v>1085</v>
      </c>
      <c r="C522" t="s">
        <v>16</v>
      </c>
      <c r="D522" t="s">
        <v>1086</v>
      </c>
      <c r="E522" s="5" t="s">
        <v>991</v>
      </c>
      <c r="F522" s="5" t="e">
        <f>VLOOKUP(B522,'Türkkep Jira'!B:F,5,0)</f>
        <v>#N/A</v>
      </c>
      <c r="G522" t="str">
        <f>IF(IFERROR(VLOOKUP(B522,'Devam Eden Sprint'!B:B,1,0),"-")=B522,"Devam Eden Sprint","-")</f>
        <v>-</v>
      </c>
      <c r="H522" t="str">
        <f>IF(IFERROR(VLOOKUP(B522,'Gelecek Sprint'!B:B,1,0),"-")=B522,"Gelecek Sprint","-")</f>
        <v>-</v>
      </c>
      <c r="I522" t="str">
        <f t="shared" si="14"/>
        <v>Ürün İş Listesi</v>
      </c>
    </row>
    <row r="523" spans="1:10" x14ac:dyDescent="0.25">
      <c r="A523" t="s">
        <v>14</v>
      </c>
      <c r="B523" t="s">
        <v>1087</v>
      </c>
      <c r="C523" t="s">
        <v>16</v>
      </c>
      <c r="D523" t="s">
        <v>1088</v>
      </c>
      <c r="E523" s="5" t="s">
        <v>12</v>
      </c>
      <c r="F523" s="5" t="e">
        <f>VLOOKUP(B523,'Türkkep Jira'!B:F,5,0)</f>
        <v>#N/A</v>
      </c>
      <c r="G523" t="str">
        <f>IF(IFERROR(VLOOKUP(B523,'Devam Eden Sprint'!B:B,1,0),"-")=B523,"Devam Eden Sprint","-")</f>
        <v>-</v>
      </c>
      <c r="H523" t="str">
        <f>IF(IFERROR(VLOOKUP(B523,'Gelecek Sprint'!B:B,1,0),"-")=B523,"Gelecek Sprint","-")</f>
        <v>-</v>
      </c>
      <c r="I523" t="str">
        <f t="shared" si="14"/>
        <v>Ürün İş Listesi</v>
      </c>
      <c r="J523" s="5">
        <v>3</v>
      </c>
    </row>
    <row r="524" spans="1:10" x14ac:dyDescent="0.25">
      <c r="A524" t="s">
        <v>14</v>
      </c>
      <c r="B524" t="s">
        <v>1089</v>
      </c>
      <c r="C524" t="s">
        <v>16</v>
      </c>
      <c r="D524" t="s">
        <v>1090</v>
      </c>
      <c r="E524" s="5" t="s">
        <v>41</v>
      </c>
      <c r="F524" s="5" t="e">
        <f>VLOOKUP(B524,'Türkkep Jira'!B:F,5,0)</f>
        <v>#N/A</v>
      </c>
      <c r="G524" t="str">
        <f>IF(IFERROR(VLOOKUP(B524,'Devam Eden Sprint'!B:B,1,0),"-")=B524,"Devam Eden Sprint","-")</f>
        <v>-</v>
      </c>
      <c r="H524" t="str">
        <f>IF(IFERROR(VLOOKUP(B524,'Gelecek Sprint'!B:B,1,0),"-")=B524,"Gelecek Sprint","-")</f>
        <v>-</v>
      </c>
      <c r="I524" t="str">
        <f t="shared" si="14"/>
        <v>Ürün İş Listesi</v>
      </c>
      <c r="J524" s="5">
        <v>2</v>
      </c>
    </row>
    <row r="525" spans="1:10" x14ac:dyDescent="0.25">
      <c r="A525" t="s">
        <v>14</v>
      </c>
      <c r="B525" t="s">
        <v>1091</v>
      </c>
      <c r="C525" t="s">
        <v>16</v>
      </c>
      <c r="D525" t="s">
        <v>1092</v>
      </c>
      <c r="E525" s="5" t="s">
        <v>41</v>
      </c>
      <c r="F525" s="5" t="e">
        <f>VLOOKUP(B525,'Türkkep Jira'!B:F,5,0)</f>
        <v>#N/A</v>
      </c>
      <c r="G525" t="str">
        <f>IF(IFERROR(VLOOKUP(B525,'Devam Eden Sprint'!B:B,1,0),"-")=B525,"Devam Eden Sprint","-")</f>
        <v>-</v>
      </c>
      <c r="H525" t="str">
        <f>IF(IFERROR(VLOOKUP(B525,'Gelecek Sprint'!B:B,1,0),"-")=B525,"Gelecek Sprint","-")</f>
        <v>-</v>
      </c>
      <c r="I525" t="str">
        <f t="shared" si="14"/>
        <v>Ürün İş Listesi</v>
      </c>
      <c r="J525" s="5">
        <v>2</v>
      </c>
    </row>
    <row r="526" spans="1:10" x14ac:dyDescent="0.25">
      <c r="A526" t="s">
        <v>14</v>
      </c>
      <c r="B526" t="s">
        <v>1093</v>
      </c>
      <c r="C526" t="s">
        <v>16</v>
      </c>
      <c r="D526" t="s">
        <v>1094</v>
      </c>
      <c r="E526" s="5" t="s">
        <v>41</v>
      </c>
      <c r="F526" s="5" t="e">
        <f>VLOOKUP(B526,'Türkkep Jira'!B:F,5,0)</f>
        <v>#N/A</v>
      </c>
      <c r="G526" t="str">
        <f>IF(IFERROR(VLOOKUP(B526,'Devam Eden Sprint'!B:B,1,0),"-")=B526,"Devam Eden Sprint","-")</f>
        <v>-</v>
      </c>
      <c r="H526" t="str">
        <f>IF(IFERROR(VLOOKUP(B526,'Gelecek Sprint'!B:B,1,0),"-")=B526,"Gelecek Sprint","-")</f>
        <v>-</v>
      </c>
      <c r="I526" t="str">
        <f t="shared" si="14"/>
        <v>Ürün İş Listesi</v>
      </c>
      <c r="J526" s="5">
        <v>2</v>
      </c>
    </row>
    <row r="527" spans="1:10" x14ac:dyDescent="0.25">
      <c r="A527" t="s">
        <v>14</v>
      </c>
      <c r="B527" t="s">
        <v>1095</v>
      </c>
      <c r="C527" t="s">
        <v>27</v>
      </c>
      <c r="D527" t="s">
        <v>1096</v>
      </c>
      <c r="E527" s="5" t="s">
        <v>12</v>
      </c>
      <c r="F527" s="5" t="str">
        <f>VLOOKUP(B527,'Türkkep Jira'!B:F,5,0)</f>
        <v>TO TEST</v>
      </c>
      <c r="G527" t="str">
        <f>IF(IFERROR(VLOOKUP(B527,'Devam Eden Sprint'!B:B,1,0),"-")=B527,"Devam Eden Sprint","-")</f>
        <v>Devam Eden Sprint</v>
      </c>
      <c r="H527" t="str">
        <f>IF(IFERROR(VLOOKUP(B527,'Gelecek Sprint'!B:B,1,0),"-")=B527,"Gelecek Sprint","-")</f>
        <v>Gelecek Sprint</v>
      </c>
      <c r="I527" t="str">
        <f t="shared" si="14"/>
        <v>Devam Eden ve Gelecek Sprint</v>
      </c>
      <c r="J527" s="5">
        <v>3</v>
      </c>
    </row>
    <row r="528" spans="1:10" x14ac:dyDescent="0.25">
      <c r="A528" t="s">
        <v>14</v>
      </c>
      <c r="B528" t="s">
        <v>1097</v>
      </c>
      <c r="C528" t="s">
        <v>16</v>
      </c>
      <c r="D528" t="s">
        <v>1098</v>
      </c>
      <c r="E528" s="5" t="s">
        <v>12</v>
      </c>
      <c r="F528" s="5" t="e">
        <f>VLOOKUP(B528,'Türkkep Jira'!B:F,5,0)</f>
        <v>#N/A</v>
      </c>
      <c r="G528" t="str">
        <f>IF(IFERROR(VLOOKUP(B528,'Devam Eden Sprint'!B:B,1,0),"-")=B528,"Devam Eden Sprint","-")</f>
        <v>-</v>
      </c>
      <c r="H528" t="str">
        <f>IF(IFERROR(VLOOKUP(B528,'Gelecek Sprint'!B:B,1,0),"-")=B528,"Gelecek Sprint","-")</f>
        <v>-</v>
      </c>
      <c r="I528" t="str">
        <f t="shared" si="14"/>
        <v>Ürün İş Listesi</v>
      </c>
      <c r="J528" s="5">
        <v>1</v>
      </c>
    </row>
    <row r="529" spans="1:10" x14ac:dyDescent="0.25">
      <c r="A529" t="s">
        <v>77</v>
      </c>
      <c r="B529" t="s">
        <v>1099</v>
      </c>
      <c r="C529" t="s">
        <v>16</v>
      </c>
      <c r="D529" t="s">
        <v>1100</v>
      </c>
      <c r="E529" s="5" t="s">
        <v>53</v>
      </c>
      <c r="F529" s="5" t="e">
        <f>VLOOKUP(B529,'Türkkep Jira'!B:F,5,0)</f>
        <v>#N/A</v>
      </c>
      <c r="G529" t="str">
        <f>IF(IFERROR(VLOOKUP(B529,'Devam Eden Sprint'!B:B,1,0),"-")=B529,"Devam Eden Sprint","-")</f>
        <v>-</v>
      </c>
      <c r="H529" t="str">
        <f>IF(IFERROR(VLOOKUP(B529,'Gelecek Sprint'!B:B,1,0),"-")=B529,"Gelecek Sprint","-")</f>
        <v>-</v>
      </c>
      <c r="I529" t="str">
        <f t="shared" si="14"/>
        <v>Ürün İş Listesi</v>
      </c>
      <c r="J529" s="5">
        <v>2</v>
      </c>
    </row>
    <row r="530" spans="1:10" x14ac:dyDescent="0.25">
      <c r="A530" t="s">
        <v>77</v>
      </c>
      <c r="B530" t="s">
        <v>1101</v>
      </c>
      <c r="C530" t="s">
        <v>16</v>
      </c>
      <c r="D530" t="s">
        <v>1102</v>
      </c>
      <c r="E530" s="5" t="s">
        <v>56</v>
      </c>
      <c r="F530" s="5" t="e">
        <f>VLOOKUP(B530,'Türkkep Jira'!B:F,5,0)</f>
        <v>#N/A</v>
      </c>
      <c r="G530" t="str">
        <f>IF(IFERROR(VLOOKUP(B530,'Devam Eden Sprint'!B:B,1,0),"-")=B530,"Devam Eden Sprint","-")</f>
        <v>-</v>
      </c>
      <c r="H530" t="str">
        <f>IF(IFERROR(VLOOKUP(B530,'Gelecek Sprint'!B:B,1,0),"-")=B530,"Gelecek Sprint","-")</f>
        <v>-</v>
      </c>
      <c r="I530" t="str">
        <f t="shared" si="14"/>
        <v>Ürün İş Listesi</v>
      </c>
      <c r="J530" s="5">
        <v>5</v>
      </c>
    </row>
    <row r="531" spans="1:10" x14ac:dyDescent="0.25">
      <c r="A531" t="s">
        <v>77</v>
      </c>
      <c r="B531" t="s">
        <v>1103</v>
      </c>
      <c r="C531" t="s">
        <v>16</v>
      </c>
      <c r="D531" t="s">
        <v>1104</v>
      </c>
      <c r="E531" s="5" t="s">
        <v>56</v>
      </c>
      <c r="F531" s="5" t="e">
        <f>VLOOKUP(B531,'Türkkep Jira'!B:F,5,0)</f>
        <v>#N/A</v>
      </c>
      <c r="G531" t="str">
        <f>IF(IFERROR(VLOOKUP(B531,'Devam Eden Sprint'!B:B,1,0),"-")=B531,"Devam Eden Sprint","-")</f>
        <v>-</v>
      </c>
      <c r="H531" t="str">
        <f>IF(IFERROR(VLOOKUP(B531,'Gelecek Sprint'!B:B,1,0),"-")=B531,"Gelecek Sprint","-")</f>
        <v>-</v>
      </c>
      <c r="I531" t="str">
        <f t="shared" si="14"/>
        <v>Ürün İş Listesi</v>
      </c>
      <c r="J531" s="5">
        <v>5</v>
      </c>
    </row>
    <row r="532" spans="1:10" x14ac:dyDescent="0.25">
      <c r="A532" t="s">
        <v>77</v>
      </c>
      <c r="B532" t="s">
        <v>1105</v>
      </c>
      <c r="C532" t="s">
        <v>16</v>
      </c>
      <c r="D532" t="s">
        <v>1106</v>
      </c>
      <c r="E532" s="5" t="s">
        <v>56</v>
      </c>
      <c r="F532" s="5" t="e">
        <f>VLOOKUP(B532,'Türkkep Jira'!B:F,5,0)</f>
        <v>#N/A</v>
      </c>
      <c r="G532" t="str">
        <f>IF(IFERROR(VLOOKUP(B532,'Devam Eden Sprint'!B:B,1,0),"-")=B532,"Devam Eden Sprint","-")</f>
        <v>-</v>
      </c>
      <c r="H532" t="str">
        <f>IF(IFERROR(VLOOKUP(B532,'Gelecek Sprint'!B:B,1,0),"-")=B532,"Gelecek Sprint","-")</f>
        <v>-</v>
      </c>
      <c r="I532" t="str">
        <f t="shared" si="14"/>
        <v>Ürün İş Listesi</v>
      </c>
      <c r="J532" s="5">
        <v>3</v>
      </c>
    </row>
    <row r="533" spans="1:10" x14ac:dyDescent="0.25">
      <c r="A533" t="s">
        <v>77</v>
      </c>
      <c r="B533" t="s">
        <v>1107</v>
      </c>
      <c r="C533" t="s">
        <v>16</v>
      </c>
      <c r="D533" t="s">
        <v>1108</v>
      </c>
      <c r="E533" s="5" t="s">
        <v>56</v>
      </c>
      <c r="F533" s="5" t="e">
        <f>VLOOKUP(B533,'Türkkep Jira'!B:F,5,0)</f>
        <v>#N/A</v>
      </c>
      <c r="G533" t="str">
        <f>IF(IFERROR(VLOOKUP(B533,'Devam Eden Sprint'!B:B,1,0),"-")=B533,"Devam Eden Sprint","-")</f>
        <v>-</v>
      </c>
      <c r="H533" t="str">
        <f>IF(IFERROR(VLOOKUP(B533,'Gelecek Sprint'!B:B,1,0),"-")=B533,"Gelecek Sprint","-")</f>
        <v>-</v>
      </c>
      <c r="I533" t="str">
        <f t="shared" si="14"/>
        <v>Ürün İş Listesi</v>
      </c>
      <c r="J533" s="5">
        <v>3</v>
      </c>
    </row>
    <row r="534" spans="1:10" x14ac:dyDescent="0.25">
      <c r="A534" t="s">
        <v>77</v>
      </c>
      <c r="B534" t="s">
        <v>1109</v>
      </c>
      <c r="C534" t="s">
        <v>16</v>
      </c>
      <c r="D534" t="s">
        <v>1110</v>
      </c>
      <c r="E534" s="5" t="s">
        <v>130</v>
      </c>
      <c r="F534" s="5" t="e">
        <f>VLOOKUP(B534,'Türkkep Jira'!B:F,5,0)</f>
        <v>#N/A</v>
      </c>
      <c r="G534" t="str">
        <f>IF(IFERROR(VLOOKUP(B534,'Devam Eden Sprint'!B:B,1,0),"-")=B534,"Devam Eden Sprint","-")</f>
        <v>-</v>
      </c>
      <c r="H534" t="str">
        <f>IF(IFERROR(VLOOKUP(B534,'Gelecek Sprint'!B:B,1,0),"-")=B534,"Gelecek Sprint","-")</f>
        <v>-</v>
      </c>
      <c r="I534" t="str">
        <f t="shared" si="14"/>
        <v>Ürün İş Listesi</v>
      </c>
      <c r="J534" s="5">
        <v>3</v>
      </c>
    </row>
    <row r="535" spans="1:10" x14ac:dyDescent="0.25">
      <c r="A535" t="s">
        <v>77</v>
      </c>
      <c r="B535" t="s">
        <v>1111</v>
      </c>
      <c r="C535" t="s">
        <v>16</v>
      </c>
      <c r="D535" t="s">
        <v>1112</v>
      </c>
      <c r="E535" s="5" t="s">
        <v>542</v>
      </c>
      <c r="F535" s="5" t="e">
        <f>VLOOKUP(B535,'Türkkep Jira'!B:F,5,0)</f>
        <v>#N/A</v>
      </c>
      <c r="G535" t="str">
        <f>IF(IFERROR(VLOOKUP(B535,'Devam Eden Sprint'!B:B,1,0),"-")=B535,"Devam Eden Sprint","-")</f>
        <v>-</v>
      </c>
      <c r="H535" t="str">
        <f>IF(IFERROR(VLOOKUP(B535,'Gelecek Sprint'!B:B,1,0),"-")=B535,"Gelecek Sprint","-")</f>
        <v>-</v>
      </c>
      <c r="I535" t="str">
        <f t="shared" si="14"/>
        <v>Ürün İş Listesi</v>
      </c>
      <c r="J535" s="5">
        <v>3</v>
      </c>
    </row>
    <row r="536" spans="1:10" x14ac:dyDescent="0.25">
      <c r="A536" t="s">
        <v>77</v>
      </c>
      <c r="B536" t="s">
        <v>1113</v>
      </c>
      <c r="C536" t="s">
        <v>16</v>
      </c>
      <c r="D536" t="s">
        <v>1114</v>
      </c>
      <c r="E536" s="5" t="s">
        <v>56</v>
      </c>
      <c r="F536" s="5" t="str">
        <f>VLOOKUP(B536,'Türkkep Jira'!B:F,5,0)</f>
        <v>Done</v>
      </c>
      <c r="G536" t="str">
        <f>IF(IFERROR(VLOOKUP(B536,'Devam Eden Sprint'!B:B,1,0),"-")=B536,"Devam Eden Sprint","-")</f>
        <v>-</v>
      </c>
      <c r="H536" t="str">
        <f>IF(IFERROR(VLOOKUP(B536,'Gelecek Sprint'!B:B,1,0),"-")=B536,"Gelecek Sprint","-")</f>
        <v>-</v>
      </c>
      <c r="I536" t="str">
        <f t="shared" si="14"/>
        <v>Ürün İş Listesi</v>
      </c>
      <c r="J536" s="5">
        <v>3</v>
      </c>
    </row>
    <row r="537" spans="1:10" x14ac:dyDescent="0.25">
      <c r="A537" t="s">
        <v>77</v>
      </c>
      <c r="B537" t="s">
        <v>1115</v>
      </c>
      <c r="C537" t="s">
        <v>16</v>
      </c>
      <c r="D537" t="s">
        <v>1116</v>
      </c>
      <c r="E537" s="5" t="s">
        <v>56</v>
      </c>
      <c r="F537" s="5" t="e">
        <f>VLOOKUP(B537,'Türkkep Jira'!B:F,5,0)</f>
        <v>#N/A</v>
      </c>
      <c r="G537" t="str">
        <f>IF(IFERROR(VLOOKUP(B537,'Devam Eden Sprint'!B:B,1,0),"-")=B537,"Devam Eden Sprint","-")</f>
        <v>-</v>
      </c>
      <c r="H537" t="str">
        <f>IF(IFERROR(VLOOKUP(B537,'Gelecek Sprint'!B:B,1,0),"-")=B537,"Gelecek Sprint","-")</f>
        <v>-</v>
      </c>
      <c r="I537" t="str">
        <f t="shared" si="14"/>
        <v>Ürün İş Listesi</v>
      </c>
      <c r="J537" s="5">
        <v>2</v>
      </c>
    </row>
    <row r="538" spans="1:10" x14ac:dyDescent="0.25">
      <c r="A538" t="s">
        <v>77</v>
      </c>
      <c r="B538" t="s">
        <v>1117</v>
      </c>
      <c r="C538" t="s">
        <v>16</v>
      </c>
      <c r="D538" t="s">
        <v>1118</v>
      </c>
      <c r="E538" s="5" t="s">
        <v>50</v>
      </c>
      <c r="F538" s="5" t="e">
        <f>VLOOKUP(B538,'Türkkep Jira'!B:F,5,0)</f>
        <v>#N/A</v>
      </c>
      <c r="G538" t="str">
        <f>IF(IFERROR(VLOOKUP(B538,'Devam Eden Sprint'!B:B,1,0),"-")=B538,"Devam Eden Sprint","-")</f>
        <v>-</v>
      </c>
      <c r="H538" t="str">
        <f>IF(IFERROR(VLOOKUP(B538,'Gelecek Sprint'!B:B,1,0),"-")=B538,"Gelecek Sprint","-")</f>
        <v>-</v>
      </c>
      <c r="I538" t="str">
        <f t="shared" si="14"/>
        <v>Ürün İş Listesi</v>
      </c>
      <c r="J538" s="5">
        <v>3</v>
      </c>
    </row>
    <row r="539" spans="1:10" x14ac:dyDescent="0.25">
      <c r="A539" t="s">
        <v>14</v>
      </c>
      <c r="B539" t="s">
        <v>1119</v>
      </c>
      <c r="C539" t="s">
        <v>16</v>
      </c>
      <c r="D539" t="s">
        <v>1120</v>
      </c>
      <c r="E539" s="5" t="s">
        <v>41</v>
      </c>
      <c r="F539" s="5" t="e">
        <f>VLOOKUP(B539,'Türkkep Jira'!B:F,5,0)</f>
        <v>#N/A</v>
      </c>
      <c r="G539" t="str">
        <f>IF(IFERROR(VLOOKUP(B539,'Devam Eden Sprint'!B:B,1,0),"-")=B539,"Devam Eden Sprint","-")</f>
        <v>-</v>
      </c>
      <c r="H539" t="str">
        <f>IF(IFERROR(VLOOKUP(B539,'Gelecek Sprint'!B:B,1,0),"-")=B539,"Gelecek Sprint","-")</f>
        <v>-</v>
      </c>
      <c r="I539" t="str">
        <f t="shared" si="14"/>
        <v>Ürün İş Listesi</v>
      </c>
      <c r="J539" s="5">
        <v>3</v>
      </c>
    </row>
    <row r="540" spans="1:10" x14ac:dyDescent="0.25">
      <c r="A540" t="s">
        <v>14</v>
      </c>
      <c r="B540" t="s">
        <v>1121</v>
      </c>
      <c r="C540" t="s">
        <v>16</v>
      </c>
      <c r="D540" t="s">
        <v>1122</v>
      </c>
      <c r="E540" s="5" t="s">
        <v>41</v>
      </c>
      <c r="F540" s="5" t="e">
        <f>VLOOKUP(B540,'Türkkep Jira'!B:F,5,0)</f>
        <v>#N/A</v>
      </c>
      <c r="G540" t="str">
        <f>IF(IFERROR(VLOOKUP(B540,'Devam Eden Sprint'!B:B,1,0),"-")=B540,"Devam Eden Sprint","-")</f>
        <v>-</v>
      </c>
      <c r="H540" t="str">
        <f>IF(IFERROR(VLOOKUP(B540,'Gelecek Sprint'!B:B,1,0),"-")=B540,"Gelecek Sprint","-")</f>
        <v>-</v>
      </c>
      <c r="I540" t="str">
        <f t="shared" si="14"/>
        <v>Ürün İş Listesi</v>
      </c>
      <c r="J540" s="5">
        <v>1</v>
      </c>
    </row>
    <row r="541" spans="1:10" x14ac:dyDescent="0.25">
      <c r="A541" t="s">
        <v>14</v>
      </c>
      <c r="B541" t="s">
        <v>1123</v>
      </c>
      <c r="C541" t="s">
        <v>16</v>
      </c>
      <c r="D541" t="s">
        <v>1124</v>
      </c>
      <c r="E541" s="5" t="s">
        <v>38</v>
      </c>
      <c r="F541" s="5" t="e">
        <f>VLOOKUP(B541,'Türkkep Jira'!B:F,5,0)</f>
        <v>#N/A</v>
      </c>
      <c r="G541" t="str">
        <f>IF(IFERROR(VLOOKUP(B541,'Devam Eden Sprint'!B:B,1,0),"-")=B541,"Devam Eden Sprint","-")</f>
        <v>-</v>
      </c>
      <c r="H541" t="str">
        <f>IF(IFERROR(VLOOKUP(B541,'Gelecek Sprint'!B:B,1,0),"-")=B541,"Gelecek Sprint","-")</f>
        <v>-</v>
      </c>
      <c r="I541" t="str">
        <f t="shared" si="14"/>
        <v>Ürün İş Listesi</v>
      </c>
      <c r="J541" s="5">
        <v>2</v>
      </c>
    </row>
    <row r="542" spans="1:10" x14ac:dyDescent="0.25">
      <c r="A542" t="s">
        <v>14</v>
      </c>
      <c r="B542" t="s">
        <v>1125</v>
      </c>
      <c r="C542" t="s">
        <v>16</v>
      </c>
      <c r="D542" t="s">
        <v>1126</v>
      </c>
      <c r="E542" s="5" t="s">
        <v>991</v>
      </c>
      <c r="F542" s="5" t="e">
        <f>VLOOKUP(B542,'Türkkep Jira'!B:F,5,0)</f>
        <v>#N/A</v>
      </c>
      <c r="G542" t="str">
        <f>IF(IFERROR(VLOOKUP(B542,'Devam Eden Sprint'!B:B,1,0),"-")=B542,"Devam Eden Sprint","-")</f>
        <v>-</v>
      </c>
      <c r="H542" t="str">
        <f>IF(IFERROR(VLOOKUP(B542,'Gelecek Sprint'!B:B,1,0),"-")=B542,"Gelecek Sprint","-")</f>
        <v>-</v>
      </c>
      <c r="I542" t="str">
        <f t="shared" si="14"/>
        <v>Ürün İş Listesi</v>
      </c>
    </row>
    <row r="543" spans="1:10" x14ac:dyDescent="0.25">
      <c r="A543" t="s">
        <v>14</v>
      </c>
      <c r="B543" t="s">
        <v>1127</v>
      </c>
      <c r="C543" t="s">
        <v>16</v>
      </c>
      <c r="D543" t="s">
        <v>1128</v>
      </c>
      <c r="E543" s="5" t="s">
        <v>991</v>
      </c>
      <c r="F543" s="5" t="e">
        <f>VLOOKUP(B543,'Türkkep Jira'!B:F,5,0)</f>
        <v>#N/A</v>
      </c>
      <c r="G543" t="str">
        <f>IF(IFERROR(VLOOKUP(B543,'Devam Eden Sprint'!B:B,1,0),"-")=B543,"Devam Eden Sprint","-")</f>
        <v>-</v>
      </c>
      <c r="H543" t="str">
        <f>IF(IFERROR(VLOOKUP(B543,'Gelecek Sprint'!B:B,1,0),"-")=B543,"Gelecek Sprint","-")</f>
        <v>-</v>
      </c>
      <c r="I543" t="str">
        <f t="shared" si="14"/>
        <v>Ürün İş Listesi</v>
      </c>
    </row>
    <row r="544" spans="1:10" x14ac:dyDescent="0.25">
      <c r="A544" t="s">
        <v>14</v>
      </c>
      <c r="B544" t="s">
        <v>1129</v>
      </c>
      <c r="C544" t="s">
        <v>16</v>
      </c>
      <c r="D544" t="s">
        <v>1130</v>
      </c>
      <c r="E544" s="5" t="s">
        <v>991</v>
      </c>
      <c r="F544" s="5" t="e">
        <f>VLOOKUP(B544,'Türkkep Jira'!B:F,5,0)</f>
        <v>#N/A</v>
      </c>
      <c r="G544" t="str">
        <f>IF(IFERROR(VLOOKUP(B544,'Devam Eden Sprint'!B:B,1,0),"-")=B544,"Devam Eden Sprint","-")</f>
        <v>-</v>
      </c>
      <c r="H544" t="str">
        <f>IF(IFERROR(VLOOKUP(B544,'Gelecek Sprint'!B:B,1,0),"-")=B544,"Gelecek Sprint","-")</f>
        <v>-</v>
      </c>
      <c r="I544" t="str">
        <f t="shared" si="14"/>
        <v>Ürün İş Listesi</v>
      </c>
    </row>
    <row r="545" spans="1:10" x14ac:dyDescent="0.25">
      <c r="A545" t="s">
        <v>14</v>
      </c>
      <c r="B545" t="s">
        <v>1131</v>
      </c>
      <c r="C545" t="s">
        <v>16</v>
      </c>
      <c r="D545" t="s">
        <v>1132</v>
      </c>
      <c r="E545" s="5" t="s">
        <v>991</v>
      </c>
      <c r="F545" s="5" t="e">
        <f>VLOOKUP(B545,'Türkkep Jira'!B:F,5,0)</f>
        <v>#N/A</v>
      </c>
      <c r="G545" t="str">
        <f>IF(IFERROR(VLOOKUP(B545,'Devam Eden Sprint'!B:B,1,0),"-")=B545,"Devam Eden Sprint","-")</f>
        <v>-</v>
      </c>
      <c r="H545" t="str">
        <f>IF(IFERROR(VLOOKUP(B545,'Gelecek Sprint'!B:B,1,0),"-")=B545,"Gelecek Sprint","-")</f>
        <v>-</v>
      </c>
      <c r="I545" t="str">
        <f t="shared" si="14"/>
        <v>Ürün İş Listesi</v>
      </c>
    </row>
    <row r="546" spans="1:10" x14ac:dyDescent="0.25">
      <c r="A546" t="s">
        <v>14</v>
      </c>
      <c r="B546" t="s">
        <v>1133</v>
      </c>
      <c r="C546" t="s">
        <v>16</v>
      </c>
      <c r="D546" t="s">
        <v>1134</v>
      </c>
      <c r="E546" s="5" t="s">
        <v>991</v>
      </c>
      <c r="F546" s="5" t="e">
        <f>VLOOKUP(B546,'Türkkep Jira'!B:F,5,0)</f>
        <v>#N/A</v>
      </c>
      <c r="G546" t="str">
        <f>IF(IFERROR(VLOOKUP(B546,'Devam Eden Sprint'!B:B,1,0),"-")=B546,"Devam Eden Sprint","-")</f>
        <v>-</v>
      </c>
      <c r="H546" t="str">
        <f>IF(IFERROR(VLOOKUP(B546,'Gelecek Sprint'!B:B,1,0),"-")=B546,"Gelecek Sprint","-")</f>
        <v>-</v>
      </c>
      <c r="I546" t="str">
        <f t="shared" si="14"/>
        <v>Ürün İş Listesi</v>
      </c>
    </row>
    <row r="547" spans="1:10" x14ac:dyDescent="0.25">
      <c r="A547" t="s">
        <v>14</v>
      </c>
      <c r="B547" t="s">
        <v>1135</v>
      </c>
      <c r="C547" t="s">
        <v>16</v>
      </c>
      <c r="D547" t="s">
        <v>1136</v>
      </c>
      <c r="E547" s="5" t="s">
        <v>991</v>
      </c>
      <c r="F547" s="5" t="e">
        <f>VLOOKUP(B547,'Türkkep Jira'!B:F,5,0)</f>
        <v>#N/A</v>
      </c>
      <c r="G547" t="str">
        <f>IF(IFERROR(VLOOKUP(B547,'Devam Eden Sprint'!B:B,1,0),"-")=B547,"Devam Eden Sprint","-")</f>
        <v>-</v>
      </c>
      <c r="H547" t="str">
        <f>IF(IFERROR(VLOOKUP(B547,'Gelecek Sprint'!B:B,1,0),"-")=B547,"Gelecek Sprint","-")</f>
        <v>-</v>
      </c>
      <c r="I547" t="str">
        <f t="shared" si="14"/>
        <v>Ürün İş Listesi</v>
      </c>
    </row>
    <row r="548" spans="1:10" x14ac:dyDescent="0.25">
      <c r="A548" t="s">
        <v>14</v>
      </c>
      <c r="B548" t="s">
        <v>1137</v>
      </c>
      <c r="C548" t="s">
        <v>10</v>
      </c>
      <c r="D548" t="s">
        <v>1138</v>
      </c>
      <c r="E548" s="5" t="s">
        <v>991</v>
      </c>
      <c r="F548" s="5" t="str">
        <f>VLOOKUP(B548,'Türkkep Jira'!B:F,5,0)</f>
        <v>To Do</v>
      </c>
      <c r="G548" t="str">
        <f>IF(IFERROR(VLOOKUP(B548,'Devam Eden Sprint'!B:B,1,0),"-")=B548,"Devam Eden Sprint","-")</f>
        <v>-</v>
      </c>
      <c r="H548" t="str">
        <f>IF(IFERROR(VLOOKUP(B548,'Gelecek Sprint'!B:B,1,0),"-")=B548,"Gelecek Sprint","-")</f>
        <v>-</v>
      </c>
      <c r="I548" t="str">
        <f t="shared" si="14"/>
        <v>Ürün İş Listesi</v>
      </c>
    </row>
    <row r="549" spans="1:10" x14ac:dyDescent="0.25">
      <c r="A549" t="s">
        <v>14</v>
      </c>
      <c r="B549" t="s">
        <v>1139</v>
      </c>
      <c r="C549" t="s">
        <v>16</v>
      </c>
      <c r="D549" t="s">
        <v>1140</v>
      </c>
      <c r="E549" s="5" t="s">
        <v>991</v>
      </c>
      <c r="F549" s="5" t="e">
        <f>VLOOKUP(B549,'Türkkep Jira'!B:F,5,0)</f>
        <v>#N/A</v>
      </c>
      <c r="G549" t="str">
        <f>IF(IFERROR(VLOOKUP(B549,'Devam Eden Sprint'!B:B,1,0),"-")=B549,"Devam Eden Sprint","-")</f>
        <v>-</v>
      </c>
      <c r="H549" t="str">
        <f>IF(IFERROR(VLOOKUP(B549,'Gelecek Sprint'!B:B,1,0),"-")=B549,"Gelecek Sprint","-")</f>
        <v>-</v>
      </c>
      <c r="I549" t="str">
        <f t="shared" si="14"/>
        <v>Ürün İş Listesi</v>
      </c>
    </row>
    <row r="550" spans="1:10" x14ac:dyDescent="0.25">
      <c r="A550" t="s">
        <v>14</v>
      </c>
      <c r="B550" t="s">
        <v>1141</v>
      </c>
      <c r="C550" t="s">
        <v>16</v>
      </c>
      <c r="D550" t="s">
        <v>1142</v>
      </c>
      <c r="E550" s="5" t="s">
        <v>991</v>
      </c>
      <c r="F550" s="5" t="e">
        <f>VLOOKUP(B550,'Türkkep Jira'!B:F,5,0)</f>
        <v>#N/A</v>
      </c>
      <c r="G550" t="str">
        <f>IF(IFERROR(VLOOKUP(B550,'Devam Eden Sprint'!B:B,1,0),"-")=B550,"Devam Eden Sprint","-")</f>
        <v>-</v>
      </c>
      <c r="H550" t="str">
        <f>IF(IFERROR(VLOOKUP(B550,'Gelecek Sprint'!B:B,1,0),"-")=B550,"Gelecek Sprint","-")</f>
        <v>-</v>
      </c>
      <c r="I550" t="str">
        <f t="shared" si="14"/>
        <v>Ürün İş Listesi</v>
      </c>
    </row>
    <row r="551" spans="1:10" x14ac:dyDescent="0.25">
      <c r="A551" t="s">
        <v>14</v>
      </c>
      <c r="B551" t="s">
        <v>1143</v>
      </c>
      <c r="C551" t="s">
        <v>16</v>
      </c>
      <c r="D551" t="s">
        <v>1144</v>
      </c>
      <c r="E551" s="5" t="s">
        <v>991</v>
      </c>
      <c r="F551" s="5" t="e">
        <f>VLOOKUP(B551,'Türkkep Jira'!B:F,5,0)</f>
        <v>#N/A</v>
      </c>
      <c r="G551" t="str">
        <f>IF(IFERROR(VLOOKUP(B551,'Devam Eden Sprint'!B:B,1,0),"-")=B551,"Devam Eden Sprint","-")</f>
        <v>-</v>
      </c>
      <c r="H551" t="str">
        <f>IF(IFERROR(VLOOKUP(B551,'Gelecek Sprint'!B:B,1,0),"-")=B551,"Gelecek Sprint","-")</f>
        <v>-</v>
      </c>
      <c r="I551" t="str">
        <f t="shared" si="14"/>
        <v>Ürün İş Listesi</v>
      </c>
    </row>
    <row r="552" spans="1:10" x14ac:dyDescent="0.25">
      <c r="A552" t="s">
        <v>14</v>
      </c>
      <c r="B552" t="s">
        <v>1145</v>
      </c>
      <c r="C552" t="s">
        <v>16</v>
      </c>
      <c r="D552" t="s">
        <v>1146</v>
      </c>
      <c r="E552" s="5" t="s">
        <v>991</v>
      </c>
      <c r="F552" s="5" t="e">
        <f>VLOOKUP(B552,'Türkkep Jira'!B:F,5,0)</f>
        <v>#N/A</v>
      </c>
      <c r="G552" t="str">
        <f>IF(IFERROR(VLOOKUP(B552,'Devam Eden Sprint'!B:B,1,0),"-")=B552,"Devam Eden Sprint","-")</f>
        <v>-</v>
      </c>
      <c r="H552" t="str">
        <f>IF(IFERROR(VLOOKUP(B552,'Gelecek Sprint'!B:B,1,0),"-")=B552,"Gelecek Sprint","-")</f>
        <v>-</v>
      </c>
      <c r="I552" t="str">
        <f t="shared" si="14"/>
        <v>Ürün İş Listesi</v>
      </c>
    </row>
    <row r="553" spans="1:10" x14ac:dyDescent="0.25">
      <c r="A553" t="s">
        <v>14</v>
      </c>
      <c r="B553" t="s">
        <v>1147</v>
      </c>
      <c r="C553" t="s">
        <v>16</v>
      </c>
      <c r="D553" t="s">
        <v>1148</v>
      </c>
      <c r="E553" s="5" t="s">
        <v>991</v>
      </c>
      <c r="F553" s="5" t="e">
        <f>VLOOKUP(B553,'Türkkep Jira'!B:F,5,0)</f>
        <v>#N/A</v>
      </c>
      <c r="G553" t="str">
        <f>IF(IFERROR(VLOOKUP(B553,'Devam Eden Sprint'!B:B,1,0),"-")=B553,"Devam Eden Sprint","-")</f>
        <v>-</v>
      </c>
      <c r="H553" t="str">
        <f>IF(IFERROR(VLOOKUP(B553,'Gelecek Sprint'!B:B,1,0),"-")=B553,"Gelecek Sprint","-")</f>
        <v>-</v>
      </c>
      <c r="I553" t="str">
        <f t="shared" ref="I553:I616" si="15">IFERROR(IF(AND(G553="Devam Eden Sprint",H553="Gelecek Sprint"),"Devam Eden ve Gelecek Sprint",IF(G553="Devam Eden Sprint","Devam Eden Sprint",IF(H553="Gelecek Sprint","Gelecek Sprint","Ürün İş Listesi"))),"Ürün İş Listesi")</f>
        <v>Ürün İş Listesi</v>
      </c>
    </row>
    <row r="554" spans="1:10" x14ac:dyDescent="0.25">
      <c r="A554" t="s">
        <v>14</v>
      </c>
      <c r="B554" t="s">
        <v>1149</v>
      </c>
      <c r="C554" t="s">
        <v>16</v>
      </c>
      <c r="D554" t="s">
        <v>1150</v>
      </c>
      <c r="E554" s="5" t="s">
        <v>12</v>
      </c>
      <c r="F554" s="5" t="e">
        <f>VLOOKUP(B554,'Türkkep Jira'!B:F,5,0)</f>
        <v>#N/A</v>
      </c>
      <c r="G554" t="str">
        <f>IF(IFERROR(VLOOKUP(B554,'Devam Eden Sprint'!B:B,1,0),"-")=B554,"Devam Eden Sprint","-")</f>
        <v>-</v>
      </c>
      <c r="H554" t="str">
        <f>IF(IFERROR(VLOOKUP(B554,'Gelecek Sprint'!B:B,1,0),"-")=B554,"Gelecek Sprint","-")</f>
        <v>-</v>
      </c>
      <c r="I554" t="str">
        <f t="shared" si="15"/>
        <v>Ürün İş Listesi</v>
      </c>
      <c r="J554" s="5">
        <v>3</v>
      </c>
    </row>
    <row r="555" spans="1:10" x14ac:dyDescent="0.25">
      <c r="A555" t="s">
        <v>14</v>
      </c>
      <c r="B555" t="s">
        <v>1151</v>
      </c>
      <c r="C555" t="s">
        <v>16</v>
      </c>
      <c r="D555" t="s">
        <v>1152</v>
      </c>
      <c r="E555" s="5" t="s">
        <v>12</v>
      </c>
      <c r="F555" s="5" t="e">
        <f>VLOOKUP(B555,'Türkkep Jira'!B:F,5,0)</f>
        <v>#N/A</v>
      </c>
      <c r="G555" t="str">
        <f>IF(IFERROR(VLOOKUP(B555,'Devam Eden Sprint'!B:B,1,0),"-")=B555,"Devam Eden Sprint","-")</f>
        <v>-</v>
      </c>
      <c r="H555" t="str">
        <f>IF(IFERROR(VLOOKUP(B555,'Gelecek Sprint'!B:B,1,0),"-")=B555,"Gelecek Sprint","-")</f>
        <v>-</v>
      </c>
      <c r="I555" t="str">
        <f t="shared" si="15"/>
        <v>Ürün İş Listesi</v>
      </c>
      <c r="J555" s="5">
        <v>3</v>
      </c>
    </row>
    <row r="556" spans="1:10" x14ac:dyDescent="0.25">
      <c r="A556" t="s">
        <v>77</v>
      </c>
      <c r="B556" t="s">
        <v>1153</v>
      </c>
      <c r="C556" t="s">
        <v>16</v>
      </c>
      <c r="D556" t="s">
        <v>1154</v>
      </c>
      <c r="E556" s="5" t="s">
        <v>59</v>
      </c>
      <c r="F556" s="5" t="e">
        <f>VLOOKUP(B556,'Türkkep Jira'!B:F,5,0)</f>
        <v>#N/A</v>
      </c>
      <c r="G556" t="str">
        <f>IF(IFERROR(VLOOKUP(B556,'Devam Eden Sprint'!B:B,1,0),"-")=B556,"Devam Eden Sprint","-")</f>
        <v>-</v>
      </c>
      <c r="H556" t="str">
        <f>IF(IFERROR(VLOOKUP(B556,'Gelecek Sprint'!B:B,1,0),"-")=B556,"Gelecek Sprint","-")</f>
        <v>-</v>
      </c>
      <c r="I556" t="str">
        <f t="shared" si="15"/>
        <v>Ürün İş Listesi</v>
      </c>
      <c r="J556" s="5">
        <v>2</v>
      </c>
    </row>
    <row r="557" spans="1:10" x14ac:dyDescent="0.25">
      <c r="A557" t="s">
        <v>77</v>
      </c>
      <c r="B557" t="s">
        <v>1155</v>
      </c>
      <c r="C557" t="s">
        <v>16</v>
      </c>
      <c r="D557" t="s">
        <v>1156</v>
      </c>
      <c r="E557" s="5" t="s">
        <v>56</v>
      </c>
      <c r="F557" s="5" t="e">
        <f>VLOOKUP(B557,'Türkkep Jira'!B:F,5,0)</f>
        <v>#N/A</v>
      </c>
      <c r="G557" t="str">
        <f>IF(IFERROR(VLOOKUP(B557,'Devam Eden Sprint'!B:B,1,0),"-")=B557,"Devam Eden Sprint","-")</f>
        <v>-</v>
      </c>
      <c r="H557" t="str">
        <f>IF(IFERROR(VLOOKUP(B557,'Gelecek Sprint'!B:B,1,0),"-")=B557,"Gelecek Sprint","-")</f>
        <v>-</v>
      </c>
      <c r="I557" t="str">
        <f t="shared" si="15"/>
        <v>Ürün İş Listesi</v>
      </c>
      <c r="J557" s="5">
        <v>2</v>
      </c>
    </row>
    <row r="558" spans="1:10" x14ac:dyDescent="0.25">
      <c r="A558" t="s">
        <v>77</v>
      </c>
      <c r="B558" t="s">
        <v>1157</v>
      </c>
      <c r="C558" t="s">
        <v>16</v>
      </c>
      <c r="D558" t="s">
        <v>1158</v>
      </c>
      <c r="E558" s="5" t="s">
        <v>56</v>
      </c>
      <c r="F558" s="5" t="e">
        <f>VLOOKUP(B558,'Türkkep Jira'!B:F,5,0)</f>
        <v>#N/A</v>
      </c>
      <c r="G558" t="str">
        <f>IF(IFERROR(VLOOKUP(B558,'Devam Eden Sprint'!B:B,1,0),"-")=B558,"Devam Eden Sprint","-")</f>
        <v>-</v>
      </c>
      <c r="H558" t="str">
        <f>IF(IFERROR(VLOOKUP(B558,'Gelecek Sprint'!B:B,1,0),"-")=B558,"Gelecek Sprint","-")</f>
        <v>-</v>
      </c>
      <c r="I558" t="str">
        <f t="shared" si="15"/>
        <v>Ürün İş Listesi</v>
      </c>
      <c r="J558" s="5">
        <v>2</v>
      </c>
    </row>
    <row r="559" spans="1:10" x14ac:dyDescent="0.25">
      <c r="A559" t="s">
        <v>77</v>
      </c>
      <c r="B559" t="s">
        <v>1159</v>
      </c>
      <c r="C559" t="s">
        <v>16</v>
      </c>
      <c r="D559" t="s">
        <v>1160</v>
      </c>
      <c r="E559" s="5" t="s">
        <v>56</v>
      </c>
      <c r="F559" s="5" t="e">
        <f>VLOOKUP(B559,'Türkkep Jira'!B:F,5,0)</f>
        <v>#N/A</v>
      </c>
      <c r="G559" t="str">
        <f>IF(IFERROR(VLOOKUP(B559,'Devam Eden Sprint'!B:B,1,0),"-")=B559,"Devam Eden Sprint","-")</f>
        <v>-</v>
      </c>
      <c r="H559" t="str">
        <f>IF(IFERROR(VLOOKUP(B559,'Gelecek Sprint'!B:B,1,0),"-")=B559,"Gelecek Sprint","-")</f>
        <v>-</v>
      </c>
      <c r="I559" t="str">
        <f t="shared" si="15"/>
        <v>Ürün İş Listesi</v>
      </c>
      <c r="J559" s="5">
        <v>2</v>
      </c>
    </row>
    <row r="560" spans="1:10" x14ac:dyDescent="0.25">
      <c r="A560" t="s">
        <v>14</v>
      </c>
      <c r="B560" t="s">
        <v>1161</v>
      </c>
      <c r="C560" t="s">
        <v>16</v>
      </c>
      <c r="D560" t="s">
        <v>1162</v>
      </c>
      <c r="E560" s="5" t="s">
        <v>56</v>
      </c>
      <c r="F560" s="5" t="e">
        <f>VLOOKUP(B560,'Türkkep Jira'!B:F,5,0)</f>
        <v>#N/A</v>
      </c>
      <c r="G560" t="str">
        <f>IF(IFERROR(VLOOKUP(B560,'Devam Eden Sprint'!B:B,1,0),"-")=B560,"Devam Eden Sprint","-")</f>
        <v>-</v>
      </c>
      <c r="H560" t="str">
        <f>IF(IFERROR(VLOOKUP(B560,'Gelecek Sprint'!B:B,1,0),"-")=B560,"Gelecek Sprint","-")</f>
        <v>-</v>
      </c>
      <c r="I560" t="str">
        <f t="shared" si="15"/>
        <v>Ürün İş Listesi</v>
      </c>
      <c r="J560" s="5">
        <v>8</v>
      </c>
    </row>
    <row r="561" spans="1:10" x14ac:dyDescent="0.25">
      <c r="A561" t="s">
        <v>14</v>
      </c>
      <c r="B561" t="s">
        <v>1163</v>
      </c>
      <c r="C561" t="s">
        <v>16</v>
      </c>
      <c r="D561" t="s">
        <v>1164</v>
      </c>
      <c r="E561" s="5" t="s">
        <v>44</v>
      </c>
      <c r="F561" s="5" t="e">
        <f>VLOOKUP(B561,'Türkkep Jira'!B:F,5,0)</f>
        <v>#N/A</v>
      </c>
      <c r="G561" t="str">
        <f>IF(IFERROR(VLOOKUP(B561,'Devam Eden Sprint'!B:B,1,0),"-")=B561,"Devam Eden Sprint","-")</f>
        <v>-</v>
      </c>
      <c r="H561" t="str">
        <f>IF(IFERROR(VLOOKUP(B561,'Gelecek Sprint'!B:B,1,0),"-")=B561,"Gelecek Sprint","-")</f>
        <v>-</v>
      </c>
      <c r="I561" t="str">
        <f t="shared" si="15"/>
        <v>Ürün İş Listesi</v>
      </c>
      <c r="J561" s="5">
        <v>3</v>
      </c>
    </row>
    <row r="562" spans="1:10" x14ac:dyDescent="0.25">
      <c r="A562" t="s">
        <v>14</v>
      </c>
      <c r="B562" t="s">
        <v>1165</v>
      </c>
      <c r="C562" t="s">
        <v>16</v>
      </c>
      <c r="D562" t="s">
        <v>1166</v>
      </c>
      <c r="E562" s="5" t="s">
        <v>44</v>
      </c>
      <c r="F562" s="5" t="e">
        <f>VLOOKUP(B562,'Türkkep Jira'!B:F,5,0)</f>
        <v>#N/A</v>
      </c>
      <c r="G562" t="str">
        <f>IF(IFERROR(VLOOKUP(B562,'Devam Eden Sprint'!B:B,1,0),"-")=B562,"Devam Eden Sprint","-")</f>
        <v>-</v>
      </c>
      <c r="H562" t="str">
        <f>IF(IFERROR(VLOOKUP(B562,'Gelecek Sprint'!B:B,1,0),"-")=B562,"Gelecek Sprint","-")</f>
        <v>-</v>
      </c>
      <c r="I562" t="str">
        <f t="shared" si="15"/>
        <v>Ürün İş Listesi</v>
      </c>
      <c r="J562" s="5">
        <v>3</v>
      </c>
    </row>
    <row r="563" spans="1:10" x14ac:dyDescent="0.25">
      <c r="A563" t="s">
        <v>14</v>
      </c>
      <c r="B563" t="s">
        <v>1167</v>
      </c>
      <c r="C563" t="s">
        <v>16</v>
      </c>
      <c r="D563" t="s">
        <v>1168</v>
      </c>
      <c r="E563" s="5" t="s">
        <v>44</v>
      </c>
      <c r="F563" s="5" t="e">
        <f>VLOOKUP(B563,'Türkkep Jira'!B:F,5,0)</f>
        <v>#N/A</v>
      </c>
      <c r="G563" t="str">
        <f>IF(IFERROR(VLOOKUP(B563,'Devam Eden Sprint'!B:B,1,0),"-")=B563,"Devam Eden Sprint","-")</f>
        <v>-</v>
      </c>
      <c r="H563" t="str">
        <f>IF(IFERROR(VLOOKUP(B563,'Gelecek Sprint'!B:B,1,0),"-")=B563,"Gelecek Sprint","-")</f>
        <v>-</v>
      </c>
      <c r="I563" t="str">
        <f t="shared" si="15"/>
        <v>Ürün İş Listesi</v>
      </c>
      <c r="J563" s="5">
        <v>3</v>
      </c>
    </row>
    <row r="564" spans="1:10" x14ac:dyDescent="0.25">
      <c r="A564" t="s">
        <v>14</v>
      </c>
      <c r="B564" t="s">
        <v>1169</v>
      </c>
      <c r="C564" t="s">
        <v>16</v>
      </c>
      <c r="D564" t="s">
        <v>1170</v>
      </c>
      <c r="E564" s="5" t="s">
        <v>12</v>
      </c>
      <c r="F564" s="5" t="e">
        <f>VLOOKUP(B564,'Türkkep Jira'!B:F,5,0)</f>
        <v>#N/A</v>
      </c>
      <c r="G564" t="str">
        <f>IF(IFERROR(VLOOKUP(B564,'Devam Eden Sprint'!B:B,1,0),"-")=B564,"Devam Eden Sprint","-")</f>
        <v>-</v>
      </c>
      <c r="H564" t="str">
        <f>IF(IFERROR(VLOOKUP(B564,'Gelecek Sprint'!B:B,1,0),"-")=B564,"Gelecek Sprint","-")</f>
        <v>-</v>
      </c>
      <c r="I564" t="str">
        <f t="shared" si="15"/>
        <v>Ürün İş Listesi</v>
      </c>
      <c r="J564" s="5">
        <v>1</v>
      </c>
    </row>
    <row r="565" spans="1:10" x14ac:dyDescent="0.25">
      <c r="A565" t="s">
        <v>14</v>
      </c>
      <c r="B565" t="s">
        <v>1171</v>
      </c>
      <c r="C565" t="s">
        <v>16</v>
      </c>
      <c r="D565" t="s">
        <v>1172</v>
      </c>
      <c r="E565" s="5" t="s">
        <v>12</v>
      </c>
      <c r="F565" s="5" t="e">
        <f>VLOOKUP(B565,'Türkkep Jira'!B:F,5,0)</f>
        <v>#N/A</v>
      </c>
      <c r="G565" t="str">
        <f>IF(IFERROR(VLOOKUP(B565,'Devam Eden Sprint'!B:B,1,0),"-")=B565,"Devam Eden Sprint","-")</f>
        <v>-</v>
      </c>
      <c r="H565" t="str">
        <f>IF(IFERROR(VLOOKUP(B565,'Gelecek Sprint'!B:B,1,0),"-")=B565,"Gelecek Sprint","-")</f>
        <v>-</v>
      </c>
      <c r="I565" t="str">
        <f t="shared" si="15"/>
        <v>Ürün İş Listesi</v>
      </c>
      <c r="J565" s="5">
        <v>1</v>
      </c>
    </row>
    <row r="566" spans="1:10" x14ac:dyDescent="0.25">
      <c r="A566" t="s">
        <v>14</v>
      </c>
      <c r="B566" t="s">
        <v>1173</v>
      </c>
      <c r="C566" t="s">
        <v>16</v>
      </c>
      <c r="D566" t="s">
        <v>1174</v>
      </c>
      <c r="E566" s="5" t="s">
        <v>12</v>
      </c>
      <c r="F566" s="5" t="e">
        <f>VLOOKUP(B566,'Türkkep Jira'!B:F,5,0)</f>
        <v>#N/A</v>
      </c>
      <c r="G566" t="str">
        <f>IF(IFERROR(VLOOKUP(B566,'Devam Eden Sprint'!B:B,1,0),"-")=B566,"Devam Eden Sprint","-")</f>
        <v>-</v>
      </c>
      <c r="H566" t="str">
        <f>IF(IFERROR(VLOOKUP(B566,'Gelecek Sprint'!B:B,1,0),"-")=B566,"Gelecek Sprint","-")</f>
        <v>-</v>
      </c>
      <c r="I566" t="str">
        <f t="shared" si="15"/>
        <v>Ürün İş Listesi</v>
      </c>
      <c r="J566" s="5">
        <v>1</v>
      </c>
    </row>
    <row r="567" spans="1:10" x14ac:dyDescent="0.25">
      <c r="A567" t="s">
        <v>14</v>
      </c>
      <c r="B567" t="s">
        <v>1175</v>
      </c>
      <c r="C567" t="s">
        <v>16</v>
      </c>
      <c r="D567" t="s">
        <v>1176</v>
      </c>
      <c r="E567" s="5" t="s">
        <v>12</v>
      </c>
      <c r="F567" s="5" t="e">
        <f>VLOOKUP(B567,'Türkkep Jira'!B:F,5,0)</f>
        <v>#N/A</v>
      </c>
      <c r="G567" t="str">
        <f>IF(IFERROR(VLOOKUP(B567,'Devam Eden Sprint'!B:B,1,0),"-")=B567,"Devam Eden Sprint","-")</f>
        <v>-</v>
      </c>
      <c r="H567" t="str">
        <f>IF(IFERROR(VLOOKUP(B567,'Gelecek Sprint'!B:B,1,0),"-")=B567,"Gelecek Sprint","-")</f>
        <v>-</v>
      </c>
      <c r="I567" t="str">
        <f t="shared" si="15"/>
        <v>Ürün İş Listesi</v>
      </c>
      <c r="J567" s="5">
        <v>5</v>
      </c>
    </row>
    <row r="568" spans="1:10" x14ac:dyDescent="0.25">
      <c r="A568" t="s">
        <v>77</v>
      </c>
      <c r="B568" t="s">
        <v>1177</v>
      </c>
      <c r="C568" t="s">
        <v>16</v>
      </c>
      <c r="D568" t="s">
        <v>1178</v>
      </c>
      <c r="E568" s="5" t="s">
        <v>41</v>
      </c>
      <c r="F568" s="5" t="e">
        <f>VLOOKUP(B568,'Türkkep Jira'!B:F,5,0)</f>
        <v>#N/A</v>
      </c>
      <c r="G568" t="str">
        <f>IF(IFERROR(VLOOKUP(B568,'Devam Eden Sprint'!B:B,1,0),"-")=B568,"Devam Eden Sprint","-")</f>
        <v>-</v>
      </c>
      <c r="H568" t="str">
        <f>IF(IFERROR(VLOOKUP(B568,'Gelecek Sprint'!B:B,1,0),"-")=B568,"Gelecek Sprint","-")</f>
        <v>-</v>
      </c>
      <c r="I568" t="str">
        <f t="shared" si="15"/>
        <v>Ürün İş Listesi</v>
      </c>
      <c r="J568" s="5">
        <v>5</v>
      </c>
    </row>
    <row r="569" spans="1:10" x14ac:dyDescent="0.25">
      <c r="A569" t="s">
        <v>77</v>
      </c>
      <c r="B569" t="s">
        <v>1179</v>
      </c>
      <c r="C569" t="s">
        <v>16</v>
      </c>
      <c r="D569" t="s">
        <v>1180</v>
      </c>
      <c r="E569" s="5" t="s">
        <v>41</v>
      </c>
      <c r="F569" s="5" t="e">
        <f>VLOOKUP(B569,'Türkkep Jira'!B:F,5,0)</f>
        <v>#N/A</v>
      </c>
      <c r="G569" t="str">
        <f>IF(IFERROR(VLOOKUP(B569,'Devam Eden Sprint'!B:B,1,0),"-")=B569,"Devam Eden Sprint","-")</f>
        <v>-</v>
      </c>
      <c r="H569" t="str">
        <f>IF(IFERROR(VLOOKUP(B569,'Gelecek Sprint'!B:B,1,0),"-")=B569,"Gelecek Sprint","-")</f>
        <v>-</v>
      </c>
      <c r="I569" t="str">
        <f t="shared" si="15"/>
        <v>Ürün İş Listesi</v>
      </c>
      <c r="J569" s="5">
        <v>2</v>
      </c>
    </row>
    <row r="570" spans="1:10" x14ac:dyDescent="0.25">
      <c r="A570" t="s">
        <v>14</v>
      </c>
      <c r="B570" t="s">
        <v>1181</v>
      </c>
      <c r="C570" t="s">
        <v>16</v>
      </c>
      <c r="D570" t="s">
        <v>1182</v>
      </c>
      <c r="E570" s="5" t="s">
        <v>53</v>
      </c>
      <c r="F570" s="5" t="e">
        <f>VLOOKUP(B570,'Türkkep Jira'!B:F,5,0)</f>
        <v>#N/A</v>
      </c>
      <c r="G570" t="str">
        <f>IF(IFERROR(VLOOKUP(B570,'Devam Eden Sprint'!B:B,1,0),"-")=B570,"Devam Eden Sprint","-")</f>
        <v>-</v>
      </c>
      <c r="H570" t="str">
        <f>IF(IFERROR(VLOOKUP(B570,'Gelecek Sprint'!B:B,1,0),"-")=B570,"Gelecek Sprint","-")</f>
        <v>-</v>
      </c>
      <c r="I570" t="str">
        <f t="shared" si="15"/>
        <v>Ürün İş Listesi</v>
      </c>
      <c r="J570" s="5">
        <v>2</v>
      </c>
    </row>
    <row r="571" spans="1:10" x14ac:dyDescent="0.25">
      <c r="A571" t="s">
        <v>14</v>
      </c>
      <c r="B571" t="s">
        <v>1183</v>
      </c>
      <c r="C571" t="s">
        <v>16</v>
      </c>
      <c r="D571" t="s">
        <v>1184</v>
      </c>
      <c r="E571" s="5" t="s">
        <v>53</v>
      </c>
      <c r="F571" s="5" t="e">
        <f>VLOOKUP(B571,'Türkkep Jira'!B:F,5,0)</f>
        <v>#N/A</v>
      </c>
      <c r="G571" t="str">
        <f>IF(IFERROR(VLOOKUP(B571,'Devam Eden Sprint'!B:B,1,0),"-")=B571,"Devam Eden Sprint","-")</f>
        <v>-</v>
      </c>
      <c r="H571" t="str">
        <f>IF(IFERROR(VLOOKUP(B571,'Gelecek Sprint'!B:B,1,0),"-")=B571,"Gelecek Sprint","-")</f>
        <v>-</v>
      </c>
      <c r="I571" t="str">
        <f t="shared" si="15"/>
        <v>Ürün İş Listesi</v>
      </c>
      <c r="J571" s="5">
        <v>2</v>
      </c>
    </row>
    <row r="572" spans="1:10" x14ac:dyDescent="0.25">
      <c r="A572" t="s">
        <v>77</v>
      </c>
      <c r="B572" t="s">
        <v>1185</v>
      </c>
      <c r="C572" t="s">
        <v>16</v>
      </c>
      <c r="D572" t="s">
        <v>1186</v>
      </c>
      <c r="E572" s="5" t="s">
        <v>56</v>
      </c>
      <c r="F572" s="5" t="e">
        <f>VLOOKUP(B572,'Türkkep Jira'!B:F,5,0)</f>
        <v>#N/A</v>
      </c>
      <c r="G572" t="str">
        <f>IF(IFERROR(VLOOKUP(B572,'Devam Eden Sprint'!B:B,1,0),"-")=B572,"Devam Eden Sprint","-")</f>
        <v>-</v>
      </c>
      <c r="H572" t="str">
        <f>IF(IFERROR(VLOOKUP(B572,'Gelecek Sprint'!B:B,1,0),"-")=B572,"Gelecek Sprint","-")</f>
        <v>-</v>
      </c>
      <c r="I572" t="str">
        <f t="shared" si="15"/>
        <v>Ürün İş Listesi</v>
      </c>
      <c r="J572" s="5">
        <v>2</v>
      </c>
    </row>
    <row r="573" spans="1:10" x14ac:dyDescent="0.25">
      <c r="A573" t="s">
        <v>14</v>
      </c>
      <c r="B573" t="s">
        <v>1187</v>
      </c>
      <c r="C573" t="s">
        <v>16</v>
      </c>
      <c r="D573" t="s">
        <v>1188</v>
      </c>
      <c r="E573" s="5" t="s">
        <v>56</v>
      </c>
      <c r="F573" s="5" t="e">
        <f>VLOOKUP(B573,'Türkkep Jira'!B:F,5,0)</f>
        <v>#N/A</v>
      </c>
      <c r="G573" t="str">
        <f>IF(IFERROR(VLOOKUP(B573,'Devam Eden Sprint'!B:B,1,0),"-")=B573,"Devam Eden Sprint","-")</f>
        <v>-</v>
      </c>
      <c r="H573" t="str">
        <f>IF(IFERROR(VLOOKUP(B573,'Gelecek Sprint'!B:B,1,0),"-")=B573,"Gelecek Sprint","-")</f>
        <v>-</v>
      </c>
      <c r="I573" t="str">
        <f t="shared" si="15"/>
        <v>Ürün İş Listesi</v>
      </c>
      <c r="J573" s="5">
        <v>5</v>
      </c>
    </row>
    <row r="574" spans="1:10" x14ac:dyDescent="0.25">
      <c r="A574" t="s">
        <v>77</v>
      </c>
      <c r="B574" t="s">
        <v>1189</v>
      </c>
      <c r="C574" t="s">
        <v>16</v>
      </c>
      <c r="D574" t="s">
        <v>1190</v>
      </c>
      <c r="E574" s="5" t="s">
        <v>56</v>
      </c>
      <c r="F574" s="5" t="e">
        <f>VLOOKUP(B574,'Türkkep Jira'!B:F,5,0)</f>
        <v>#N/A</v>
      </c>
      <c r="G574" t="str">
        <f>IF(IFERROR(VLOOKUP(B574,'Devam Eden Sprint'!B:B,1,0),"-")=B574,"Devam Eden Sprint","-")</f>
        <v>-</v>
      </c>
      <c r="H574" t="str">
        <f>IF(IFERROR(VLOOKUP(B574,'Gelecek Sprint'!B:B,1,0),"-")=B574,"Gelecek Sprint","-")</f>
        <v>-</v>
      </c>
      <c r="I574" t="str">
        <f t="shared" si="15"/>
        <v>Ürün İş Listesi</v>
      </c>
      <c r="J574" s="5">
        <v>3</v>
      </c>
    </row>
    <row r="575" spans="1:10" x14ac:dyDescent="0.25">
      <c r="A575" t="s">
        <v>77</v>
      </c>
      <c r="B575" t="s">
        <v>1191</v>
      </c>
      <c r="C575" t="s">
        <v>16</v>
      </c>
      <c r="D575" t="s">
        <v>1192</v>
      </c>
      <c r="E575" s="5" t="s">
        <v>44</v>
      </c>
      <c r="F575" s="5" t="e">
        <f>VLOOKUP(B575,'Türkkep Jira'!B:F,5,0)</f>
        <v>#N/A</v>
      </c>
      <c r="G575" t="str">
        <f>IF(IFERROR(VLOOKUP(B575,'Devam Eden Sprint'!B:B,1,0),"-")=B575,"Devam Eden Sprint","-")</f>
        <v>-</v>
      </c>
      <c r="H575" t="str">
        <f>IF(IFERROR(VLOOKUP(B575,'Gelecek Sprint'!B:B,1,0),"-")=B575,"Gelecek Sprint","-")</f>
        <v>-</v>
      </c>
      <c r="I575" t="str">
        <f t="shared" si="15"/>
        <v>Ürün İş Listesi</v>
      </c>
      <c r="J575" s="5">
        <v>2</v>
      </c>
    </row>
    <row r="576" spans="1:10" x14ac:dyDescent="0.25">
      <c r="A576" t="s">
        <v>14</v>
      </c>
      <c r="B576" t="s">
        <v>1193</v>
      </c>
      <c r="C576" t="s">
        <v>16</v>
      </c>
      <c r="D576" t="s">
        <v>1194</v>
      </c>
      <c r="E576" s="5" t="s">
        <v>12</v>
      </c>
      <c r="F576" s="5" t="e">
        <f>VLOOKUP(B576,'Türkkep Jira'!B:F,5,0)</f>
        <v>#N/A</v>
      </c>
      <c r="G576" t="str">
        <f>IF(IFERROR(VLOOKUP(B576,'Devam Eden Sprint'!B:B,1,0),"-")=B576,"Devam Eden Sprint","-")</f>
        <v>-</v>
      </c>
      <c r="H576" t="str">
        <f>IF(IFERROR(VLOOKUP(B576,'Gelecek Sprint'!B:B,1,0),"-")=B576,"Gelecek Sprint","-")</f>
        <v>-</v>
      </c>
      <c r="I576" t="str">
        <f t="shared" si="15"/>
        <v>Ürün İş Listesi</v>
      </c>
      <c r="J576" s="5">
        <v>5</v>
      </c>
    </row>
    <row r="577" spans="1:10" x14ac:dyDescent="0.25">
      <c r="A577" t="s">
        <v>14</v>
      </c>
      <c r="B577" t="s">
        <v>1195</v>
      </c>
      <c r="C577" t="s">
        <v>16</v>
      </c>
      <c r="D577" t="s">
        <v>1196</v>
      </c>
      <c r="E577" s="5" t="s">
        <v>53</v>
      </c>
      <c r="F577" s="5" t="e">
        <f>VLOOKUP(B577,'Türkkep Jira'!B:F,5,0)</f>
        <v>#N/A</v>
      </c>
      <c r="G577" t="str">
        <f>IF(IFERROR(VLOOKUP(B577,'Devam Eden Sprint'!B:B,1,0),"-")=B577,"Devam Eden Sprint","-")</f>
        <v>-</v>
      </c>
      <c r="H577" t="str">
        <f>IF(IFERROR(VLOOKUP(B577,'Gelecek Sprint'!B:B,1,0),"-")=B577,"Gelecek Sprint","-")</f>
        <v>-</v>
      </c>
      <c r="I577" t="str">
        <f t="shared" si="15"/>
        <v>Ürün İş Listesi</v>
      </c>
      <c r="J577" s="5">
        <v>3</v>
      </c>
    </row>
    <row r="578" spans="1:10" x14ac:dyDescent="0.25">
      <c r="A578" t="s">
        <v>14</v>
      </c>
      <c r="B578" t="s">
        <v>1197</v>
      </c>
      <c r="C578" t="s">
        <v>16</v>
      </c>
      <c r="D578" t="s">
        <v>1198</v>
      </c>
      <c r="E578" s="5" t="s">
        <v>533</v>
      </c>
      <c r="F578" s="5" t="e">
        <f>VLOOKUP(B578,'Türkkep Jira'!B:F,5,0)</f>
        <v>#N/A</v>
      </c>
      <c r="G578" t="str">
        <f>IF(IFERROR(VLOOKUP(B578,'Devam Eden Sprint'!B:B,1,0),"-")=B578,"Devam Eden Sprint","-")</f>
        <v>-</v>
      </c>
      <c r="H578" t="str">
        <f>IF(IFERROR(VLOOKUP(B578,'Gelecek Sprint'!B:B,1,0),"-")=B578,"Gelecek Sprint","-")</f>
        <v>-</v>
      </c>
      <c r="I578" t="str">
        <f t="shared" si="15"/>
        <v>Ürün İş Listesi</v>
      </c>
      <c r="J578" s="5">
        <v>1</v>
      </c>
    </row>
    <row r="579" spans="1:10" x14ac:dyDescent="0.25">
      <c r="A579" t="s">
        <v>77</v>
      </c>
      <c r="B579" t="s">
        <v>1199</v>
      </c>
      <c r="C579" t="s">
        <v>16</v>
      </c>
      <c r="D579" t="s">
        <v>1200</v>
      </c>
      <c r="E579" s="5" t="s">
        <v>59</v>
      </c>
      <c r="F579" s="5" t="e">
        <f>VLOOKUP(B579,'Türkkep Jira'!B:F,5,0)</f>
        <v>#N/A</v>
      </c>
      <c r="G579" t="str">
        <f>IF(IFERROR(VLOOKUP(B579,'Devam Eden Sprint'!B:B,1,0),"-")=B579,"Devam Eden Sprint","-")</f>
        <v>-</v>
      </c>
      <c r="H579" t="str">
        <f>IF(IFERROR(VLOOKUP(B579,'Gelecek Sprint'!B:B,1,0),"-")=B579,"Gelecek Sprint","-")</f>
        <v>-</v>
      </c>
      <c r="I579" t="str">
        <f t="shared" si="15"/>
        <v>Ürün İş Listesi</v>
      </c>
      <c r="J579" s="5">
        <v>1</v>
      </c>
    </row>
    <row r="580" spans="1:10" x14ac:dyDescent="0.25">
      <c r="A580" t="s">
        <v>14</v>
      </c>
      <c r="B580" t="s">
        <v>1201</v>
      </c>
      <c r="C580" t="s">
        <v>16</v>
      </c>
      <c r="D580" t="s">
        <v>1202</v>
      </c>
      <c r="E580" s="5" t="s">
        <v>59</v>
      </c>
      <c r="F580" s="5" t="e">
        <f>VLOOKUP(B580,'Türkkep Jira'!B:F,5,0)</f>
        <v>#N/A</v>
      </c>
      <c r="G580" t="str">
        <f>IF(IFERROR(VLOOKUP(B580,'Devam Eden Sprint'!B:B,1,0),"-")=B580,"Devam Eden Sprint","-")</f>
        <v>-</v>
      </c>
      <c r="H580" t="str">
        <f>IF(IFERROR(VLOOKUP(B580,'Gelecek Sprint'!B:B,1,0),"-")=B580,"Gelecek Sprint","-")</f>
        <v>-</v>
      </c>
      <c r="I580" t="str">
        <f t="shared" si="15"/>
        <v>Ürün İş Listesi</v>
      </c>
      <c r="J580" s="5">
        <v>5</v>
      </c>
    </row>
    <row r="581" spans="1:10" x14ac:dyDescent="0.25">
      <c r="A581" t="s">
        <v>14</v>
      </c>
      <c r="B581" t="s">
        <v>1203</v>
      </c>
      <c r="C581" t="s">
        <v>16</v>
      </c>
      <c r="D581" t="s">
        <v>1204</v>
      </c>
      <c r="E581" s="5" t="s">
        <v>56</v>
      </c>
      <c r="F581" s="5" t="e">
        <f>VLOOKUP(B581,'Türkkep Jira'!B:F,5,0)</f>
        <v>#N/A</v>
      </c>
      <c r="G581" t="str">
        <f>IF(IFERROR(VLOOKUP(B581,'Devam Eden Sprint'!B:B,1,0),"-")=B581,"Devam Eden Sprint","-")</f>
        <v>-</v>
      </c>
      <c r="H581" t="str">
        <f>IF(IFERROR(VLOOKUP(B581,'Gelecek Sprint'!B:B,1,0),"-")=B581,"Gelecek Sprint","-")</f>
        <v>-</v>
      </c>
      <c r="I581" t="str">
        <f t="shared" si="15"/>
        <v>Ürün İş Listesi</v>
      </c>
      <c r="J581" s="5">
        <v>1</v>
      </c>
    </row>
    <row r="582" spans="1:10" x14ac:dyDescent="0.25">
      <c r="A582" t="s">
        <v>14</v>
      </c>
      <c r="B582" t="s">
        <v>1205</v>
      </c>
      <c r="C582" t="s">
        <v>16</v>
      </c>
      <c r="D582" t="s">
        <v>1206</v>
      </c>
      <c r="E582" s="5" t="s">
        <v>56</v>
      </c>
      <c r="F582" s="5" t="e">
        <f>VLOOKUP(B582,'Türkkep Jira'!B:F,5,0)</f>
        <v>#N/A</v>
      </c>
      <c r="G582" t="str">
        <f>IF(IFERROR(VLOOKUP(B582,'Devam Eden Sprint'!B:B,1,0),"-")=B582,"Devam Eden Sprint","-")</f>
        <v>-</v>
      </c>
      <c r="H582" t="str">
        <f>IF(IFERROR(VLOOKUP(B582,'Gelecek Sprint'!B:B,1,0),"-")=B582,"Gelecek Sprint","-")</f>
        <v>-</v>
      </c>
      <c r="I582" t="str">
        <f t="shared" si="15"/>
        <v>Ürün İş Listesi</v>
      </c>
      <c r="J582" s="5">
        <v>2</v>
      </c>
    </row>
    <row r="583" spans="1:10" x14ac:dyDescent="0.25">
      <c r="A583" t="s">
        <v>14</v>
      </c>
      <c r="B583" t="s">
        <v>1207</v>
      </c>
      <c r="C583" t="s">
        <v>16</v>
      </c>
      <c r="D583" t="s">
        <v>1208</v>
      </c>
      <c r="E583" s="5" t="s">
        <v>50</v>
      </c>
      <c r="F583" s="5" t="e">
        <f>VLOOKUP(B583,'Türkkep Jira'!B:F,5,0)</f>
        <v>#N/A</v>
      </c>
      <c r="G583" t="str">
        <f>IF(IFERROR(VLOOKUP(B583,'Devam Eden Sprint'!B:B,1,0),"-")=B583,"Devam Eden Sprint","-")</f>
        <v>-</v>
      </c>
      <c r="H583" t="str">
        <f>IF(IFERROR(VLOOKUP(B583,'Gelecek Sprint'!B:B,1,0),"-")=B583,"Gelecek Sprint","-")</f>
        <v>-</v>
      </c>
      <c r="I583" t="str">
        <f t="shared" si="15"/>
        <v>Ürün İş Listesi</v>
      </c>
      <c r="J583" s="5">
        <v>3</v>
      </c>
    </row>
    <row r="584" spans="1:10" x14ac:dyDescent="0.25">
      <c r="A584" t="s">
        <v>14</v>
      </c>
      <c r="B584" t="s">
        <v>1209</v>
      </c>
      <c r="C584" t="s">
        <v>16</v>
      </c>
      <c r="D584" t="s">
        <v>747</v>
      </c>
      <c r="E584" s="5" t="s">
        <v>12</v>
      </c>
      <c r="F584" s="5" t="e">
        <f>VLOOKUP(B584,'Türkkep Jira'!B:F,5,0)</f>
        <v>#N/A</v>
      </c>
      <c r="G584" t="str">
        <f>IF(IFERROR(VLOOKUP(B584,'Devam Eden Sprint'!B:B,1,0),"-")=B584,"Devam Eden Sprint","-")</f>
        <v>-</v>
      </c>
      <c r="H584" t="str">
        <f>IF(IFERROR(VLOOKUP(B584,'Gelecek Sprint'!B:B,1,0),"-")=B584,"Gelecek Sprint","-")</f>
        <v>-</v>
      </c>
      <c r="I584" t="str">
        <f t="shared" si="15"/>
        <v>Ürün İş Listesi</v>
      </c>
      <c r="J584" s="5">
        <v>5</v>
      </c>
    </row>
    <row r="585" spans="1:10" x14ac:dyDescent="0.25">
      <c r="A585" t="s">
        <v>14</v>
      </c>
      <c r="B585" t="s">
        <v>1210</v>
      </c>
      <c r="C585" t="s">
        <v>16</v>
      </c>
      <c r="D585" t="s">
        <v>1211</v>
      </c>
      <c r="E585" s="5" t="s">
        <v>12</v>
      </c>
      <c r="F585" s="5" t="e">
        <f>VLOOKUP(B585,'Türkkep Jira'!B:F,5,0)</f>
        <v>#N/A</v>
      </c>
      <c r="G585" t="str">
        <f>IF(IFERROR(VLOOKUP(B585,'Devam Eden Sprint'!B:B,1,0),"-")=B585,"Devam Eden Sprint","-")</f>
        <v>-</v>
      </c>
      <c r="H585" t="str">
        <f>IF(IFERROR(VLOOKUP(B585,'Gelecek Sprint'!B:B,1,0),"-")=B585,"Gelecek Sprint","-")</f>
        <v>-</v>
      </c>
      <c r="I585" t="str">
        <f t="shared" si="15"/>
        <v>Ürün İş Listesi</v>
      </c>
      <c r="J585" s="5">
        <v>1</v>
      </c>
    </row>
    <row r="586" spans="1:10" x14ac:dyDescent="0.25">
      <c r="A586" t="s">
        <v>14</v>
      </c>
      <c r="B586" t="s">
        <v>1212</v>
      </c>
      <c r="C586" t="s">
        <v>16</v>
      </c>
      <c r="D586" t="s">
        <v>1213</v>
      </c>
      <c r="E586" s="5" t="s">
        <v>12</v>
      </c>
      <c r="F586" s="5" t="e">
        <f>VLOOKUP(B586,'Türkkep Jira'!B:F,5,0)</f>
        <v>#N/A</v>
      </c>
      <c r="G586" t="str">
        <f>IF(IFERROR(VLOOKUP(B586,'Devam Eden Sprint'!B:B,1,0),"-")=B586,"Devam Eden Sprint","-")</f>
        <v>-</v>
      </c>
      <c r="H586" t="str">
        <f>IF(IFERROR(VLOOKUP(B586,'Gelecek Sprint'!B:B,1,0),"-")=B586,"Gelecek Sprint","-")</f>
        <v>-</v>
      </c>
      <c r="I586" t="str">
        <f t="shared" si="15"/>
        <v>Ürün İş Listesi</v>
      </c>
      <c r="J586" s="5">
        <v>2</v>
      </c>
    </row>
    <row r="587" spans="1:10" x14ac:dyDescent="0.25">
      <c r="A587" t="s">
        <v>14</v>
      </c>
      <c r="B587" t="s">
        <v>1214</v>
      </c>
      <c r="C587" t="s">
        <v>16</v>
      </c>
      <c r="D587" t="s">
        <v>1215</v>
      </c>
      <c r="E587" s="5" t="s">
        <v>53</v>
      </c>
      <c r="F587" s="5" t="e">
        <f>VLOOKUP(B587,'Türkkep Jira'!B:F,5,0)</f>
        <v>#N/A</v>
      </c>
      <c r="G587" t="str">
        <f>IF(IFERROR(VLOOKUP(B587,'Devam Eden Sprint'!B:B,1,0),"-")=B587,"Devam Eden Sprint","-")</f>
        <v>-</v>
      </c>
      <c r="H587" t="str">
        <f>IF(IFERROR(VLOOKUP(B587,'Gelecek Sprint'!B:B,1,0),"-")=B587,"Gelecek Sprint","-")</f>
        <v>-</v>
      </c>
      <c r="I587" t="str">
        <f t="shared" si="15"/>
        <v>Ürün İş Listesi</v>
      </c>
      <c r="J587" s="5">
        <v>1</v>
      </c>
    </row>
    <row r="588" spans="1:10" x14ac:dyDescent="0.25">
      <c r="A588" t="s">
        <v>14</v>
      </c>
      <c r="B588" t="s">
        <v>1216</v>
      </c>
      <c r="C588" t="s">
        <v>16</v>
      </c>
      <c r="D588" t="s">
        <v>1217</v>
      </c>
      <c r="E588" s="5" t="s">
        <v>53</v>
      </c>
      <c r="F588" s="5" t="e">
        <f>VLOOKUP(B588,'Türkkep Jira'!B:F,5,0)</f>
        <v>#N/A</v>
      </c>
      <c r="G588" t="str">
        <f>IF(IFERROR(VLOOKUP(B588,'Devam Eden Sprint'!B:B,1,0),"-")=B588,"Devam Eden Sprint","-")</f>
        <v>-</v>
      </c>
      <c r="H588" t="str">
        <f>IF(IFERROR(VLOOKUP(B588,'Gelecek Sprint'!B:B,1,0),"-")=B588,"Gelecek Sprint","-")</f>
        <v>-</v>
      </c>
      <c r="I588" t="str">
        <f t="shared" si="15"/>
        <v>Ürün İş Listesi</v>
      </c>
      <c r="J588" s="5">
        <v>1</v>
      </c>
    </row>
    <row r="589" spans="1:10" x14ac:dyDescent="0.25">
      <c r="A589" t="s">
        <v>14</v>
      </c>
      <c r="B589" t="s">
        <v>1218</v>
      </c>
      <c r="C589" t="s">
        <v>16</v>
      </c>
      <c r="D589" t="s">
        <v>1219</v>
      </c>
      <c r="E589" s="5" t="s">
        <v>53</v>
      </c>
      <c r="F589" s="5" t="e">
        <f>VLOOKUP(B589,'Türkkep Jira'!B:F,5,0)</f>
        <v>#N/A</v>
      </c>
      <c r="G589" t="str">
        <f>IF(IFERROR(VLOOKUP(B589,'Devam Eden Sprint'!B:B,1,0),"-")=B589,"Devam Eden Sprint","-")</f>
        <v>-</v>
      </c>
      <c r="H589" t="str">
        <f>IF(IFERROR(VLOOKUP(B589,'Gelecek Sprint'!B:B,1,0),"-")=B589,"Gelecek Sprint","-")</f>
        <v>-</v>
      </c>
      <c r="I589" t="str">
        <f t="shared" si="15"/>
        <v>Ürün İş Listesi</v>
      </c>
      <c r="J589" s="5">
        <v>1</v>
      </c>
    </row>
    <row r="590" spans="1:10" x14ac:dyDescent="0.25">
      <c r="A590" t="s">
        <v>14</v>
      </c>
      <c r="B590" t="s">
        <v>1220</v>
      </c>
      <c r="C590" t="s">
        <v>16</v>
      </c>
      <c r="D590" t="s">
        <v>1221</v>
      </c>
      <c r="E590" s="5" t="s">
        <v>53</v>
      </c>
      <c r="F590" s="5" t="e">
        <f>VLOOKUP(B590,'Türkkep Jira'!B:F,5,0)</f>
        <v>#N/A</v>
      </c>
      <c r="G590" t="str">
        <f>IF(IFERROR(VLOOKUP(B590,'Devam Eden Sprint'!B:B,1,0),"-")=B590,"Devam Eden Sprint","-")</f>
        <v>-</v>
      </c>
      <c r="H590" t="str">
        <f>IF(IFERROR(VLOOKUP(B590,'Gelecek Sprint'!B:B,1,0),"-")=B590,"Gelecek Sprint","-")</f>
        <v>-</v>
      </c>
      <c r="I590" t="str">
        <f t="shared" si="15"/>
        <v>Ürün İş Listesi</v>
      </c>
      <c r="J590" s="5">
        <v>3</v>
      </c>
    </row>
    <row r="591" spans="1:10" x14ac:dyDescent="0.25">
      <c r="A591" t="s">
        <v>14</v>
      </c>
      <c r="B591" t="s">
        <v>1222</v>
      </c>
      <c r="C591" t="s">
        <v>16</v>
      </c>
      <c r="D591" t="s">
        <v>1223</v>
      </c>
      <c r="E591" s="5" t="s">
        <v>53</v>
      </c>
      <c r="F591" s="5" t="e">
        <f>VLOOKUP(B591,'Türkkep Jira'!B:F,5,0)</f>
        <v>#N/A</v>
      </c>
      <c r="G591" t="str">
        <f>IF(IFERROR(VLOOKUP(B591,'Devam Eden Sprint'!B:B,1,0),"-")=B591,"Devam Eden Sprint","-")</f>
        <v>-</v>
      </c>
      <c r="H591" t="str">
        <f>IF(IFERROR(VLOOKUP(B591,'Gelecek Sprint'!B:B,1,0),"-")=B591,"Gelecek Sprint","-")</f>
        <v>-</v>
      </c>
      <c r="I591" t="str">
        <f t="shared" si="15"/>
        <v>Ürün İş Listesi</v>
      </c>
      <c r="J591" s="5">
        <v>2</v>
      </c>
    </row>
    <row r="592" spans="1:10" x14ac:dyDescent="0.25">
      <c r="A592" t="s">
        <v>14</v>
      </c>
      <c r="B592" t="s">
        <v>1224</v>
      </c>
      <c r="C592" t="s">
        <v>16</v>
      </c>
      <c r="D592" t="s">
        <v>1225</v>
      </c>
      <c r="E592" s="5" t="s">
        <v>127</v>
      </c>
      <c r="F592" s="5" t="e">
        <f>VLOOKUP(B592,'Türkkep Jira'!B:F,5,0)</f>
        <v>#N/A</v>
      </c>
      <c r="G592" t="str">
        <f>IF(IFERROR(VLOOKUP(B592,'Devam Eden Sprint'!B:B,1,0),"-")=B592,"Devam Eden Sprint","-")</f>
        <v>-</v>
      </c>
      <c r="H592" t="str">
        <f>IF(IFERROR(VLOOKUP(B592,'Gelecek Sprint'!B:B,1,0),"-")=B592,"Gelecek Sprint","-")</f>
        <v>-</v>
      </c>
      <c r="I592" t="str">
        <f t="shared" si="15"/>
        <v>Ürün İş Listesi</v>
      </c>
      <c r="J592" s="5">
        <v>3</v>
      </c>
    </row>
    <row r="593" spans="1:10" x14ac:dyDescent="0.25">
      <c r="A593" t="s">
        <v>14</v>
      </c>
      <c r="B593" t="s">
        <v>1226</v>
      </c>
      <c r="C593" t="s">
        <v>16</v>
      </c>
      <c r="D593" t="s">
        <v>1227</v>
      </c>
      <c r="E593" s="5" t="s">
        <v>53</v>
      </c>
      <c r="F593" s="5" t="e">
        <f>VLOOKUP(B593,'Türkkep Jira'!B:F,5,0)</f>
        <v>#N/A</v>
      </c>
      <c r="G593" t="str">
        <f>IF(IFERROR(VLOOKUP(B593,'Devam Eden Sprint'!B:B,1,0),"-")=B593,"Devam Eden Sprint","-")</f>
        <v>-</v>
      </c>
      <c r="H593" t="str">
        <f>IF(IFERROR(VLOOKUP(B593,'Gelecek Sprint'!B:B,1,0),"-")=B593,"Gelecek Sprint","-")</f>
        <v>-</v>
      </c>
      <c r="I593" t="str">
        <f t="shared" si="15"/>
        <v>Ürün İş Listesi</v>
      </c>
      <c r="J593" s="5">
        <v>5</v>
      </c>
    </row>
    <row r="594" spans="1:10" x14ac:dyDescent="0.25">
      <c r="A594" t="s">
        <v>14</v>
      </c>
      <c r="B594" t="s">
        <v>1228</v>
      </c>
      <c r="C594" t="s">
        <v>16</v>
      </c>
      <c r="D594" t="s">
        <v>1229</v>
      </c>
      <c r="E594" s="5" t="s">
        <v>53</v>
      </c>
      <c r="F594" s="5" t="e">
        <f>VLOOKUP(B594,'Türkkep Jira'!B:F,5,0)</f>
        <v>#N/A</v>
      </c>
      <c r="G594" t="str">
        <f>IF(IFERROR(VLOOKUP(B594,'Devam Eden Sprint'!B:B,1,0),"-")=B594,"Devam Eden Sprint","-")</f>
        <v>-</v>
      </c>
      <c r="H594" t="str">
        <f>IF(IFERROR(VLOOKUP(B594,'Gelecek Sprint'!B:B,1,0),"-")=B594,"Gelecek Sprint","-")</f>
        <v>-</v>
      </c>
      <c r="I594" t="str">
        <f t="shared" si="15"/>
        <v>Ürün İş Listesi</v>
      </c>
      <c r="J594" s="5">
        <v>3</v>
      </c>
    </row>
    <row r="595" spans="1:10" x14ac:dyDescent="0.25">
      <c r="A595" t="s">
        <v>14</v>
      </c>
      <c r="B595" t="s">
        <v>1230</v>
      </c>
      <c r="C595" t="s">
        <v>10</v>
      </c>
      <c r="D595" t="s">
        <v>1231</v>
      </c>
      <c r="E595" s="5" t="s">
        <v>53</v>
      </c>
      <c r="F595" s="5" t="e">
        <f>VLOOKUP(B595,'Türkkep Jira'!B:F,5,0)</f>
        <v>#N/A</v>
      </c>
      <c r="G595" t="str">
        <f>IF(IFERROR(VLOOKUP(B595,'Devam Eden Sprint'!B:B,1,0),"-")=B595,"Devam Eden Sprint","-")</f>
        <v>-</v>
      </c>
      <c r="H595" t="str">
        <f>IF(IFERROR(VLOOKUP(B595,'Gelecek Sprint'!B:B,1,0),"-")=B595,"Gelecek Sprint","-")</f>
        <v>-</v>
      </c>
      <c r="I595" t="str">
        <f t="shared" si="15"/>
        <v>Ürün İş Listesi</v>
      </c>
    </row>
    <row r="596" spans="1:10" x14ac:dyDescent="0.25">
      <c r="A596" t="s">
        <v>77</v>
      </c>
      <c r="B596" t="s">
        <v>1232</v>
      </c>
      <c r="C596" t="s">
        <v>16</v>
      </c>
      <c r="D596" t="s">
        <v>1233</v>
      </c>
      <c r="E596" s="5" t="s">
        <v>542</v>
      </c>
      <c r="F596" s="5" t="e">
        <f>VLOOKUP(B596,'Türkkep Jira'!B:F,5,0)</f>
        <v>#N/A</v>
      </c>
      <c r="G596" t="str">
        <f>IF(IFERROR(VLOOKUP(B596,'Devam Eden Sprint'!B:B,1,0),"-")=B596,"Devam Eden Sprint","-")</f>
        <v>-</v>
      </c>
      <c r="H596" t="str">
        <f>IF(IFERROR(VLOOKUP(B596,'Gelecek Sprint'!B:B,1,0),"-")=B596,"Gelecek Sprint","-")</f>
        <v>-</v>
      </c>
      <c r="I596" t="str">
        <f t="shared" si="15"/>
        <v>Ürün İş Listesi</v>
      </c>
    </row>
    <row r="597" spans="1:10" x14ac:dyDescent="0.25">
      <c r="A597" t="s">
        <v>14</v>
      </c>
      <c r="B597" t="s">
        <v>1234</v>
      </c>
      <c r="C597" t="s">
        <v>16</v>
      </c>
      <c r="D597" t="s">
        <v>1235</v>
      </c>
      <c r="E597" s="5" t="s">
        <v>56</v>
      </c>
      <c r="F597" s="5" t="e">
        <f>VLOOKUP(B597,'Türkkep Jira'!B:F,5,0)</f>
        <v>#N/A</v>
      </c>
      <c r="G597" t="str">
        <f>IF(IFERROR(VLOOKUP(B597,'Devam Eden Sprint'!B:B,1,0),"-")=B597,"Devam Eden Sprint","-")</f>
        <v>-</v>
      </c>
      <c r="H597" t="str">
        <f>IF(IFERROR(VLOOKUP(B597,'Gelecek Sprint'!B:B,1,0),"-")=B597,"Gelecek Sprint","-")</f>
        <v>-</v>
      </c>
      <c r="I597" t="str">
        <f t="shared" si="15"/>
        <v>Ürün İş Listesi</v>
      </c>
      <c r="J597" s="5">
        <v>5</v>
      </c>
    </row>
    <row r="598" spans="1:10" x14ac:dyDescent="0.25">
      <c r="A598" t="s">
        <v>14</v>
      </c>
      <c r="B598" t="s">
        <v>1236</v>
      </c>
      <c r="C598" t="s">
        <v>16</v>
      </c>
      <c r="D598" t="s">
        <v>1237</v>
      </c>
      <c r="E598" s="5" t="s">
        <v>41</v>
      </c>
      <c r="F598" s="5" t="e">
        <f>VLOOKUP(B598,'Türkkep Jira'!B:F,5,0)</f>
        <v>#N/A</v>
      </c>
      <c r="G598" t="str">
        <f>IF(IFERROR(VLOOKUP(B598,'Devam Eden Sprint'!B:B,1,0),"-")=B598,"Devam Eden Sprint","-")</f>
        <v>-</v>
      </c>
      <c r="H598" t="str">
        <f>IF(IFERROR(VLOOKUP(B598,'Gelecek Sprint'!B:B,1,0),"-")=B598,"Gelecek Sprint","-")</f>
        <v>-</v>
      </c>
      <c r="I598" t="str">
        <f t="shared" si="15"/>
        <v>Ürün İş Listesi</v>
      </c>
      <c r="J598" s="5">
        <v>2</v>
      </c>
    </row>
    <row r="599" spans="1:10" x14ac:dyDescent="0.25">
      <c r="A599" t="s">
        <v>14</v>
      </c>
      <c r="B599" t="s">
        <v>1238</v>
      </c>
      <c r="C599" t="s">
        <v>16</v>
      </c>
      <c r="D599" t="s">
        <v>1239</v>
      </c>
      <c r="E599" s="5" t="s">
        <v>41</v>
      </c>
      <c r="F599" s="5" t="e">
        <f>VLOOKUP(B599,'Türkkep Jira'!B:F,5,0)</f>
        <v>#N/A</v>
      </c>
      <c r="G599" t="str">
        <f>IF(IFERROR(VLOOKUP(B599,'Devam Eden Sprint'!B:B,1,0),"-")=B599,"Devam Eden Sprint","-")</f>
        <v>-</v>
      </c>
      <c r="H599" t="str">
        <f>IF(IFERROR(VLOOKUP(B599,'Gelecek Sprint'!B:B,1,0),"-")=B599,"Gelecek Sprint","-")</f>
        <v>-</v>
      </c>
      <c r="I599" t="str">
        <f t="shared" si="15"/>
        <v>Ürün İş Listesi</v>
      </c>
      <c r="J599" s="5">
        <v>3</v>
      </c>
    </row>
    <row r="600" spans="1:10" x14ac:dyDescent="0.25">
      <c r="A600" t="s">
        <v>14</v>
      </c>
      <c r="B600" t="s">
        <v>1240</v>
      </c>
      <c r="C600" t="s">
        <v>16</v>
      </c>
      <c r="D600" t="s">
        <v>1241</v>
      </c>
      <c r="E600" s="5" t="s">
        <v>41</v>
      </c>
      <c r="F600" s="5" t="e">
        <f>VLOOKUP(B600,'Türkkep Jira'!B:F,5,0)</f>
        <v>#N/A</v>
      </c>
      <c r="G600" t="str">
        <f>IF(IFERROR(VLOOKUP(B600,'Devam Eden Sprint'!B:B,1,0),"-")=B600,"Devam Eden Sprint","-")</f>
        <v>-</v>
      </c>
      <c r="H600" t="str">
        <f>IF(IFERROR(VLOOKUP(B600,'Gelecek Sprint'!B:B,1,0),"-")=B600,"Gelecek Sprint","-")</f>
        <v>-</v>
      </c>
      <c r="I600" t="str">
        <f t="shared" si="15"/>
        <v>Ürün İş Listesi</v>
      </c>
    </row>
    <row r="601" spans="1:10" x14ac:dyDescent="0.25">
      <c r="A601" t="s">
        <v>14</v>
      </c>
      <c r="B601" t="s">
        <v>1242</v>
      </c>
      <c r="C601" t="s">
        <v>10</v>
      </c>
      <c r="D601" t="s">
        <v>1243</v>
      </c>
      <c r="E601" s="5" t="s">
        <v>41</v>
      </c>
      <c r="F601" s="5" t="e">
        <f>VLOOKUP(B601,'Türkkep Jira'!B:F,5,0)</f>
        <v>#N/A</v>
      </c>
      <c r="G601" t="str">
        <f>IF(IFERROR(VLOOKUP(B601,'Devam Eden Sprint'!B:B,1,0),"-")=B601,"Devam Eden Sprint","-")</f>
        <v>-</v>
      </c>
      <c r="H601" t="str">
        <f>IF(IFERROR(VLOOKUP(B601,'Gelecek Sprint'!B:B,1,0),"-")=B601,"Gelecek Sprint","-")</f>
        <v>-</v>
      </c>
      <c r="I601" t="str">
        <f t="shared" si="15"/>
        <v>Ürün İş Listesi</v>
      </c>
    </row>
    <row r="602" spans="1:10" x14ac:dyDescent="0.25">
      <c r="A602" t="s">
        <v>14</v>
      </c>
      <c r="B602" t="s">
        <v>1244</v>
      </c>
      <c r="C602" t="s">
        <v>16</v>
      </c>
      <c r="D602" t="s">
        <v>1245</v>
      </c>
      <c r="E602" s="5" t="s">
        <v>41</v>
      </c>
      <c r="F602" s="5" t="e">
        <f>VLOOKUP(B602,'Türkkep Jira'!B:F,5,0)</f>
        <v>#N/A</v>
      </c>
      <c r="G602" t="str">
        <f>IF(IFERROR(VLOOKUP(B602,'Devam Eden Sprint'!B:B,1,0),"-")=B602,"Devam Eden Sprint","-")</f>
        <v>-</v>
      </c>
      <c r="H602" t="str">
        <f>IF(IFERROR(VLOOKUP(B602,'Gelecek Sprint'!B:B,1,0),"-")=B602,"Gelecek Sprint","-")</f>
        <v>-</v>
      </c>
      <c r="I602" t="str">
        <f t="shared" si="15"/>
        <v>Ürün İş Listesi</v>
      </c>
      <c r="J602" s="5">
        <v>1</v>
      </c>
    </row>
    <row r="603" spans="1:10" x14ac:dyDescent="0.25">
      <c r="A603" t="s">
        <v>14</v>
      </c>
      <c r="B603" t="s">
        <v>1246</v>
      </c>
      <c r="C603" t="s">
        <v>16</v>
      </c>
      <c r="D603" t="s">
        <v>1247</v>
      </c>
      <c r="E603" s="5" t="s">
        <v>41</v>
      </c>
      <c r="F603" s="5" t="e">
        <f>VLOOKUP(B603,'Türkkep Jira'!B:F,5,0)</f>
        <v>#N/A</v>
      </c>
      <c r="G603" t="str">
        <f>IF(IFERROR(VLOOKUP(B603,'Devam Eden Sprint'!B:B,1,0),"-")=B603,"Devam Eden Sprint","-")</f>
        <v>-</v>
      </c>
      <c r="H603" t="str">
        <f>IF(IFERROR(VLOOKUP(B603,'Gelecek Sprint'!B:B,1,0),"-")=B603,"Gelecek Sprint","-")</f>
        <v>-</v>
      </c>
      <c r="I603" t="str">
        <f t="shared" si="15"/>
        <v>Ürün İş Listesi</v>
      </c>
      <c r="J603" s="5">
        <v>3</v>
      </c>
    </row>
    <row r="604" spans="1:10" x14ac:dyDescent="0.25">
      <c r="A604" t="s">
        <v>77</v>
      </c>
      <c r="B604" t="s">
        <v>1248</v>
      </c>
      <c r="C604" t="s">
        <v>16</v>
      </c>
      <c r="D604" t="s">
        <v>1249</v>
      </c>
      <c r="E604" s="5" t="s">
        <v>41</v>
      </c>
      <c r="F604" s="5" t="e">
        <f>VLOOKUP(B604,'Türkkep Jira'!B:F,5,0)</f>
        <v>#N/A</v>
      </c>
      <c r="G604" t="str">
        <f>IF(IFERROR(VLOOKUP(B604,'Devam Eden Sprint'!B:B,1,0),"-")=B604,"Devam Eden Sprint","-")</f>
        <v>-</v>
      </c>
      <c r="H604" t="str">
        <f>IF(IFERROR(VLOOKUP(B604,'Gelecek Sprint'!B:B,1,0),"-")=B604,"Gelecek Sprint","-")</f>
        <v>-</v>
      </c>
      <c r="I604" t="str">
        <f t="shared" si="15"/>
        <v>Ürün İş Listesi</v>
      </c>
      <c r="J604" s="5">
        <v>2</v>
      </c>
    </row>
    <row r="605" spans="1:10" x14ac:dyDescent="0.25">
      <c r="A605" t="s">
        <v>14</v>
      </c>
      <c r="B605" t="s">
        <v>1250</v>
      </c>
      <c r="C605" t="s">
        <v>16</v>
      </c>
      <c r="D605" t="s">
        <v>1251</v>
      </c>
      <c r="E605" s="5" t="s">
        <v>41</v>
      </c>
      <c r="F605" s="5" t="e">
        <f>VLOOKUP(B605,'Türkkep Jira'!B:F,5,0)</f>
        <v>#N/A</v>
      </c>
      <c r="G605" t="str">
        <f>IF(IFERROR(VLOOKUP(B605,'Devam Eden Sprint'!B:B,1,0),"-")=B605,"Devam Eden Sprint","-")</f>
        <v>-</v>
      </c>
      <c r="H605" t="str">
        <f>IF(IFERROR(VLOOKUP(B605,'Gelecek Sprint'!B:B,1,0),"-")=B605,"Gelecek Sprint","-")</f>
        <v>-</v>
      </c>
      <c r="I605" t="str">
        <f t="shared" si="15"/>
        <v>Ürün İş Listesi</v>
      </c>
      <c r="J605" s="5">
        <v>5</v>
      </c>
    </row>
    <row r="606" spans="1:10" x14ac:dyDescent="0.25">
      <c r="A606" t="s">
        <v>14</v>
      </c>
      <c r="B606" t="s">
        <v>1252</v>
      </c>
      <c r="C606" t="s">
        <v>16</v>
      </c>
      <c r="D606" t="s">
        <v>1253</v>
      </c>
      <c r="E606" s="5" t="s">
        <v>38</v>
      </c>
      <c r="F606" s="5" t="e">
        <f>VLOOKUP(B606,'Türkkep Jira'!B:F,5,0)</f>
        <v>#N/A</v>
      </c>
      <c r="G606" t="str">
        <f>IF(IFERROR(VLOOKUP(B606,'Devam Eden Sprint'!B:B,1,0),"-")=B606,"Devam Eden Sprint","-")</f>
        <v>-</v>
      </c>
      <c r="H606" t="str">
        <f>IF(IFERROR(VLOOKUP(B606,'Gelecek Sprint'!B:B,1,0),"-")=B606,"Gelecek Sprint","-")</f>
        <v>-</v>
      </c>
      <c r="I606" t="str">
        <f t="shared" si="15"/>
        <v>Ürün İş Listesi</v>
      </c>
      <c r="J606" s="5">
        <v>2</v>
      </c>
    </row>
    <row r="607" spans="1:10" x14ac:dyDescent="0.25">
      <c r="A607" t="s">
        <v>14</v>
      </c>
      <c r="B607" t="s">
        <v>1254</v>
      </c>
      <c r="C607" t="s">
        <v>16</v>
      </c>
      <c r="D607" t="s">
        <v>1255</v>
      </c>
      <c r="E607" s="5" t="s">
        <v>991</v>
      </c>
      <c r="F607" s="5" t="e">
        <f>VLOOKUP(B607,'Türkkep Jira'!B:F,5,0)</f>
        <v>#N/A</v>
      </c>
      <c r="G607" t="str">
        <f>IF(IFERROR(VLOOKUP(B607,'Devam Eden Sprint'!B:B,1,0),"-")=B607,"Devam Eden Sprint","-")</f>
        <v>-</v>
      </c>
      <c r="H607" t="str">
        <f>IF(IFERROR(VLOOKUP(B607,'Gelecek Sprint'!B:B,1,0),"-")=B607,"Gelecek Sprint","-")</f>
        <v>-</v>
      </c>
      <c r="I607" t="str">
        <f t="shared" si="15"/>
        <v>Ürün İş Listesi</v>
      </c>
    </row>
    <row r="608" spans="1:10" x14ac:dyDescent="0.25">
      <c r="A608" t="s">
        <v>14</v>
      </c>
      <c r="B608" t="s">
        <v>1256</v>
      </c>
      <c r="C608" t="s">
        <v>16</v>
      </c>
      <c r="D608" t="s">
        <v>1257</v>
      </c>
      <c r="E608" s="5" t="s">
        <v>991</v>
      </c>
      <c r="F608" s="5" t="e">
        <f>VLOOKUP(B608,'Türkkep Jira'!B:F,5,0)</f>
        <v>#N/A</v>
      </c>
      <c r="G608" t="str">
        <f>IF(IFERROR(VLOOKUP(B608,'Devam Eden Sprint'!B:B,1,0),"-")=B608,"Devam Eden Sprint","-")</f>
        <v>-</v>
      </c>
      <c r="H608" t="str">
        <f>IF(IFERROR(VLOOKUP(B608,'Gelecek Sprint'!B:B,1,0),"-")=B608,"Gelecek Sprint","-")</f>
        <v>-</v>
      </c>
      <c r="I608" t="str">
        <f t="shared" si="15"/>
        <v>Ürün İş Listesi</v>
      </c>
    </row>
    <row r="609" spans="1:10" x14ac:dyDescent="0.25">
      <c r="A609" t="s">
        <v>14</v>
      </c>
      <c r="B609" t="s">
        <v>1258</v>
      </c>
      <c r="C609" t="s">
        <v>16</v>
      </c>
      <c r="D609" t="s">
        <v>1259</v>
      </c>
      <c r="E609" s="5" t="s">
        <v>991</v>
      </c>
      <c r="F609" s="5" t="e">
        <f>VLOOKUP(B609,'Türkkep Jira'!B:F,5,0)</f>
        <v>#N/A</v>
      </c>
      <c r="G609" t="str">
        <f>IF(IFERROR(VLOOKUP(B609,'Devam Eden Sprint'!B:B,1,0),"-")=B609,"Devam Eden Sprint","-")</f>
        <v>-</v>
      </c>
      <c r="H609" t="str">
        <f>IF(IFERROR(VLOOKUP(B609,'Gelecek Sprint'!B:B,1,0),"-")=B609,"Gelecek Sprint","-")</f>
        <v>-</v>
      </c>
      <c r="I609" t="str">
        <f t="shared" si="15"/>
        <v>Ürün İş Listesi</v>
      </c>
    </row>
    <row r="610" spans="1:10" x14ac:dyDescent="0.25">
      <c r="A610" t="s">
        <v>14</v>
      </c>
      <c r="B610" t="s">
        <v>1260</v>
      </c>
      <c r="C610" t="s">
        <v>16</v>
      </c>
      <c r="D610" t="s">
        <v>1261</v>
      </c>
      <c r="E610" s="5" t="s">
        <v>991</v>
      </c>
      <c r="F610" s="5" t="e">
        <f>VLOOKUP(B610,'Türkkep Jira'!B:F,5,0)</f>
        <v>#N/A</v>
      </c>
      <c r="G610" t="str">
        <f>IF(IFERROR(VLOOKUP(B610,'Devam Eden Sprint'!B:B,1,0),"-")=B610,"Devam Eden Sprint","-")</f>
        <v>-</v>
      </c>
      <c r="H610" t="str">
        <f>IF(IFERROR(VLOOKUP(B610,'Gelecek Sprint'!B:B,1,0),"-")=B610,"Gelecek Sprint","-")</f>
        <v>-</v>
      </c>
      <c r="I610" t="str">
        <f t="shared" si="15"/>
        <v>Ürün İş Listesi</v>
      </c>
    </row>
    <row r="611" spans="1:10" x14ac:dyDescent="0.25">
      <c r="A611" t="s">
        <v>14</v>
      </c>
      <c r="B611" t="s">
        <v>1262</v>
      </c>
      <c r="C611" t="s">
        <v>16</v>
      </c>
      <c r="D611" t="s">
        <v>1263</v>
      </c>
      <c r="E611" s="5" t="s">
        <v>991</v>
      </c>
      <c r="F611" s="5" t="e">
        <f>VLOOKUP(B611,'Türkkep Jira'!B:F,5,0)</f>
        <v>#N/A</v>
      </c>
      <c r="G611" t="str">
        <f>IF(IFERROR(VLOOKUP(B611,'Devam Eden Sprint'!B:B,1,0),"-")=B611,"Devam Eden Sprint","-")</f>
        <v>-</v>
      </c>
      <c r="H611" t="str">
        <f>IF(IFERROR(VLOOKUP(B611,'Gelecek Sprint'!B:B,1,0),"-")=B611,"Gelecek Sprint","-")</f>
        <v>-</v>
      </c>
      <c r="I611" t="str">
        <f t="shared" si="15"/>
        <v>Ürün İş Listesi</v>
      </c>
    </row>
    <row r="612" spans="1:10" x14ac:dyDescent="0.25">
      <c r="A612" t="s">
        <v>14</v>
      </c>
      <c r="B612" t="s">
        <v>1264</v>
      </c>
      <c r="C612" t="s">
        <v>16</v>
      </c>
      <c r="D612" t="s">
        <v>1265</v>
      </c>
      <c r="E612" s="5" t="s">
        <v>991</v>
      </c>
      <c r="F612" s="5" t="e">
        <f>VLOOKUP(B612,'Türkkep Jira'!B:F,5,0)</f>
        <v>#N/A</v>
      </c>
      <c r="G612" t="str">
        <f>IF(IFERROR(VLOOKUP(B612,'Devam Eden Sprint'!B:B,1,0),"-")=B612,"Devam Eden Sprint","-")</f>
        <v>-</v>
      </c>
      <c r="H612" t="str">
        <f>IF(IFERROR(VLOOKUP(B612,'Gelecek Sprint'!B:B,1,0),"-")=B612,"Gelecek Sprint","-")</f>
        <v>-</v>
      </c>
      <c r="I612" t="str">
        <f t="shared" si="15"/>
        <v>Ürün İş Listesi</v>
      </c>
    </row>
    <row r="613" spans="1:10" x14ac:dyDescent="0.25">
      <c r="A613" t="s">
        <v>14</v>
      </c>
      <c r="B613" t="s">
        <v>1266</v>
      </c>
      <c r="C613" t="s">
        <v>16</v>
      </c>
      <c r="D613" t="s">
        <v>1267</v>
      </c>
      <c r="E613" s="5" t="s">
        <v>991</v>
      </c>
      <c r="F613" s="5" t="e">
        <f>VLOOKUP(B613,'Türkkep Jira'!B:F,5,0)</f>
        <v>#N/A</v>
      </c>
      <c r="G613" t="str">
        <f>IF(IFERROR(VLOOKUP(B613,'Devam Eden Sprint'!B:B,1,0),"-")=B613,"Devam Eden Sprint","-")</f>
        <v>-</v>
      </c>
      <c r="H613" t="str">
        <f>IF(IFERROR(VLOOKUP(B613,'Gelecek Sprint'!B:B,1,0),"-")=B613,"Gelecek Sprint","-")</f>
        <v>-</v>
      </c>
      <c r="I613" t="str">
        <f t="shared" si="15"/>
        <v>Ürün İş Listesi</v>
      </c>
    </row>
    <row r="614" spans="1:10" x14ac:dyDescent="0.25">
      <c r="A614" t="s">
        <v>14</v>
      </c>
      <c r="B614" t="s">
        <v>1268</v>
      </c>
      <c r="C614" t="s">
        <v>16</v>
      </c>
      <c r="D614" t="s">
        <v>1269</v>
      </c>
      <c r="E614" s="5" t="s">
        <v>991</v>
      </c>
      <c r="F614" s="5" t="e">
        <f>VLOOKUP(B614,'Türkkep Jira'!B:F,5,0)</f>
        <v>#N/A</v>
      </c>
      <c r="G614" t="str">
        <f>IF(IFERROR(VLOOKUP(B614,'Devam Eden Sprint'!B:B,1,0),"-")=B614,"Devam Eden Sprint","-")</f>
        <v>-</v>
      </c>
      <c r="H614" t="str">
        <f>IF(IFERROR(VLOOKUP(B614,'Gelecek Sprint'!B:B,1,0),"-")=B614,"Gelecek Sprint","-")</f>
        <v>-</v>
      </c>
      <c r="I614" t="str">
        <f t="shared" si="15"/>
        <v>Ürün İş Listesi</v>
      </c>
    </row>
    <row r="615" spans="1:10" x14ac:dyDescent="0.25">
      <c r="A615" t="s">
        <v>14</v>
      </c>
      <c r="B615" t="s">
        <v>1270</v>
      </c>
      <c r="C615" t="s">
        <v>16</v>
      </c>
      <c r="D615" t="s">
        <v>1271</v>
      </c>
      <c r="E615" s="5" t="s">
        <v>991</v>
      </c>
      <c r="F615" s="5" t="e">
        <f>VLOOKUP(B615,'Türkkep Jira'!B:F,5,0)</f>
        <v>#N/A</v>
      </c>
      <c r="G615" t="str">
        <f>IF(IFERROR(VLOOKUP(B615,'Devam Eden Sprint'!B:B,1,0),"-")=B615,"Devam Eden Sprint","-")</f>
        <v>-</v>
      </c>
      <c r="H615" t="str">
        <f>IF(IFERROR(VLOOKUP(B615,'Gelecek Sprint'!B:B,1,0),"-")=B615,"Gelecek Sprint","-")</f>
        <v>-</v>
      </c>
      <c r="I615" t="str">
        <f t="shared" si="15"/>
        <v>Ürün İş Listesi</v>
      </c>
    </row>
    <row r="616" spans="1:10" x14ac:dyDescent="0.25">
      <c r="A616" t="s">
        <v>14</v>
      </c>
      <c r="B616" t="s">
        <v>1272</v>
      </c>
      <c r="C616" t="s">
        <v>16</v>
      </c>
      <c r="D616" t="s">
        <v>1273</v>
      </c>
      <c r="E616" s="5" t="s">
        <v>991</v>
      </c>
      <c r="F616" s="5" t="e">
        <f>VLOOKUP(B616,'Türkkep Jira'!B:F,5,0)</f>
        <v>#N/A</v>
      </c>
      <c r="G616" t="str">
        <f>IF(IFERROR(VLOOKUP(B616,'Devam Eden Sprint'!B:B,1,0),"-")=B616,"Devam Eden Sprint","-")</f>
        <v>-</v>
      </c>
      <c r="H616" t="str">
        <f>IF(IFERROR(VLOOKUP(B616,'Gelecek Sprint'!B:B,1,0),"-")=B616,"Gelecek Sprint","-")</f>
        <v>-</v>
      </c>
      <c r="I616" t="str">
        <f t="shared" si="15"/>
        <v>Ürün İş Listesi</v>
      </c>
    </row>
    <row r="617" spans="1:10" x14ac:dyDescent="0.25">
      <c r="A617" t="s">
        <v>14</v>
      </c>
      <c r="B617" t="s">
        <v>1274</v>
      </c>
      <c r="C617" t="s">
        <v>16</v>
      </c>
      <c r="D617" t="s">
        <v>1275</v>
      </c>
      <c r="E617" s="5" t="s">
        <v>991</v>
      </c>
      <c r="F617" s="5" t="e">
        <f>VLOOKUP(B617,'Türkkep Jira'!B:F,5,0)</f>
        <v>#N/A</v>
      </c>
      <c r="G617" t="str">
        <f>IF(IFERROR(VLOOKUP(B617,'Devam Eden Sprint'!B:B,1,0),"-")=B617,"Devam Eden Sprint","-")</f>
        <v>-</v>
      </c>
      <c r="H617" t="str">
        <f>IF(IFERROR(VLOOKUP(B617,'Gelecek Sprint'!B:B,1,0),"-")=B617,"Gelecek Sprint","-")</f>
        <v>-</v>
      </c>
      <c r="I617" t="str">
        <f t="shared" ref="I617:I658" si="16">IFERROR(IF(AND(G617="Devam Eden Sprint",H617="Gelecek Sprint"),"Devam Eden ve Gelecek Sprint",IF(G617="Devam Eden Sprint","Devam Eden Sprint",IF(H617="Gelecek Sprint","Gelecek Sprint","Ürün İş Listesi"))),"Ürün İş Listesi")</f>
        <v>Ürün İş Listesi</v>
      </c>
    </row>
    <row r="618" spans="1:10" x14ac:dyDescent="0.25">
      <c r="A618" t="s">
        <v>14</v>
      </c>
      <c r="B618" t="s">
        <v>1276</v>
      </c>
      <c r="C618" t="s">
        <v>16</v>
      </c>
      <c r="D618" t="s">
        <v>1277</v>
      </c>
      <c r="E618" s="5" t="s">
        <v>991</v>
      </c>
      <c r="F618" s="5" t="e">
        <f>VLOOKUP(B618,'Türkkep Jira'!B:F,5,0)</f>
        <v>#N/A</v>
      </c>
      <c r="G618" t="str">
        <f>IF(IFERROR(VLOOKUP(B618,'Devam Eden Sprint'!B:B,1,0),"-")=B618,"Devam Eden Sprint","-")</f>
        <v>-</v>
      </c>
      <c r="H618" t="str">
        <f>IF(IFERROR(VLOOKUP(B618,'Gelecek Sprint'!B:B,1,0),"-")=B618,"Gelecek Sprint","-")</f>
        <v>-</v>
      </c>
      <c r="I618" t="str">
        <f t="shared" si="16"/>
        <v>Ürün İş Listesi</v>
      </c>
    </row>
    <row r="619" spans="1:10" x14ac:dyDescent="0.25">
      <c r="A619" t="s">
        <v>14</v>
      </c>
      <c r="B619" t="s">
        <v>1278</v>
      </c>
      <c r="C619" t="s">
        <v>16</v>
      </c>
      <c r="D619" t="s">
        <v>1279</v>
      </c>
      <c r="E619" s="5" t="s">
        <v>991</v>
      </c>
      <c r="F619" s="5" t="e">
        <f>VLOOKUP(B619,'Türkkep Jira'!B:F,5,0)</f>
        <v>#N/A</v>
      </c>
      <c r="G619" t="str">
        <f>IF(IFERROR(VLOOKUP(B619,'Devam Eden Sprint'!B:B,1,0),"-")=B619,"Devam Eden Sprint","-")</f>
        <v>-</v>
      </c>
      <c r="H619" t="str">
        <f>IF(IFERROR(VLOOKUP(B619,'Gelecek Sprint'!B:B,1,0),"-")=B619,"Gelecek Sprint","-")</f>
        <v>-</v>
      </c>
      <c r="I619" t="str">
        <f t="shared" si="16"/>
        <v>Ürün İş Listesi</v>
      </c>
    </row>
    <row r="620" spans="1:10" x14ac:dyDescent="0.25">
      <c r="A620" t="s">
        <v>14</v>
      </c>
      <c r="B620" t="s">
        <v>1280</v>
      </c>
      <c r="C620" t="s">
        <v>16</v>
      </c>
      <c r="D620" t="s">
        <v>1281</v>
      </c>
      <c r="E620" s="5" t="s">
        <v>991</v>
      </c>
      <c r="F620" s="5" t="e">
        <f>VLOOKUP(B620,'Türkkep Jira'!B:F,5,0)</f>
        <v>#N/A</v>
      </c>
      <c r="G620" t="str">
        <f>IF(IFERROR(VLOOKUP(B620,'Devam Eden Sprint'!B:B,1,0),"-")=B620,"Devam Eden Sprint","-")</f>
        <v>-</v>
      </c>
      <c r="H620" t="str">
        <f>IF(IFERROR(VLOOKUP(B620,'Gelecek Sprint'!B:B,1,0),"-")=B620,"Gelecek Sprint","-")</f>
        <v>-</v>
      </c>
      <c r="I620" t="str">
        <f t="shared" si="16"/>
        <v>Ürün İş Listesi</v>
      </c>
    </row>
    <row r="621" spans="1:10" x14ac:dyDescent="0.25">
      <c r="A621" t="s">
        <v>14</v>
      </c>
      <c r="B621" t="s">
        <v>1282</v>
      </c>
      <c r="C621" t="s">
        <v>16</v>
      </c>
      <c r="D621" t="s">
        <v>1283</v>
      </c>
      <c r="E621" s="5" t="s">
        <v>991</v>
      </c>
      <c r="F621" s="5" t="e">
        <f>VLOOKUP(B621,'Türkkep Jira'!B:F,5,0)</f>
        <v>#N/A</v>
      </c>
      <c r="G621" t="str">
        <f>IF(IFERROR(VLOOKUP(B621,'Devam Eden Sprint'!B:B,1,0),"-")=B621,"Devam Eden Sprint","-")</f>
        <v>-</v>
      </c>
      <c r="H621" t="str">
        <f>IF(IFERROR(VLOOKUP(B621,'Gelecek Sprint'!B:B,1,0),"-")=B621,"Gelecek Sprint","-")</f>
        <v>-</v>
      </c>
      <c r="I621" t="str">
        <f t="shared" si="16"/>
        <v>Ürün İş Listesi</v>
      </c>
    </row>
    <row r="622" spans="1:10" x14ac:dyDescent="0.25">
      <c r="A622" t="s">
        <v>14</v>
      </c>
      <c r="B622" t="s">
        <v>1284</v>
      </c>
      <c r="C622" t="s">
        <v>16</v>
      </c>
      <c r="D622" t="s">
        <v>1285</v>
      </c>
      <c r="E622" s="5" t="s">
        <v>991</v>
      </c>
      <c r="F622" s="5" t="e">
        <f>VLOOKUP(B622,'Türkkep Jira'!B:F,5,0)</f>
        <v>#N/A</v>
      </c>
      <c r="G622" t="str">
        <f>IF(IFERROR(VLOOKUP(B622,'Devam Eden Sprint'!B:B,1,0),"-")=B622,"Devam Eden Sprint","-")</f>
        <v>-</v>
      </c>
      <c r="H622" t="str">
        <f>IF(IFERROR(VLOOKUP(B622,'Gelecek Sprint'!B:B,1,0),"-")=B622,"Gelecek Sprint","-")</f>
        <v>-</v>
      </c>
      <c r="I622" t="str">
        <f t="shared" si="16"/>
        <v>Ürün İş Listesi</v>
      </c>
    </row>
    <row r="623" spans="1:10" x14ac:dyDescent="0.25">
      <c r="A623" t="s">
        <v>14</v>
      </c>
      <c r="B623" t="s">
        <v>1286</v>
      </c>
      <c r="C623" t="s">
        <v>16</v>
      </c>
      <c r="D623" t="s">
        <v>1287</v>
      </c>
      <c r="E623" s="5" t="s">
        <v>127</v>
      </c>
      <c r="F623" s="5" t="e">
        <f>VLOOKUP(B623,'Türkkep Jira'!B:F,5,0)</f>
        <v>#N/A</v>
      </c>
      <c r="G623" t="str">
        <f>IF(IFERROR(VLOOKUP(B623,'Devam Eden Sprint'!B:B,1,0),"-")=B623,"Devam Eden Sprint","-")</f>
        <v>-</v>
      </c>
      <c r="H623" t="str">
        <f>IF(IFERROR(VLOOKUP(B623,'Gelecek Sprint'!B:B,1,0),"-")=B623,"Gelecek Sprint","-")</f>
        <v>-</v>
      </c>
      <c r="I623" t="str">
        <f t="shared" si="16"/>
        <v>Ürün İş Listesi</v>
      </c>
      <c r="J623" s="5">
        <v>3</v>
      </c>
    </row>
    <row r="624" spans="1:10" x14ac:dyDescent="0.25">
      <c r="A624" t="s">
        <v>14</v>
      </c>
      <c r="B624" t="s">
        <v>1288</v>
      </c>
      <c r="C624" t="s">
        <v>16</v>
      </c>
      <c r="D624" t="s">
        <v>1289</v>
      </c>
      <c r="E624" s="5" t="s">
        <v>127</v>
      </c>
      <c r="F624" s="5" t="e">
        <f>VLOOKUP(B624,'Türkkep Jira'!B:F,5,0)</f>
        <v>#N/A</v>
      </c>
      <c r="G624" t="str">
        <f>IF(IFERROR(VLOOKUP(B624,'Devam Eden Sprint'!B:B,1,0),"-")=B624,"Devam Eden Sprint","-")</f>
        <v>-</v>
      </c>
      <c r="H624" t="str">
        <f>IF(IFERROR(VLOOKUP(B624,'Gelecek Sprint'!B:B,1,0),"-")=B624,"Gelecek Sprint","-")</f>
        <v>-</v>
      </c>
      <c r="I624" t="str">
        <f t="shared" si="16"/>
        <v>Ürün İş Listesi</v>
      </c>
      <c r="J624" s="5">
        <v>3</v>
      </c>
    </row>
    <row r="625" spans="1:10" x14ac:dyDescent="0.25">
      <c r="A625" t="s">
        <v>14</v>
      </c>
      <c r="B625" t="s">
        <v>1290</v>
      </c>
      <c r="C625" t="s">
        <v>16</v>
      </c>
      <c r="D625" t="s">
        <v>1291</v>
      </c>
      <c r="E625" s="5" t="s">
        <v>136</v>
      </c>
      <c r="F625" s="5" t="e">
        <f>VLOOKUP(B625,'Türkkep Jira'!B:F,5,0)</f>
        <v>#N/A</v>
      </c>
      <c r="G625" t="str">
        <f>IF(IFERROR(VLOOKUP(B625,'Devam Eden Sprint'!B:B,1,0),"-")=B625,"Devam Eden Sprint","-")</f>
        <v>-</v>
      </c>
      <c r="H625" t="str">
        <f>IF(IFERROR(VLOOKUP(B625,'Gelecek Sprint'!B:B,1,0),"-")=B625,"Gelecek Sprint","-")</f>
        <v>-</v>
      </c>
      <c r="I625" t="str">
        <f t="shared" si="16"/>
        <v>Ürün İş Listesi</v>
      </c>
      <c r="J625" s="5">
        <v>3</v>
      </c>
    </row>
    <row r="626" spans="1:10" x14ac:dyDescent="0.25">
      <c r="A626" t="s">
        <v>14</v>
      </c>
      <c r="B626" t="s">
        <v>1292</v>
      </c>
      <c r="C626" t="s">
        <v>16</v>
      </c>
      <c r="D626" t="s">
        <v>1293</v>
      </c>
      <c r="E626" s="5" t="s">
        <v>1294</v>
      </c>
      <c r="F626" s="5" t="e">
        <f>VLOOKUP(B626,'Türkkep Jira'!B:F,5,0)</f>
        <v>#N/A</v>
      </c>
      <c r="G626" t="str">
        <f>IF(IFERROR(VLOOKUP(B626,'Devam Eden Sprint'!B:B,1,0),"-")=B626,"Devam Eden Sprint","-")</f>
        <v>-</v>
      </c>
      <c r="H626" t="str">
        <f>IF(IFERROR(VLOOKUP(B626,'Gelecek Sprint'!B:B,1,0),"-")=B626,"Gelecek Sprint","-")</f>
        <v>-</v>
      </c>
      <c r="I626" t="str">
        <f t="shared" si="16"/>
        <v>Ürün İş Listesi</v>
      </c>
      <c r="J626" s="5">
        <v>3</v>
      </c>
    </row>
    <row r="627" spans="1:10" x14ac:dyDescent="0.25">
      <c r="A627" t="s">
        <v>14</v>
      </c>
      <c r="B627" t="s">
        <v>1295</v>
      </c>
      <c r="C627" t="s">
        <v>16</v>
      </c>
      <c r="D627" t="s">
        <v>1296</v>
      </c>
      <c r="E627" s="5" t="s">
        <v>50</v>
      </c>
      <c r="F627" s="5" t="e">
        <f>VLOOKUP(B627,'Türkkep Jira'!B:F,5,0)</f>
        <v>#N/A</v>
      </c>
      <c r="G627" t="str">
        <f>IF(IFERROR(VLOOKUP(B627,'Devam Eden Sprint'!B:B,1,0),"-")=B627,"Devam Eden Sprint","-")</f>
        <v>-</v>
      </c>
      <c r="H627" t="str">
        <f>IF(IFERROR(VLOOKUP(B627,'Gelecek Sprint'!B:B,1,0),"-")=B627,"Gelecek Sprint","-")</f>
        <v>-</v>
      </c>
      <c r="I627" t="str">
        <f t="shared" si="16"/>
        <v>Ürün İş Listesi</v>
      </c>
      <c r="J627" s="5">
        <v>3</v>
      </c>
    </row>
    <row r="628" spans="1:10" x14ac:dyDescent="0.25">
      <c r="A628" t="s">
        <v>14</v>
      </c>
      <c r="B628" t="s">
        <v>1297</v>
      </c>
      <c r="C628" t="s">
        <v>16</v>
      </c>
      <c r="D628" t="s">
        <v>1298</v>
      </c>
      <c r="E628" s="5" t="s">
        <v>50</v>
      </c>
      <c r="F628" s="5" t="e">
        <f>VLOOKUP(B628,'Türkkep Jira'!B:F,5,0)</f>
        <v>#N/A</v>
      </c>
      <c r="G628" t="str">
        <f>IF(IFERROR(VLOOKUP(B628,'Devam Eden Sprint'!B:B,1,0),"-")=B628,"Devam Eden Sprint","-")</f>
        <v>-</v>
      </c>
      <c r="H628" t="str">
        <f>IF(IFERROR(VLOOKUP(B628,'Gelecek Sprint'!B:B,1,0),"-")=B628,"Gelecek Sprint","-")</f>
        <v>-</v>
      </c>
      <c r="I628" t="str">
        <f t="shared" si="16"/>
        <v>Ürün İş Listesi</v>
      </c>
      <c r="J628" s="5">
        <v>3</v>
      </c>
    </row>
    <row r="629" spans="1:10" x14ac:dyDescent="0.25">
      <c r="A629" t="s">
        <v>14</v>
      </c>
      <c r="B629" t="s">
        <v>1299</v>
      </c>
      <c r="C629" t="s">
        <v>16</v>
      </c>
      <c r="D629" t="s">
        <v>1300</v>
      </c>
      <c r="E629" s="5" t="s">
        <v>56</v>
      </c>
      <c r="F629" s="5" t="e">
        <f>VLOOKUP(B629,'Türkkep Jira'!B:F,5,0)</f>
        <v>#N/A</v>
      </c>
      <c r="G629" t="str">
        <f>IF(IFERROR(VLOOKUP(B629,'Devam Eden Sprint'!B:B,1,0),"-")=B629,"Devam Eden Sprint","-")</f>
        <v>-</v>
      </c>
      <c r="H629" t="str">
        <f>IF(IFERROR(VLOOKUP(B629,'Gelecek Sprint'!B:B,1,0),"-")=B629,"Gelecek Sprint","-")</f>
        <v>-</v>
      </c>
      <c r="I629" t="str">
        <f t="shared" si="16"/>
        <v>Ürün İş Listesi</v>
      </c>
      <c r="J629" s="5">
        <v>1</v>
      </c>
    </row>
    <row r="630" spans="1:10" x14ac:dyDescent="0.25">
      <c r="A630" t="s">
        <v>14</v>
      </c>
      <c r="B630" t="s">
        <v>1301</v>
      </c>
      <c r="C630" t="s">
        <v>16</v>
      </c>
      <c r="D630" t="s">
        <v>1302</v>
      </c>
      <c r="E630" s="5" t="s">
        <v>56</v>
      </c>
      <c r="F630" s="5" t="e">
        <f>VLOOKUP(B630,'Türkkep Jira'!B:F,5,0)</f>
        <v>#N/A</v>
      </c>
      <c r="G630" t="str">
        <f>IF(IFERROR(VLOOKUP(B630,'Devam Eden Sprint'!B:B,1,0),"-")=B630,"Devam Eden Sprint","-")</f>
        <v>-</v>
      </c>
      <c r="H630" t="str">
        <f>IF(IFERROR(VLOOKUP(B630,'Gelecek Sprint'!B:B,1,0),"-")=B630,"Gelecek Sprint","-")</f>
        <v>-</v>
      </c>
      <c r="I630" t="str">
        <f t="shared" si="16"/>
        <v>Ürün İş Listesi</v>
      </c>
      <c r="J630" s="5">
        <v>1</v>
      </c>
    </row>
    <row r="631" spans="1:10" x14ac:dyDescent="0.25">
      <c r="A631" t="s">
        <v>77</v>
      </c>
      <c r="B631" t="s">
        <v>1303</v>
      </c>
      <c r="C631" t="s">
        <v>16</v>
      </c>
      <c r="D631" t="s">
        <v>1304</v>
      </c>
      <c r="E631" s="5" t="s">
        <v>56</v>
      </c>
      <c r="F631" s="5" t="e">
        <f>VLOOKUP(B631,'Türkkep Jira'!B:F,5,0)</f>
        <v>#N/A</v>
      </c>
      <c r="G631" t="str">
        <f>IF(IFERROR(VLOOKUP(B631,'Devam Eden Sprint'!B:B,1,0),"-")=B631,"Devam Eden Sprint","-")</f>
        <v>-</v>
      </c>
      <c r="H631" t="str">
        <f>IF(IFERROR(VLOOKUP(B631,'Gelecek Sprint'!B:B,1,0),"-")=B631,"Gelecek Sprint","-")</f>
        <v>-</v>
      </c>
      <c r="I631" t="str">
        <f t="shared" si="16"/>
        <v>Ürün İş Listesi</v>
      </c>
      <c r="J631" s="5">
        <v>3</v>
      </c>
    </row>
    <row r="632" spans="1:10" x14ac:dyDescent="0.25">
      <c r="A632" t="s">
        <v>77</v>
      </c>
      <c r="B632" t="s">
        <v>1305</v>
      </c>
      <c r="C632" t="s">
        <v>16</v>
      </c>
      <c r="D632" t="s">
        <v>1306</v>
      </c>
      <c r="E632" s="5" t="s">
        <v>56</v>
      </c>
      <c r="F632" s="5" t="e">
        <f>VLOOKUP(B632,'Türkkep Jira'!B:F,5,0)</f>
        <v>#N/A</v>
      </c>
      <c r="G632" t="str">
        <f>IF(IFERROR(VLOOKUP(B632,'Devam Eden Sprint'!B:B,1,0),"-")=B632,"Devam Eden Sprint","-")</f>
        <v>-</v>
      </c>
      <c r="H632" t="str">
        <f>IF(IFERROR(VLOOKUP(B632,'Gelecek Sprint'!B:B,1,0),"-")=B632,"Gelecek Sprint","-")</f>
        <v>-</v>
      </c>
      <c r="I632" t="str">
        <f t="shared" si="16"/>
        <v>Ürün İş Listesi</v>
      </c>
      <c r="J632" s="5">
        <v>3</v>
      </c>
    </row>
    <row r="633" spans="1:10" x14ac:dyDescent="0.25">
      <c r="A633" t="s">
        <v>14</v>
      </c>
      <c r="B633" t="s">
        <v>1307</v>
      </c>
      <c r="C633" t="s">
        <v>16</v>
      </c>
      <c r="D633" t="s">
        <v>1308</v>
      </c>
      <c r="E633" s="5" t="s">
        <v>56</v>
      </c>
      <c r="F633" s="5" t="e">
        <f>VLOOKUP(B633,'Türkkep Jira'!B:F,5,0)</f>
        <v>#N/A</v>
      </c>
      <c r="G633" t="str">
        <f>IF(IFERROR(VLOOKUP(B633,'Devam Eden Sprint'!B:B,1,0),"-")=B633,"Devam Eden Sprint","-")</f>
        <v>-</v>
      </c>
      <c r="H633" t="str">
        <f>IF(IFERROR(VLOOKUP(B633,'Gelecek Sprint'!B:B,1,0),"-")=B633,"Gelecek Sprint","-")</f>
        <v>-</v>
      </c>
      <c r="I633" t="str">
        <f t="shared" si="16"/>
        <v>Ürün İş Listesi</v>
      </c>
      <c r="J633" s="5">
        <v>3</v>
      </c>
    </row>
    <row r="634" spans="1:10" x14ac:dyDescent="0.25">
      <c r="A634" t="s">
        <v>14</v>
      </c>
      <c r="B634" t="s">
        <v>1309</v>
      </c>
      <c r="C634" t="s">
        <v>16</v>
      </c>
      <c r="D634" t="s">
        <v>1298</v>
      </c>
      <c r="E634" s="5" t="s">
        <v>59</v>
      </c>
      <c r="F634" s="5" t="e">
        <f>VLOOKUP(B634,'Türkkep Jira'!B:F,5,0)</f>
        <v>#N/A</v>
      </c>
      <c r="G634" t="str">
        <f>IF(IFERROR(VLOOKUP(B634,'Devam Eden Sprint'!B:B,1,0),"-")=B634,"Devam Eden Sprint","-")</f>
        <v>-</v>
      </c>
      <c r="H634" t="str">
        <f>IF(IFERROR(VLOOKUP(B634,'Gelecek Sprint'!B:B,1,0),"-")=B634,"Gelecek Sprint","-")</f>
        <v>-</v>
      </c>
      <c r="I634" t="str">
        <f t="shared" si="16"/>
        <v>Ürün İş Listesi</v>
      </c>
      <c r="J634" s="5">
        <v>2</v>
      </c>
    </row>
    <row r="635" spans="1:10" x14ac:dyDescent="0.25">
      <c r="A635" t="s">
        <v>14</v>
      </c>
      <c r="B635" t="s">
        <v>1310</v>
      </c>
      <c r="C635" t="s">
        <v>16</v>
      </c>
      <c r="D635" t="s">
        <v>1311</v>
      </c>
      <c r="E635" s="5" t="s">
        <v>59</v>
      </c>
      <c r="F635" s="5" t="e">
        <f>VLOOKUP(B635,'Türkkep Jira'!B:F,5,0)</f>
        <v>#N/A</v>
      </c>
      <c r="G635" t="str">
        <f>IF(IFERROR(VLOOKUP(B635,'Devam Eden Sprint'!B:B,1,0),"-")=B635,"Devam Eden Sprint","-")</f>
        <v>-</v>
      </c>
      <c r="H635" t="str">
        <f>IF(IFERROR(VLOOKUP(B635,'Gelecek Sprint'!B:B,1,0),"-")=B635,"Gelecek Sprint","-")</f>
        <v>-</v>
      </c>
      <c r="I635" t="str">
        <f t="shared" si="16"/>
        <v>Ürün İş Listesi</v>
      </c>
      <c r="J635" s="5">
        <v>3</v>
      </c>
    </row>
    <row r="636" spans="1:10" x14ac:dyDescent="0.25">
      <c r="A636" t="s">
        <v>14</v>
      </c>
      <c r="B636" t="s">
        <v>1312</v>
      </c>
      <c r="C636" t="s">
        <v>16</v>
      </c>
      <c r="D636" t="s">
        <v>1293</v>
      </c>
      <c r="E636" s="5" t="s">
        <v>59</v>
      </c>
      <c r="F636" s="5" t="e">
        <f>VLOOKUP(B636,'Türkkep Jira'!B:F,5,0)</f>
        <v>#N/A</v>
      </c>
      <c r="G636" t="str">
        <f>IF(IFERROR(VLOOKUP(B636,'Devam Eden Sprint'!B:B,1,0),"-")=B636,"Devam Eden Sprint","-")</f>
        <v>-</v>
      </c>
      <c r="H636" t="str">
        <f>IF(IFERROR(VLOOKUP(B636,'Gelecek Sprint'!B:B,1,0),"-")=B636,"Gelecek Sprint","-")</f>
        <v>-</v>
      </c>
      <c r="I636" t="str">
        <f t="shared" si="16"/>
        <v>Ürün İş Listesi</v>
      </c>
      <c r="J636" s="5">
        <v>3</v>
      </c>
    </row>
    <row r="637" spans="1:10" x14ac:dyDescent="0.25">
      <c r="A637" t="s">
        <v>14</v>
      </c>
      <c r="B637" t="s">
        <v>1313</v>
      </c>
      <c r="C637" t="s">
        <v>16</v>
      </c>
      <c r="D637" t="s">
        <v>1314</v>
      </c>
      <c r="E637" s="5" t="s">
        <v>12</v>
      </c>
      <c r="F637" s="5" t="e">
        <f>VLOOKUP(B637,'Türkkep Jira'!B:F,5,0)</f>
        <v>#N/A</v>
      </c>
      <c r="G637" t="str">
        <f>IF(IFERROR(VLOOKUP(B637,'Devam Eden Sprint'!B:B,1,0),"-")=B637,"Devam Eden Sprint","-")</f>
        <v>-</v>
      </c>
      <c r="H637" t="str">
        <f>IF(IFERROR(VLOOKUP(B637,'Gelecek Sprint'!B:B,1,0),"-")=B637,"Gelecek Sprint","-")</f>
        <v>-</v>
      </c>
      <c r="I637" t="str">
        <f t="shared" si="16"/>
        <v>Ürün İş Listesi</v>
      </c>
      <c r="J637" s="5">
        <v>3</v>
      </c>
    </row>
    <row r="638" spans="1:10" x14ac:dyDescent="0.25">
      <c r="A638" t="s">
        <v>14</v>
      </c>
      <c r="B638" t="s">
        <v>1315</v>
      </c>
      <c r="C638" t="s">
        <v>16</v>
      </c>
      <c r="D638" t="s">
        <v>1316</v>
      </c>
      <c r="E638" s="5" t="s">
        <v>12</v>
      </c>
      <c r="F638" s="5" t="e">
        <f>VLOOKUP(B638,'Türkkep Jira'!B:F,5,0)</f>
        <v>#N/A</v>
      </c>
      <c r="G638" t="str">
        <f>IF(IFERROR(VLOOKUP(B638,'Devam Eden Sprint'!B:B,1,0),"-")=B638,"Devam Eden Sprint","-")</f>
        <v>-</v>
      </c>
      <c r="H638" t="str">
        <f>IF(IFERROR(VLOOKUP(B638,'Gelecek Sprint'!B:B,1,0),"-")=B638,"Gelecek Sprint","-")</f>
        <v>-</v>
      </c>
      <c r="I638" t="str">
        <f t="shared" si="16"/>
        <v>Ürün İş Listesi</v>
      </c>
      <c r="J638" s="5">
        <v>2</v>
      </c>
    </row>
    <row r="639" spans="1:10" x14ac:dyDescent="0.25">
      <c r="A639" t="s">
        <v>14</v>
      </c>
      <c r="B639" t="s">
        <v>1317</v>
      </c>
      <c r="C639" t="s">
        <v>10</v>
      </c>
      <c r="D639" t="s">
        <v>1318</v>
      </c>
      <c r="E639" s="5" t="s">
        <v>12</v>
      </c>
      <c r="F639" s="5" t="e">
        <f>VLOOKUP(B639,'Türkkep Jira'!B:F,5,0)</f>
        <v>#N/A</v>
      </c>
      <c r="G639" t="str">
        <f>IF(IFERROR(VLOOKUP(B639,'Devam Eden Sprint'!B:B,1,0),"-")=B639,"Devam Eden Sprint","-")</f>
        <v>-</v>
      </c>
      <c r="H639" t="str">
        <f>IF(IFERROR(VLOOKUP(B639,'Gelecek Sprint'!B:B,1,0),"-")=B639,"Gelecek Sprint","-")</f>
        <v>-</v>
      </c>
      <c r="I639" t="str">
        <f t="shared" si="16"/>
        <v>Ürün İş Listesi</v>
      </c>
      <c r="J639" s="5">
        <v>3</v>
      </c>
    </row>
    <row r="640" spans="1:10" x14ac:dyDescent="0.25">
      <c r="A640" t="s">
        <v>14</v>
      </c>
      <c r="B640" t="s">
        <v>1319</v>
      </c>
      <c r="C640" t="s">
        <v>16</v>
      </c>
      <c r="D640" t="s">
        <v>1320</v>
      </c>
      <c r="E640" s="5" t="s">
        <v>12</v>
      </c>
      <c r="F640" s="5" t="e">
        <f>VLOOKUP(B640,'Türkkep Jira'!B:F,5,0)</f>
        <v>#N/A</v>
      </c>
      <c r="G640" t="str">
        <f>IF(IFERROR(VLOOKUP(B640,'Devam Eden Sprint'!B:B,1,0),"-")=B640,"Devam Eden Sprint","-")</f>
        <v>-</v>
      </c>
      <c r="H640" t="str">
        <f>IF(IFERROR(VLOOKUP(B640,'Gelecek Sprint'!B:B,1,0),"-")=B640,"Gelecek Sprint","-")</f>
        <v>-</v>
      </c>
      <c r="I640" t="str">
        <f t="shared" si="16"/>
        <v>Ürün İş Listesi</v>
      </c>
      <c r="J640" s="5">
        <v>2</v>
      </c>
    </row>
    <row r="641" spans="1:10" x14ac:dyDescent="0.25">
      <c r="A641" t="s">
        <v>14</v>
      </c>
      <c r="B641" t="s">
        <v>1321</v>
      </c>
      <c r="C641" t="s">
        <v>16</v>
      </c>
      <c r="D641" t="s">
        <v>1322</v>
      </c>
      <c r="E641" s="5" t="s">
        <v>12</v>
      </c>
      <c r="F641" s="5" t="e">
        <f>VLOOKUP(B641,'Türkkep Jira'!B:F,5,0)</f>
        <v>#N/A</v>
      </c>
      <c r="G641" t="str">
        <f>IF(IFERROR(VLOOKUP(B641,'Devam Eden Sprint'!B:B,1,0),"-")=B641,"Devam Eden Sprint","-")</f>
        <v>-</v>
      </c>
      <c r="H641" t="str">
        <f>IF(IFERROR(VLOOKUP(B641,'Gelecek Sprint'!B:B,1,0),"-")=B641,"Gelecek Sprint","-")</f>
        <v>-</v>
      </c>
      <c r="I641" t="str">
        <f t="shared" si="16"/>
        <v>Ürün İş Listesi</v>
      </c>
      <c r="J641" s="5">
        <v>2</v>
      </c>
    </row>
    <row r="642" spans="1:10" x14ac:dyDescent="0.25">
      <c r="A642" t="s">
        <v>14</v>
      </c>
      <c r="B642" t="s">
        <v>1323</v>
      </c>
      <c r="C642" t="s">
        <v>16</v>
      </c>
      <c r="D642" t="s">
        <v>1324</v>
      </c>
      <c r="E642" s="5" t="s">
        <v>41</v>
      </c>
      <c r="F642" s="5" t="e">
        <f>VLOOKUP(B642,'Türkkep Jira'!B:F,5,0)</f>
        <v>#N/A</v>
      </c>
      <c r="G642" t="str">
        <f>IF(IFERROR(VLOOKUP(B642,'Devam Eden Sprint'!B:B,1,0),"-")=B642,"Devam Eden Sprint","-")</f>
        <v>-</v>
      </c>
      <c r="H642" t="str">
        <f>IF(IFERROR(VLOOKUP(B642,'Gelecek Sprint'!B:B,1,0),"-")=B642,"Gelecek Sprint","-")</f>
        <v>-</v>
      </c>
      <c r="I642" t="str">
        <f t="shared" si="16"/>
        <v>Ürün İş Listesi</v>
      </c>
      <c r="J642" s="5">
        <v>2</v>
      </c>
    </row>
    <row r="643" spans="1:10" x14ac:dyDescent="0.25">
      <c r="A643" t="s">
        <v>14</v>
      </c>
      <c r="B643" t="s">
        <v>1325</v>
      </c>
      <c r="C643" t="s">
        <v>16</v>
      </c>
      <c r="D643" t="s">
        <v>1326</v>
      </c>
      <c r="E643" s="5" t="s">
        <v>41</v>
      </c>
      <c r="F643" s="5" t="e">
        <f>VLOOKUP(B643,'Türkkep Jira'!B:F,5,0)</f>
        <v>#N/A</v>
      </c>
      <c r="G643" t="str">
        <f>IF(IFERROR(VLOOKUP(B643,'Devam Eden Sprint'!B:B,1,0),"-")=B643,"Devam Eden Sprint","-")</f>
        <v>-</v>
      </c>
      <c r="H643" t="str">
        <f>IF(IFERROR(VLOOKUP(B643,'Gelecek Sprint'!B:B,1,0),"-")=B643,"Gelecek Sprint","-")</f>
        <v>-</v>
      </c>
      <c r="I643" t="str">
        <f t="shared" si="16"/>
        <v>Ürün İş Listesi</v>
      </c>
      <c r="J643" s="5">
        <v>2</v>
      </c>
    </row>
    <row r="644" spans="1:10" x14ac:dyDescent="0.25">
      <c r="A644" t="s">
        <v>14</v>
      </c>
      <c r="B644" t="s">
        <v>1327</v>
      </c>
      <c r="C644" t="s">
        <v>16</v>
      </c>
      <c r="D644" t="s">
        <v>1328</v>
      </c>
      <c r="E644" s="5" t="s">
        <v>41</v>
      </c>
      <c r="F644" s="5" t="e">
        <f>VLOOKUP(B644,'Türkkep Jira'!B:F,5,0)</f>
        <v>#N/A</v>
      </c>
      <c r="G644" t="str">
        <f>IF(IFERROR(VLOOKUP(B644,'Devam Eden Sprint'!B:B,1,0),"-")=B644,"Devam Eden Sprint","-")</f>
        <v>-</v>
      </c>
      <c r="H644" t="str">
        <f>IF(IFERROR(VLOOKUP(B644,'Gelecek Sprint'!B:B,1,0),"-")=B644,"Gelecek Sprint","-")</f>
        <v>-</v>
      </c>
      <c r="I644" t="str">
        <f t="shared" si="16"/>
        <v>Ürün İş Listesi</v>
      </c>
      <c r="J644" s="5">
        <v>3</v>
      </c>
    </row>
    <row r="645" spans="1:10" x14ac:dyDescent="0.25">
      <c r="A645" t="s">
        <v>14</v>
      </c>
      <c r="B645" t="s">
        <v>1329</v>
      </c>
      <c r="C645" t="s">
        <v>16</v>
      </c>
      <c r="D645" t="s">
        <v>1330</v>
      </c>
      <c r="E645" s="5" t="s">
        <v>41</v>
      </c>
      <c r="F645" s="5" t="e">
        <f>VLOOKUP(B645,'Türkkep Jira'!B:F,5,0)</f>
        <v>#N/A</v>
      </c>
      <c r="G645" t="str">
        <f>IF(IFERROR(VLOOKUP(B645,'Devam Eden Sprint'!B:B,1,0),"-")=B645,"Devam Eden Sprint","-")</f>
        <v>-</v>
      </c>
      <c r="H645" t="str">
        <f>IF(IFERROR(VLOOKUP(B645,'Gelecek Sprint'!B:B,1,0),"-")=B645,"Gelecek Sprint","-")</f>
        <v>-</v>
      </c>
      <c r="I645" t="str">
        <f t="shared" si="16"/>
        <v>Ürün İş Listesi</v>
      </c>
      <c r="J645" s="5">
        <v>3</v>
      </c>
    </row>
    <row r="646" spans="1:10" x14ac:dyDescent="0.25">
      <c r="A646" t="s">
        <v>14</v>
      </c>
      <c r="B646" t="s">
        <v>1331</v>
      </c>
      <c r="C646" t="s">
        <v>16</v>
      </c>
      <c r="D646" t="s">
        <v>1332</v>
      </c>
      <c r="E646" s="5" t="s">
        <v>41</v>
      </c>
      <c r="F646" s="5" t="e">
        <f>VLOOKUP(B646,'Türkkep Jira'!B:F,5,0)</f>
        <v>#N/A</v>
      </c>
      <c r="G646" t="str">
        <f>IF(IFERROR(VLOOKUP(B646,'Devam Eden Sprint'!B:B,1,0),"-")=B646,"Devam Eden Sprint","-")</f>
        <v>-</v>
      </c>
      <c r="H646" t="str">
        <f>IF(IFERROR(VLOOKUP(B646,'Gelecek Sprint'!B:B,1,0),"-")=B646,"Gelecek Sprint","-")</f>
        <v>-</v>
      </c>
      <c r="I646" t="str">
        <f t="shared" si="16"/>
        <v>Ürün İş Listesi</v>
      </c>
      <c r="J646" s="5">
        <v>5</v>
      </c>
    </row>
    <row r="647" spans="1:10" x14ac:dyDescent="0.25">
      <c r="A647" t="s">
        <v>14</v>
      </c>
      <c r="B647" t="s">
        <v>1333</v>
      </c>
      <c r="C647" t="s">
        <v>16</v>
      </c>
      <c r="D647" t="s">
        <v>1334</v>
      </c>
      <c r="E647" s="5" t="s">
        <v>38</v>
      </c>
      <c r="F647" s="5" t="e">
        <f>VLOOKUP(B647,'Türkkep Jira'!B:F,5,0)</f>
        <v>#N/A</v>
      </c>
      <c r="G647" t="str">
        <f>IF(IFERROR(VLOOKUP(B647,'Devam Eden Sprint'!B:B,1,0),"-")=B647,"Devam Eden Sprint","-")</f>
        <v>-</v>
      </c>
      <c r="H647" t="str">
        <f>IF(IFERROR(VLOOKUP(B647,'Gelecek Sprint'!B:B,1,0),"-")=B647,"Gelecek Sprint","-")</f>
        <v>-</v>
      </c>
      <c r="I647" t="str">
        <f t="shared" si="16"/>
        <v>Ürün İş Listesi</v>
      </c>
      <c r="J647" s="5">
        <v>2</v>
      </c>
    </row>
    <row r="648" spans="1:10" x14ac:dyDescent="0.25">
      <c r="A648" t="s">
        <v>77</v>
      </c>
      <c r="B648" t="s">
        <v>1335</v>
      </c>
      <c r="C648" t="s">
        <v>16</v>
      </c>
      <c r="D648" t="s">
        <v>1336</v>
      </c>
      <c r="E648" s="5" t="s">
        <v>56</v>
      </c>
      <c r="F648" s="5" t="e">
        <f>VLOOKUP(B648,'Türkkep Jira'!B:F,5,0)</f>
        <v>#N/A</v>
      </c>
      <c r="G648" t="str">
        <f>IF(IFERROR(VLOOKUP(B648,'Devam Eden Sprint'!B:B,1,0),"-")=B648,"Devam Eden Sprint","-")</f>
        <v>-</v>
      </c>
      <c r="H648" t="str">
        <f>IF(IFERROR(VLOOKUP(B648,'Gelecek Sprint'!B:B,1,0),"-")=B648,"Gelecek Sprint","-")</f>
        <v>-</v>
      </c>
      <c r="I648" t="str">
        <f t="shared" si="16"/>
        <v>Ürün İş Listesi</v>
      </c>
      <c r="J648" s="5">
        <v>3</v>
      </c>
    </row>
    <row r="649" spans="1:10" x14ac:dyDescent="0.25">
      <c r="A649" t="s">
        <v>77</v>
      </c>
      <c r="B649" t="s">
        <v>1337</v>
      </c>
      <c r="C649" t="s">
        <v>16</v>
      </c>
      <c r="D649" t="s">
        <v>1338</v>
      </c>
      <c r="E649" s="5" t="s">
        <v>56</v>
      </c>
      <c r="F649" s="5" t="e">
        <f>VLOOKUP(B649,'Türkkep Jira'!B:F,5,0)</f>
        <v>#N/A</v>
      </c>
      <c r="G649" t="str">
        <f>IF(IFERROR(VLOOKUP(B649,'Devam Eden Sprint'!B:B,1,0),"-")=B649,"Devam Eden Sprint","-")</f>
        <v>-</v>
      </c>
      <c r="H649" t="str">
        <f>IF(IFERROR(VLOOKUP(B649,'Gelecek Sprint'!B:B,1,0),"-")=B649,"Gelecek Sprint","-")</f>
        <v>-</v>
      </c>
      <c r="I649" t="str">
        <f t="shared" si="16"/>
        <v>Ürün İş Listesi</v>
      </c>
      <c r="J649" s="5">
        <v>3</v>
      </c>
    </row>
    <row r="650" spans="1:10" x14ac:dyDescent="0.25">
      <c r="A650" t="s">
        <v>77</v>
      </c>
      <c r="B650" t="s">
        <v>1339</v>
      </c>
      <c r="C650" t="s">
        <v>16</v>
      </c>
      <c r="D650" t="s">
        <v>1340</v>
      </c>
      <c r="E650" s="5" t="s">
        <v>56</v>
      </c>
      <c r="F650" s="5" t="e">
        <f>VLOOKUP(B650,'Türkkep Jira'!B:F,5,0)</f>
        <v>#N/A</v>
      </c>
      <c r="G650" t="str">
        <f>IF(IFERROR(VLOOKUP(B650,'Devam Eden Sprint'!B:B,1,0),"-")=B650,"Devam Eden Sprint","-")</f>
        <v>-</v>
      </c>
      <c r="H650" t="str">
        <f>IF(IFERROR(VLOOKUP(B650,'Gelecek Sprint'!B:B,1,0),"-")=B650,"Gelecek Sprint","-")</f>
        <v>-</v>
      </c>
      <c r="I650" t="str">
        <f t="shared" si="16"/>
        <v>Ürün İş Listesi</v>
      </c>
      <c r="J650" s="5">
        <v>2</v>
      </c>
    </row>
    <row r="651" spans="1:10" x14ac:dyDescent="0.25">
      <c r="A651" t="s">
        <v>14</v>
      </c>
      <c r="B651" t="s">
        <v>1341</v>
      </c>
      <c r="C651" t="s">
        <v>16</v>
      </c>
      <c r="D651" t="s">
        <v>1342</v>
      </c>
      <c r="E651" s="5" t="s">
        <v>12</v>
      </c>
      <c r="F651" s="5" t="e">
        <f>VLOOKUP(B651,'Türkkep Jira'!B:F,5,0)</f>
        <v>#N/A</v>
      </c>
      <c r="G651" t="str">
        <f>IF(IFERROR(VLOOKUP(B651,'Devam Eden Sprint'!B:B,1,0),"-")=B651,"Devam Eden Sprint","-")</f>
        <v>-</v>
      </c>
      <c r="H651" t="str">
        <f>IF(IFERROR(VLOOKUP(B651,'Gelecek Sprint'!B:B,1,0),"-")=B651,"Gelecek Sprint","-")</f>
        <v>-</v>
      </c>
      <c r="I651" t="str">
        <f t="shared" si="16"/>
        <v>Ürün İş Listesi</v>
      </c>
      <c r="J651" s="5">
        <v>1</v>
      </c>
    </row>
    <row r="652" spans="1:10" x14ac:dyDescent="0.25">
      <c r="A652" t="s">
        <v>14</v>
      </c>
      <c r="B652" t="s">
        <v>1343</v>
      </c>
      <c r="C652" t="s">
        <v>16</v>
      </c>
      <c r="D652" t="s">
        <v>1344</v>
      </c>
      <c r="E652" s="5" t="s">
        <v>12</v>
      </c>
      <c r="F652" s="5" t="e">
        <f>VLOOKUP(B652,'Türkkep Jira'!B:F,5,0)</f>
        <v>#N/A</v>
      </c>
      <c r="G652" t="str">
        <f>IF(IFERROR(VLOOKUP(B652,'Devam Eden Sprint'!B:B,1,0),"-")=B652,"Devam Eden Sprint","-")</f>
        <v>-</v>
      </c>
      <c r="H652" t="str">
        <f>IF(IFERROR(VLOOKUP(B652,'Gelecek Sprint'!B:B,1,0),"-")=B652,"Gelecek Sprint","-")</f>
        <v>-</v>
      </c>
      <c r="I652" t="str">
        <f t="shared" si="16"/>
        <v>Ürün İş Listesi</v>
      </c>
      <c r="J652" s="5">
        <v>1</v>
      </c>
    </row>
    <row r="653" spans="1:10" x14ac:dyDescent="0.25">
      <c r="A653" t="s">
        <v>14</v>
      </c>
      <c r="B653" t="s">
        <v>1345</v>
      </c>
      <c r="C653" t="s">
        <v>16</v>
      </c>
      <c r="D653" t="s">
        <v>1346</v>
      </c>
      <c r="E653" s="5" t="s">
        <v>12</v>
      </c>
      <c r="F653" s="5" t="e">
        <f>VLOOKUP(B653,'Türkkep Jira'!B:F,5,0)</f>
        <v>#N/A</v>
      </c>
      <c r="G653" t="str">
        <f>IF(IFERROR(VLOOKUP(B653,'Devam Eden Sprint'!B:B,1,0),"-")=B653,"Devam Eden Sprint","-")</f>
        <v>-</v>
      </c>
      <c r="H653" t="str">
        <f>IF(IFERROR(VLOOKUP(B653,'Gelecek Sprint'!B:B,1,0),"-")=B653,"Gelecek Sprint","-")</f>
        <v>-</v>
      </c>
      <c r="I653" t="str">
        <f t="shared" si="16"/>
        <v>Ürün İş Listesi</v>
      </c>
      <c r="J653" s="5">
        <v>1</v>
      </c>
    </row>
    <row r="654" spans="1:10" x14ac:dyDescent="0.25">
      <c r="A654" t="s">
        <v>14</v>
      </c>
      <c r="B654" t="s">
        <v>1347</v>
      </c>
      <c r="C654" t="s">
        <v>16</v>
      </c>
      <c r="D654" t="s">
        <v>1348</v>
      </c>
      <c r="E654" s="5" t="s">
        <v>12</v>
      </c>
      <c r="F654" s="5" t="e">
        <f>VLOOKUP(B654,'Türkkep Jira'!B:F,5,0)</f>
        <v>#N/A</v>
      </c>
      <c r="G654" t="str">
        <f>IF(IFERROR(VLOOKUP(B654,'Devam Eden Sprint'!B:B,1,0),"-")=B654,"Devam Eden Sprint","-")</f>
        <v>-</v>
      </c>
      <c r="H654" t="str">
        <f>IF(IFERROR(VLOOKUP(B654,'Gelecek Sprint'!B:B,1,0),"-")=B654,"Gelecek Sprint","-")</f>
        <v>-</v>
      </c>
      <c r="I654" t="str">
        <f t="shared" si="16"/>
        <v>Ürün İş Listesi</v>
      </c>
      <c r="J654" s="5">
        <v>2</v>
      </c>
    </row>
    <row r="655" spans="1:10" x14ac:dyDescent="0.25">
      <c r="A655" t="s">
        <v>14</v>
      </c>
      <c r="B655" t="s">
        <v>1349</v>
      </c>
      <c r="C655" t="s">
        <v>16</v>
      </c>
      <c r="D655" t="s">
        <v>1350</v>
      </c>
      <c r="E655" s="5" t="s">
        <v>12</v>
      </c>
      <c r="F655" s="5" t="e">
        <f>VLOOKUP(B655,'Türkkep Jira'!B:F,5,0)</f>
        <v>#N/A</v>
      </c>
      <c r="G655" t="str">
        <f>IF(IFERROR(VLOOKUP(B655,'Devam Eden Sprint'!B:B,1,0),"-")=B655,"Devam Eden Sprint","-")</f>
        <v>-</v>
      </c>
      <c r="H655" t="str">
        <f>IF(IFERROR(VLOOKUP(B655,'Gelecek Sprint'!B:B,1,0),"-")=B655,"Gelecek Sprint","-")</f>
        <v>-</v>
      </c>
      <c r="I655" t="str">
        <f t="shared" si="16"/>
        <v>Ürün İş Listesi</v>
      </c>
      <c r="J655" s="5">
        <v>2</v>
      </c>
    </row>
    <row r="656" spans="1:10" x14ac:dyDescent="0.25">
      <c r="A656" t="s">
        <v>14</v>
      </c>
      <c r="B656" t="s">
        <v>1351</v>
      </c>
      <c r="C656" t="s">
        <v>16</v>
      </c>
      <c r="D656" t="s">
        <v>1352</v>
      </c>
      <c r="E656" s="5" t="s">
        <v>12</v>
      </c>
      <c r="F656" s="5" t="e">
        <f>VLOOKUP(B656,'Türkkep Jira'!B:F,5,0)</f>
        <v>#N/A</v>
      </c>
      <c r="G656" t="str">
        <f>IF(IFERROR(VLOOKUP(B656,'Devam Eden Sprint'!B:B,1,0),"-")=B656,"Devam Eden Sprint","-")</f>
        <v>-</v>
      </c>
      <c r="H656" t="str">
        <f>IF(IFERROR(VLOOKUP(B656,'Gelecek Sprint'!B:B,1,0),"-")=B656,"Gelecek Sprint","-")</f>
        <v>-</v>
      </c>
      <c r="I656" t="str">
        <f t="shared" si="16"/>
        <v>Ürün İş Listesi</v>
      </c>
      <c r="J656" s="5">
        <v>2</v>
      </c>
    </row>
    <row r="657" spans="1:10" x14ac:dyDescent="0.25">
      <c r="A657" t="s">
        <v>14</v>
      </c>
      <c r="B657" t="s">
        <v>1353</v>
      </c>
      <c r="C657" t="s">
        <v>16</v>
      </c>
      <c r="D657" t="s">
        <v>1354</v>
      </c>
      <c r="E657" s="5" t="s">
        <v>455</v>
      </c>
      <c r="F657" s="5" t="e">
        <f>VLOOKUP(B657,'Türkkep Jira'!B:F,5,0)</f>
        <v>#N/A</v>
      </c>
      <c r="G657" t="str">
        <f>IF(IFERROR(VLOOKUP(B657,'Devam Eden Sprint'!B:B,1,0),"-")=B657,"Devam Eden Sprint","-")</f>
        <v>-</v>
      </c>
      <c r="H657" t="str">
        <f>IF(IFERROR(VLOOKUP(B657,'Gelecek Sprint'!B:B,1,0),"-")=B657,"Gelecek Sprint","-")</f>
        <v>-</v>
      </c>
      <c r="I657" t="str">
        <f t="shared" si="16"/>
        <v>Ürün İş Listesi</v>
      </c>
      <c r="J657" s="5">
        <v>3</v>
      </c>
    </row>
    <row r="658" spans="1:10" x14ac:dyDescent="0.25">
      <c r="A658" t="s">
        <v>14</v>
      </c>
      <c r="B658" t="s">
        <v>1355</v>
      </c>
      <c r="C658" t="s">
        <v>16</v>
      </c>
      <c r="D658" t="s">
        <v>1354</v>
      </c>
      <c r="E658" s="5" t="s">
        <v>1356</v>
      </c>
      <c r="F658" s="5" t="e">
        <f>VLOOKUP(B658,'Türkkep Jira'!B:F,5,0)</f>
        <v>#N/A</v>
      </c>
      <c r="G658" t="str">
        <f>IF(IFERROR(VLOOKUP(B658,'Devam Eden Sprint'!B:B,1,0),"-")=B658,"Devam Eden Sprint","-")</f>
        <v>-</v>
      </c>
      <c r="H658" t="str">
        <f>IF(IFERROR(VLOOKUP(B658,'Gelecek Sprint'!B:B,1,0),"-")=B658,"Gelecek Sprint","-")</f>
        <v>-</v>
      </c>
      <c r="I658" t="str">
        <f t="shared" si="16"/>
        <v>Ürün İş Listesi</v>
      </c>
      <c r="J658" s="5">
        <v>3</v>
      </c>
    </row>
    <row r="659" spans="1:10" x14ac:dyDescent="0.25">
      <c r="A659" t="s">
        <v>14</v>
      </c>
      <c r="B659" t="s">
        <v>1357</v>
      </c>
      <c r="C659" t="s">
        <v>16</v>
      </c>
      <c r="D659" t="s">
        <v>1358</v>
      </c>
      <c r="E659" s="5" t="s">
        <v>133</v>
      </c>
      <c r="F659" s="5" t="e">
        <f>VLOOKUP(B659,'Türkkep Jira'!B:F,5,0)</f>
        <v>#N/A</v>
      </c>
      <c r="G659" t="str">
        <f>IF(IFERROR(VLOOKUP(B659,'Devam Eden Sprint'!B:B,1,0),"-")=B659,"Devam Eden Sprint","-")</f>
        <v>-</v>
      </c>
      <c r="H659" t="str">
        <f>IF(IFERROR(VLOOKUP(B659,'Gelecek Sprint'!B:B,1,0),"-")=B659,"Gelecek Sprint","-")</f>
        <v>-</v>
      </c>
      <c r="I659" t="str">
        <f>IFERROR(IF(AND(G659="Devam Eden Sprint",H659="Gelecek Sprint"),"Devam Eden ve Gelecek Sprint",IF(G659="Devam Eden Sprint","Devam Eden Sprint",IF(H659="Gelecek Sprint","Gelecek Sprint","Ürün İş Listesi"))),"Ürün İş Listesi")</f>
        <v>Ürün İş Listesi</v>
      </c>
      <c r="J659" s="5">
        <v>2</v>
      </c>
    </row>
    <row r="660" spans="1:10" x14ac:dyDescent="0.25">
      <c r="A660" t="s">
        <v>14</v>
      </c>
      <c r="B660" t="s">
        <v>1359</v>
      </c>
      <c r="C660" t="s">
        <v>16</v>
      </c>
      <c r="D660" t="s">
        <v>1360</v>
      </c>
      <c r="E660" s="5" t="s">
        <v>136</v>
      </c>
      <c r="F660" s="5" t="e">
        <f>VLOOKUP(B660,'Türkkep Jira'!B:F,5,0)</f>
        <v>#N/A</v>
      </c>
      <c r="G660" t="str">
        <f>IF(IFERROR(VLOOKUP(B660,'Devam Eden Sprint'!B:B,1,0),"-")=B660,"Devam Eden Sprint","-")</f>
        <v>-</v>
      </c>
      <c r="H660" t="str">
        <f>IF(IFERROR(VLOOKUP(B660,'Gelecek Sprint'!B:B,1,0),"-")=B660,"Gelecek Sprint","-")</f>
        <v>-</v>
      </c>
      <c r="I660" t="str">
        <f t="shared" ref="I660:I723" si="17">IFERROR(IF(AND(G660="Devam Eden Sprint",H660="Gelecek Sprint"),"Devam Eden ve Gelecek Sprint",IF(G660="Devam Eden Sprint","Devam Eden Sprint",IF(H660="Gelecek Sprint","Gelecek Sprint","Ürün İş Listesi"))),"Ürün İş Listesi")</f>
        <v>Ürün İş Listesi</v>
      </c>
      <c r="J660" s="5">
        <v>2</v>
      </c>
    </row>
    <row r="661" spans="1:10" x14ac:dyDescent="0.25">
      <c r="A661" t="s">
        <v>14</v>
      </c>
      <c r="B661" t="s">
        <v>1361</v>
      </c>
      <c r="C661" t="s">
        <v>16</v>
      </c>
      <c r="D661" t="s">
        <v>1362</v>
      </c>
      <c r="E661" s="5" t="s">
        <v>41</v>
      </c>
      <c r="F661" s="5" t="e">
        <f>VLOOKUP(B661,'Türkkep Jira'!B:F,5,0)</f>
        <v>#N/A</v>
      </c>
      <c r="G661" t="str">
        <f>IF(IFERROR(VLOOKUP(B661,'Devam Eden Sprint'!B:B,1,0),"-")=B661,"Devam Eden Sprint","-")</f>
        <v>-</v>
      </c>
      <c r="H661" t="str">
        <f>IF(IFERROR(VLOOKUP(B661,'Gelecek Sprint'!B:B,1,0),"-")=B661,"Gelecek Sprint","-")</f>
        <v>-</v>
      </c>
      <c r="I661" t="str">
        <f t="shared" si="17"/>
        <v>Ürün İş Listesi</v>
      </c>
      <c r="J661" s="5">
        <v>1</v>
      </c>
    </row>
    <row r="662" spans="1:10" x14ac:dyDescent="0.25">
      <c r="A662" t="s">
        <v>14</v>
      </c>
      <c r="B662" t="s">
        <v>1363</v>
      </c>
      <c r="C662" t="s">
        <v>16</v>
      </c>
      <c r="D662" t="s">
        <v>1364</v>
      </c>
      <c r="E662" s="5" t="s">
        <v>41</v>
      </c>
      <c r="F662" s="5" t="e">
        <f>VLOOKUP(B662,'Türkkep Jira'!B:F,5,0)</f>
        <v>#N/A</v>
      </c>
      <c r="G662" t="str">
        <f>IF(IFERROR(VLOOKUP(B662,'Devam Eden Sprint'!B:B,1,0),"-")=B662,"Devam Eden Sprint","-")</f>
        <v>-</v>
      </c>
      <c r="H662" t="str">
        <f>IF(IFERROR(VLOOKUP(B662,'Gelecek Sprint'!B:B,1,0),"-")=B662,"Gelecek Sprint","-")</f>
        <v>-</v>
      </c>
      <c r="I662" t="str">
        <f t="shared" si="17"/>
        <v>Ürün İş Listesi</v>
      </c>
      <c r="J662" s="5">
        <v>3</v>
      </c>
    </row>
    <row r="663" spans="1:10" x14ac:dyDescent="0.25">
      <c r="A663" t="s">
        <v>14</v>
      </c>
      <c r="B663" t="s">
        <v>1365</v>
      </c>
      <c r="C663" t="s">
        <v>10</v>
      </c>
      <c r="D663" t="s">
        <v>1366</v>
      </c>
      <c r="E663" s="5" t="s">
        <v>41</v>
      </c>
      <c r="F663" s="5" t="e">
        <f>VLOOKUP(B663,'Türkkep Jira'!B:F,5,0)</f>
        <v>#N/A</v>
      </c>
      <c r="G663" t="str">
        <f>IF(IFERROR(VLOOKUP(B663,'Devam Eden Sprint'!B:B,1,0),"-")=B663,"Devam Eden Sprint","-")</f>
        <v>-</v>
      </c>
      <c r="H663" t="str">
        <f>IF(IFERROR(VLOOKUP(B663,'Gelecek Sprint'!B:B,1,0),"-")=B663,"Gelecek Sprint","-")</f>
        <v>-</v>
      </c>
      <c r="I663" t="str">
        <f t="shared" si="17"/>
        <v>Ürün İş Listesi</v>
      </c>
      <c r="J663" s="5">
        <v>2</v>
      </c>
    </row>
    <row r="664" spans="1:10" x14ac:dyDescent="0.25">
      <c r="A664" t="s">
        <v>14</v>
      </c>
      <c r="B664" t="s">
        <v>1367</v>
      </c>
      <c r="C664" t="s">
        <v>10</v>
      </c>
      <c r="D664" t="s">
        <v>1368</v>
      </c>
      <c r="E664" s="5" t="s">
        <v>41</v>
      </c>
      <c r="F664" s="5" t="e">
        <f>VLOOKUP(B664,'Türkkep Jira'!B:F,5,0)</f>
        <v>#N/A</v>
      </c>
      <c r="G664" t="str">
        <f>IF(IFERROR(VLOOKUP(B664,'Devam Eden Sprint'!B:B,1,0),"-")=B664,"Devam Eden Sprint","-")</f>
        <v>-</v>
      </c>
      <c r="H664" t="str">
        <f>IF(IFERROR(VLOOKUP(B664,'Gelecek Sprint'!B:B,1,0),"-")=B664,"Gelecek Sprint","-")</f>
        <v>-</v>
      </c>
      <c r="I664" t="str">
        <f t="shared" si="17"/>
        <v>Ürün İş Listesi</v>
      </c>
      <c r="J664" s="5">
        <v>2</v>
      </c>
    </row>
    <row r="665" spans="1:10" x14ac:dyDescent="0.25">
      <c r="A665" t="s">
        <v>14</v>
      </c>
      <c r="B665" t="s">
        <v>1369</v>
      </c>
      <c r="C665" t="s">
        <v>16</v>
      </c>
      <c r="D665" t="s">
        <v>1358</v>
      </c>
      <c r="E665" s="5" t="s">
        <v>41</v>
      </c>
      <c r="F665" s="5" t="e">
        <f>VLOOKUP(B665,'Türkkep Jira'!B:F,5,0)</f>
        <v>#N/A</v>
      </c>
      <c r="G665" t="str">
        <f>IF(IFERROR(VLOOKUP(B665,'Devam Eden Sprint'!B:B,1,0),"-")=B665,"Devam Eden Sprint","-")</f>
        <v>-</v>
      </c>
      <c r="H665" t="str">
        <f>IF(IFERROR(VLOOKUP(B665,'Gelecek Sprint'!B:B,1,0),"-")=B665,"Gelecek Sprint","-")</f>
        <v>-</v>
      </c>
      <c r="I665" t="str">
        <f>IFERROR(IF(AND(G665="Devam Eden Sprint",H665="Gelecek Sprint"),"Devam Eden ve Gelecek Sprint",IF(G665="Devam Eden Sprint","Devam Eden Sprint",IF(H665="Gelecek Sprint","Gelecek Sprint","Ürün İş Listesi"))),"Ürün İş Listesi")</f>
        <v>Ürün İş Listesi</v>
      </c>
      <c r="J665" s="5">
        <v>3</v>
      </c>
    </row>
    <row r="666" spans="1:10" x14ac:dyDescent="0.25">
      <c r="A666" t="s">
        <v>14</v>
      </c>
      <c r="B666" t="s">
        <v>1370</v>
      </c>
      <c r="C666" t="s">
        <v>16</v>
      </c>
      <c r="D666" t="s">
        <v>1371</v>
      </c>
      <c r="E666" s="5" t="s">
        <v>59</v>
      </c>
      <c r="F666" s="5" t="e">
        <f>VLOOKUP(B666,'Türkkep Jira'!B:F,5,0)</f>
        <v>#N/A</v>
      </c>
      <c r="G666" t="str">
        <f>IF(IFERROR(VLOOKUP(B666,'Devam Eden Sprint'!B:B,1,0),"-")=B666,"Devam Eden Sprint","-")</f>
        <v>-</v>
      </c>
      <c r="H666" t="str">
        <f>IF(IFERROR(VLOOKUP(B666,'Gelecek Sprint'!B:B,1,0),"-")=B666,"Gelecek Sprint","-")</f>
        <v>-</v>
      </c>
      <c r="I666" t="str">
        <f t="shared" si="17"/>
        <v>Ürün İş Listesi</v>
      </c>
      <c r="J666" s="5">
        <v>3</v>
      </c>
    </row>
    <row r="667" spans="1:10" x14ac:dyDescent="0.25">
      <c r="A667" t="s">
        <v>14</v>
      </c>
      <c r="B667" t="s">
        <v>1372</v>
      </c>
      <c r="C667" t="s">
        <v>16</v>
      </c>
      <c r="D667" t="s">
        <v>1373</v>
      </c>
      <c r="E667" s="5" t="s">
        <v>127</v>
      </c>
      <c r="F667" s="5" t="e">
        <f>VLOOKUP(B667,'Türkkep Jira'!B:F,5,0)</f>
        <v>#N/A</v>
      </c>
      <c r="G667" t="str">
        <f>IF(IFERROR(VLOOKUP(B667,'Devam Eden Sprint'!B:B,1,0),"-")=B667,"Devam Eden Sprint","-")</f>
        <v>-</v>
      </c>
      <c r="H667" t="str">
        <f>IF(IFERROR(VLOOKUP(B667,'Gelecek Sprint'!B:B,1,0),"-")=B667,"Gelecek Sprint","-")</f>
        <v>-</v>
      </c>
      <c r="I667" t="str">
        <f t="shared" si="17"/>
        <v>Ürün İş Listesi</v>
      </c>
    </row>
    <row r="668" spans="1:10" x14ac:dyDescent="0.25">
      <c r="A668" t="s">
        <v>14</v>
      </c>
      <c r="B668" t="s">
        <v>1374</v>
      </c>
      <c r="C668" t="s">
        <v>16</v>
      </c>
      <c r="D668" t="s">
        <v>1298</v>
      </c>
      <c r="E668" s="5" t="s">
        <v>59</v>
      </c>
      <c r="F668" s="5" t="e">
        <f>VLOOKUP(B668,'Türkkep Jira'!B:F,5,0)</f>
        <v>#N/A</v>
      </c>
      <c r="G668" t="str">
        <f>IF(IFERROR(VLOOKUP(B668,'Devam Eden Sprint'!B:B,1,0),"-")=B668,"Devam Eden Sprint","-")</f>
        <v>-</v>
      </c>
      <c r="H668" t="str">
        <f>IF(IFERROR(VLOOKUP(B668,'Gelecek Sprint'!B:B,1,0),"-")=B668,"Gelecek Sprint","-")</f>
        <v>-</v>
      </c>
      <c r="I668" t="str">
        <f t="shared" si="17"/>
        <v>Ürün İş Listesi</v>
      </c>
    </row>
    <row r="669" spans="1:10" x14ac:dyDescent="0.25">
      <c r="A669" t="s">
        <v>14</v>
      </c>
      <c r="B669" t="s">
        <v>1375</v>
      </c>
      <c r="C669" t="s">
        <v>16</v>
      </c>
      <c r="D669" t="s">
        <v>1358</v>
      </c>
      <c r="E669" s="5" t="s">
        <v>455</v>
      </c>
      <c r="F669" s="5" t="e">
        <f>VLOOKUP(B669,'Türkkep Jira'!B:F,5,0)</f>
        <v>#N/A</v>
      </c>
      <c r="G669" t="str">
        <f>IF(IFERROR(VLOOKUP(B669,'Devam Eden Sprint'!B:B,1,0),"-")=B669,"Devam Eden Sprint","-")</f>
        <v>-</v>
      </c>
      <c r="H669" t="str">
        <f>IF(IFERROR(VLOOKUP(B669,'Gelecek Sprint'!B:B,1,0),"-")=B669,"Gelecek Sprint","-")</f>
        <v>-</v>
      </c>
      <c r="I669" t="str">
        <f t="shared" si="17"/>
        <v>Ürün İş Listesi</v>
      </c>
      <c r="J669" s="5">
        <v>3</v>
      </c>
    </row>
    <row r="670" spans="1:10" x14ac:dyDescent="0.25">
      <c r="A670" t="s">
        <v>14</v>
      </c>
      <c r="B670" t="s">
        <v>1376</v>
      </c>
      <c r="C670" t="s">
        <v>16</v>
      </c>
      <c r="D670" t="s">
        <v>1377</v>
      </c>
      <c r="E670" s="5" t="s">
        <v>56</v>
      </c>
      <c r="F670" s="5" t="e">
        <f>VLOOKUP(B670,'Türkkep Jira'!B:F,5,0)</f>
        <v>#N/A</v>
      </c>
      <c r="G670" t="str">
        <f>IF(IFERROR(VLOOKUP(B670,'Devam Eden Sprint'!B:B,1,0),"-")=B670,"Devam Eden Sprint","-")</f>
        <v>-</v>
      </c>
      <c r="H670" t="str">
        <f>IF(IFERROR(VLOOKUP(B670,'Gelecek Sprint'!B:B,1,0),"-")=B670,"Gelecek Sprint","-")</f>
        <v>-</v>
      </c>
      <c r="I670" t="str">
        <f t="shared" si="17"/>
        <v>Ürün İş Listesi</v>
      </c>
    </row>
    <row r="671" spans="1:10" x14ac:dyDescent="0.25">
      <c r="A671" t="s">
        <v>14</v>
      </c>
      <c r="B671" t="s">
        <v>1378</v>
      </c>
      <c r="C671" t="s">
        <v>16</v>
      </c>
      <c r="D671" t="s">
        <v>1358</v>
      </c>
      <c r="E671" s="5" t="s">
        <v>53</v>
      </c>
      <c r="F671" s="5" t="e">
        <f>VLOOKUP(B671,'Türkkep Jira'!B:F,5,0)</f>
        <v>#N/A</v>
      </c>
      <c r="G671" t="str">
        <f>IF(IFERROR(VLOOKUP(B671,'Devam Eden Sprint'!B:B,1,0),"-")=B671,"Devam Eden Sprint","-")</f>
        <v>-</v>
      </c>
      <c r="H671" t="str">
        <f>IF(IFERROR(VLOOKUP(B671,'Gelecek Sprint'!B:B,1,0),"-")=B671,"Gelecek Sprint","-")</f>
        <v>-</v>
      </c>
      <c r="I671" t="str">
        <f t="shared" si="17"/>
        <v>Ürün İş Listesi</v>
      </c>
      <c r="J671" s="5">
        <v>3</v>
      </c>
    </row>
    <row r="672" spans="1:10" x14ac:dyDescent="0.25">
      <c r="A672" t="s">
        <v>1379</v>
      </c>
      <c r="B672" t="s">
        <v>1380</v>
      </c>
      <c r="C672" t="s">
        <v>16</v>
      </c>
      <c r="D672" t="s">
        <v>1381</v>
      </c>
      <c r="E672" s="5" t="s">
        <v>50</v>
      </c>
      <c r="F672" s="5" t="e">
        <f>VLOOKUP(B672,'Türkkep Jira'!B:F,5,0)</f>
        <v>#N/A</v>
      </c>
      <c r="G672" t="str">
        <f>IF(IFERROR(VLOOKUP(B672,'Devam Eden Sprint'!B:B,1,0),"-")=B672,"Devam Eden Sprint","-")</f>
        <v>-</v>
      </c>
      <c r="H672" t="str">
        <f>IF(IFERROR(VLOOKUP(B672,'Gelecek Sprint'!B:B,1,0),"-")=B672,"Gelecek Sprint","-")</f>
        <v>-</v>
      </c>
      <c r="I672" t="str">
        <f t="shared" si="17"/>
        <v>Ürün İş Listesi</v>
      </c>
    </row>
    <row r="673" spans="1:10" x14ac:dyDescent="0.25">
      <c r="A673" t="s">
        <v>77</v>
      </c>
      <c r="B673" t="s">
        <v>1382</v>
      </c>
      <c r="C673" t="s">
        <v>16</v>
      </c>
      <c r="D673" t="s">
        <v>1383</v>
      </c>
      <c r="E673" s="5" t="s">
        <v>44</v>
      </c>
      <c r="F673" s="5" t="e">
        <f>VLOOKUP(B673,'Türkkep Jira'!B:F,5,0)</f>
        <v>#N/A</v>
      </c>
      <c r="G673" t="str">
        <f>IF(IFERROR(VLOOKUP(B673,'Devam Eden Sprint'!B:B,1,0),"-")=B673,"Devam Eden Sprint","-")</f>
        <v>-</v>
      </c>
      <c r="H673" t="str">
        <f>IF(IFERROR(VLOOKUP(B673,'Gelecek Sprint'!B:B,1,0),"-")=B673,"Gelecek Sprint","-")</f>
        <v>-</v>
      </c>
      <c r="I673" t="str">
        <f t="shared" si="17"/>
        <v>Ürün İş Listesi</v>
      </c>
    </row>
    <row r="674" spans="1:10" x14ac:dyDescent="0.25">
      <c r="A674" t="s">
        <v>14</v>
      </c>
      <c r="B674" t="s">
        <v>1384</v>
      </c>
      <c r="C674" t="s">
        <v>16</v>
      </c>
      <c r="D674" t="s">
        <v>1385</v>
      </c>
      <c r="E674" s="5" t="s">
        <v>1386</v>
      </c>
      <c r="F674" s="5" t="e">
        <f>VLOOKUP(B674,'Türkkep Jira'!B:F,5,0)</f>
        <v>#N/A</v>
      </c>
      <c r="G674" t="str">
        <f>IF(IFERROR(VLOOKUP(B674,'Devam Eden Sprint'!B:B,1,0),"-")=B674,"Devam Eden Sprint","-")</f>
        <v>-</v>
      </c>
      <c r="H674" t="str">
        <f>IF(IFERROR(VLOOKUP(B674,'Gelecek Sprint'!B:B,1,0),"-")=B674,"Gelecek Sprint","-")</f>
        <v>-</v>
      </c>
      <c r="I674" t="str">
        <f t="shared" si="17"/>
        <v>Ürün İş Listesi</v>
      </c>
      <c r="J674" s="5">
        <v>2</v>
      </c>
    </row>
    <row r="675" spans="1:10" x14ac:dyDescent="0.25">
      <c r="A675" t="s">
        <v>14</v>
      </c>
      <c r="B675" t="s">
        <v>1387</v>
      </c>
      <c r="C675" t="s">
        <v>16</v>
      </c>
      <c r="D675" t="s">
        <v>1388</v>
      </c>
      <c r="E675" s="5" t="s">
        <v>1386</v>
      </c>
      <c r="F675" s="5" t="e">
        <f>VLOOKUP(B675,'Türkkep Jira'!B:F,5,0)</f>
        <v>#N/A</v>
      </c>
      <c r="G675" t="str">
        <f>IF(IFERROR(VLOOKUP(B675,'Devam Eden Sprint'!B:B,1,0),"-")=B675,"Devam Eden Sprint","-")</f>
        <v>-</v>
      </c>
      <c r="H675" t="str">
        <f>IF(IFERROR(VLOOKUP(B675,'Gelecek Sprint'!B:B,1,0),"-")=B675,"Gelecek Sprint","-")</f>
        <v>-</v>
      </c>
      <c r="I675" t="str">
        <f t="shared" si="17"/>
        <v>Ürün İş Listesi</v>
      </c>
      <c r="J675" s="5">
        <v>2</v>
      </c>
    </row>
    <row r="676" spans="1:10" x14ac:dyDescent="0.25">
      <c r="A676" t="s">
        <v>14</v>
      </c>
      <c r="B676" t="s">
        <v>1389</v>
      </c>
      <c r="C676" t="s">
        <v>16</v>
      </c>
      <c r="D676" t="s">
        <v>1390</v>
      </c>
      <c r="E676" s="5" t="s">
        <v>41</v>
      </c>
      <c r="F676" s="5" t="e">
        <f>VLOOKUP(B676,'Türkkep Jira'!B:F,5,0)</f>
        <v>#N/A</v>
      </c>
      <c r="G676" t="str">
        <f>IF(IFERROR(VLOOKUP(B676,'Devam Eden Sprint'!B:B,1,0),"-")=B676,"Devam Eden Sprint","-")</f>
        <v>-</v>
      </c>
      <c r="H676" t="str">
        <f>IF(IFERROR(VLOOKUP(B676,'Gelecek Sprint'!B:B,1,0),"-")=B676,"Gelecek Sprint","-")</f>
        <v>-</v>
      </c>
      <c r="I676" t="str">
        <f t="shared" si="17"/>
        <v>Ürün İş Listesi</v>
      </c>
      <c r="J676" s="5">
        <v>2</v>
      </c>
    </row>
    <row r="677" spans="1:10" x14ac:dyDescent="0.25">
      <c r="A677" t="s">
        <v>14</v>
      </c>
      <c r="B677" t="s">
        <v>1391</v>
      </c>
      <c r="C677" t="s">
        <v>16</v>
      </c>
      <c r="D677" t="s">
        <v>1392</v>
      </c>
      <c r="E677" s="5" t="s">
        <v>41</v>
      </c>
      <c r="F677" s="5" t="e">
        <f>VLOOKUP(B677,'Türkkep Jira'!B:F,5,0)</f>
        <v>#N/A</v>
      </c>
      <c r="G677" t="str">
        <f>IF(IFERROR(VLOOKUP(B677,'Devam Eden Sprint'!B:B,1,0),"-")=B677,"Devam Eden Sprint","-")</f>
        <v>-</v>
      </c>
      <c r="H677" t="str">
        <f>IF(IFERROR(VLOOKUP(B677,'Gelecek Sprint'!B:B,1,0),"-")=B677,"Gelecek Sprint","-")</f>
        <v>-</v>
      </c>
      <c r="I677" t="str">
        <f t="shared" si="17"/>
        <v>Ürün İş Listesi</v>
      </c>
      <c r="J677" s="5">
        <v>3</v>
      </c>
    </row>
    <row r="678" spans="1:10" x14ac:dyDescent="0.25">
      <c r="A678" t="s">
        <v>14</v>
      </c>
      <c r="B678" t="s">
        <v>1393</v>
      </c>
      <c r="C678" t="s">
        <v>16</v>
      </c>
      <c r="D678" t="s">
        <v>1394</v>
      </c>
      <c r="E678" s="5" t="s">
        <v>41</v>
      </c>
      <c r="F678" s="5" t="e">
        <f>VLOOKUP(B678,'Türkkep Jira'!B:F,5,0)</f>
        <v>#N/A</v>
      </c>
      <c r="G678" t="str">
        <f>IF(IFERROR(VLOOKUP(B678,'Devam Eden Sprint'!B:B,1,0),"-")=B678,"Devam Eden Sprint","-")</f>
        <v>-</v>
      </c>
      <c r="H678" t="str">
        <f>IF(IFERROR(VLOOKUP(B678,'Gelecek Sprint'!B:B,1,0),"-")=B678,"Gelecek Sprint","-")</f>
        <v>-</v>
      </c>
      <c r="I678" t="str">
        <f t="shared" si="17"/>
        <v>Ürün İş Listesi</v>
      </c>
      <c r="J678" s="5">
        <v>2</v>
      </c>
    </row>
    <row r="679" spans="1:10" x14ac:dyDescent="0.25">
      <c r="A679" t="s">
        <v>14</v>
      </c>
      <c r="B679" t="s">
        <v>1395</v>
      </c>
      <c r="C679" t="s">
        <v>16</v>
      </c>
      <c r="D679" t="s">
        <v>1396</v>
      </c>
      <c r="E679" s="5" t="s">
        <v>41</v>
      </c>
      <c r="F679" s="5" t="e">
        <f>VLOOKUP(B679,'Türkkep Jira'!B:F,5,0)</f>
        <v>#N/A</v>
      </c>
      <c r="G679" t="str">
        <f>IF(IFERROR(VLOOKUP(B679,'Devam Eden Sprint'!B:B,1,0),"-")=B679,"Devam Eden Sprint","-")</f>
        <v>-</v>
      </c>
      <c r="H679" t="str">
        <f>IF(IFERROR(VLOOKUP(B679,'Gelecek Sprint'!B:B,1,0),"-")=B679,"Gelecek Sprint","-")</f>
        <v>-</v>
      </c>
      <c r="I679" t="str">
        <f t="shared" si="17"/>
        <v>Ürün İş Listesi</v>
      </c>
      <c r="J679" s="5">
        <v>3</v>
      </c>
    </row>
    <row r="680" spans="1:10" x14ac:dyDescent="0.25">
      <c r="A680" t="s">
        <v>14</v>
      </c>
      <c r="B680" t="s">
        <v>1397</v>
      </c>
      <c r="C680" t="s">
        <v>16</v>
      </c>
      <c r="D680" t="s">
        <v>1398</v>
      </c>
      <c r="E680" s="5" t="s">
        <v>41</v>
      </c>
      <c r="F680" s="5" t="e">
        <f>VLOOKUP(B680,'Türkkep Jira'!B:F,5,0)</f>
        <v>#N/A</v>
      </c>
      <c r="G680" t="str">
        <f>IF(IFERROR(VLOOKUP(B680,'Devam Eden Sprint'!B:B,1,0),"-")=B680,"Devam Eden Sprint","-")</f>
        <v>-</v>
      </c>
      <c r="H680" t="str">
        <f>IF(IFERROR(VLOOKUP(B680,'Gelecek Sprint'!B:B,1,0),"-")=B680,"Gelecek Sprint","-")</f>
        <v>-</v>
      </c>
      <c r="I680" t="str">
        <f t="shared" si="17"/>
        <v>Ürün İş Listesi</v>
      </c>
      <c r="J680" s="5">
        <v>2</v>
      </c>
    </row>
    <row r="681" spans="1:10" x14ac:dyDescent="0.25">
      <c r="A681" t="s">
        <v>14</v>
      </c>
      <c r="B681" t="s">
        <v>1399</v>
      </c>
      <c r="C681" t="s">
        <v>16</v>
      </c>
      <c r="D681" t="s">
        <v>1400</v>
      </c>
      <c r="E681" s="5" t="s">
        <v>41</v>
      </c>
      <c r="F681" s="5" t="e">
        <f>VLOOKUP(B681,'Türkkep Jira'!B:F,5,0)</f>
        <v>#N/A</v>
      </c>
      <c r="G681" t="str">
        <f>IF(IFERROR(VLOOKUP(B681,'Devam Eden Sprint'!B:B,1,0),"-")=B681,"Devam Eden Sprint","-")</f>
        <v>-</v>
      </c>
      <c r="H681" t="str">
        <f>IF(IFERROR(VLOOKUP(B681,'Gelecek Sprint'!B:B,1,0),"-")=B681,"Gelecek Sprint","-")</f>
        <v>-</v>
      </c>
      <c r="I681" t="str">
        <f t="shared" si="17"/>
        <v>Ürün İş Listesi</v>
      </c>
    </row>
    <row r="682" spans="1:10" x14ac:dyDescent="0.25">
      <c r="A682" t="s">
        <v>14</v>
      </c>
      <c r="B682" t="s">
        <v>1401</v>
      </c>
      <c r="C682" t="s">
        <v>16</v>
      </c>
      <c r="D682" t="s">
        <v>1402</v>
      </c>
      <c r="E682" s="5" t="s">
        <v>38</v>
      </c>
      <c r="F682" s="5" t="e">
        <f>VLOOKUP(B682,'Türkkep Jira'!B:F,5,0)</f>
        <v>#N/A</v>
      </c>
      <c r="G682" t="str">
        <f>IF(IFERROR(VLOOKUP(B682,'Devam Eden Sprint'!B:B,1,0),"-")=B682,"Devam Eden Sprint","-")</f>
        <v>-</v>
      </c>
      <c r="H682" t="str">
        <f>IF(IFERROR(VLOOKUP(B682,'Gelecek Sprint'!B:B,1,0),"-")=B682,"Gelecek Sprint","-")</f>
        <v>-</v>
      </c>
      <c r="I682" t="str">
        <f t="shared" si="17"/>
        <v>Ürün İş Listesi</v>
      </c>
      <c r="J682" s="5">
        <v>3</v>
      </c>
    </row>
    <row r="683" spans="1:10" x14ac:dyDescent="0.25">
      <c r="A683" t="s">
        <v>14</v>
      </c>
      <c r="B683" t="s">
        <v>1403</v>
      </c>
      <c r="C683" t="s">
        <v>192</v>
      </c>
      <c r="D683" t="s">
        <v>1404</v>
      </c>
      <c r="E683" s="5" t="s">
        <v>38</v>
      </c>
      <c r="F683" s="5" t="e">
        <f>VLOOKUP(B683,'Türkkep Jira'!B:F,5,0)</f>
        <v>#N/A</v>
      </c>
      <c r="G683" t="str">
        <f>IF(IFERROR(VLOOKUP(B683,'Devam Eden Sprint'!B:B,1,0),"-")=B683,"Devam Eden Sprint","-")</f>
        <v>-</v>
      </c>
      <c r="H683" t="str">
        <f>IF(IFERROR(VLOOKUP(B683,'Gelecek Sprint'!B:B,1,0),"-")=B683,"Gelecek Sprint","-")</f>
        <v>-</v>
      </c>
      <c r="I683" t="str">
        <f t="shared" si="17"/>
        <v>Ürün İş Listesi</v>
      </c>
    </row>
    <row r="684" spans="1:10" x14ac:dyDescent="0.25">
      <c r="A684" t="s">
        <v>14</v>
      </c>
      <c r="B684" t="s">
        <v>1405</v>
      </c>
      <c r="C684" t="s">
        <v>16</v>
      </c>
      <c r="D684" t="s">
        <v>1406</v>
      </c>
      <c r="E684" s="5" t="s">
        <v>991</v>
      </c>
      <c r="F684" s="5" t="e">
        <f>VLOOKUP(B684,'Türkkep Jira'!B:F,5,0)</f>
        <v>#N/A</v>
      </c>
      <c r="G684" t="str">
        <f>IF(IFERROR(VLOOKUP(B684,'Devam Eden Sprint'!B:B,1,0),"-")=B684,"Devam Eden Sprint","-")</f>
        <v>-</v>
      </c>
      <c r="H684" t="str">
        <f>IF(IFERROR(VLOOKUP(B684,'Gelecek Sprint'!B:B,1,0),"-")=B684,"Gelecek Sprint","-")</f>
        <v>-</v>
      </c>
      <c r="I684" t="str">
        <f t="shared" si="17"/>
        <v>Ürün İş Listesi</v>
      </c>
    </row>
    <row r="685" spans="1:10" x14ac:dyDescent="0.25">
      <c r="A685" t="s">
        <v>14</v>
      </c>
      <c r="B685" t="s">
        <v>1407</v>
      </c>
      <c r="C685" t="s">
        <v>16</v>
      </c>
      <c r="D685" t="s">
        <v>1408</v>
      </c>
      <c r="E685" s="5" t="s">
        <v>991</v>
      </c>
      <c r="F685" s="5" t="e">
        <f>VLOOKUP(B685,'Türkkep Jira'!B:F,5,0)</f>
        <v>#N/A</v>
      </c>
      <c r="G685" t="str">
        <f>IF(IFERROR(VLOOKUP(B685,'Devam Eden Sprint'!B:B,1,0),"-")=B685,"Devam Eden Sprint","-")</f>
        <v>-</v>
      </c>
      <c r="H685" t="str">
        <f>IF(IFERROR(VLOOKUP(B685,'Gelecek Sprint'!B:B,1,0),"-")=B685,"Gelecek Sprint","-")</f>
        <v>-</v>
      </c>
      <c r="I685" t="str">
        <f t="shared" si="17"/>
        <v>Ürün İş Listesi</v>
      </c>
    </row>
    <row r="686" spans="1:10" x14ac:dyDescent="0.25">
      <c r="A686" t="s">
        <v>14</v>
      </c>
      <c r="B686" t="s">
        <v>1409</v>
      </c>
      <c r="C686" t="s">
        <v>16</v>
      </c>
      <c r="D686" t="s">
        <v>1410</v>
      </c>
      <c r="E686" s="5" t="s">
        <v>991</v>
      </c>
      <c r="F686" s="5" t="e">
        <f>VLOOKUP(B686,'Türkkep Jira'!B:F,5,0)</f>
        <v>#N/A</v>
      </c>
      <c r="G686" t="str">
        <f>IF(IFERROR(VLOOKUP(B686,'Devam Eden Sprint'!B:B,1,0),"-")=B686,"Devam Eden Sprint","-")</f>
        <v>-</v>
      </c>
      <c r="H686" t="str">
        <f>IF(IFERROR(VLOOKUP(B686,'Gelecek Sprint'!B:B,1,0),"-")=B686,"Gelecek Sprint","-")</f>
        <v>-</v>
      </c>
      <c r="I686" t="str">
        <f t="shared" si="17"/>
        <v>Ürün İş Listesi</v>
      </c>
    </row>
    <row r="687" spans="1:10" x14ac:dyDescent="0.25">
      <c r="A687" t="s">
        <v>14</v>
      </c>
      <c r="B687" t="s">
        <v>1411</v>
      </c>
      <c r="C687" t="s">
        <v>16</v>
      </c>
      <c r="D687" t="s">
        <v>1412</v>
      </c>
      <c r="E687" s="5" t="s">
        <v>991</v>
      </c>
      <c r="F687" s="5" t="e">
        <f>VLOOKUP(B687,'Türkkep Jira'!B:F,5,0)</f>
        <v>#N/A</v>
      </c>
      <c r="G687" t="str">
        <f>IF(IFERROR(VLOOKUP(B687,'Devam Eden Sprint'!B:B,1,0),"-")=B687,"Devam Eden Sprint","-")</f>
        <v>-</v>
      </c>
      <c r="H687" t="str">
        <f>IF(IFERROR(VLOOKUP(B687,'Gelecek Sprint'!B:B,1,0),"-")=B687,"Gelecek Sprint","-")</f>
        <v>-</v>
      </c>
      <c r="I687" t="str">
        <f t="shared" si="17"/>
        <v>Ürün İş Listesi</v>
      </c>
    </row>
    <row r="688" spans="1:10" x14ac:dyDescent="0.25">
      <c r="A688" t="s">
        <v>14</v>
      </c>
      <c r="B688" t="s">
        <v>1413</v>
      </c>
      <c r="C688" t="s">
        <v>16</v>
      </c>
      <c r="D688" t="s">
        <v>1414</v>
      </c>
      <c r="E688" s="5" t="s">
        <v>991</v>
      </c>
      <c r="F688" s="5" t="e">
        <f>VLOOKUP(B688,'Türkkep Jira'!B:F,5,0)</f>
        <v>#N/A</v>
      </c>
      <c r="G688" t="str">
        <f>IF(IFERROR(VLOOKUP(B688,'Devam Eden Sprint'!B:B,1,0),"-")=B688,"Devam Eden Sprint","-")</f>
        <v>-</v>
      </c>
      <c r="H688" t="str">
        <f>IF(IFERROR(VLOOKUP(B688,'Gelecek Sprint'!B:B,1,0),"-")=B688,"Gelecek Sprint","-")</f>
        <v>-</v>
      </c>
      <c r="I688" t="str">
        <f t="shared" si="17"/>
        <v>Ürün İş Listesi</v>
      </c>
    </row>
    <row r="689" spans="1:9" x14ac:dyDescent="0.25">
      <c r="A689" t="s">
        <v>14</v>
      </c>
      <c r="B689" t="s">
        <v>1415</v>
      </c>
      <c r="C689" t="s">
        <v>16</v>
      </c>
      <c r="D689" t="s">
        <v>1416</v>
      </c>
      <c r="E689" s="5" t="s">
        <v>991</v>
      </c>
      <c r="F689" s="5" t="e">
        <f>VLOOKUP(B689,'Türkkep Jira'!B:F,5,0)</f>
        <v>#N/A</v>
      </c>
      <c r="G689" t="str">
        <f>IF(IFERROR(VLOOKUP(B689,'Devam Eden Sprint'!B:B,1,0),"-")=B689,"Devam Eden Sprint","-")</f>
        <v>-</v>
      </c>
      <c r="H689" t="str">
        <f>IF(IFERROR(VLOOKUP(B689,'Gelecek Sprint'!B:B,1,0),"-")=B689,"Gelecek Sprint","-")</f>
        <v>-</v>
      </c>
      <c r="I689" t="str">
        <f t="shared" si="17"/>
        <v>Ürün İş Listesi</v>
      </c>
    </row>
    <row r="690" spans="1:9" x14ac:dyDescent="0.25">
      <c r="A690" t="s">
        <v>1379</v>
      </c>
      <c r="B690" t="s">
        <v>1417</v>
      </c>
      <c r="C690" t="s">
        <v>16</v>
      </c>
      <c r="D690" t="s">
        <v>1418</v>
      </c>
      <c r="E690" s="5" t="s">
        <v>991</v>
      </c>
      <c r="F690" s="5" t="e">
        <f>VLOOKUP(B690,'Türkkep Jira'!B:F,5,0)</f>
        <v>#N/A</v>
      </c>
      <c r="G690" t="str">
        <f>IF(IFERROR(VLOOKUP(B690,'Devam Eden Sprint'!B:B,1,0),"-")=B690,"Devam Eden Sprint","-")</f>
        <v>-</v>
      </c>
      <c r="H690" t="str">
        <f>IF(IFERROR(VLOOKUP(B690,'Gelecek Sprint'!B:B,1,0),"-")=B690,"Gelecek Sprint","-")</f>
        <v>-</v>
      </c>
      <c r="I690" t="str">
        <f t="shared" si="17"/>
        <v>Ürün İş Listesi</v>
      </c>
    </row>
    <row r="691" spans="1:9" x14ac:dyDescent="0.25">
      <c r="A691" t="s">
        <v>14</v>
      </c>
      <c r="B691" t="s">
        <v>1419</v>
      </c>
      <c r="C691" t="s">
        <v>16</v>
      </c>
      <c r="D691" t="s">
        <v>1420</v>
      </c>
      <c r="E691" s="5" t="s">
        <v>991</v>
      </c>
      <c r="F691" s="5" t="e">
        <f>VLOOKUP(B691,'Türkkep Jira'!B:F,5,0)</f>
        <v>#N/A</v>
      </c>
      <c r="G691" t="str">
        <f>IF(IFERROR(VLOOKUP(B691,'Devam Eden Sprint'!B:B,1,0),"-")=B691,"Devam Eden Sprint","-")</f>
        <v>-</v>
      </c>
      <c r="H691" t="str">
        <f>IF(IFERROR(VLOOKUP(B691,'Gelecek Sprint'!B:B,1,0),"-")=B691,"Gelecek Sprint","-")</f>
        <v>-</v>
      </c>
      <c r="I691" t="str">
        <f t="shared" si="17"/>
        <v>Ürün İş Listesi</v>
      </c>
    </row>
    <row r="692" spans="1:9" x14ac:dyDescent="0.25">
      <c r="A692" t="s">
        <v>14</v>
      </c>
      <c r="B692" t="s">
        <v>1421</v>
      </c>
      <c r="C692" t="s">
        <v>16</v>
      </c>
      <c r="D692" t="s">
        <v>1422</v>
      </c>
      <c r="E692" s="5" t="s">
        <v>991</v>
      </c>
      <c r="F692" s="5" t="e">
        <f>VLOOKUP(B692,'Türkkep Jira'!B:F,5,0)</f>
        <v>#N/A</v>
      </c>
      <c r="G692" t="str">
        <f>IF(IFERROR(VLOOKUP(B692,'Devam Eden Sprint'!B:B,1,0),"-")=B692,"Devam Eden Sprint","-")</f>
        <v>-</v>
      </c>
      <c r="H692" t="str">
        <f>IF(IFERROR(VLOOKUP(B692,'Gelecek Sprint'!B:B,1,0),"-")=B692,"Gelecek Sprint","-")</f>
        <v>-</v>
      </c>
      <c r="I692" t="str">
        <f t="shared" si="17"/>
        <v>Ürün İş Listesi</v>
      </c>
    </row>
    <row r="693" spans="1:9" x14ac:dyDescent="0.25">
      <c r="A693" t="s">
        <v>14</v>
      </c>
      <c r="B693" t="s">
        <v>1423</v>
      </c>
      <c r="C693" t="s">
        <v>16</v>
      </c>
      <c r="D693" t="s">
        <v>1424</v>
      </c>
      <c r="E693" s="5" t="s">
        <v>991</v>
      </c>
      <c r="F693" s="5" t="e">
        <f>VLOOKUP(B693,'Türkkep Jira'!B:F,5,0)</f>
        <v>#N/A</v>
      </c>
      <c r="G693" t="str">
        <f>IF(IFERROR(VLOOKUP(B693,'Devam Eden Sprint'!B:B,1,0),"-")=B693,"Devam Eden Sprint","-")</f>
        <v>-</v>
      </c>
      <c r="H693" t="str">
        <f>IF(IFERROR(VLOOKUP(B693,'Gelecek Sprint'!B:B,1,0),"-")=B693,"Gelecek Sprint","-")</f>
        <v>-</v>
      </c>
      <c r="I693" t="str">
        <f t="shared" si="17"/>
        <v>Ürün İş Listesi</v>
      </c>
    </row>
    <row r="694" spans="1:9" x14ac:dyDescent="0.25">
      <c r="A694" t="s">
        <v>14</v>
      </c>
      <c r="B694" t="s">
        <v>1425</v>
      </c>
      <c r="C694" t="s">
        <v>16</v>
      </c>
      <c r="D694" t="s">
        <v>1426</v>
      </c>
      <c r="E694" s="5" t="s">
        <v>991</v>
      </c>
      <c r="F694" s="5" t="e">
        <f>VLOOKUP(B694,'Türkkep Jira'!B:F,5,0)</f>
        <v>#N/A</v>
      </c>
      <c r="G694" t="str">
        <f>IF(IFERROR(VLOOKUP(B694,'Devam Eden Sprint'!B:B,1,0),"-")=B694,"Devam Eden Sprint","-")</f>
        <v>-</v>
      </c>
      <c r="H694" t="str">
        <f>IF(IFERROR(VLOOKUP(B694,'Gelecek Sprint'!B:B,1,0),"-")=B694,"Gelecek Sprint","-")</f>
        <v>-</v>
      </c>
      <c r="I694" t="str">
        <f t="shared" si="17"/>
        <v>Ürün İş Listesi</v>
      </c>
    </row>
    <row r="695" spans="1:9" x14ac:dyDescent="0.25">
      <c r="A695" t="s">
        <v>14</v>
      </c>
      <c r="B695" t="s">
        <v>1427</v>
      </c>
      <c r="C695" t="s">
        <v>16</v>
      </c>
      <c r="D695" t="s">
        <v>1428</v>
      </c>
      <c r="E695" s="5" t="s">
        <v>991</v>
      </c>
      <c r="F695" s="5" t="e">
        <f>VLOOKUP(B695,'Türkkep Jira'!B:F,5,0)</f>
        <v>#N/A</v>
      </c>
      <c r="G695" t="str">
        <f>IF(IFERROR(VLOOKUP(B695,'Devam Eden Sprint'!B:B,1,0),"-")=B695,"Devam Eden Sprint","-")</f>
        <v>-</v>
      </c>
      <c r="H695" t="str">
        <f>IF(IFERROR(VLOOKUP(B695,'Gelecek Sprint'!B:B,1,0),"-")=B695,"Gelecek Sprint","-")</f>
        <v>-</v>
      </c>
      <c r="I695" t="str">
        <f t="shared" si="17"/>
        <v>Ürün İş Listesi</v>
      </c>
    </row>
    <row r="696" spans="1:9" x14ac:dyDescent="0.25">
      <c r="A696" t="s">
        <v>14</v>
      </c>
      <c r="B696" t="s">
        <v>1429</v>
      </c>
      <c r="C696" t="s">
        <v>16</v>
      </c>
      <c r="D696" t="s">
        <v>1430</v>
      </c>
      <c r="E696" s="5" t="s">
        <v>991</v>
      </c>
      <c r="F696" s="5" t="e">
        <f>VLOOKUP(B696,'Türkkep Jira'!B:F,5,0)</f>
        <v>#N/A</v>
      </c>
      <c r="G696" t="str">
        <f>IF(IFERROR(VLOOKUP(B696,'Devam Eden Sprint'!B:B,1,0),"-")=B696,"Devam Eden Sprint","-")</f>
        <v>-</v>
      </c>
      <c r="H696" t="str">
        <f>IF(IFERROR(VLOOKUP(B696,'Gelecek Sprint'!B:B,1,0),"-")=B696,"Gelecek Sprint","-")</f>
        <v>-</v>
      </c>
      <c r="I696" t="str">
        <f t="shared" si="17"/>
        <v>Ürün İş Listesi</v>
      </c>
    </row>
    <row r="697" spans="1:9" x14ac:dyDescent="0.25">
      <c r="A697" t="s">
        <v>14</v>
      </c>
      <c r="B697" t="s">
        <v>1431</v>
      </c>
      <c r="C697" t="s">
        <v>16</v>
      </c>
      <c r="D697" t="s">
        <v>1432</v>
      </c>
      <c r="E697" s="5" t="s">
        <v>991</v>
      </c>
      <c r="F697" s="5" t="e">
        <f>VLOOKUP(B697,'Türkkep Jira'!B:F,5,0)</f>
        <v>#N/A</v>
      </c>
      <c r="G697" t="str">
        <f>IF(IFERROR(VLOOKUP(B697,'Devam Eden Sprint'!B:B,1,0),"-")=B697,"Devam Eden Sprint","-")</f>
        <v>-</v>
      </c>
      <c r="H697" t="str">
        <f>IF(IFERROR(VLOOKUP(B697,'Gelecek Sprint'!B:B,1,0),"-")=B697,"Gelecek Sprint","-")</f>
        <v>-</v>
      </c>
      <c r="I697" t="str">
        <f t="shared" si="17"/>
        <v>Ürün İş Listesi</v>
      </c>
    </row>
    <row r="698" spans="1:9" x14ac:dyDescent="0.25">
      <c r="A698" t="s">
        <v>14</v>
      </c>
      <c r="B698" t="s">
        <v>1433</v>
      </c>
      <c r="C698" t="s">
        <v>16</v>
      </c>
      <c r="D698" t="s">
        <v>1434</v>
      </c>
      <c r="E698" s="5" t="s">
        <v>991</v>
      </c>
      <c r="F698" s="5" t="e">
        <f>VLOOKUP(B698,'Türkkep Jira'!B:F,5,0)</f>
        <v>#N/A</v>
      </c>
      <c r="G698" t="str">
        <f>IF(IFERROR(VLOOKUP(B698,'Devam Eden Sprint'!B:B,1,0),"-")=B698,"Devam Eden Sprint","-")</f>
        <v>-</v>
      </c>
      <c r="H698" t="str">
        <f>IF(IFERROR(VLOOKUP(B698,'Gelecek Sprint'!B:B,1,0),"-")=B698,"Gelecek Sprint","-")</f>
        <v>-</v>
      </c>
      <c r="I698" t="str">
        <f t="shared" si="17"/>
        <v>Ürün İş Listesi</v>
      </c>
    </row>
    <row r="699" spans="1:9" x14ac:dyDescent="0.25">
      <c r="A699" t="s">
        <v>14</v>
      </c>
      <c r="B699" t="s">
        <v>1435</v>
      </c>
      <c r="C699" t="s">
        <v>16</v>
      </c>
      <c r="D699" t="s">
        <v>1436</v>
      </c>
      <c r="E699" s="5" t="s">
        <v>991</v>
      </c>
      <c r="F699" s="5" t="e">
        <f>VLOOKUP(B699,'Türkkep Jira'!B:F,5,0)</f>
        <v>#N/A</v>
      </c>
      <c r="G699" t="str">
        <f>IF(IFERROR(VLOOKUP(B699,'Devam Eden Sprint'!B:B,1,0),"-")=B699,"Devam Eden Sprint","-")</f>
        <v>-</v>
      </c>
      <c r="H699" t="str">
        <f>IF(IFERROR(VLOOKUP(B699,'Gelecek Sprint'!B:B,1,0),"-")=B699,"Gelecek Sprint","-")</f>
        <v>-</v>
      </c>
      <c r="I699" t="str">
        <f t="shared" si="17"/>
        <v>Ürün İş Listesi</v>
      </c>
    </row>
    <row r="700" spans="1:9" x14ac:dyDescent="0.25">
      <c r="A700" t="s">
        <v>1379</v>
      </c>
      <c r="B700" t="s">
        <v>1437</v>
      </c>
      <c r="C700" t="s">
        <v>16</v>
      </c>
      <c r="D700" t="s">
        <v>1438</v>
      </c>
      <c r="E700" s="5" t="s">
        <v>991</v>
      </c>
      <c r="F700" s="5" t="e">
        <f>VLOOKUP(B700,'Türkkep Jira'!B:F,5,0)</f>
        <v>#N/A</v>
      </c>
      <c r="G700" t="str">
        <f>IF(IFERROR(VLOOKUP(B700,'Devam Eden Sprint'!B:B,1,0),"-")=B700,"Devam Eden Sprint","-")</f>
        <v>-</v>
      </c>
      <c r="H700" t="str">
        <f>IF(IFERROR(VLOOKUP(B700,'Gelecek Sprint'!B:B,1,0),"-")=B700,"Gelecek Sprint","-")</f>
        <v>-</v>
      </c>
      <c r="I700" t="str">
        <f t="shared" si="17"/>
        <v>Ürün İş Listesi</v>
      </c>
    </row>
    <row r="701" spans="1:9" x14ac:dyDescent="0.25">
      <c r="A701" t="s">
        <v>1379</v>
      </c>
      <c r="B701" t="s">
        <v>1439</v>
      </c>
      <c r="C701" t="s">
        <v>16</v>
      </c>
      <c r="D701" t="s">
        <v>1438</v>
      </c>
      <c r="E701" s="5" t="s">
        <v>991</v>
      </c>
      <c r="F701" s="5" t="e">
        <f>VLOOKUP(B701,'Türkkep Jira'!B:F,5,0)</f>
        <v>#N/A</v>
      </c>
      <c r="G701" t="str">
        <f>IF(IFERROR(VLOOKUP(B701,'Devam Eden Sprint'!B:B,1,0),"-")=B701,"Devam Eden Sprint","-")</f>
        <v>-</v>
      </c>
      <c r="H701" t="str">
        <f>IF(IFERROR(VLOOKUP(B701,'Gelecek Sprint'!B:B,1,0),"-")=B701,"Gelecek Sprint","-")</f>
        <v>-</v>
      </c>
      <c r="I701" t="str">
        <f t="shared" si="17"/>
        <v>Ürün İş Listesi</v>
      </c>
    </row>
    <row r="702" spans="1:9" x14ac:dyDescent="0.25">
      <c r="A702" t="s">
        <v>1379</v>
      </c>
      <c r="B702" t="s">
        <v>1440</v>
      </c>
      <c r="C702" t="s">
        <v>16</v>
      </c>
      <c r="D702" t="s">
        <v>1438</v>
      </c>
      <c r="E702" s="5" t="s">
        <v>991</v>
      </c>
      <c r="F702" s="5" t="e">
        <f>VLOOKUP(B702,'Türkkep Jira'!B:F,5,0)</f>
        <v>#N/A</v>
      </c>
      <c r="G702" t="str">
        <f>IF(IFERROR(VLOOKUP(B702,'Devam Eden Sprint'!B:B,1,0),"-")=B702,"Devam Eden Sprint","-")</f>
        <v>-</v>
      </c>
      <c r="H702" t="str">
        <f>IF(IFERROR(VLOOKUP(B702,'Gelecek Sprint'!B:B,1,0),"-")=B702,"Gelecek Sprint","-")</f>
        <v>-</v>
      </c>
      <c r="I702" t="str">
        <f t="shared" si="17"/>
        <v>Ürün İş Listesi</v>
      </c>
    </row>
    <row r="703" spans="1:9" x14ac:dyDescent="0.25">
      <c r="A703" t="s">
        <v>14</v>
      </c>
      <c r="B703" t="s">
        <v>1441</v>
      </c>
      <c r="C703" t="s">
        <v>16</v>
      </c>
      <c r="D703" t="s">
        <v>1442</v>
      </c>
      <c r="E703" s="5" t="s">
        <v>991</v>
      </c>
      <c r="F703" s="5" t="e">
        <f>VLOOKUP(B703,'Türkkep Jira'!B:F,5,0)</f>
        <v>#N/A</v>
      </c>
      <c r="G703" t="str">
        <f>IF(IFERROR(VLOOKUP(B703,'Devam Eden Sprint'!B:B,1,0),"-")=B703,"Devam Eden Sprint","-")</f>
        <v>-</v>
      </c>
      <c r="H703" t="str">
        <f>IF(IFERROR(VLOOKUP(B703,'Gelecek Sprint'!B:B,1,0),"-")=B703,"Gelecek Sprint","-")</f>
        <v>-</v>
      </c>
      <c r="I703" t="str">
        <f t="shared" si="17"/>
        <v>Ürün İş Listesi</v>
      </c>
    </row>
    <row r="704" spans="1:9" x14ac:dyDescent="0.25">
      <c r="A704" t="s">
        <v>14</v>
      </c>
      <c r="B704" t="s">
        <v>1443</v>
      </c>
      <c r="C704" t="s">
        <v>16</v>
      </c>
      <c r="D704" t="s">
        <v>1444</v>
      </c>
      <c r="E704" s="5" t="s">
        <v>991</v>
      </c>
      <c r="F704" s="5" t="e">
        <f>VLOOKUP(B704,'Türkkep Jira'!B:F,5,0)</f>
        <v>#N/A</v>
      </c>
      <c r="G704" t="str">
        <f>IF(IFERROR(VLOOKUP(B704,'Devam Eden Sprint'!B:B,1,0),"-")=B704,"Devam Eden Sprint","-")</f>
        <v>-</v>
      </c>
      <c r="H704" t="str">
        <f>IF(IFERROR(VLOOKUP(B704,'Gelecek Sprint'!B:B,1,0),"-")=B704,"Gelecek Sprint","-")</f>
        <v>-</v>
      </c>
      <c r="I704" t="str">
        <f t="shared" si="17"/>
        <v>Ürün İş Listesi</v>
      </c>
    </row>
    <row r="705" spans="1:9" x14ac:dyDescent="0.25">
      <c r="A705" t="s">
        <v>14</v>
      </c>
      <c r="B705" t="s">
        <v>1445</v>
      </c>
      <c r="C705" t="s">
        <v>16</v>
      </c>
      <c r="D705" t="s">
        <v>1446</v>
      </c>
      <c r="E705" s="5" t="s">
        <v>991</v>
      </c>
      <c r="F705" s="5" t="e">
        <f>VLOOKUP(B705,'Türkkep Jira'!B:F,5,0)</f>
        <v>#N/A</v>
      </c>
      <c r="G705" t="str">
        <f>IF(IFERROR(VLOOKUP(B705,'Devam Eden Sprint'!B:B,1,0),"-")=B705,"Devam Eden Sprint","-")</f>
        <v>-</v>
      </c>
      <c r="H705" t="str">
        <f>IF(IFERROR(VLOOKUP(B705,'Gelecek Sprint'!B:B,1,0),"-")=B705,"Gelecek Sprint","-")</f>
        <v>-</v>
      </c>
      <c r="I705" t="str">
        <f t="shared" si="17"/>
        <v>Ürün İş Listesi</v>
      </c>
    </row>
    <row r="706" spans="1:9" x14ac:dyDescent="0.25">
      <c r="A706" t="s">
        <v>14</v>
      </c>
      <c r="B706" t="s">
        <v>1447</v>
      </c>
      <c r="C706" t="s">
        <v>16</v>
      </c>
      <c r="D706" t="s">
        <v>1448</v>
      </c>
      <c r="E706" s="5" t="s">
        <v>991</v>
      </c>
      <c r="F706" s="5" t="e">
        <f>VLOOKUP(B706,'Türkkep Jira'!B:F,5,0)</f>
        <v>#N/A</v>
      </c>
      <c r="G706" t="str">
        <f>IF(IFERROR(VLOOKUP(B706,'Devam Eden Sprint'!B:B,1,0),"-")=B706,"Devam Eden Sprint","-")</f>
        <v>-</v>
      </c>
      <c r="H706" t="str">
        <f>IF(IFERROR(VLOOKUP(B706,'Gelecek Sprint'!B:B,1,0),"-")=B706,"Gelecek Sprint","-")</f>
        <v>-</v>
      </c>
      <c r="I706" t="str">
        <f t="shared" si="17"/>
        <v>Ürün İş Listesi</v>
      </c>
    </row>
    <row r="707" spans="1:9" x14ac:dyDescent="0.25">
      <c r="A707" t="s">
        <v>14</v>
      </c>
      <c r="B707" t="s">
        <v>1449</v>
      </c>
      <c r="C707" t="s">
        <v>16</v>
      </c>
      <c r="D707" t="s">
        <v>1450</v>
      </c>
      <c r="E707" s="5" t="s">
        <v>991</v>
      </c>
      <c r="F707" s="5" t="e">
        <f>VLOOKUP(B707,'Türkkep Jira'!B:F,5,0)</f>
        <v>#N/A</v>
      </c>
      <c r="G707" t="str">
        <f>IF(IFERROR(VLOOKUP(B707,'Devam Eden Sprint'!B:B,1,0),"-")=B707,"Devam Eden Sprint","-")</f>
        <v>-</v>
      </c>
      <c r="H707" t="str">
        <f>IF(IFERROR(VLOOKUP(B707,'Gelecek Sprint'!B:B,1,0),"-")=B707,"Gelecek Sprint","-")</f>
        <v>-</v>
      </c>
      <c r="I707" t="str">
        <f t="shared" si="17"/>
        <v>Ürün İş Listesi</v>
      </c>
    </row>
    <row r="708" spans="1:9" x14ac:dyDescent="0.25">
      <c r="A708" t="s">
        <v>14</v>
      </c>
      <c r="B708" t="s">
        <v>1451</v>
      </c>
      <c r="C708" t="s">
        <v>16</v>
      </c>
      <c r="D708" t="s">
        <v>1452</v>
      </c>
      <c r="E708" s="5" t="s">
        <v>991</v>
      </c>
      <c r="F708" s="5" t="e">
        <f>VLOOKUP(B708,'Türkkep Jira'!B:F,5,0)</f>
        <v>#N/A</v>
      </c>
      <c r="G708" t="str">
        <f>IF(IFERROR(VLOOKUP(B708,'Devam Eden Sprint'!B:B,1,0),"-")=B708,"Devam Eden Sprint","-")</f>
        <v>-</v>
      </c>
      <c r="H708" t="str">
        <f>IF(IFERROR(VLOOKUP(B708,'Gelecek Sprint'!B:B,1,0),"-")=B708,"Gelecek Sprint","-")</f>
        <v>-</v>
      </c>
      <c r="I708" t="str">
        <f t="shared" si="17"/>
        <v>Ürün İş Listesi</v>
      </c>
    </row>
    <row r="709" spans="1:9" x14ac:dyDescent="0.25">
      <c r="A709" t="s">
        <v>14</v>
      </c>
      <c r="B709" t="s">
        <v>1453</v>
      </c>
      <c r="C709" t="s">
        <v>16</v>
      </c>
      <c r="D709" t="s">
        <v>1454</v>
      </c>
      <c r="E709" s="5" t="s">
        <v>991</v>
      </c>
      <c r="F709" s="5" t="e">
        <f>VLOOKUP(B709,'Türkkep Jira'!B:F,5,0)</f>
        <v>#N/A</v>
      </c>
      <c r="G709" t="str">
        <f>IF(IFERROR(VLOOKUP(B709,'Devam Eden Sprint'!B:B,1,0),"-")=B709,"Devam Eden Sprint","-")</f>
        <v>-</v>
      </c>
      <c r="H709" t="str">
        <f>IF(IFERROR(VLOOKUP(B709,'Gelecek Sprint'!B:B,1,0),"-")=B709,"Gelecek Sprint","-")</f>
        <v>-</v>
      </c>
      <c r="I709" t="str">
        <f t="shared" si="17"/>
        <v>Ürün İş Listesi</v>
      </c>
    </row>
    <row r="710" spans="1:9" x14ac:dyDescent="0.25">
      <c r="A710" t="s">
        <v>14</v>
      </c>
      <c r="B710" t="s">
        <v>1455</v>
      </c>
      <c r="C710" t="s">
        <v>16</v>
      </c>
      <c r="D710" t="s">
        <v>1456</v>
      </c>
      <c r="E710" s="5" t="s">
        <v>991</v>
      </c>
      <c r="F710" s="5" t="e">
        <f>VLOOKUP(B710,'Türkkep Jira'!B:F,5,0)</f>
        <v>#N/A</v>
      </c>
      <c r="G710" t="str">
        <f>IF(IFERROR(VLOOKUP(B710,'Devam Eden Sprint'!B:B,1,0),"-")=B710,"Devam Eden Sprint","-")</f>
        <v>-</v>
      </c>
      <c r="H710" t="str">
        <f>IF(IFERROR(VLOOKUP(B710,'Gelecek Sprint'!B:B,1,0),"-")=B710,"Gelecek Sprint","-")</f>
        <v>-</v>
      </c>
      <c r="I710" t="str">
        <f t="shared" si="17"/>
        <v>Ürün İş Listesi</v>
      </c>
    </row>
    <row r="711" spans="1:9" x14ac:dyDescent="0.25">
      <c r="A711" t="s">
        <v>14</v>
      </c>
      <c r="B711" t="s">
        <v>1457</v>
      </c>
      <c r="C711" t="s">
        <v>16</v>
      </c>
      <c r="D711" t="s">
        <v>1458</v>
      </c>
      <c r="E711" s="5" t="s">
        <v>991</v>
      </c>
      <c r="F711" s="5" t="e">
        <f>VLOOKUP(B711,'Türkkep Jira'!B:F,5,0)</f>
        <v>#N/A</v>
      </c>
      <c r="G711" t="str">
        <f>IF(IFERROR(VLOOKUP(B711,'Devam Eden Sprint'!B:B,1,0),"-")=B711,"Devam Eden Sprint","-")</f>
        <v>-</v>
      </c>
      <c r="H711" t="str">
        <f>IF(IFERROR(VLOOKUP(B711,'Gelecek Sprint'!B:B,1,0),"-")=B711,"Gelecek Sprint","-")</f>
        <v>-</v>
      </c>
      <c r="I711" t="str">
        <f t="shared" si="17"/>
        <v>Ürün İş Listesi</v>
      </c>
    </row>
    <row r="712" spans="1:9" x14ac:dyDescent="0.25">
      <c r="A712" t="s">
        <v>14</v>
      </c>
      <c r="B712" t="s">
        <v>1459</v>
      </c>
      <c r="C712" t="s">
        <v>16</v>
      </c>
      <c r="D712" t="s">
        <v>1460</v>
      </c>
      <c r="E712" s="5" t="s">
        <v>991</v>
      </c>
      <c r="F712" s="5" t="e">
        <f>VLOOKUP(B712,'Türkkep Jira'!B:F,5,0)</f>
        <v>#N/A</v>
      </c>
      <c r="G712" t="str">
        <f>IF(IFERROR(VLOOKUP(B712,'Devam Eden Sprint'!B:B,1,0),"-")=B712,"Devam Eden Sprint","-")</f>
        <v>-</v>
      </c>
      <c r="H712" t="str">
        <f>IF(IFERROR(VLOOKUP(B712,'Gelecek Sprint'!B:B,1,0),"-")=B712,"Gelecek Sprint","-")</f>
        <v>-</v>
      </c>
      <c r="I712" t="str">
        <f t="shared" si="17"/>
        <v>Ürün İş Listesi</v>
      </c>
    </row>
    <row r="713" spans="1:9" x14ac:dyDescent="0.25">
      <c r="A713" t="s">
        <v>14</v>
      </c>
      <c r="B713" t="s">
        <v>1461</v>
      </c>
      <c r="C713" t="s">
        <v>16</v>
      </c>
      <c r="D713" t="s">
        <v>1462</v>
      </c>
      <c r="E713" s="5" t="s">
        <v>991</v>
      </c>
      <c r="F713" s="5" t="e">
        <f>VLOOKUP(B713,'Türkkep Jira'!B:F,5,0)</f>
        <v>#N/A</v>
      </c>
      <c r="G713" t="str">
        <f>IF(IFERROR(VLOOKUP(B713,'Devam Eden Sprint'!B:B,1,0),"-")=B713,"Devam Eden Sprint","-")</f>
        <v>-</v>
      </c>
      <c r="H713" t="str">
        <f>IF(IFERROR(VLOOKUP(B713,'Gelecek Sprint'!B:B,1,0),"-")=B713,"Gelecek Sprint","-")</f>
        <v>-</v>
      </c>
      <c r="I713" t="str">
        <f t="shared" si="17"/>
        <v>Ürün İş Listesi</v>
      </c>
    </row>
    <row r="714" spans="1:9" x14ac:dyDescent="0.25">
      <c r="A714" t="s">
        <v>14</v>
      </c>
      <c r="B714" t="s">
        <v>1463</v>
      </c>
      <c r="C714" t="s">
        <v>16</v>
      </c>
      <c r="D714" t="s">
        <v>1464</v>
      </c>
      <c r="E714" s="5" t="s">
        <v>991</v>
      </c>
      <c r="F714" s="5" t="e">
        <f>VLOOKUP(B714,'Türkkep Jira'!B:F,5,0)</f>
        <v>#N/A</v>
      </c>
      <c r="G714" t="str">
        <f>IF(IFERROR(VLOOKUP(B714,'Devam Eden Sprint'!B:B,1,0),"-")=B714,"Devam Eden Sprint","-")</f>
        <v>-</v>
      </c>
      <c r="H714" t="str">
        <f>IF(IFERROR(VLOOKUP(B714,'Gelecek Sprint'!B:B,1,0),"-")=B714,"Gelecek Sprint","-")</f>
        <v>-</v>
      </c>
      <c r="I714" t="str">
        <f t="shared" si="17"/>
        <v>Ürün İş Listesi</v>
      </c>
    </row>
    <row r="715" spans="1:9" x14ac:dyDescent="0.25">
      <c r="A715" t="s">
        <v>14</v>
      </c>
      <c r="B715" t="s">
        <v>1465</v>
      </c>
      <c r="C715" t="s">
        <v>16</v>
      </c>
      <c r="D715" t="s">
        <v>1466</v>
      </c>
      <c r="E715" s="5" t="s">
        <v>991</v>
      </c>
      <c r="F715" s="5" t="e">
        <f>VLOOKUP(B715,'Türkkep Jira'!B:F,5,0)</f>
        <v>#N/A</v>
      </c>
      <c r="G715" t="str">
        <f>IF(IFERROR(VLOOKUP(B715,'Devam Eden Sprint'!B:B,1,0),"-")=B715,"Devam Eden Sprint","-")</f>
        <v>-</v>
      </c>
      <c r="H715" t="str">
        <f>IF(IFERROR(VLOOKUP(B715,'Gelecek Sprint'!B:B,1,0),"-")=B715,"Gelecek Sprint","-")</f>
        <v>-</v>
      </c>
      <c r="I715" t="str">
        <f t="shared" si="17"/>
        <v>Ürün İş Listesi</v>
      </c>
    </row>
    <row r="716" spans="1:9" x14ac:dyDescent="0.25">
      <c r="A716" t="s">
        <v>14</v>
      </c>
      <c r="B716" t="s">
        <v>1467</v>
      </c>
      <c r="C716" t="s">
        <v>16</v>
      </c>
      <c r="D716" t="s">
        <v>1468</v>
      </c>
      <c r="E716" s="5" t="s">
        <v>991</v>
      </c>
      <c r="F716" s="5" t="e">
        <f>VLOOKUP(B716,'Türkkep Jira'!B:F,5,0)</f>
        <v>#N/A</v>
      </c>
      <c r="G716" t="str">
        <f>IF(IFERROR(VLOOKUP(B716,'Devam Eden Sprint'!B:B,1,0),"-")=B716,"Devam Eden Sprint","-")</f>
        <v>-</v>
      </c>
      <c r="H716" t="str">
        <f>IF(IFERROR(VLOOKUP(B716,'Gelecek Sprint'!B:B,1,0),"-")=B716,"Gelecek Sprint","-")</f>
        <v>-</v>
      </c>
      <c r="I716" t="str">
        <f t="shared" si="17"/>
        <v>Ürün İş Listesi</v>
      </c>
    </row>
    <row r="717" spans="1:9" x14ac:dyDescent="0.25">
      <c r="A717" t="s">
        <v>14</v>
      </c>
      <c r="B717" t="s">
        <v>1469</v>
      </c>
      <c r="C717" t="s">
        <v>16</v>
      </c>
      <c r="D717" t="s">
        <v>1470</v>
      </c>
      <c r="E717" s="5" t="s">
        <v>991</v>
      </c>
      <c r="F717" s="5" t="e">
        <f>VLOOKUP(B717,'Türkkep Jira'!B:F,5,0)</f>
        <v>#N/A</v>
      </c>
      <c r="G717" t="str">
        <f>IF(IFERROR(VLOOKUP(B717,'Devam Eden Sprint'!B:B,1,0),"-")=B717,"Devam Eden Sprint","-")</f>
        <v>-</v>
      </c>
      <c r="H717" t="str">
        <f>IF(IFERROR(VLOOKUP(B717,'Gelecek Sprint'!B:B,1,0),"-")=B717,"Gelecek Sprint","-")</f>
        <v>-</v>
      </c>
      <c r="I717" t="str">
        <f t="shared" si="17"/>
        <v>Ürün İş Listesi</v>
      </c>
    </row>
    <row r="718" spans="1:9" x14ac:dyDescent="0.25">
      <c r="A718" t="s">
        <v>14</v>
      </c>
      <c r="B718" t="s">
        <v>1471</v>
      </c>
      <c r="C718" t="s">
        <v>16</v>
      </c>
      <c r="D718" t="s">
        <v>1472</v>
      </c>
      <c r="E718" s="5" t="s">
        <v>991</v>
      </c>
      <c r="F718" s="5" t="e">
        <f>VLOOKUP(B718,'Türkkep Jira'!B:F,5,0)</f>
        <v>#N/A</v>
      </c>
      <c r="G718" t="str">
        <f>IF(IFERROR(VLOOKUP(B718,'Devam Eden Sprint'!B:B,1,0),"-")=B718,"Devam Eden Sprint","-")</f>
        <v>-</v>
      </c>
      <c r="H718" t="str">
        <f>IF(IFERROR(VLOOKUP(B718,'Gelecek Sprint'!B:B,1,0),"-")=B718,"Gelecek Sprint","-")</f>
        <v>-</v>
      </c>
      <c r="I718" t="str">
        <f t="shared" si="17"/>
        <v>Ürün İş Listesi</v>
      </c>
    </row>
    <row r="719" spans="1:9" x14ac:dyDescent="0.25">
      <c r="A719" t="s">
        <v>14</v>
      </c>
      <c r="B719" t="s">
        <v>1473</v>
      </c>
      <c r="C719" t="s">
        <v>16</v>
      </c>
      <c r="D719" t="s">
        <v>1474</v>
      </c>
      <c r="E719" s="5" t="s">
        <v>991</v>
      </c>
      <c r="F719" s="5" t="e">
        <f>VLOOKUP(B719,'Türkkep Jira'!B:F,5,0)</f>
        <v>#N/A</v>
      </c>
      <c r="G719" t="str">
        <f>IF(IFERROR(VLOOKUP(B719,'Devam Eden Sprint'!B:B,1,0),"-")=B719,"Devam Eden Sprint","-")</f>
        <v>-</v>
      </c>
      <c r="H719" t="str">
        <f>IF(IFERROR(VLOOKUP(B719,'Gelecek Sprint'!B:B,1,0),"-")=B719,"Gelecek Sprint","-")</f>
        <v>-</v>
      </c>
      <c r="I719" t="str">
        <f t="shared" si="17"/>
        <v>Ürün İş Listesi</v>
      </c>
    </row>
    <row r="720" spans="1:9" x14ac:dyDescent="0.25">
      <c r="A720" t="s">
        <v>14</v>
      </c>
      <c r="B720" t="s">
        <v>1475</v>
      </c>
      <c r="C720" t="s">
        <v>16</v>
      </c>
      <c r="D720" t="s">
        <v>1476</v>
      </c>
      <c r="E720" s="5" t="s">
        <v>991</v>
      </c>
      <c r="F720" s="5" t="e">
        <f>VLOOKUP(B720,'Türkkep Jira'!B:F,5,0)</f>
        <v>#N/A</v>
      </c>
      <c r="G720" t="str">
        <f>IF(IFERROR(VLOOKUP(B720,'Devam Eden Sprint'!B:B,1,0),"-")=B720,"Devam Eden Sprint","-")</f>
        <v>-</v>
      </c>
      <c r="H720" t="str">
        <f>IF(IFERROR(VLOOKUP(B720,'Gelecek Sprint'!B:B,1,0),"-")=B720,"Gelecek Sprint","-")</f>
        <v>-</v>
      </c>
      <c r="I720" t="str">
        <f t="shared" si="17"/>
        <v>Ürün İş Listesi</v>
      </c>
    </row>
    <row r="721" spans="1:10" x14ac:dyDescent="0.25">
      <c r="A721" t="s">
        <v>14</v>
      </c>
      <c r="B721" t="s">
        <v>1477</v>
      </c>
      <c r="C721" t="s">
        <v>16</v>
      </c>
      <c r="D721" t="s">
        <v>1478</v>
      </c>
      <c r="E721" s="5" t="s">
        <v>991</v>
      </c>
      <c r="F721" s="5" t="e">
        <f>VLOOKUP(B721,'Türkkep Jira'!B:F,5,0)</f>
        <v>#N/A</v>
      </c>
      <c r="G721" t="str">
        <f>IF(IFERROR(VLOOKUP(B721,'Devam Eden Sprint'!B:B,1,0),"-")=B721,"Devam Eden Sprint","-")</f>
        <v>-</v>
      </c>
      <c r="H721" t="str">
        <f>IF(IFERROR(VLOOKUP(B721,'Gelecek Sprint'!B:B,1,0),"-")=B721,"Gelecek Sprint","-")</f>
        <v>-</v>
      </c>
      <c r="I721" t="str">
        <f t="shared" si="17"/>
        <v>Ürün İş Listesi</v>
      </c>
    </row>
    <row r="722" spans="1:10" x14ac:dyDescent="0.25">
      <c r="A722" t="s">
        <v>14</v>
      </c>
      <c r="B722" t="s">
        <v>1479</v>
      </c>
      <c r="C722" t="s">
        <v>16</v>
      </c>
      <c r="D722" t="s">
        <v>1480</v>
      </c>
      <c r="E722" s="5" t="s">
        <v>991</v>
      </c>
      <c r="F722" s="5" t="e">
        <f>VLOOKUP(B722,'Türkkep Jira'!B:F,5,0)</f>
        <v>#N/A</v>
      </c>
      <c r="G722" t="str">
        <f>IF(IFERROR(VLOOKUP(B722,'Devam Eden Sprint'!B:B,1,0),"-")=B722,"Devam Eden Sprint","-")</f>
        <v>-</v>
      </c>
      <c r="H722" t="str">
        <f>IF(IFERROR(VLOOKUP(B722,'Gelecek Sprint'!B:B,1,0),"-")=B722,"Gelecek Sprint","-")</f>
        <v>-</v>
      </c>
      <c r="I722" t="str">
        <f t="shared" si="17"/>
        <v>Ürün İş Listesi</v>
      </c>
    </row>
    <row r="723" spans="1:10" x14ac:dyDescent="0.25">
      <c r="A723" t="s">
        <v>14</v>
      </c>
      <c r="B723" t="s">
        <v>1481</v>
      </c>
      <c r="C723" t="s">
        <v>16</v>
      </c>
      <c r="D723" t="s">
        <v>1482</v>
      </c>
      <c r="E723" s="5" t="s">
        <v>991</v>
      </c>
      <c r="F723" s="5" t="e">
        <f>VLOOKUP(B723,'Türkkep Jira'!B:F,5,0)</f>
        <v>#N/A</v>
      </c>
      <c r="G723" t="str">
        <f>IF(IFERROR(VLOOKUP(B723,'Devam Eden Sprint'!B:B,1,0),"-")=B723,"Devam Eden Sprint","-")</f>
        <v>-</v>
      </c>
      <c r="H723" t="str">
        <f>IF(IFERROR(VLOOKUP(B723,'Gelecek Sprint'!B:B,1,0),"-")=B723,"Gelecek Sprint","-")</f>
        <v>-</v>
      </c>
      <c r="I723" t="str">
        <f t="shared" si="17"/>
        <v>Ürün İş Listesi</v>
      </c>
    </row>
    <row r="724" spans="1:10" x14ac:dyDescent="0.25">
      <c r="A724" t="s">
        <v>14</v>
      </c>
      <c r="B724" t="s">
        <v>1483</v>
      </c>
      <c r="C724" t="s">
        <v>16</v>
      </c>
      <c r="D724" t="s">
        <v>1484</v>
      </c>
      <c r="E724" s="5" t="s">
        <v>991</v>
      </c>
      <c r="F724" s="5" t="e">
        <f>VLOOKUP(B724,'Türkkep Jira'!B:F,5,0)</f>
        <v>#N/A</v>
      </c>
      <c r="G724" t="str">
        <f>IF(IFERROR(VLOOKUP(B724,'Devam Eden Sprint'!B:B,1,0),"-")=B724,"Devam Eden Sprint","-")</f>
        <v>-</v>
      </c>
      <c r="H724" t="str">
        <f>IF(IFERROR(VLOOKUP(B724,'Gelecek Sprint'!B:B,1,0),"-")=B724,"Gelecek Sprint","-")</f>
        <v>-</v>
      </c>
      <c r="I724" t="str">
        <f t="shared" ref="I724:I787" si="18">IFERROR(IF(AND(G724="Devam Eden Sprint",H724="Gelecek Sprint"),"Devam Eden ve Gelecek Sprint",IF(G724="Devam Eden Sprint","Devam Eden Sprint",IF(H724="Gelecek Sprint","Gelecek Sprint","Ürün İş Listesi"))),"Ürün İş Listesi")</f>
        <v>Ürün İş Listesi</v>
      </c>
    </row>
    <row r="725" spans="1:10" x14ac:dyDescent="0.25">
      <c r="A725" t="s">
        <v>14</v>
      </c>
      <c r="B725" t="s">
        <v>1485</v>
      </c>
      <c r="C725" t="s">
        <v>16</v>
      </c>
      <c r="D725" t="s">
        <v>1486</v>
      </c>
      <c r="E725" s="5" t="s">
        <v>991</v>
      </c>
      <c r="F725" s="5" t="e">
        <f>VLOOKUP(B725,'Türkkep Jira'!B:F,5,0)</f>
        <v>#N/A</v>
      </c>
      <c r="G725" t="str">
        <f>IF(IFERROR(VLOOKUP(B725,'Devam Eden Sprint'!B:B,1,0),"-")=B725,"Devam Eden Sprint","-")</f>
        <v>-</v>
      </c>
      <c r="H725" t="str">
        <f>IF(IFERROR(VLOOKUP(B725,'Gelecek Sprint'!B:B,1,0),"-")=B725,"Gelecek Sprint","-")</f>
        <v>-</v>
      </c>
      <c r="I725" t="str">
        <f t="shared" si="18"/>
        <v>Ürün İş Listesi</v>
      </c>
    </row>
    <row r="726" spans="1:10" x14ac:dyDescent="0.25">
      <c r="A726" t="s">
        <v>14</v>
      </c>
      <c r="B726" t="s">
        <v>1487</v>
      </c>
      <c r="C726" t="s">
        <v>16</v>
      </c>
      <c r="D726" t="s">
        <v>1488</v>
      </c>
      <c r="E726" s="5" t="s">
        <v>991</v>
      </c>
      <c r="F726" s="5" t="e">
        <f>VLOOKUP(B726,'Türkkep Jira'!B:F,5,0)</f>
        <v>#N/A</v>
      </c>
      <c r="G726" t="str">
        <f>IF(IFERROR(VLOOKUP(B726,'Devam Eden Sprint'!B:B,1,0),"-")=B726,"Devam Eden Sprint","-")</f>
        <v>-</v>
      </c>
      <c r="H726" t="str">
        <f>IF(IFERROR(VLOOKUP(B726,'Gelecek Sprint'!B:B,1,0),"-")=B726,"Gelecek Sprint","-")</f>
        <v>-</v>
      </c>
      <c r="I726" t="str">
        <f t="shared" si="18"/>
        <v>Ürün İş Listesi</v>
      </c>
    </row>
    <row r="727" spans="1:10" x14ac:dyDescent="0.25">
      <c r="A727" t="s">
        <v>14</v>
      </c>
      <c r="B727" t="s">
        <v>1489</v>
      </c>
      <c r="C727" t="s">
        <v>16</v>
      </c>
      <c r="D727" t="s">
        <v>1490</v>
      </c>
      <c r="E727" s="5" t="s">
        <v>991</v>
      </c>
      <c r="F727" s="5" t="e">
        <f>VLOOKUP(B727,'Türkkep Jira'!B:F,5,0)</f>
        <v>#N/A</v>
      </c>
      <c r="G727" t="str">
        <f>IF(IFERROR(VLOOKUP(B727,'Devam Eden Sprint'!B:B,1,0),"-")=B727,"Devam Eden Sprint","-")</f>
        <v>-</v>
      </c>
      <c r="H727" t="str">
        <f>IF(IFERROR(VLOOKUP(B727,'Gelecek Sprint'!B:B,1,0),"-")=B727,"Gelecek Sprint","-")</f>
        <v>-</v>
      </c>
      <c r="I727" t="str">
        <f t="shared" si="18"/>
        <v>Ürün İş Listesi</v>
      </c>
    </row>
    <row r="728" spans="1:10" x14ac:dyDescent="0.25">
      <c r="A728" t="s">
        <v>14</v>
      </c>
      <c r="B728" t="s">
        <v>1491</v>
      </c>
      <c r="C728" t="s">
        <v>16</v>
      </c>
      <c r="D728" t="s">
        <v>1492</v>
      </c>
      <c r="E728" s="5" t="s">
        <v>991</v>
      </c>
      <c r="F728" s="5" t="e">
        <f>VLOOKUP(B728,'Türkkep Jira'!B:F,5,0)</f>
        <v>#N/A</v>
      </c>
      <c r="G728" t="str">
        <f>IF(IFERROR(VLOOKUP(B728,'Devam Eden Sprint'!B:B,1,0),"-")=B728,"Devam Eden Sprint","-")</f>
        <v>-</v>
      </c>
      <c r="H728" t="str">
        <f>IF(IFERROR(VLOOKUP(B728,'Gelecek Sprint'!B:B,1,0),"-")=B728,"Gelecek Sprint","-")</f>
        <v>-</v>
      </c>
      <c r="I728" t="str">
        <f t="shared" si="18"/>
        <v>Ürün İş Listesi</v>
      </c>
    </row>
    <row r="729" spans="1:10" x14ac:dyDescent="0.25">
      <c r="A729" t="s">
        <v>14</v>
      </c>
      <c r="B729" t="s">
        <v>1493</v>
      </c>
      <c r="C729" t="s">
        <v>16</v>
      </c>
      <c r="D729" t="s">
        <v>1494</v>
      </c>
      <c r="E729" s="5" t="s">
        <v>991</v>
      </c>
      <c r="F729" s="5" t="e">
        <f>VLOOKUP(B729,'Türkkep Jira'!B:F,5,0)</f>
        <v>#N/A</v>
      </c>
      <c r="G729" t="str">
        <f>IF(IFERROR(VLOOKUP(B729,'Devam Eden Sprint'!B:B,1,0),"-")=B729,"Devam Eden Sprint","-")</f>
        <v>-</v>
      </c>
      <c r="H729" t="str">
        <f>IF(IFERROR(VLOOKUP(B729,'Gelecek Sprint'!B:B,1,0),"-")=B729,"Gelecek Sprint","-")</f>
        <v>-</v>
      </c>
      <c r="I729" t="str">
        <f t="shared" si="18"/>
        <v>Ürün İş Listesi</v>
      </c>
    </row>
    <row r="730" spans="1:10" x14ac:dyDescent="0.25">
      <c r="A730" t="s">
        <v>14</v>
      </c>
      <c r="B730" t="s">
        <v>1495</v>
      </c>
      <c r="C730" t="s">
        <v>16</v>
      </c>
      <c r="D730" t="s">
        <v>1496</v>
      </c>
      <c r="E730" s="5" t="s">
        <v>991</v>
      </c>
      <c r="F730" s="5" t="e">
        <f>VLOOKUP(B730,'Türkkep Jira'!B:F,5,0)</f>
        <v>#N/A</v>
      </c>
      <c r="G730" t="str">
        <f>IF(IFERROR(VLOOKUP(B730,'Devam Eden Sprint'!B:B,1,0),"-")=B730,"Devam Eden Sprint","-")</f>
        <v>-</v>
      </c>
      <c r="H730" t="str">
        <f>IF(IFERROR(VLOOKUP(B730,'Gelecek Sprint'!B:B,1,0),"-")=B730,"Gelecek Sprint","-")</f>
        <v>-</v>
      </c>
      <c r="I730" t="str">
        <f t="shared" si="18"/>
        <v>Ürün İş Listesi</v>
      </c>
    </row>
    <row r="731" spans="1:10" x14ac:dyDescent="0.25">
      <c r="A731" t="s">
        <v>14</v>
      </c>
      <c r="B731" t="s">
        <v>1497</v>
      </c>
      <c r="C731" t="s">
        <v>16</v>
      </c>
      <c r="D731" t="s">
        <v>1498</v>
      </c>
      <c r="E731" s="5" t="s">
        <v>991</v>
      </c>
      <c r="F731" s="5" t="e">
        <f>VLOOKUP(B731,'Türkkep Jira'!B:F,5,0)</f>
        <v>#N/A</v>
      </c>
      <c r="G731" t="str">
        <f>IF(IFERROR(VLOOKUP(B731,'Devam Eden Sprint'!B:B,1,0),"-")=B731,"Devam Eden Sprint","-")</f>
        <v>-</v>
      </c>
      <c r="H731" t="str">
        <f>IF(IFERROR(VLOOKUP(B731,'Gelecek Sprint'!B:B,1,0),"-")=B731,"Gelecek Sprint","-")</f>
        <v>-</v>
      </c>
      <c r="I731" t="str">
        <f t="shared" si="18"/>
        <v>Ürün İş Listesi</v>
      </c>
    </row>
    <row r="732" spans="1:10" x14ac:dyDescent="0.25">
      <c r="A732" t="s">
        <v>14</v>
      </c>
      <c r="B732" t="s">
        <v>1499</v>
      </c>
      <c r="C732" t="s">
        <v>16</v>
      </c>
      <c r="D732" t="s">
        <v>1500</v>
      </c>
      <c r="E732" s="5" t="s">
        <v>991</v>
      </c>
      <c r="F732" s="5" t="e">
        <f>VLOOKUP(B732,'Türkkep Jira'!B:F,5,0)</f>
        <v>#N/A</v>
      </c>
      <c r="G732" t="str">
        <f>IF(IFERROR(VLOOKUP(B732,'Devam Eden Sprint'!B:B,1,0),"-")=B732,"Devam Eden Sprint","-")</f>
        <v>-</v>
      </c>
      <c r="H732" t="str">
        <f>IF(IFERROR(VLOOKUP(B732,'Gelecek Sprint'!B:B,1,0),"-")=B732,"Gelecek Sprint","-")</f>
        <v>-</v>
      </c>
      <c r="I732" t="str">
        <f t="shared" si="18"/>
        <v>Ürün İş Listesi</v>
      </c>
    </row>
    <row r="733" spans="1:10" x14ac:dyDescent="0.25">
      <c r="A733" t="s">
        <v>14</v>
      </c>
      <c r="B733" t="s">
        <v>1501</v>
      </c>
      <c r="C733" t="s">
        <v>16</v>
      </c>
      <c r="D733" t="s">
        <v>1502</v>
      </c>
      <c r="E733" s="5" t="s">
        <v>991</v>
      </c>
      <c r="F733" s="5" t="e">
        <f>VLOOKUP(B733,'Türkkep Jira'!B:F,5,0)</f>
        <v>#N/A</v>
      </c>
      <c r="G733" t="str">
        <f>IF(IFERROR(VLOOKUP(B733,'Devam Eden Sprint'!B:B,1,0),"-")=B733,"Devam Eden Sprint","-")</f>
        <v>-</v>
      </c>
      <c r="H733" t="str">
        <f>IF(IFERROR(VLOOKUP(B733,'Gelecek Sprint'!B:B,1,0),"-")=B733,"Gelecek Sprint","-")</f>
        <v>-</v>
      </c>
      <c r="I733" t="str">
        <f t="shared" si="18"/>
        <v>Ürün İş Listesi</v>
      </c>
    </row>
    <row r="734" spans="1:10" x14ac:dyDescent="0.25">
      <c r="A734" t="s">
        <v>14</v>
      </c>
      <c r="B734" t="s">
        <v>1503</v>
      </c>
      <c r="C734" t="s">
        <v>16</v>
      </c>
      <c r="D734" t="s">
        <v>1504</v>
      </c>
      <c r="E734" s="5" t="s">
        <v>12</v>
      </c>
      <c r="F734" s="5" t="e">
        <f>VLOOKUP(B734,'Türkkep Jira'!B:F,5,0)</f>
        <v>#N/A</v>
      </c>
      <c r="G734" t="str">
        <f>IF(IFERROR(VLOOKUP(B734,'Devam Eden Sprint'!B:B,1,0),"-")=B734,"Devam Eden Sprint","-")</f>
        <v>-</v>
      </c>
      <c r="H734" t="str">
        <f>IF(IFERROR(VLOOKUP(B734,'Gelecek Sprint'!B:B,1,0),"-")=B734,"Gelecek Sprint","-")</f>
        <v>-</v>
      </c>
      <c r="I734" t="str">
        <f t="shared" si="18"/>
        <v>Ürün İş Listesi</v>
      </c>
      <c r="J734" s="5">
        <v>1</v>
      </c>
    </row>
    <row r="735" spans="1:10" x14ac:dyDescent="0.25">
      <c r="A735" t="s">
        <v>14</v>
      </c>
      <c r="B735" t="s">
        <v>1505</v>
      </c>
      <c r="C735" t="s">
        <v>16</v>
      </c>
      <c r="D735" t="s">
        <v>1506</v>
      </c>
      <c r="E735" s="5" t="s">
        <v>12</v>
      </c>
      <c r="F735" s="5" t="e">
        <f>VLOOKUP(B735,'Türkkep Jira'!B:F,5,0)</f>
        <v>#N/A</v>
      </c>
      <c r="G735" t="str">
        <f>IF(IFERROR(VLOOKUP(B735,'Devam Eden Sprint'!B:B,1,0),"-")=B735,"Devam Eden Sprint","-")</f>
        <v>-</v>
      </c>
      <c r="H735" t="str">
        <f>IF(IFERROR(VLOOKUP(B735,'Gelecek Sprint'!B:B,1,0),"-")=B735,"Gelecek Sprint","-")</f>
        <v>-</v>
      </c>
      <c r="I735" t="str">
        <f t="shared" si="18"/>
        <v>Ürün İş Listesi</v>
      </c>
      <c r="J735" s="5">
        <v>1</v>
      </c>
    </row>
    <row r="736" spans="1:10" x14ac:dyDescent="0.25">
      <c r="A736" t="s">
        <v>14</v>
      </c>
      <c r="B736" t="s">
        <v>1507</v>
      </c>
      <c r="C736" t="s">
        <v>10</v>
      </c>
      <c r="D736" t="s">
        <v>1508</v>
      </c>
      <c r="E736" s="5" t="s">
        <v>12</v>
      </c>
      <c r="F736" s="5" t="e">
        <f>VLOOKUP(B736,'Türkkep Jira'!B:F,5,0)</f>
        <v>#N/A</v>
      </c>
      <c r="G736" t="str">
        <f>IF(IFERROR(VLOOKUP(B736,'Devam Eden Sprint'!B:B,1,0),"-")=B736,"Devam Eden Sprint","-")</f>
        <v>-</v>
      </c>
      <c r="H736" t="str">
        <f>IF(IFERROR(VLOOKUP(B736,'Gelecek Sprint'!B:B,1,0),"-")=B736,"Gelecek Sprint","-")</f>
        <v>-</v>
      </c>
      <c r="I736" t="str">
        <f t="shared" si="18"/>
        <v>Ürün İş Listesi</v>
      </c>
    </row>
    <row r="737" spans="1:10" x14ac:dyDescent="0.25">
      <c r="A737" t="s">
        <v>14</v>
      </c>
      <c r="B737" t="s">
        <v>1509</v>
      </c>
      <c r="C737" t="s">
        <v>16</v>
      </c>
      <c r="D737" t="s">
        <v>1510</v>
      </c>
      <c r="E737" s="5" t="s">
        <v>12</v>
      </c>
      <c r="F737" s="5" t="e">
        <f>VLOOKUP(B737,'Türkkep Jira'!B:F,5,0)</f>
        <v>#N/A</v>
      </c>
      <c r="G737" t="str">
        <f>IF(IFERROR(VLOOKUP(B737,'Devam Eden Sprint'!B:B,1,0),"-")=B737,"Devam Eden Sprint","-")</f>
        <v>-</v>
      </c>
      <c r="H737" t="str">
        <f>IF(IFERROR(VLOOKUP(B737,'Gelecek Sprint'!B:B,1,0),"-")=B737,"Gelecek Sprint","-")</f>
        <v>-</v>
      </c>
      <c r="I737" t="str">
        <f t="shared" si="18"/>
        <v>Ürün İş Listesi</v>
      </c>
      <c r="J737" s="5">
        <v>2</v>
      </c>
    </row>
    <row r="738" spans="1:10" x14ac:dyDescent="0.25">
      <c r="A738" t="s">
        <v>14</v>
      </c>
      <c r="B738" t="s">
        <v>1511</v>
      </c>
      <c r="C738" t="s">
        <v>16</v>
      </c>
      <c r="D738" t="s">
        <v>1512</v>
      </c>
      <c r="E738" s="5" t="s">
        <v>12</v>
      </c>
      <c r="F738" s="5" t="e">
        <f>VLOOKUP(B738,'Türkkep Jira'!B:F,5,0)</f>
        <v>#N/A</v>
      </c>
      <c r="G738" t="str">
        <f>IF(IFERROR(VLOOKUP(B738,'Devam Eden Sprint'!B:B,1,0),"-")=B738,"Devam Eden Sprint","-")</f>
        <v>-</v>
      </c>
      <c r="H738" t="str">
        <f>IF(IFERROR(VLOOKUP(B738,'Gelecek Sprint'!B:B,1,0),"-")=B738,"Gelecek Sprint","-")</f>
        <v>-</v>
      </c>
      <c r="I738" t="str">
        <f t="shared" si="18"/>
        <v>Ürün İş Listesi</v>
      </c>
      <c r="J738" s="5">
        <v>5</v>
      </c>
    </row>
    <row r="739" spans="1:10" x14ac:dyDescent="0.25">
      <c r="A739" t="s">
        <v>14</v>
      </c>
      <c r="B739" t="s">
        <v>1513</v>
      </c>
      <c r="C739" t="s">
        <v>10</v>
      </c>
      <c r="D739" t="s">
        <v>1514</v>
      </c>
      <c r="E739" s="5" t="s">
        <v>12</v>
      </c>
      <c r="F739" s="5" t="e">
        <f>VLOOKUP(B739,'Türkkep Jira'!B:F,5,0)</f>
        <v>#N/A</v>
      </c>
      <c r="G739" t="str">
        <f>IF(IFERROR(VLOOKUP(B739,'Devam Eden Sprint'!B:B,1,0),"-")=B739,"Devam Eden Sprint","-")</f>
        <v>-</v>
      </c>
      <c r="H739" t="str">
        <f>IF(IFERROR(VLOOKUP(B739,'Gelecek Sprint'!B:B,1,0),"-")=B739,"Gelecek Sprint","-")</f>
        <v>-</v>
      </c>
      <c r="I739" t="str">
        <f t="shared" si="18"/>
        <v>Ürün İş Listesi</v>
      </c>
      <c r="J739" s="5">
        <v>2</v>
      </c>
    </row>
    <row r="740" spans="1:10" x14ac:dyDescent="0.25">
      <c r="A740" t="s">
        <v>14</v>
      </c>
      <c r="B740" t="s">
        <v>1515</v>
      </c>
      <c r="C740" t="s">
        <v>16</v>
      </c>
      <c r="D740" t="s">
        <v>1516</v>
      </c>
      <c r="E740" s="5" t="s">
        <v>1517</v>
      </c>
      <c r="F740" s="5" t="e">
        <f>VLOOKUP(B740,'Türkkep Jira'!B:F,5,0)</f>
        <v>#N/A</v>
      </c>
      <c r="G740" t="str">
        <f>IF(IFERROR(VLOOKUP(B740,'Devam Eden Sprint'!B:B,1,0),"-")=B740,"Devam Eden Sprint","-")</f>
        <v>-</v>
      </c>
      <c r="H740" t="str">
        <f>IF(IFERROR(VLOOKUP(B740,'Gelecek Sprint'!B:B,1,0),"-")=B740,"Gelecek Sprint","-")</f>
        <v>-</v>
      </c>
      <c r="I740" t="str">
        <f t="shared" si="18"/>
        <v>Ürün İş Listesi</v>
      </c>
      <c r="J740" s="5">
        <v>3</v>
      </c>
    </row>
    <row r="741" spans="1:10" x14ac:dyDescent="0.25">
      <c r="A741" t="s">
        <v>14</v>
      </c>
      <c r="B741" t="s">
        <v>1518</v>
      </c>
      <c r="C741" t="s">
        <v>16</v>
      </c>
      <c r="D741" t="s">
        <v>1516</v>
      </c>
      <c r="E741" s="5" t="s">
        <v>59</v>
      </c>
      <c r="F741" s="5" t="e">
        <f>VLOOKUP(B741,'Türkkep Jira'!B:F,5,0)</f>
        <v>#N/A</v>
      </c>
      <c r="G741" t="str">
        <f>IF(IFERROR(VLOOKUP(B741,'Devam Eden Sprint'!B:B,1,0),"-")=B741,"Devam Eden Sprint","-")</f>
        <v>-</v>
      </c>
      <c r="H741" t="str">
        <f>IF(IFERROR(VLOOKUP(B741,'Gelecek Sprint'!B:B,1,0),"-")=B741,"Gelecek Sprint","-")</f>
        <v>-</v>
      </c>
      <c r="I741" t="str">
        <f t="shared" si="18"/>
        <v>Ürün İş Listesi</v>
      </c>
      <c r="J741" s="5">
        <v>2</v>
      </c>
    </row>
    <row r="742" spans="1:10" x14ac:dyDescent="0.25">
      <c r="A742" t="s">
        <v>14</v>
      </c>
      <c r="B742" t="s">
        <v>1519</v>
      </c>
      <c r="C742" t="s">
        <v>16</v>
      </c>
      <c r="D742" t="s">
        <v>1520</v>
      </c>
      <c r="E742" s="5" t="s">
        <v>56</v>
      </c>
      <c r="F742" s="5" t="e">
        <f>VLOOKUP(B742,'Türkkep Jira'!B:F,5,0)</f>
        <v>#N/A</v>
      </c>
      <c r="G742" t="str">
        <f>IF(IFERROR(VLOOKUP(B742,'Devam Eden Sprint'!B:B,1,0),"-")=B742,"Devam Eden Sprint","-")</f>
        <v>-</v>
      </c>
      <c r="H742" t="str">
        <f>IF(IFERROR(VLOOKUP(B742,'Gelecek Sprint'!B:B,1,0),"-")=B742,"Gelecek Sprint","-")</f>
        <v>-</v>
      </c>
      <c r="I742" t="str">
        <f t="shared" si="18"/>
        <v>Ürün İş Listesi</v>
      </c>
      <c r="J742" s="5">
        <v>3</v>
      </c>
    </row>
    <row r="743" spans="1:10" x14ac:dyDescent="0.25">
      <c r="A743" t="s">
        <v>14</v>
      </c>
      <c r="B743" t="s">
        <v>1521</v>
      </c>
      <c r="C743" t="s">
        <v>16</v>
      </c>
      <c r="D743" t="s">
        <v>1522</v>
      </c>
      <c r="E743" s="5" t="s">
        <v>56</v>
      </c>
      <c r="F743" s="5" t="e">
        <f>VLOOKUP(B743,'Türkkep Jira'!B:F,5,0)</f>
        <v>#N/A</v>
      </c>
      <c r="G743" t="str">
        <f>IF(IFERROR(VLOOKUP(B743,'Devam Eden Sprint'!B:B,1,0),"-")=B743,"Devam Eden Sprint","-")</f>
        <v>-</v>
      </c>
      <c r="H743" t="str">
        <f>IF(IFERROR(VLOOKUP(B743,'Gelecek Sprint'!B:B,1,0),"-")=B743,"Gelecek Sprint","-")</f>
        <v>-</v>
      </c>
      <c r="I743" t="str">
        <f t="shared" si="18"/>
        <v>Ürün İş Listesi</v>
      </c>
      <c r="J743" s="5">
        <v>8</v>
      </c>
    </row>
    <row r="744" spans="1:10" x14ac:dyDescent="0.25">
      <c r="A744" t="s">
        <v>14</v>
      </c>
      <c r="B744" t="s">
        <v>1523</v>
      </c>
      <c r="C744" t="s">
        <v>16</v>
      </c>
      <c r="D744" t="s">
        <v>1524</v>
      </c>
      <c r="E744" s="5" t="s">
        <v>53</v>
      </c>
      <c r="F744" s="5" t="e">
        <f>VLOOKUP(B744,'Türkkep Jira'!B:F,5,0)</f>
        <v>#N/A</v>
      </c>
      <c r="G744" t="str">
        <f>IF(IFERROR(VLOOKUP(B744,'Devam Eden Sprint'!B:B,1,0),"-")=B744,"Devam Eden Sprint","-")</f>
        <v>-</v>
      </c>
      <c r="H744" t="str">
        <f>IF(IFERROR(VLOOKUP(B744,'Gelecek Sprint'!B:B,1,0),"-")=B744,"Gelecek Sprint","-")</f>
        <v>-</v>
      </c>
      <c r="I744" t="str">
        <f t="shared" si="18"/>
        <v>Ürün İş Listesi</v>
      </c>
      <c r="J744" s="5">
        <v>2</v>
      </c>
    </row>
    <row r="745" spans="1:10" x14ac:dyDescent="0.25">
      <c r="A745" t="s">
        <v>14</v>
      </c>
      <c r="B745" t="s">
        <v>1525</v>
      </c>
      <c r="C745" t="s">
        <v>16</v>
      </c>
      <c r="D745" t="s">
        <v>1526</v>
      </c>
      <c r="E745" s="5" t="s">
        <v>53</v>
      </c>
      <c r="F745" s="5" t="e">
        <f>VLOOKUP(B745,'Türkkep Jira'!B:F,5,0)</f>
        <v>#N/A</v>
      </c>
      <c r="G745" t="str">
        <f>IF(IFERROR(VLOOKUP(B745,'Devam Eden Sprint'!B:B,1,0),"-")=B745,"Devam Eden Sprint","-")</f>
        <v>-</v>
      </c>
      <c r="H745" t="str">
        <f>IF(IFERROR(VLOOKUP(B745,'Gelecek Sprint'!B:B,1,0),"-")=B745,"Gelecek Sprint","-")</f>
        <v>-</v>
      </c>
      <c r="I745" t="str">
        <f t="shared" si="18"/>
        <v>Ürün İş Listesi</v>
      </c>
      <c r="J745" s="5">
        <v>1</v>
      </c>
    </row>
    <row r="746" spans="1:10" x14ac:dyDescent="0.25">
      <c r="A746" t="s">
        <v>14</v>
      </c>
      <c r="B746" t="s">
        <v>1527</v>
      </c>
      <c r="C746" t="s">
        <v>16</v>
      </c>
      <c r="D746" t="s">
        <v>1528</v>
      </c>
      <c r="E746" s="5" t="s">
        <v>53</v>
      </c>
      <c r="F746" s="5" t="e">
        <f>VLOOKUP(B746,'Türkkep Jira'!B:F,5,0)</f>
        <v>#N/A</v>
      </c>
      <c r="G746" t="str">
        <f>IF(IFERROR(VLOOKUP(B746,'Devam Eden Sprint'!B:B,1,0),"-")=B746,"Devam Eden Sprint","-")</f>
        <v>-</v>
      </c>
      <c r="H746" t="str">
        <f>IF(IFERROR(VLOOKUP(B746,'Gelecek Sprint'!B:B,1,0),"-")=B746,"Gelecek Sprint","-")</f>
        <v>-</v>
      </c>
      <c r="I746" t="str">
        <f t="shared" si="18"/>
        <v>Ürün İş Listesi</v>
      </c>
      <c r="J746" s="5">
        <v>1</v>
      </c>
    </row>
    <row r="747" spans="1:10" x14ac:dyDescent="0.25">
      <c r="A747" t="s">
        <v>14</v>
      </c>
      <c r="B747" t="s">
        <v>1529</v>
      </c>
      <c r="C747" t="s">
        <v>16</v>
      </c>
      <c r="D747" t="s">
        <v>1530</v>
      </c>
      <c r="E747" s="5" t="s">
        <v>44</v>
      </c>
      <c r="F747" s="5" t="e">
        <f>VLOOKUP(B747,'Türkkep Jira'!B:F,5,0)</f>
        <v>#N/A</v>
      </c>
      <c r="G747" t="str">
        <f>IF(IFERROR(VLOOKUP(B747,'Devam Eden Sprint'!B:B,1,0),"-")=B747,"Devam Eden Sprint","-")</f>
        <v>-</v>
      </c>
      <c r="H747" t="str">
        <f>IF(IFERROR(VLOOKUP(B747,'Gelecek Sprint'!B:B,1,0),"-")=B747,"Gelecek Sprint","-")</f>
        <v>-</v>
      </c>
      <c r="I747" t="str">
        <f t="shared" si="18"/>
        <v>Ürün İş Listesi</v>
      </c>
      <c r="J747" s="5">
        <v>3</v>
      </c>
    </row>
    <row r="748" spans="1:10" x14ac:dyDescent="0.25">
      <c r="A748" t="s">
        <v>14</v>
      </c>
      <c r="B748" t="s">
        <v>1531</v>
      </c>
      <c r="C748" t="s">
        <v>16</v>
      </c>
      <c r="D748" t="s">
        <v>1532</v>
      </c>
      <c r="E748" s="5" t="s">
        <v>44</v>
      </c>
      <c r="F748" s="5" t="e">
        <f>VLOOKUP(B748,'Türkkep Jira'!B:F,5,0)</f>
        <v>#N/A</v>
      </c>
      <c r="G748" t="str">
        <f>IF(IFERROR(VLOOKUP(B748,'Devam Eden Sprint'!B:B,1,0),"-")=B748,"Devam Eden Sprint","-")</f>
        <v>-</v>
      </c>
      <c r="H748" t="str">
        <f>IF(IFERROR(VLOOKUP(B748,'Gelecek Sprint'!B:B,1,0),"-")=B748,"Gelecek Sprint","-")</f>
        <v>-</v>
      </c>
      <c r="I748" t="str">
        <f t="shared" si="18"/>
        <v>Ürün İş Listesi</v>
      </c>
      <c r="J748" s="5">
        <v>3</v>
      </c>
    </row>
    <row r="749" spans="1:10" x14ac:dyDescent="0.25">
      <c r="A749" t="s">
        <v>77</v>
      </c>
      <c r="B749" t="s">
        <v>1533</v>
      </c>
      <c r="C749" t="s">
        <v>16</v>
      </c>
      <c r="D749" t="s">
        <v>1534</v>
      </c>
      <c r="E749" s="5" t="s">
        <v>44</v>
      </c>
      <c r="F749" s="5" t="e">
        <f>VLOOKUP(B749,'Türkkep Jira'!B:F,5,0)</f>
        <v>#N/A</v>
      </c>
      <c r="G749" t="str">
        <f>IF(IFERROR(VLOOKUP(B749,'Devam Eden Sprint'!B:B,1,0),"-")=B749,"Devam Eden Sprint","-")</f>
        <v>-</v>
      </c>
      <c r="H749" t="str">
        <f>IF(IFERROR(VLOOKUP(B749,'Gelecek Sprint'!B:B,1,0),"-")=B749,"Gelecek Sprint","-")</f>
        <v>-</v>
      </c>
      <c r="I749" t="str">
        <f t="shared" si="18"/>
        <v>Ürün İş Listesi</v>
      </c>
      <c r="J749" s="5">
        <v>1</v>
      </c>
    </row>
    <row r="750" spans="1:10" x14ac:dyDescent="0.25">
      <c r="A750" t="s">
        <v>14</v>
      </c>
      <c r="B750" t="s">
        <v>1535</v>
      </c>
      <c r="C750" t="s">
        <v>16</v>
      </c>
      <c r="D750" t="s">
        <v>1536</v>
      </c>
      <c r="E750" s="5" t="s">
        <v>56</v>
      </c>
      <c r="F750" s="5" t="e">
        <f>VLOOKUP(B750,'Türkkep Jira'!B:F,5,0)</f>
        <v>#N/A</v>
      </c>
      <c r="G750" t="str">
        <f>IF(IFERROR(VLOOKUP(B750,'Devam Eden Sprint'!B:B,1,0),"-")=B750,"Devam Eden Sprint","-")</f>
        <v>-</v>
      </c>
      <c r="H750" t="str">
        <f>IF(IFERROR(VLOOKUP(B750,'Gelecek Sprint'!B:B,1,0),"-")=B750,"Gelecek Sprint","-")</f>
        <v>-</v>
      </c>
      <c r="I750" t="str">
        <f t="shared" si="18"/>
        <v>Ürün İş Listesi</v>
      </c>
      <c r="J750" s="5">
        <v>5</v>
      </c>
    </row>
    <row r="751" spans="1:10" x14ac:dyDescent="0.25">
      <c r="A751" t="s">
        <v>14</v>
      </c>
      <c r="B751" t="s">
        <v>1537</v>
      </c>
      <c r="C751" t="s">
        <v>16</v>
      </c>
      <c r="D751" t="s">
        <v>1538</v>
      </c>
      <c r="E751" s="5" t="s">
        <v>41</v>
      </c>
      <c r="F751" s="5" t="e">
        <f>VLOOKUP(B751,'Türkkep Jira'!B:F,5,0)</f>
        <v>#N/A</v>
      </c>
      <c r="G751" t="str">
        <f>IF(IFERROR(VLOOKUP(B751,'Devam Eden Sprint'!B:B,1,0),"-")=B751,"Devam Eden Sprint","-")</f>
        <v>-</v>
      </c>
      <c r="H751" t="str">
        <f>IF(IFERROR(VLOOKUP(B751,'Gelecek Sprint'!B:B,1,0),"-")=B751,"Gelecek Sprint","-")</f>
        <v>-</v>
      </c>
      <c r="I751" t="str">
        <f t="shared" si="18"/>
        <v>Ürün İş Listesi</v>
      </c>
      <c r="J751" s="5">
        <v>5</v>
      </c>
    </row>
    <row r="752" spans="1:10" x14ac:dyDescent="0.25">
      <c r="A752" t="s">
        <v>14</v>
      </c>
      <c r="B752" t="s">
        <v>1539</v>
      </c>
      <c r="C752" t="s">
        <v>16</v>
      </c>
      <c r="D752" t="s">
        <v>1540</v>
      </c>
      <c r="E752" s="5" t="s">
        <v>41</v>
      </c>
      <c r="F752" s="5" t="e">
        <f>VLOOKUP(B752,'Türkkep Jira'!B:F,5,0)</f>
        <v>#N/A</v>
      </c>
      <c r="G752" t="str">
        <f>IF(IFERROR(VLOOKUP(B752,'Devam Eden Sprint'!B:B,1,0),"-")=B752,"Devam Eden Sprint","-")</f>
        <v>-</v>
      </c>
      <c r="H752" t="str">
        <f>IF(IFERROR(VLOOKUP(B752,'Gelecek Sprint'!B:B,1,0),"-")=B752,"Gelecek Sprint","-")</f>
        <v>-</v>
      </c>
      <c r="I752" t="str">
        <f t="shared" si="18"/>
        <v>Ürün İş Listesi</v>
      </c>
      <c r="J752" s="5">
        <v>5</v>
      </c>
    </row>
    <row r="753" spans="1:10" x14ac:dyDescent="0.25">
      <c r="A753" t="s">
        <v>14</v>
      </c>
      <c r="B753" t="s">
        <v>1541</v>
      </c>
      <c r="C753" t="s">
        <v>16</v>
      </c>
      <c r="D753" t="s">
        <v>1542</v>
      </c>
      <c r="E753" s="5" t="s">
        <v>41</v>
      </c>
      <c r="F753" s="5" t="e">
        <f>VLOOKUP(B753,'Türkkep Jira'!B:F,5,0)</f>
        <v>#N/A</v>
      </c>
      <c r="G753" t="str">
        <f>IF(IFERROR(VLOOKUP(B753,'Devam Eden Sprint'!B:B,1,0),"-")=B753,"Devam Eden Sprint","-")</f>
        <v>-</v>
      </c>
      <c r="H753" t="str">
        <f>IF(IFERROR(VLOOKUP(B753,'Gelecek Sprint'!B:B,1,0),"-")=B753,"Gelecek Sprint","-")</f>
        <v>-</v>
      </c>
      <c r="I753" t="str">
        <f t="shared" si="18"/>
        <v>Ürün İş Listesi</v>
      </c>
      <c r="J753" s="5">
        <v>2</v>
      </c>
    </row>
    <row r="754" spans="1:10" x14ac:dyDescent="0.25">
      <c r="A754" t="s">
        <v>77</v>
      </c>
      <c r="B754" t="s">
        <v>1543</v>
      </c>
      <c r="C754" t="s">
        <v>16</v>
      </c>
      <c r="D754" t="s">
        <v>1544</v>
      </c>
      <c r="E754" s="5" t="s">
        <v>38</v>
      </c>
      <c r="F754" s="5" t="e">
        <f>VLOOKUP(B754,'Türkkep Jira'!B:F,5,0)</f>
        <v>#N/A</v>
      </c>
      <c r="G754" t="str">
        <f>IF(IFERROR(VLOOKUP(B754,'Devam Eden Sprint'!B:B,1,0),"-")=B754,"Devam Eden Sprint","-")</f>
        <v>-</v>
      </c>
      <c r="H754" t="str">
        <f>IF(IFERROR(VLOOKUP(B754,'Gelecek Sprint'!B:B,1,0),"-")=B754,"Gelecek Sprint","-")</f>
        <v>-</v>
      </c>
      <c r="I754" t="str">
        <f t="shared" si="18"/>
        <v>Ürün İş Listesi</v>
      </c>
      <c r="J754" s="5">
        <v>1</v>
      </c>
    </row>
    <row r="755" spans="1:10" x14ac:dyDescent="0.25">
      <c r="A755" t="s">
        <v>14</v>
      </c>
      <c r="B755" t="s">
        <v>1545</v>
      </c>
      <c r="C755" t="s">
        <v>16</v>
      </c>
      <c r="D755" t="s">
        <v>1546</v>
      </c>
      <c r="E755" s="5" t="s">
        <v>1517</v>
      </c>
      <c r="F755" s="5" t="e">
        <f>VLOOKUP(B755,'Türkkep Jira'!B:F,5,0)</f>
        <v>#N/A</v>
      </c>
      <c r="G755" t="str">
        <f>IF(IFERROR(VLOOKUP(B755,'Devam Eden Sprint'!B:B,1,0),"-")=B755,"Devam Eden Sprint","-")</f>
        <v>-</v>
      </c>
      <c r="H755" t="str">
        <f>IF(IFERROR(VLOOKUP(B755,'Gelecek Sprint'!B:B,1,0),"-")=B755,"Gelecek Sprint","-")</f>
        <v>-</v>
      </c>
      <c r="I755" t="str">
        <f t="shared" si="18"/>
        <v>Ürün İş Listesi</v>
      </c>
      <c r="J755" s="5">
        <v>5</v>
      </c>
    </row>
    <row r="756" spans="1:10" x14ac:dyDescent="0.25">
      <c r="A756" t="s">
        <v>77</v>
      </c>
      <c r="B756" t="s">
        <v>1547</v>
      </c>
      <c r="C756" t="s">
        <v>16</v>
      </c>
      <c r="D756" t="s">
        <v>1548</v>
      </c>
      <c r="E756" s="5" t="s">
        <v>41</v>
      </c>
      <c r="F756" s="5" t="e">
        <f>VLOOKUP(B756,'Türkkep Jira'!B:F,5,0)</f>
        <v>#N/A</v>
      </c>
      <c r="G756" t="str">
        <f>IF(IFERROR(VLOOKUP(B756,'Devam Eden Sprint'!B:B,1,0),"-")=B756,"Devam Eden Sprint","-")</f>
        <v>-</v>
      </c>
      <c r="H756" t="str">
        <f>IF(IFERROR(VLOOKUP(B756,'Gelecek Sprint'!B:B,1,0),"-")=B756,"Gelecek Sprint","-")</f>
        <v>-</v>
      </c>
      <c r="I756" t="str">
        <f t="shared" si="18"/>
        <v>Ürün İş Listesi</v>
      </c>
      <c r="J756" s="5">
        <v>2</v>
      </c>
    </row>
    <row r="757" spans="1:10" x14ac:dyDescent="0.25">
      <c r="A757" t="s">
        <v>77</v>
      </c>
      <c r="B757" t="s">
        <v>1549</v>
      </c>
      <c r="C757" t="s">
        <v>16</v>
      </c>
      <c r="D757" t="s">
        <v>1550</v>
      </c>
      <c r="E757" s="5" t="s">
        <v>41</v>
      </c>
      <c r="F757" s="5" t="e">
        <f>VLOOKUP(B757,'Türkkep Jira'!B:F,5,0)</f>
        <v>#N/A</v>
      </c>
      <c r="G757" t="str">
        <f>IF(IFERROR(VLOOKUP(B757,'Devam Eden Sprint'!B:B,1,0),"-")=B757,"Devam Eden Sprint","-")</f>
        <v>-</v>
      </c>
      <c r="H757" t="str">
        <f>IF(IFERROR(VLOOKUP(B757,'Gelecek Sprint'!B:B,1,0),"-")=B757,"Gelecek Sprint","-")</f>
        <v>-</v>
      </c>
      <c r="I757" t="str">
        <f t="shared" si="18"/>
        <v>Ürün İş Listesi</v>
      </c>
      <c r="J757" s="5">
        <v>2</v>
      </c>
    </row>
    <row r="758" spans="1:10" x14ac:dyDescent="0.25">
      <c r="A758" t="s">
        <v>14</v>
      </c>
      <c r="B758" t="s">
        <v>1551</v>
      </c>
      <c r="C758" t="s">
        <v>16</v>
      </c>
      <c r="D758" t="s">
        <v>1552</v>
      </c>
      <c r="E758" s="5" t="s">
        <v>41</v>
      </c>
      <c r="F758" s="5" t="e">
        <f>VLOOKUP(B758,'Türkkep Jira'!B:F,5,0)</f>
        <v>#N/A</v>
      </c>
      <c r="G758" t="str">
        <f>IF(IFERROR(VLOOKUP(B758,'Devam Eden Sprint'!B:B,1,0),"-")=B758,"Devam Eden Sprint","-")</f>
        <v>-</v>
      </c>
      <c r="H758" t="str">
        <f>IF(IFERROR(VLOOKUP(B758,'Gelecek Sprint'!B:B,1,0),"-")=B758,"Gelecek Sprint","-")</f>
        <v>-</v>
      </c>
      <c r="I758" t="str">
        <f t="shared" si="18"/>
        <v>Ürün İş Listesi</v>
      </c>
      <c r="J758" s="5">
        <v>1</v>
      </c>
    </row>
    <row r="759" spans="1:10" x14ac:dyDescent="0.25">
      <c r="A759" t="s">
        <v>77</v>
      </c>
      <c r="B759" t="s">
        <v>1553</v>
      </c>
      <c r="C759" t="s">
        <v>16</v>
      </c>
      <c r="D759" t="s">
        <v>1554</v>
      </c>
      <c r="E759" s="5" t="s">
        <v>41</v>
      </c>
      <c r="F759" s="5" t="e">
        <f>VLOOKUP(B759,'Türkkep Jira'!B:F,5,0)</f>
        <v>#N/A</v>
      </c>
      <c r="G759" t="str">
        <f>IF(IFERROR(VLOOKUP(B759,'Devam Eden Sprint'!B:B,1,0),"-")=B759,"Devam Eden Sprint","-")</f>
        <v>-</v>
      </c>
      <c r="H759" t="str">
        <f>IF(IFERROR(VLOOKUP(B759,'Gelecek Sprint'!B:B,1,0),"-")=B759,"Gelecek Sprint","-")</f>
        <v>-</v>
      </c>
      <c r="I759" t="str">
        <f t="shared" si="18"/>
        <v>Ürün İş Listesi</v>
      </c>
      <c r="J759" s="5">
        <v>1</v>
      </c>
    </row>
    <row r="760" spans="1:10" x14ac:dyDescent="0.25">
      <c r="A760" t="s">
        <v>14</v>
      </c>
      <c r="B760" t="s">
        <v>1555</v>
      </c>
      <c r="C760" t="s">
        <v>16</v>
      </c>
      <c r="D760" t="s">
        <v>1556</v>
      </c>
      <c r="E760" s="5" t="s">
        <v>35</v>
      </c>
      <c r="F760" s="5" t="e">
        <f>VLOOKUP(B760,'Türkkep Jira'!B:F,5,0)</f>
        <v>#N/A</v>
      </c>
      <c r="G760" t="str">
        <f>IF(IFERROR(VLOOKUP(B760,'Devam Eden Sprint'!B:B,1,0),"-")=B760,"Devam Eden Sprint","-")</f>
        <v>-</v>
      </c>
      <c r="H760" t="str">
        <f>IF(IFERROR(VLOOKUP(B760,'Gelecek Sprint'!B:B,1,0),"-")=B760,"Gelecek Sprint","-")</f>
        <v>-</v>
      </c>
      <c r="I760" t="str">
        <f t="shared" si="18"/>
        <v>Ürün İş Listesi</v>
      </c>
      <c r="J760" s="5">
        <v>1</v>
      </c>
    </row>
    <row r="761" spans="1:10" x14ac:dyDescent="0.25">
      <c r="A761" t="s">
        <v>14</v>
      </c>
      <c r="B761" t="s">
        <v>1557</v>
      </c>
      <c r="C761" t="s">
        <v>16</v>
      </c>
      <c r="D761" t="s">
        <v>1558</v>
      </c>
      <c r="E761" s="5" t="s">
        <v>12</v>
      </c>
      <c r="F761" s="5" t="e">
        <f>VLOOKUP(B761,'Türkkep Jira'!B:F,5,0)</f>
        <v>#N/A</v>
      </c>
      <c r="G761" t="str">
        <f>IF(IFERROR(VLOOKUP(B761,'Devam Eden Sprint'!B:B,1,0),"-")=B761,"Devam Eden Sprint","-")</f>
        <v>-</v>
      </c>
      <c r="H761" t="str">
        <f>IF(IFERROR(VLOOKUP(B761,'Gelecek Sprint'!B:B,1,0),"-")=B761,"Gelecek Sprint","-")</f>
        <v>-</v>
      </c>
      <c r="I761" t="str">
        <f t="shared" si="18"/>
        <v>Ürün İş Listesi</v>
      </c>
      <c r="J761" s="5">
        <v>1</v>
      </c>
    </row>
    <row r="762" spans="1:10" x14ac:dyDescent="0.25">
      <c r="A762" t="s">
        <v>14</v>
      </c>
      <c r="B762" t="s">
        <v>1559</v>
      </c>
      <c r="C762" t="s">
        <v>16</v>
      </c>
      <c r="D762" t="s">
        <v>1560</v>
      </c>
      <c r="E762" s="5" t="s">
        <v>12</v>
      </c>
      <c r="F762" s="5" t="e">
        <f>VLOOKUP(B762,'Türkkep Jira'!B:F,5,0)</f>
        <v>#N/A</v>
      </c>
      <c r="G762" t="str">
        <f>IF(IFERROR(VLOOKUP(B762,'Devam Eden Sprint'!B:B,1,0),"-")=B762,"Devam Eden Sprint","-")</f>
        <v>-</v>
      </c>
      <c r="H762" t="str">
        <f>IF(IFERROR(VLOOKUP(B762,'Gelecek Sprint'!B:B,1,0),"-")=B762,"Gelecek Sprint","-")</f>
        <v>-</v>
      </c>
      <c r="I762" t="str">
        <f t="shared" si="18"/>
        <v>Ürün İş Listesi</v>
      </c>
      <c r="J762" s="5">
        <v>2</v>
      </c>
    </row>
    <row r="763" spans="1:10" x14ac:dyDescent="0.25">
      <c r="A763" t="s">
        <v>14</v>
      </c>
      <c r="B763" t="s">
        <v>1561</v>
      </c>
      <c r="C763" t="s">
        <v>16</v>
      </c>
      <c r="D763" t="s">
        <v>1562</v>
      </c>
      <c r="E763" s="5" t="s">
        <v>12</v>
      </c>
      <c r="F763" s="5" t="e">
        <f>VLOOKUP(B763,'Türkkep Jira'!B:F,5,0)</f>
        <v>#N/A</v>
      </c>
      <c r="G763" t="str">
        <f>IF(IFERROR(VLOOKUP(B763,'Devam Eden Sprint'!B:B,1,0),"-")=B763,"Devam Eden Sprint","-")</f>
        <v>-</v>
      </c>
      <c r="H763" t="str">
        <f>IF(IFERROR(VLOOKUP(B763,'Gelecek Sprint'!B:B,1,0),"-")=B763,"Gelecek Sprint","-")</f>
        <v>-</v>
      </c>
      <c r="I763" t="str">
        <f t="shared" si="18"/>
        <v>Ürün İş Listesi</v>
      </c>
      <c r="J763" s="5">
        <v>1</v>
      </c>
    </row>
    <row r="764" spans="1:10" x14ac:dyDescent="0.25">
      <c r="A764" t="s">
        <v>14</v>
      </c>
      <c r="B764" t="s">
        <v>1563</v>
      </c>
      <c r="C764" t="s">
        <v>16</v>
      </c>
      <c r="D764" t="s">
        <v>1564</v>
      </c>
      <c r="E764" s="5" t="s">
        <v>12</v>
      </c>
      <c r="F764" s="5" t="e">
        <f>VLOOKUP(B764,'Türkkep Jira'!B:F,5,0)</f>
        <v>#N/A</v>
      </c>
      <c r="G764" t="str">
        <f>IF(IFERROR(VLOOKUP(B764,'Devam Eden Sprint'!B:B,1,0),"-")=B764,"Devam Eden Sprint","-")</f>
        <v>-</v>
      </c>
      <c r="H764" t="str">
        <f>IF(IFERROR(VLOOKUP(B764,'Gelecek Sprint'!B:B,1,0),"-")=B764,"Gelecek Sprint","-")</f>
        <v>-</v>
      </c>
      <c r="I764" t="str">
        <f t="shared" si="18"/>
        <v>Ürün İş Listesi</v>
      </c>
      <c r="J764" s="5">
        <v>5</v>
      </c>
    </row>
    <row r="765" spans="1:10" x14ac:dyDescent="0.25">
      <c r="A765" t="s">
        <v>14</v>
      </c>
      <c r="B765" t="s">
        <v>1565</v>
      </c>
      <c r="C765" t="s">
        <v>16</v>
      </c>
      <c r="D765" t="s">
        <v>1566</v>
      </c>
      <c r="E765" s="5" t="s">
        <v>12</v>
      </c>
      <c r="F765" s="5" t="e">
        <f>VLOOKUP(B765,'Türkkep Jira'!B:F,5,0)</f>
        <v>#N/A</v>
      </c>
      <c r="G765" t="str">
        <f>IF(IFERROR(VLOOKUP(B765,'Devam Eden Sprint'!B:B,1,0),"-")=B765,"Devam Eden Sprint","-")</f>
        <v>-</v>
      </c>
      <c r="H765" t="str">
        <f>IF(IFERROR(VLOOKUP(B765,'Gelecek Sprint'!B:B,1,0),"-")=B765,"Gelecek Sprint","-")</f>
        <v>-</v>
      </c>
      <c r="I765" t="str">
        <f t="shared" si="18"/>
        <v>Ürün İş Listesi</v>
      </c>
      <c r="J765" s="5">
        <v>3</v>
      </c>
    </row>
    <row r="766" spans="1:10" x14ac:dyDescent="0.25">
      <c r="A766" t="s">
        <v>14</v>
      </c>
      <c r="B766" t="s">
        <v>1567</v>
      </c>
      <c r="C766" t="s">
        <v>16</v>
      </c>
      <c r="D766" t="s">
        <v>1568</v>
      </c>
      <c r="E766" s="5" t="s">
        <v>53</v>
      </c>
      <c r="F766" s="5" t="e">
        <f>VLOOKUP(B766,'Türkkep Jira'!B:F,5,0)</f>
        <v>#N/A</v>
      </c>
      <c r="G766" t="str">
        <f>IF(IFERROR(VLOOKUP(B766,'Devam Eden Sprint'!B:B,1,0),"-")=B766,"Devam Eden Sprint","-")</f>
        <v>-</v>
      </c>
      <c r="H766" t="str">
        <f>IF(IFERROR(VLOOKUP(B766,'Gelecek Sprint'!B:B,1,0),"-")=B766,"Gelecek Sprint","-")</f>
        <v>-</v>
      </c>
      <c r="I766" t="str">
        <f t="shared" si="18"/>
        <v>Ürün İş Listesi</v>
      </c>
      <c r="J766" s="5">
        <v>1</v>
      </c>
    </row>
    <row r="767" spans="1:10" x14ac:dyDescent="0.25">
      <c r="A767" t="s">
        <v>14</v>
      </c>
      <c r="B767" t="s">
        <v>1569</v>
      </c>
      <c r="C767" t="s">
        <v>16</v>
      </c>
      <c r="D767" t="s">
        <v>1570</v>
      </c>
      <c r="E767" s="5" t="s">
        <v>53</v>
      </c>
      <c r="F767" s="5" t="e">
        <f>VLOOKUP(B767,'Türkkep Jira'!B:F,5,0)</f>
        <v>#N/A</v>
      </c>
      <c r="G767" t="str">
        <f>IF(IFERROR(VLOOKUP(B767,'Devam Eden Sprint'!B:B,1,0),"-")=B767,"Devam Eden Sprint","-")</f>
        <v>-</v>
      </c>
      <c r="H767" t="str">
        <f>IF(IFERROR(VLOOKUP(B767,'Gelecek Sprint'!B:B,1,0),"-")=B767,"Gelecek Sprint","-")</f>
        <v>-</v>
      </c>
      <c r="I767" t="str">
        <f t="shared" si="18"/>
        <v>Ürün İş Listesi</v>
      </c>
      <c r="J767" s="5">
        <v>3</v>
      </c>
    </row>
    <row r="768" spans="1:10" x14ac:dyDescent="0.25">
      <c r="A768" t="s">
        <v>14</v>
      </c>
      <c r="B768" t="s">
        <v>1571</v>
      </c>
      <c r="C768" t="s">
        <v>16</v>
      </c>
      <c r="D768" t="s">
        <v>1196</v>
      </c>
      <c r="E768" s="5" t="s">
        <v>53</v>
      </c>
      <c r="F768" s="5" t="e">
        <f>VLOOKUP(B768,'Türkkep Jira'!B:F,5,0)</f>
        <v>#N/A</v>
      </c>
      <c r="G768" t="str">
        <f>IF(IFERROR(VLOOKUP(B768,'Devam Eden Sprint'!B:B,1,0),"-")=B768,"Devam Eden Sprint","-")</f>
        <v>-</v>
      </c>
      <c r="H768" t="str">
        <f>IF(IFERROR(VLOOKUP(B768,'Gelecek Sprint'!B:B,1,0),"-")=B768,"Gelecek Sprint","-")</f>
        <v>-</v>
      </c>
      <c r="I768" t="str">
        <f t="shared" si="18"/>
        <v>Ürün İş Listesi</v>
      </c>
      <c r="J768" s="5">
        <v>3</v>
      </c>
    </row>
    <row r="769" spans="1:10" x14ac:dyDescent="0.25">
      <c r="A769" t="s">
        <v>14</v>
      </c>
      <c r="B769" t="s">
        <v>1572</v>
      </c>
      <c r="C769" t="s">
        <v>16</v>
      </c>
      <c r="D769" t="s">
        <v>1573</v>
      </c>
      <c r="E769" s="5" t="s">
        <v>56</v>
      </c>
      <c r="F769" s="5" t="e">
        <f>VLOOKUP(B769,'Türkkep Jira'!B:F,5,0)</f>
        <v>#N/A</v>
      </c>
      <c r="G769" t="str">
        <f>IF(IFERROR(VLOOKUP(B769,'Devam Eden Sprint'!B:B,1,0),"-")=B769,"Devam Eden Sprint","-")</f>
        <v>-</v>
      </c>
      <c r="H769" t="str">
        <f>IF(IFERROR(VLOOKUP(B769,'Gelecek Sprint'!B:B,1,0),"-")=B769,"Gelecek Sprint","-")</f>
        <v>-</v>
      </c>
      <c r="I769" t="str">
        <f t="shared" si="18"/>
        <v>Ürün İş Listesi</v>
      </c>
      <c r="J769" s="5">
        <v>3</v>
      </c>
    </row>
    <row r="770" spans="1:10" x14ac:dyDescent="0.25">
      <c r="A770" t="s">
        <v>77</v>
      </c>
      <c r="B770" t="s">
        <v>1574</v>
      </c>
      <c r="C770" t="s">
        <v>16</v>
      </c>
      <c r="D770" t="s">
        <v>1575</v>
      </c>
      <c r="E770" s="5" t="s">
        <v>44</v>
      </c>
      <c r="F770" s="5" t="e">
        <f>VLOOKUP(B770,'Türkkep Jira'!B:F,5,0)</f>
        <v>#N/A</v>
      </c>
      <c r="G770" t="str">
        <f>IF(IFERROR(VLOOKUP(B770,'Devam Eden Sprint'!B:B,1,0),"-")=B770,"Devam Eden Sprint","-")</f>
        <v>-</v>
      </c>
      <c r="H770" t="str">
        <f>IF(IFERROR(VLOOKUP(B770,'Gelecek Sprint'!B:B,1,0),"-")=B770,"Gelecek Sprint","-")</f>
        <v>-</v>
      </c>
      <c r="I770" t="str">
        <f t="shared" si="18"/>
        <v>Ürün İş Listesi</v>
      </c>
      <c r="J770" s="5">
        <v>3</v>
      </c>
    </row>
    <row r="771" spans="1:10" x14ac:dyDescent="0.25">
      <c r="A771" t="s">
        <v>14</v>
      </c>
      <c r="B771" t="s">
        <v>1576</v>
      </c>
      <c r="C771" t="s">
        <v>16</v>
      </c>
      <c r="D771" t="s">
        <v>1577</v>
      </c>
      <c r="E771" s="5" t="s">
        <v>59</v>
      </c>
      <c r="F771" s="5" t="e">
        <f>VLOOKUP(B771,'Türkkep Jira'!B:F,5,0)</f>
        <v>#N/A</v>
      </c>
      <c r="G771" t="str">
        <f>IF(IFERROR(VLOOKUP(B771,'Devam Eden Sprint'!B:B,1,0),"-")=B771,"Devam Eden Sprint","-")</f>
        <v>-</v>
      </c>
      <c r="H771" t="str">
        <f>IF(IFERROR(VLOOKUP(B771,'Gelecek Sprint'!B:B,1,0),"-")=B771,"Gelecek Sprint","-")</f>
        <v>-</v>
      </c>
      <c r="I771" t="str">
        <f t="shared" si="18"/>
        <v>Ürün İş Listesi</v>
      </c>
      <c r="J771" s="5">
        <v>3</v>
      </c>
    </row>
    <row r="772" spans="1:10" x14ac:dyDescent="0.25">
      <c r="A772" t="s">
        <v>77</v>
      </c>
      <c r="B772" t="s">
        <v>1578</v>
      </c>
      <c r="C772" t="s">
        <v>16</v>
      </c>
      <c r="D772" t="s">
        <v>1579</v>
      </c>
      <c r="E772" s="5" t="s">
        <v>1517</v>
      </c>
      <c r="F772" s="5" t="e">
        <f>VLOOKUP(B772,'Türkkep Jira'!B:F,5,0)</f>
        <v>#N/A</v>
      </c>
      <c r="G772" t="str">
        <f>IF(IFERROR(VLOOKUP(B772,'Devam Eden Sprint'!B:B,1,0),"-")=B772,"Devam Eden Sprint","-")</f>
        <v>-</v>
      </c>
      <c r="H772" t="str">
        <f>IF(IFERROR(VLOOKUP(B772,'Gelecek Sprint'!B:B,1,0),"-")=B772,"Gelecek Sprint","-")</f>
        <v>-</v>
      </c>
      <c r="I772" t="str">
        <f t="shared" si="18"/>
        <v>Ürün İş Listesi</v>
      </c>
      <c r="J772" s="5">
        <v>3</v>
      </c>
    </row>
    <row r="773" spans="1:10" x14ac:dyDescent="0.25">
      <c r="A773" t="s">
        <v>77</v>
      </c>
      <c r="B773" t="s">
        <v>1580</v>
      </c>
      <c r="C773" t="s">
        <v>16</v>
      </c>
      <c r="D773" t="s">
        <v>1581</v>
      </c>
      <c r="E773" s="5" t="s">
        <v>1517</v>
      </c>
      <c r="F773" s="5" t="e">
        <f>VLOOKUP(B773,'Türkkep Jira'!B:F,5,0)</f>
        <v>#N/A</v>
      </c>
      <c r="G773" t="str">
        <f>IF(IFERROR(VLOOKUP(B773,'Devam Eden Sprint'!B:B,1,0),"-")=B773,"Devam Eden Sprint","-")</f>
        <v>-</v>
      </c>
      <c r="H773" t="str">
        <f>IF(IFERROR(VLOOKUP(B773,'Gelecek Sprint'!B:B,1,0),"-")=B773,"Gelecek Sprint","-")</f>
        <v>-</v>
      </c>
      <c r="I773" t="str">
        <f t="shared" si="18"/>
        <v>Ürün İş Listesi</v>
      </c>
      <c r="J773" s="5">
        <v>3</v>
      </c>
    </row>
    <row r="774" spans="1:10" x14ac:dyDescent="0.25">
      <c r="A774" t="s">
        <v>77</v>
      </c>
      <c r="B774" t="s">
        <v>1582</v>
      </c>
      <c r="C774" t="s">
        <v>16</v>
      </c>
      <c r="D774" t="s">
        <v>1583</v>
      </c>
      <c r="E774" s="5" t="s">
        <v>56</v>
      </c>
      <c r="F774" s="5" t="e">
        <f>VLOOKUP(B774,'Türkkep Jira'!B:F,5,0)</f>
        <v>#N/A</v>
      </c>
      <c r="G774" t="str">
        <f>IF(IFERROR(VLOOKUP(B774,'Devam Eden Sprint'!B:B,1,0),"-")=B774,"Devam Eden Sprint","-")</f>
        <v>-</v>
      </c>
      <c r="H774" t="str">
        <f>IF(IFERROR(VLOOKUP(B774,'Gelecek Sprint'!B:B,1,0),"-")=B774,"Gelecek Sprint","-")</f>
        <v>-</v>
      </c>
      <c r="I774" t="str">
        <f t="shared" si="18"/>
        <v>Ürün İş Listesi</v>
      </c>
      <c r="J774" s="5">
        <v>3</v>
      </c>
    </row>
    <row r="775" spans="1:10" x14ac:dyDescent="0.25">
      <c r="A775" t="s">
        <v>14</v>
      </c>
      <c r="B775" t="s">
        <v>1584</v>
      </c>
      <c r="C775" t="s">
        <v>16</v>
      </c>
      <c r="D775" t="s">
        <v>1585</v>
      </c>
      <c r="E775" s="5" t="s">
        <v>56</v>
      </c>
      <c r="F775" s="5" t="e">
        <f>VLOOKUP(B775,'Türkkep Jira'!B:F,5,0)</f>
        <v>#N/A</v>
      </c>
      <c r="G775" t="str">
        <f>IF(IFERROR(VLOOKUP(B775,'Devam Eden Sprint'!B:B,1,0),"-")=B775,"Devam Eden Sprint","-")</f>
        <v>-</v>
      </c>
      <c r="H775" t="str">
        <f>IF(IFERROR(VLOOKUP(B775,'Gelecek Sprint'!B:B,1,0),"-")=B775,"Gelecek Sprint","-")</f>
        <v>-</v>
      </c>
      <c r="I775" t="str">
        <f t="shared" si="18"/>
        <v>Ürün İş Listesi</v>
      </c>
      <c r="J775" s="5">
        <v>5</v>
      </c>
    </row>
    <row r="776" spans="1:10" x14ac:dyDescent="0.25">
      <c r="A776" t="s">
        <v>14</v>
      </c>
      <c r="B776" t="s">
        <v>1586</v>
      </c>
      <c r="C776" t="s">
        <v>10</v>
      </c>
      <c r="D776" t="s">
        <v>1587</v>
      </c>
      <c r="E776" s="5" t="s">
        <v>56</v>
      </c>
      <c r="F776" s="5" t="e">
        <f>VLOOKUP(B776,'Türkkep Jira'!B:F,5,0)</f>
        <v>#N/A</v>
      </c>
      <c r="G776" t="str">
        <f>IF(IFERROR(VLOOKUP(B776,'Devam Eden Sprint'!B:B,1,0),"-")=B776,"Devam Eden Sprint","-")</f>
        <v>-</v>
      </c>
      <c r="H776" t="str">
        <f>IF(IFERROR(VLOOKUP(B776,'Gelecek Sprint'!B:B,1,0),"-")=B776,"Gelecek Sprint","-")</f>
        <v>-</v>
      </c>
      <c r="I776" t="str">
        <f t="shared" si="18"/>
        <v>Ürün İş Listesi</v>
      </c>
      <c r="J776" s="5">
        <v>5</v>
      </c>
    </row>
    <row r="777" spans="1:10" x14ac:dyDescent="0.25">
      <c r="A777" t="s">
        <v>77</v>
      </c>
      <c r="B777" t="s">
        <v>1588</v>
      </c>
      <c r="C777" t="s">
        <v>16</v>
      </c>
      <c r="D777" t="s">
        <v>1589</v>
      </c>
      <c r="E777" s="5" t="s">
        <v>1386</v>
      </c>
      <c r="F777" s="5" t="e">
        <f>VLOOKUP(B777,'Türkkep Jira'!B:F,5,0)</f>
        <v>#N/A</v>
      </c>
      <c r="G777" t="str">
        <f>IF(IFERROR(VLOOKUP(B777,'Devam Eden Sprint'!B:B,1,0),"-")=B777,"Devam Eden Sprint","-")</f>
        <v>-</v>
      </c>
      <c r="H777" t="str">
        <f>IF(IFERROR(VLOOKUP(B777,'Gelecek Sprint'!B:B,1,0),"-")=B777,"Gelecek Sprint","-")</f>
        <v>-</v>
      </c>
      <c r="I777" t="str">
        <f t="shared" si="18"/>
        <v>Ürün İş Listesi</v>
      </c>
      <c r="J777" s="5">
        <v>1</v>
      </c>
    </row>
    <row r="778" spans="1:10" x14ac:dyDescent="0.25">
      <c r="A778" t="s">
        <v>1379</v>
      </c>
      <c r="B778" t="s">
        <v>1590</v>
      </c>
      <c r="C778" t="s">
        <v>16</v>
      </c>
      <c r="D778" t="s">
        <v>1591</v>
      </c>
      <c r="E778" s="5" t="s">
        <v>41</v>
      </c>
      <c r="F778" s="5" t="e">
        <f>VLOOKUP(B778,'Türkkep Jira'!B:F,5,0)</f>
        <v>#N/A</v>
      </c>
      <c r="G778" t="str">
        <f>IF(IFERROR(VLOOKUP(B778,'Devam Eden Sprint'!B:B,1,0),"-")=B778,"Devam Eden Sprint","-")</f>
        <v>-</v>
      </c>
      <c r="H778" t="str">
        <f>IF(IFERROR(VLOOKUP(B778,'Gelecek Sprint'!B:B,1,0),"-")=B778,"Gelecek Sprint","-")</f>
        <v>-</v>
      </c>
      <c r="I778" t="str">
        <f t="shared" si="18"/>
        <v>Ürün İş Listesi</v>
      </c>
      <c r="J778" s="5">
        <v>1</v>
      </c>
    </row>
    <row r="779" spans="1:10" x14ac:dyDescent="0.25">
      <c r="A779" t="s">
        <v>14</v>
      </c>
      <c r="B779" t="s">
        <v>1592</v>
      </c>
      <c r="C779" t="s">
        <v>16</v>
      </c>
      <c r="D779" t="s">
        <v>1593</v>
      </c>
      <c r="E779" s="5" t="s">
        <v>41</v>
      </c>
      <c r="F779" s="5" t="e">
        <f>VLOOKUP(B779,'Türkkep Jira'!B:F,5,0)</f>
        <v>#N/A</v>
      </c>
      <c r="G779" t="str">
        <f>IF(IFERROR(VLOOKUP(B779,'Devam Eden Sprint'!B:B,1,0),"-")=B779,"Devam Eden Sprint","-")</f>
        <v>-</v>
      </c>
      <c r="H779" t="str">
        <f>IF(IFERROR(VLOOKUP(B779,'Gelecek Sprint'!B:B,1,0),"-")=B779,"Gelecek Sprint","-")</f>
        <v>-</v>
      </c>
      <c r="I779" t="str">
        <f t="shared" si="18"/>
        <v>Ürün İş Listesi</v>
      </c>
      <c r="J779" s="5">
        <v>2</v>
      </c>
    </row>
    <row r="780" spans="1:10" x14ac:dyDescent="0.25">
      <c r="A780" t="s">
        <v>77</v>
      </c>
      <c r="B780" t="s">
        <v>1594</v>
      </c>
      <c r="C780" t="s">
        <v>16</v>
      </c>
      <c r="D780" t="s">
        <v>1595</v>
      </c>
      <c r="E780" s="5" t="s">
        <v>41</v>
      </c>
      <c r="F780" s="5" t="e">
        <f>VLOOKUP(B780,'Türkkep Jira'!B:F,5,0)</f>
        <v>#N/A</v>
      </c>
      <c r="G780" t="str">
        <f>IF(IFERROR(VLOOKUP(B780,'Devam Eden Sprint'!B:B,1,0),"-")=B780,"Devam Eden Sprint","-")</f>
        <v>-</v>
      </c>
      <c r="H780" t="str">
        <f>IF(IFERROR(VLOOKUP(B780,'Gelecek Sprint'!B:B,1,0),"-")=B780,"Gelecek Sprint","-")</f>
        <v>-</v>
      </c>
      <c r="I780" t="str">
        <f t="shared" si="18"/>
        <v>Ürün İş Listesi</v>
      </c>
      <c r="J780" s="5">
        <v>1</v>
      </c>
    </row>
    <row r="781" spans="1:10" x14ac:dyDescent="0.25">
      <c r="A781" t="s">
        <v>14</v>
      </c>
      <c r="B781" t="s">
        <v>1596</v>
      </c>
      <c r="C781" t="s">
        <v>16</v>
      </c>
      <c r="D781" t="s">
        <v>1597</v>
      </c>
      <c r="E781" s="5" t="s">
        <v>44</v>
      </c>
      <c r="F781" s="5" t="e">
        <f>VLOOKUP(B781,'Türkkep Jira'!B:F,5,0)</f>
        <v>#N/A</v>
      </c>
      <c r="G781" t="str">
        <f>IF(IFERROR(VLOOKUP(B781,'Devam Eden Sprint'!B:B,1,0),"-")=B781,"Devam Eden Sprint","-")</f>
        <v>-</v>
      </c>
      <c r="H781" t="str">
        <f>IF(IFERROR(VLOOKUP(B781,'Gelecek Sprint'!B:B,1,0),"-")=B781,"Gelecek Sprint","-")</f>
        <v>-</v>
      </c>
      <c r="I781" t="str">
        <f t="shared" si="18"/>
        <v>Ürün İş Listesi</v>
      </c>
      <c r="J781" s="5">
        <v>5</v>
      </c>
    </row>
    <row r="782" spans="1:10" x14ac:dyDescent="0.25">
      <c r="A782" t="s">
        <v>14</v>
      </c>
      <c r="B782" t="s">
        <v>1598</v>
      </c>
      <c r="C782" t="s">
        <v>16</v>
      </c>
      <c r="D782" t="s">
        <v>1599</v>
      </c>
      <c r="E782" s="5" t="s">
        <v>41</v>
      </c>
      <c r="F782" s="5" t="e">
        <f>VLOOKUP(B782,'Türkkep Jira'!B:F,5,0)</f>
        <v>#N/A</v>
      </c>
      <c r="G782" t="str">
        <f>IF(IFERROR(VLOOKUP(B782,'Devam Eden Sprint'!B:B,1,0),"-")=B782,"Devam Eden Sprint","-")</f>
        <v>-</v>
      </c>
      <c r="H782" t="str">
        <f>IF(IFERROR(VLOOKUP(B782,'Gelecek Sprint'!B:B,1,0),"-")=B782,"Gelecek Sprint","-")</f>
        <v>-</v>
      </c>
      <c r="I782" t="str">
        <f t="shared" si="18"/>
        <v>Ürün İş Listesi</v>
      </c>
      <c r="J782" s="5">
        <v>5</v>
      </c>
    </row>
    <row r="783" spans="1:10" x14ac:dyDescent="0.25">
      <c r="A783" t="s">
        <v>14</v>
      </c>
      <c r="B783" t="s">
        <v>1600</v>
      </c>
      <c r="C783" t="s">
        <v>16</v>
      </c>
      <c r="D783" t="s">
        <v>1601</v>
      </c>
      <c r="E783" s="5" t="s">
        <v>41</v>
      </c>
      <c r="F783" s="5" t="e">
        <f>VLOOKUP(B783,'Türkkep Jira'!B:F,5,0)</f>
        <v>#N/A</v>
      </c>
      <c r="G783" t="str">
        <f>IF(IFERROR(VLOOKUP(B783,'Devam Eden Sprint'!B:B,1,0),"-")=B783,"Devam Eden Sprint","-")</f>
        <v>-</v>
      </c>
      <c r="H783" t="str">
        <f>IF(IFERROR(VLOOKUP(B783,'Gelecek Sprint'!B:B,1,0),"-")=B783,"Gelecek Sprint","-")</f>
        <v>-</v>
      </c>
      <c r="I783" t="str">
        <f t="shared" si="18"/>
        <v>Ürün İş Listesi</v>
      </c>
      <c r="J783" s="5">
        <v>3</v>
      </c>
    </row>
    <row r="784" spans="1:10" x14ac:dyDescent="0.25">
      <c r="A784" t="s">
        <v>14</v>
      </c>
      <c r="B784" t="s">
        <v>1602</v>
      </c>
      <c r="C784" t="s">
        <v>16</v>
      </c>
      <c r="D784" t="s">
        <v>1603</v>
      </c>
      <c r="E784" s="5" t="s">
        <v>41</v>
      </c>
      <c r="F784" s="5" t="e">
        <f>VLOOKUP(B784,'Türkkep Jira'!B:F,5,0)</f>
        <v>#N/A</v>
      </c>
      <c r="G784" t="str">
        <f>IF(IFERROR(VLOOKUP(B784,'Devam Eden Sprint'!B:B,1,0),"-")=B784,"Devam Eden Sprint","-")</f>
        <v>-</v>
      </c>
      <c r="H784" t="str">
        <f>IF(IFERROR(VLOOKUP(B784,'Gelecek Sprint'!B:B,1,0),"-")=B784,"Gelecek Sprint","-")</f>
        <v>-</v>
      </c>
      <c r="I784" t="str">
        <f t="shared" si="18"/>
        <v>Ürün İş Listesi</v>
      </c>
      <c r="J784" s="5">
        <v>2</v>
      </c>
    </row>
    <row r="785" spans="1:10" x14ac:dyDescent="0.25">
      <c r="A785" t="s">
        <v>14</v>
      </c>
      <c r="B785" t="s">
        <v>1604</v>
      </c>
      <c r="C785" t="s">
        <v>16</v>
      </c>
      <c r="D785" t="s">
        <v>1605</v>
      </c>
      <c r="E785" s="5" t="s">
        <v>41</v>
      </c>
      <c r="F785" s="5" t="e">
        <f>VLOOKUP(B785,'Türkkep Jira'!B:F,5,0)</f>
        <v>#N/A</v>
      </c>
      <c r="G785" t="str">
        <f>IF(IFERROR(VLOOKUP(B785,'Devam Eden Sprint'!B:B,1,0),"-")=B785,"Devam Eden Sprint","-")</f>
        <v>-</v>
      </c>
      <c r="H785" t="str">
        <f>IF(IFERROR(VLOOKUP(B785,'Gelecek Sprint'!B:B,1,0),"-")=B785,"Gelecek Sprint","-")</f>
        <v>-</v>
      </c>
      <c r="I785" t="str">
        <f t="shared" si="18"/>
        <v>Ürün İş Listesi</v>
      </c>
      <c r="J785" s="5">
        <v>2</v>
      </c>
    </row>
    <row r="786" spans="1:10" x14ac:dyDescent="0.25">
      <c r="A786" t="s">
        <v>14</v>
      </c>
      <c r="B786" t="s">
        <v>1606</v>
      </c>
      <c r="C786" t="s">
        <v>16</v>
      </c>
      <c r="D786" t="s">
        <v>1607</v>
      </c>
      <c r="E786" s="5" t="s">
        <v>12</v>
      </c>
      <c r="F786" s="5" t="e">
        <f>VLOOKUP(B786,'Türkkep Jira'!B:F,5,0)</f>
        <v>#N/A</v>
      </c>
      <c r="G786" t="str">
        <f>IF(IFERROR(VLOOKUP(B786,'Devam Eden Sprint'!B:B,1,0),"-")=B786,"Devam Eden Sprint","-")</f>
        <v>-</v>
      </c>
      <c r="H786" t="str">
        <f>IF(IFERROR(VLOOKUP(B786,'Gelecek Sprint'!B:B,1,0),"-")=B786,"Gelecek Sprint","-")</f>
        <v>-</v>
      </c>
      <c r="I786" t="str">
        <f t="shared" si="18"/>
        <v>Ürün İş Listesi</v>
      </c>
      <c r="J786" s="5">
        <v>3</v>
      </c>
    </row>
    <row r="787" spans="1:10" x14ac:dyDescent="0.25">
      <c r="A787" t="s">
        <v>14</v>
      </c>
      <c r="B787" t="s">
        <v>1608</v>
      </c>
      <c r="C787" t="s">
        <v>16</v>
      </c>
      <c r="D787" t="s">
        <v>1609</v>
      </c>
      <c r="E787" s="5" t="s">
        <v>12</v>
      </c>
      <c r="F787" s="5" t="e">
        <f>VLOOKUP(B787,'Türkkep Jira'!B:F,5,0)</f>
        <v>#N/A</v>
      </c>
      <c r="G787" t="str">
        <f>IF(IFERROR(VLOOKUP(B787,'Devam Eden Sprint'!B:B,1,0),"-")=B787,"Devam Eden Sprint","-")</f>
        <v>-</v>
      </c>
      <c r="H787" t="str">
        <f>IF(IFERROR(VLOOKUP(B787,'Gelecek Sprint'!B:B,1,0),"-")=B787,"Gelecek Sprint","-")</f>
        <v>-</v>
      </c>
      <c r="I787" t="str">
        <f t="shared" si="18"/>
        <v>Ürün İş Listesi</v>
      </c>
      <c r="J787" s="5">
        <v>1</v>
      </c>
    </row>
    <row r="788" spans="1:10" x14ac:dyDescent="0.25">
      <c r="A788" t="s">
        <v>14</v>
      </c>
      <c r="B788" t="s">
        <v>1610</v>
      </c>
      <c r="C788" t="s">
        <v>16</v>
      </c>
      <c r="D788" t="s">
        <v>1611</v>
      </c>
      <c r="E788" s="5" t="s">
        <v>12</v>
      </c>
      <c r="F788" s="5" t="e">
        <f>VLOOKUP(B788,'Türkkep Jira'!B:F,5,0)</f>
        <v>#N/A</v>
      </c>
      <c r="G788" t="str">
        <f>IF(IFERROR(VLOOKUP(B788,'Devam Eden Sprint'!B:B,1,0),"-")=B788,"Devam Eden Sprint","-")</f>
        <v>-</v>
      </c>
      <c r="H788" t="str">
        <f>IF(IFERROR(VLOOKUP(B788,'Gelecek Sprint'!B:B,1,0),"-")=B788,"Gelecek Sprint","-")</f>
        <v>-</v>
      </c>
      <c r="I788" t="str">
        <f t="shared" ref="I788:I791" si="19">IFERROR(IF(AND(G788="Devam Eden Sprint",H788="Gelecek Sprint"),"Devam Eden ve Gelecek Sprint",IF(G788="Devam Eden Sprint","Devam Eden Sprint",IF(H788="Gelecek Sprint","Gelecek Sprint","Ürün İş Listesi"))),"Ürün İş Listesi")</f>
        <v>Ürün İş Listesi</v>
      </c>
      <c r="J788" s="5">
        <v>5</v>
      </c>
    </row>
    <row r="789" spans="1:10" x14ac:dyDescent="0.25">
      <c r="A789" t="s">
        <v>14</v>
      </c>
      <c r="B789" t="s">
        <v>1612</v>
      </c>
      <c r="C789" t="s">
        <v>16</v>
      </c>
      <c r="D789" t="s">
        <v>1613</v>
      </c>
      <c r="E789" s="5" t="s">
        <v>12</v>
      </c>
      <c r="F789" s="5" t="e">
        <f>VLOOKUP(B789,'Türkkep Jira'!B:F,5,0)</f>
        <v>#N/A</v>
      </c>
      <c r="G789" t="str">
        <f>IF(IFERROR(VLOOKUP(B789,'Devam Eden Sprint'!B:B,1,0),"-")=B789,"Devam Eden Sprint","-")</f>
        <v>-</v>
      </c>
      <c r="H789" t="str">
        <f>IF(IFERROR(VLOOKUP(B789,'Gelecek Sprint'!B:B,1,0),"-")=B789,"Gelecek Sprint","-")</f>
        <v>-</v>
      </c>
      <c r="I789" t="str">
        <f t="shared" si="19"/>
        <v>Ürün İş Listesi</v>
      </c>
      <c r="J789" s="5">
        <v>1</v>
      </c>
    </row>
    <row r="790" spans="1:10" x14ac:dyDescent="0.25">
      <c r="A790" t="s">
        <v>14</v>
      </c>
      <c r="B790" t="s">
        <v>1614</v>
      </c>
      <c r="C790" t="s">
        <v>16</v>
      </c>
      <c r="D790" t="s">
        <v>1615</v>
      </c>
      <c r="E790" s="5" t="s">
        <v>12</v>
      </c>
      <c r="F790" s="5" t="e">
        <f>VLOOKUP(B790,'Türkkep Jira'!B:F,5,0)</f>
        <v>#N/A</v>
      </c>
      <c r="G790" t="str">
        <f>IF(IFERROR(VLOOKUP(B790,'Devam Eden Sprint'!B:B,1,0),"-")=B790,"Devam Eden Sprint","-")</f>
        <v>-</v>
      </c>
      <c r="H790" t="str">
        <f>IF(IFERROR(VLOOKUP(B790,'Gelecek Sprint'!B:B,1,0),"-")=B790,"Gelecek Sprint","-")</f>
        <v>-</v>
      </c>
      <c r="I790" t="str">
        <f t="shared" si="19"/>
        <v>Ürün İş Listesi</v>
      </c>
      <c r="J790" s="5">
        <v>3</v>
      </c>
    </row>
    <row r="791" spans="1:10" x14ac:dyDescent="0.25">
      <c r="A791" t="s">
        <v>14</v>
      </c>
      <c r="B791" t="s">
        <v>1616</v>
      </c>
      <c r="C791" t="s">
        <v>16</v>
      </c>
      <c r="D791" t="s">
        <v>1617</v>
      </c>
      <c r="E791" s="5" t="s">
        <v>12</v>
      </c>
      <c r="F791" s="5" t="e">
        <f>VLOOKUP(B791,'Türkkep Jira'!B:F,5,0)</f>
        <v>#N/A</v>
      </c>
      <c r="G791" t="str">
        <f>IF(IFERROR(VLOOKUP(B791,'Devam Eden Sprint'!B:B,1,0),"-")=B791,"Devam Eden Sprint","-")</f>
        <v>-</v>
      </c>
      <c r="H791" t="str">
        <f>IF(IFERROR(VLOOKUP(B791,'Gelecek Sprint'!B:B,1,0),"-")=B791,"Gelecek Sprint","-")</f>
        <v>-</v>
      </c>
      <c r="I791" t="str">
        <f t="shared" si="19"/>
        <v>Ürün İş Listesi</v>
      </c>
      <c r="J791" s="5">
        <v>3</v>
      </c>
    </row>
    <row r="792" spans="1:10" x14ac:dyDescent="0.25">
      <c r="A792" t="s">
        <v>14</v>
      </c>
      <c r="B792" t="s">
        <v>1618</v>
      </c>
      <c r="C792" t="s">
        <v>16</v>
      </c>
      <c r="D792" t="s">
        <v>1619</v>
      </c>
      <c r="E792" s="5" t="s">
        <v>127</v>
      </c>
      <c r="F792" s="5" t="e">
        <f>VLOOKUP(B792,'Türkkep Jira'!B:F,5,0)</f>
        <v>#N/A</v>
      </c>
      <c r="G792" t="str">
        <f>IF(IFERROR(VLOOKUP(B792,'Devam Eden Sprint'!B:B,1,0),"-")=B792,"Devam Eden Sprint","-")</f>
        <v>-</v>
      </c>
      <c r="H792" t="str">
        <f>IF(IFERROR(VLOOKUP(B792,'Gelecek Sprint'!B:B,1,0),"-")=B792,"Gelecek Sprint","-")</f>
        <v>-</v>
      </c>
      <c r="I792" t="str">
        <f>IFERROR(IF(AND(G792="Devam Eden Sprint",H792="Gelecek Sprint"),"Devam Eden ve Gelecek Sprint",IF(G792="Devam Eden Sprint","Devam Eden Sprint",IF(H792="Gelecek Sprint","Gelecek Sprint","Ürün İş Listesi"))),"Ürün İş Listesi")</f>
        <v>Ürün İş Listesi</v>
      </c>
    </row>
    <row r="793" spans="1:10" x14ac:dyDescent="0.25">
      <c r="A793" t="s">
        <v>14</v>
      </c>
      <c r="B793" t="s">
        <v>1621</v>
      </c>
      <c r="C793" t="s">
        <v>16</v>
      </c>
      <c r="D793" t="s">
        <v>1622</v>
      </c>
      <c r="E793" s="5" t="s">
        <v>53</v>
      </c>
      <c r="F793" s="5" t="e">
        <f>VLOOKUP(B793,'Türkkep Jira'!B:F,5,0)</f>
        <v>#N/A</v>
      </c>
      <c r="G793" t="str">
        <f>IF(IFERROR(VLOOKUP(B793,'Devam Eden Sprint'!B:B,1,0),"-")=B793,"Devam Eden Sprint","-")</f>
        <v>-</v>
      </c>
      <c r="H793" t="str">
        <f>IF(IFERROR(VLOOKUP(B793,'Gelecek Sprint'!B:B,1,0),"-")=B793,"Gelecek Sprint","-")</f>
        <v>-</v>
      </c>
      <c r="I793" t="str">
        <f>IFERROR(IF(AND(G793="Devam Eden Sprint",H793="Gelecek Sprint"),"Devam Eden ve Gelecek Sprint",IF(G793="Devam Eden Sprint","Devam Eden Sprint",IF(H793="Gelecek Sprint","Gelecek Sprint","Ürün İş Listesi"))),"Ürün İş Listesi")</f>
        <v>Ürün İş Listesi</v>
      </c>
    </row>
    <row r="794" spans="1:10" x14ac:dyDescent="0.25">
      <c r="A794" t="s">
        <v>14</v>
      </c>
      <c r="B794" t="s">
        <v>1623</v>
      </c>
      <c r="C794" t="s">
        <v>16</v>
      </c>
      <c r="D794" t="s">
        <v>1624</v>
      </c>
      <c r="E794" s="5" t="s">
        <v>53</v>
      </c>
      <c r="F794" s="5" t="e">
        <f>VLOOKUP(B794,'Türkkep Jira'!B:F,5,0)</f>
        <v>#N/A</v>
      </c>
      <c r="G794" t="str">
        <f>IF(IFERROR(VLOOKUP(B794,'Devam Eden Sprint'!B:B,1,0),"-")=B794,"Devam Eden Sprint","-")</f>
        <v>-</v>
      </c>
      <c r="H794" t="str">
        <f>IF(IFERROR(VLOOKUP(B794,'Gelecek Sprint'!B:B,1,0),"-")=B794,"Gelecek Sprint","-")</f>
        <v>-</v>
      </c>
      <c r="I794" t="str">
        <f>IFERROR(IF(AND(G794="Devam Eden Sprint",H794="Gelecek Sprint"),"Devam Eden ve Gelecek Sprint",IF(G794="Devam Eden Sprint","Devam Eden Sprint",IF(H794="Gelecek Sprint","Gelecek Sprint","Ürün İş Listesi"))),"Ürün İş Listesi")</f>
        <v>Ürün İş Listesi</v>
      </c>
      <c r="J794" s="5">
        <v>8</v>
      </c>
    </row>
    <row r="795" spans="1:10" x14ac:dyDescent="0.25">
      <c r="A795" t="s">
        <v>14</v>
      </c>
      <c r="B795" t="s">
        <v>1625</v>
      </c>
      <c r="C795" t="s">
        <v>16</v>
      </c>
      <c r="D795" t="s">
        <v>1626</v>
      </c>
      <c r="E795" s="5" t="s">
        <v>53</v>
      </c>
      <c r="F795" s="5" t="e">
        <f>VLOOKUP(B795,'Türkkep Jira'!B:F,5,0)</f>
        <v>#N/A</v>
      </c>
      <c r="G795" t="str">
        <f>IF(IFERROR(VLOOKUP(B795,'Devam Eden Sprint'!B:B,1,0),"-")=B795,"Devam Eden Sprint","-")</f>
        <v>-</v>
      </c>
      <c r="H795" t="str">
        <f>IF(IFERROR(VLOOKUP(B795,'Gelecek Sprint'!B:B,1,0),"-")=B795,"Gelecek Sprint","-")</f>
        <v>-</v>
      </c>
      <c r="I795" t="str">
        <f>IFERROR(IF(AND(G795="Devam Eden Sprint",H795="Gelecek Sprint"),"Devam Eden ve Gelecek Sprint",IF(G795="Devam Eden Sprint","Devam Eden Sprint",IF(H795="Gelecek Sprint","Gelecek Sprint","Ürün İş Listesi"))),"Ürün İş Listesi")</f>
        <v>Ürün İş Listesi</v>
      </c>
      <c r="J795" s="5">
        <v>3</v>
      </c>
    </row>
    <row r="796" spans="1:10" x14ac:dyDescent="0.25">
      <c r="A796" t="s">
        <v>77</v>
      </c>
      <c r="B796" t="s">
        <v>1627</v>
      </c>
      <c r="C796" t="s">
        <v>16</v>
      </c>
      <c r="D796" t="s">
        <v>1628</v>
      </c>
      <c r="E796" s="5" t="s">
        <v>47</v>
      </c>
      <c r="F796" s="5" t="e">
        <f>VLOOKUP(B796,'Türkkep Jira'!B:F,5,0)</f>
        <v>#N/A</v>
      </c>
      <c r="G796" t="str">
        <f>IF(IFERROR(VLOOKUP(B796,'Devam Eden Sprint'!B:B,1,0),"-")=B796,"Devam Eden Sprint","-")</f>
        <v>-</v>
      </c>
      <c r="H796" t="str">
        <f>IF(IFERROR(VLOOKUP(B796,'Gelecek Sprint'!B:B,1,0),"-")=B796,"Gelecek Sprint","-")</f>
        <v>-</v>
      </c>
      <c r="I796" t="str">
        <f>IFERROR(IF(AND(G796="Devam Eden Sprint",H796="Gelecek Sprint"),"Devam Eden ve Gelecek Sprint",IF(G796="Devam Eden Sprint","Devam Eden Sprint",IF(H796="Gelecek Sprint","Gelecek Sprint","Ürün İş Listesi"))),"Ürün İş Listesi")</f>
        <v>Ürün İş Listesi</v>
      </c>
      <c r="J796" s="5">
        <v>2</v>
      </c>
    </row>
    <row r="797" spans="1:10" x14ac:dyDescent="0.25">
      <c r="A797" t="s">
        <v>14</v>
      </c>
      <c r="B797" t="s">
        <v>1629</v>
      </c>
      <c r="C797" t="s">
        <v>16</v>
      </c>
      <c r="D797" t="s">
        <v>1630</v>
      </c>
      <c r="E797" s="5" t="s">
        <v>53</v>
      </c>
      <c r="F797" s="5" t="e">
        <f>VLOOKUP(B797,'Türkkep Jira'!B:F,5,0)</f>
        <v>#N/A</v>
      </c>
      <c r="G797" t="str">
        <f>IF(IFERROR(VLOOKUP(B797,'Devam Eden Sprint'!B:B,1,0),"-")=B797,"Devam Eden Sprint","-")</f>
        <v>-</v>
      </c>
      <c r="H797" t="str">
        <f>IF(IFERROR(VLOOKUP(B797,'Gelecek Sprint'!B:B,1,0),"-")=B797,"Gelecek Sprint","-")</f>
        <v>-</v>
      </c>
      <c r="I797" t="str">
        <f t="shared" ref="I797:I860" si="20">IFERROR(IF(AND(G797="Devam Eden Sprint",H797="Gelecek Sprint"),"Devam Eden ve Gelecek Sprint",IF(G797="Devam Eden Sprint","Devam Eden Sprint",IF(H797="Gelecek Sprint","Gelecek Sprint","Ürün İş Listesi"))),"Ürün İş Listesi")</f>
        <v>Ürün İş Listesi</v>
      </c>
    </row>
    <row r="798" spans="1:10" x14ac:dyDescent="0.25">
      <c r="A798" t="s">
        <v>14</v>
      </c>
      <c r="B798" t="s">
        <v>1631</v>
      </c>
      <c r="C798" t="s">
        <v>16</v>
      </c>
      <c r="D798" t="s">
        <v>1632</v>
      </c>
      <c r="E798" s="5" t="s">
        <v>53</v>
      </c>
      <c r="F798" s="5" t="e">
        <f>VLOOKUP(B798,'Türkkep Jira'!B:F,5,0)</f>
        <v>#N/A</v>
      </c>
      <c r="G798" t="str">
        <f>IF(IFERROR(VLOOKUP(B798,'Devam Eden Sprint'!B:B,1,0),"-")=B798,"Devam Eden Sprint","-")</f>
        <v>-</v>
      </c>
      <c r="H798" t="str">
        <f>IF(IFERROR(VLOOKUP(B798,'Gelecek Sprint'!B:B,1,0),"-")=B798,"Gelecek Sprint","-")</f>
        <v>-</v>
      </c>
      <c r="I798" t="str">
        <f t="shared" si="20"/>
        <v>Ürün İş Listesi</v>
      </c>
    </row>
    <row r="799" spans="1:10" x14ac:dyDescent="0.25">
      <c r="A799" t="s">
        <v>14</v>
      </c>
      <c r="B799" t="s">
        <v>1633</v>
      </c>
      <c r="C799" t="s">
        <v>16</v>
      </c>
      <c r="D799" t="s">
        <v>1634</v>
      </c>
      <c r="E799" s="5" t="s">
        <v>53</v>
      </c>
      <c r="F799" s="5" t="e">
        <f>VLOOKUP(B799,'Türkkep Jira'!B:F,5,0)</f>
        <v>#N/A</v>
      </c>
      <c r="G799" t="str">
        <f>IF(IFERROR(VLOOKUP(B799,'Devam Eden Sprint'!B:B,1,0),"-")=B799,"Devam Eden Sprint","-")</f>
        <v>-</v>
      </c>
      <c r="H799" t="str">
        <f>IF(IFERROR(VLOOKUP(B799,'Gelecek Sprint'!B:B,1,0),"-")=B799,"Gelecek Sprint","-")</f>
        <v>-</v>
      </c>
      <c r="I799" t="str">
        <f t="shared" si="20"/>
        <v>Ürün İş Listesi</v>
      </c>
    </row>
    <row r="800" spans="1:10" x14ac:dyDescent="0.25">
      <c r="A800" t="s">
        <v>14</v>
      </c>
      <c r="B800" t="s">
        <v>1635</v>
      </c>
      <c r="C800" t="s">
        <v>16</v>
      </c>
      <c r="D800" t="s">
        <v>1636</v>
      </c>
      <c r="E800" s="5" t="s">
        <v>53</v>
      </c>
      <c r="F800" s="5" t="e">
        <f>VLOOKUP(B800,'Türkkep Jira'!B:F,5,0)</f>
        <v>#N/A</v>
      </c>
      <c r="G800" t="str">
        <f>IF(IFERROR(VLOOKUP(B800,'Devam Eden Sprint'!B:B,1,0),"-")=B800,"Devam Eden Sprint","-")</f>
        <v>-</v>
      </c>
      <c r="H800" t="str">
        <f>IF(IFERROR(VLOOKUP(B800,'Gelecek Sprint'!B:B,1,0),"-")=B800,"Gelecek Sprint","-")</f>
        <v>-</v>
      </c>
      <c r="I800" t="str">
        <f t="shared" si="20"/>
        <v>Ürün İş Listesi</v>
      </c>
    </row>
    <row r="801" spans="1:10" x14ac:dyDescent="0.25">
      <c r="A801" t="s">
        <v>14</v>
      </c>
      <c r="B801" t="s">
        <v>1637</v>
      </c>
      <c r="C801" t="s">
        <v>16</v>
      </c>
      <c r="D801" t="s">
        <v>1638</v>
      </c>
      <c r="E801" s="5" t="s">
        <v>53</v>
      </c>
      <c r="F801" s="5" t="e">
        <f>VLOOKUP(B801,'Türkkep Jira'!B:F,5,0)</f>
        <v>#N/A</v>
      </c>
      <c r="G801" t="str">
        <f>IF(IFERROR(VLOOKUP(B801,'Devam Eden Sprint'!B:B,1,0),"-")=B801,"Devam Eden Sprint","-")</f>
        <v>-</v>
      </c>
      <c r="H801" t="str">
        <f>IF(IFERROR(VLOOKUP(B801,'Gelecek Sprint'!B:B,1,0),"-")=B801,"Gelecek Sprint","-")</f>
        <v>-</v>
      </c>
      <c r="I801" t="str">
        <f t="shared" si="20"/>
        <v>Ürün İş Listesi</v>
      </c>
    </row>
    <row r="802" spans="1:10" x14ac:dyDescent="0.25">
      <c r="A802" t="s">
        <v>14</v>
      </c>
      <c r="B802" t="s">
        <v>1639</v>
      </c>
      <c r="C802" t="s">
        <v>16</v>
      </c>
      <c r="D802" t="s">
        <v>1640</v>
      </c>
      <c r="E802" s="5" t="s">
        <v>53</v>
      </c>
      <c r="F802" s="5" t="e">
        <f>VLOOKUP(B802,'Türkkep Jira'!B:F,5,0)</f>
        <v>#N/A</v>
      </c>
      <c r="G802" t="str">
        <f>IF(IFERROR(VLOOKUP(B802,'Devam Eden Sprint'!B:B,1,0),"-")=B802,"Devam Eden Sprint","-")</f>
        <v>-</v>
      </c>
      <c r="H802" t="str">
        <f>IF(IFERROR(VLOOKUP(B802,'Gelecek Sprint'!B:B,1,0),"-")=B802,"Gelecek Sprint","-")</f>
        <v>-</v>
      </c>
      <c r="I802" t="str">
        <f t="shared" si="20"/>
        <v>Ürün İş Listesi</v>
      </c>
    </row>
    <row r="803" spans="1:10" x14ac:dyDescent="0.25">
      <c r="A803" t="s">
        <v>14</v>
      </c>
      <c r="B803" t="s">
        <v>1641</v>
      </c>
      <c r="C803" t="s">
        <v>16</v>
      </c>
      <c r="D803" t="s">
        <v>1642</v>
      </c>
      <c r="E803" s="5" t="s">
        <v>127</v>
      </c>
      <c r="F803" s="5" t="e">
        <f>VLOOKUP(B803,'Türkkep Jira'!B:F,5,0)</f>
        <v>#N/A</v>
      </c>
      <c r="G803" t="str">
        <f>IF(IFERROR(VLOOKUP(B803,'Devam Eden Sprint'!B:B,1,0),"-")=B803,"Devam Eden Sprint","-")</f>
        <v>-</v>
      </c>
      <c r="H803" t="str">
        <f>IF(IFERROR(VLOOKUP(B803,'Gelecek Sprint'!B:B,1,0),"-")=B803,"Gelecek Sprint","-")</f>
        <v>-</v>
      </c>
      <c r="I803" t="str">
        <f t="shared" si="20"/>
        <v>Ürün İş Listesi</v>
      </c>
    </row>
    <row r="804" spans="1:10" x14ac:dyDescent="0.25">
      <c r="A804" t="s">
        <v>77</v>
      </c>
      <c r="B804" t="s">
        <v>1644</v>
      </c>
      <c r="C804" t="s">
        <v>16</v>
      </c>
      <c r="D804" t="s">
        <v>1645</v>
      </c>
      <c r="E804" s="5" t="s">
        <v>59</v>
      </c>
      <c r="F804" s="5" t="e">
        <f>VLOOKUP(B804,'Türkkep Jira'!B:F,5,0)</f>
        <v>#N/A</v>
      </c>
      <c r="G804" t="str">
        <f>IF(IFERROR(VLOOKUP(B804,'Devam Eden Sprint'!B:B,1,0),"-")=B804,"Devam Eden Sprint","-")</f>
        <v>-</v>
      </c>
      <c r="H804" t="str">
        <f>IF(IFERROR(VLOOKUP(B804,'Gelecek Sprint'!B:B,1,0),"-")=B804,"Gelecek Sprint","-")</f>
        <v>-</v>
      </c>
      <c r="I804" t="str">
        <f t="shared" si="20"/>
        <v>Ürün İş Listesi</v>
      </c>
      <c r="J804" s="5">
        <v>2</v>
      </c>
    </row>
    <row r="805" spans="1:10" x14ac:dyDescent="0.25">
      <c r="A805" t="s">
        <v>77</v>
      </c>
      <c r="B805" t="s">
        <v>1646</v>
      </c>
      <c r="C805" t="s">
        <v>16</v>
      </c>
      <c r="D805" t="s">
        <v>1647</v>
      </c>
      <c r="E805" s="5" t="s">
        <v>59</v>
      </c>
      <c r="F805" s="5" t="e">
        <f>VLOOKUP(B805,'Türkkep Jira'!B:F,5,0)</f>
        <v>#N/A</v>
      </c>
      <c r="G805" t="str">
        <f>IF(IFERROR(VLOOKUP(B805,'Devam Eden Sprint'!B:B,1,0),"-")=B805,"Devam Eden Sprint","-")</f>
        <v>-</v>
      </c>
      <c r="H805" t="str">
        <f>IF(IFERROR(VLOOKUP(B805,'Gelecek Sprint'!B:B,1,0),"-")=B805,"Gelecek Sprint","-")</f>
        <v>-</v>
      </c>
      <c r="I805" t="str">
        <f t="shared" si="20"/>
        <v>Ürün İş Listesi</v>
      </c>
      <c r="J805" s="5">
        <v>2</v>
      </c>
    </row>
    <row r="806" spans="1:10" x14ac:dyDescent="0.25">
      <c r="A806" t="s">
        <v>14</v>
      </c>
      <c r="B806" t="s">
        <v>1648</v>
      </c>
      <c r="C806" t="s">
        <v>16</v>
      </c>
      <c r="D806" t="s">
        <v>1649</v>
      </c>
      <c r="E806" s="5" t="s">
        <v>59</v>
      </c>
      <c r="F806" s="5" t="e">
        <f>VLOOKUP(B806,'Türkkep Jira'!B:F,5,0)</f>
        <v>#N/A</v>
      </c>
      <c r="G806" t="str">
        <f>IF(IFERROR(VLOOKUP(B806,'Devam Eden Sprint'!B:B,1,0),"-")=B806,"Devam Eden Sprint","-")</f>
        <v>-</v>
      </c>
      <c r="H806" t="str">
        <f>IF(IFERROR(VLOOKUP(B806,'Gelecek Sprint'!B:B,1,0),"-")=B806,"Gelecek Sprint","-")</f>
        <v>-</v>
      </c>
      <c r="I806" t="str">
        <f t="shared" si="20"/>
        <v>Ürün İş Listesi</v>
      </c>
      <c r="J806" s="5">
        <v>1</v>
      </c>
    </row>
    <row r="807" spans="1:10" x14ac:dyDescent="0.25">
      <c r="A807" t="s">
        <v>14</v>
      </c>
      <c r="B807" t="s">
        <v>1650</v>
      </c>
      <c r="C807" t="s">
        <v>10</v>
      </c>
      <c r="D807" t="s">
        <v>1651</v>
      </c>
      <c r="E807" s="5" t="s">
        <v>56</v>
      </c>
      <c r="F807" s="5" t="str">
        <f>VLOOKUP(B807,'Türkkep Jira'!B:F,5,0)</f>
        <v>To Do</v>
      </c>
      <c r="G807" t="str">
        <f>IF(IFERROR(VLOOKUP(B807,'Devam Eden Sprint'!B:B,1,0),"-")=B807,"Devam Eden Sprint","-")</f>
        <v>-</v>
      </c>
      <c r="H807" t="str">
        <f>IF(IFERROR(VLOOKUP(B807,'Gelecek Sprint'!B:B,1,0),"-")=B807,"Gelecek Sprint","-")</f>
        <v>-</v>
      </c>
      <c r="I807" t="str">
        <f t="shared" si="20"/>
        <v>Ürün İş Listesi</v>
      </c>
    </row>
    <row r="808" spans="1:10" x14ac:dyDescent="0.25">
      <c r="A808" t="s">
        <v>77</v>
      </c>
      <c r="B808" t="s">
        <v>1652</v>
      </c>
      <c r="C808" t="s">
        <v>16</v>
      </c>
      <c r="D808" t="s">
        <v>1653</v>
      </c>
      <c r="E808" s="5" t="s">
        <v>56</v>
      </c>
      <c r="F808" s="5" t="e">
        <f>VLOOKUP(B808,'Türkkep Jira'!B:F,5,0)</f>
        <v>#N/A</v>
      </c>
      <c r="G808" t="str">
        <f>IF(IFERROR(VLOOKUP(B808,'Devam Eden Sprint'!B:B,1,0),"-")=B808,"Devam Eden Sprint","-")</f>
        <v>-</v>
      </c>
      <c r="H808" t="str">
        <f>IF(IFERROR(VLOOKUP(B808,'Gelecek Sprint'!B:B,1,0),"-")=B808,"Gelecek Sprint","-")</f>
        <v>-</v>
      </c>
      <c r="I808" t="str">
        <f t="shared" si="20"/>
        <v>Ürün İş Listesi</v>
      </c>
      <c r="J808" s="5">
        <v>1</v>
      </c>
    </row>
    <row r="809" spans="1:10" x14ac:dyDescent="0.25">
      <c r="A809" t="s">
        <v>14</v>
      </c>
      <c r="B809" t="s">
        <v>1654</v>
      </c>
      <c r="C809" t="s">
        <v>16</v>
      </c>
      <c r="D809" t="s">
        <v>1655</v>
      </c>
      <c r="E809" s="5" t="s">
        <v>56</v>
      </c>
      <c r="F809" s="5" t="e">
        <f>VLOOKUP(B809,'Türkkep Jira'!B:F,5,0)</f>
        <v>#N/A</v>
      </c>
      <c r="G809" t="str">
        <f>IF(IFERROR(VLOOKUP(B809,'Devam Eden Sprint'!B:B,1,0),"-")=B809,"Devam Eden Sprint","-")</f>
        <v>-</v>
      </c>
      <c r="H809" t="str">
        <f>IF(IFERROR(VLOOKUP(B809,'Gelecek Sprint'!B:B,1,0),"-")=B809,"Gelecek Sprint","-")</f>
        <v>-</v>
      </c>
      <c r="I809" t="str">
        <f t="shared" si="20"/>
        <v>Ürün İş Listesi</v>
      </c>
      <c r="J809" s="5">
        <v>1</v>
      </c>
    </row>
    <row r="810" spans="1:10" x14ac:dyDescent="0.25">
      <c r="A810" t="s">
        <v>14</v>
      </c>
      <c r="B810" t="s">
        <v>1656</v>
      </c>
      <c r="C810" t="s">
        <v>16</v>
      </c>
      <c r="D810" t="s">
        <v>1657</v>
      </c>
      <c r="E810" s="5" t="s">
        <v>56</v>
      </c>
      <c r="F810" s="5" t="str">
        <f>VLOOKUP(B810,'Türkkep Jira'!B:F,5,0)</f>
        <v>Done</v>
      </c>
      <c r="G810" t="str">
        <f>IF(IFERROR(VLOOKUP(B810,'Devam Eden Sprint'!B:B,1,0),"-")=B810,"Devam Eden Sprint","-")</f>
        <v>-</v>
      </c>
      <c r="H810" t="str">
        <f>IF(IFERROR(VLOOKUP(B810,'Gelecek Sprint'!B:B,1,0),"-")=B810,"Gelecek Sprint","-")</f>
        <v>-</v>
      </c>
      <c r="I810" t="str">
        <f t="shared" si="20"/>
        <v>Ürün İş Listesi</v>
      </c>
    </row>
    <row r="811" spans="1:10" x14ac:dyDescent="0.25">
      <c r="A811" t="s">
        <v>77</v>
      </c>
      <c r="B811" t="s">
        <v>1658</v>
      </c>
      <c r="C811" t="s">
        <v>16</v>
      </c>
      <c r="D811" t="s">
        <v>1659</v>
      </c>
      <c r="E811" s="5" t="s">
        <v>56</v>
      </c>
      <c r="F811" s="5" t="e">
        <f>VLOOKUP(B811,'Türkkep Jira'!B:F,5,0)</f>
        <v>#N/A</v>
      </c>
      <c r="G811" t="str">
        <f>IF(IFERROR(VLOOKUP(B811,'Devam Eden Sprint'!B:B,1,0),"-")=B811,"Devam Eden Sprint","-")</f>
        <v>-</v>
      </c>
      <c r="H811" t="str">
        <f>IF(IFERROR(VLOOKUP(B811,'Gelecek Sprint'!B:B,1,0),"-")=B811,"Gelecek Sprint","-")</f>
        <v>-</v>
      </c>
      <c r="I811" t="str">
        <f t="shared" si="20"/>
        <v>Ürün İş Listesi</v>
      </c>
      <c r="J811" s="5">
        <v>5</v>
      </c>
    </row>
    <row r="812" spans="1:10" x14ac:dyDescent="0.25">
      <c r="A812" t="s">
        <v>14</v>
      </c>
      <c r="B812" t="s">
        <v>1660</v>
      </c>
      <c r="C812" t="s">
        <v>16</v>
      </c>
      <c r="D812" t="s">
        <v>1661</v>
      </c>
      <c r="E812" s="5" t="s">
        <v>47</v>
      </c>
      <c r="F812" s="5" t="e">
        <f>VLOOKUP(B812,'Türkkep Jira'!B:F,5,0)</f>
        <v>#N/A</v>
      </c>
      <c r="G812" t="str">
        <f>IF(IFERROR(VLOOKUP(B812,'Devam Eden Sprint'!B:B,1,0),"-")=B812,"Devam Eden Sprint","-")</f>
        <v>-</v>
      </c>
      <c r="H812" t="str">
        <f>IF(IFERROR(VLOOKUP(B812,'Gelecek Sprint'!B:B,1,0),"-")=B812,"Gelecek Sprint","-")</f>
        <v>-</v>
      </c>
      <c r="I812" t="str">
        <f t="shared" si="20"/>
        <v>Ürün İş Listesi</v>
      </c>
    </row>
    <row r="813" spans="1:10" x14ac:dyDescent="0.25">
      <c r="A813" t="s">
        <v>14</v>
      </c>
      <c r="B813" t="s">
        <v>1662</v>
      </c>
      <c r="C813" t="s">
        <v>16</v>
      </c>
      <c r="D813" t="s">
        <v>1663</v>
      </c>
      <c r="E813" s="5" t="s">
        <v>47</v>
      </c>
      <c r="F813" s="5" t="e">
        <f>VLOOKUP(B813,'Türkkep Jira'!B:F,5,0)</f>
        <v>#N/A</v>
      </c>
      <c r="G813" t="str">
        <f>IF(IFERROR(VLOOKUP(B813,'Devam Eden Sprint'!B:B,1,0),"-")=B813,"Devam Eden Sprint","-")</f>
        <v>-</v>
      </c>
      <c r="H813" t="str">
        <f>IF(IFERROR(VLOOKUP(B813,'Gelecek Sprint'!B:B,1,0),"-")=B813,"Gelecek Sprint","-")</f>
        <v>-</v>
      </c>
      <c r="I813" t="str">
        <f t="shared" si="20"/>
        <v>Ürün İş Listesi</v>
      </c>
      <c r="J813" s="5">
        <v>3</v>
      </c>
    </row>
    <row r="814" spans="1:10" x14ac:dyDescent="0.25">
      <c r="A814" t="s">
        <v>77</v>
      </c>
      <c r="B814" t="s">
        <v>1664</v>
      </c>
      <c r="C814" t="s">
        <v>16</v>
      </c>
      <c r="D814" t="s">
        <v>1665</v>
      </c>
      <c r="E814" s="5" t="s">
        <v>47</v>
      </c>
      <c r="F814" s="5" t="e">
        <f>VLOOKUP(B814,'Türkkep Jira'!B:F,5,0)</f>
        <v>#N/A</v>
      </c>
      <c r="G814" t="str">
        <f>IF(IFERROR(VLOOKUP(B814,'Devam Eden Sprint'!B:B,1,0),"-")=B814,"Devam Eden Sprint","-")</f>
        <v>-</v>
      </c>
      <c r="H814" t="str">
        <f>IF(IFERROR(VLOOKUP(B814,'Gelecek Sprint'!B:B,1,0),"-")=B814,"Gelecek Sprint","-")</f>
        <v>-</v>
      </c>
      <c r="I814" t="str">
        <f t="shared" si="20"/>
        <v>Ürün İş Listesi</v>
      </c>
      <c r="J814" s="5">
        <v>5</v>
      </c>
    </row>
    <row r="815" spans="1:10" x14ac:dyDescent="0.25">
      <c r="A815" t="s">
        <v>77</v>
      </c>
      <c r="B815" t="s">
        <v>1666</v>
      </c>
      <c r="C815" t="s">
        <v>16</v>
      </c>
      <c r="D815" t="s">
        <v>1667</v>
      </c>
      <c r="E815" s="5" t="s">
        <v>50</v>
      </c>
      <c r="F815" s="5" t="e">
        <f>VLOOKUP(B815,'Türkkep Jira'!B:F,5,0)</f>
        <v>#N/A</v>
      </c>
      <c r="G815" t="str">
        <f>IF(IFERROR(VLOOKUP(B815,'Devam Eden Sprint'!B:B,1,0),"-")=B815,"Devam Eden Sprint","-")</f>
        <v>-</v>
      </c>
      <c r="H815" t="str">
        <f>IF(IFERROR(VLOOKUP(B815,'Gelecek Sprint'!B:B,1,0),"-")=B815,"Gelecek Sprint","-")</f>
        <v>-</v>
      </c>
      <c r="I815" t="str">
        <f t="shared" si="20"/>
        <v>Ürün İş Listesi</v>
      </c>
      <c r="J815" s="5">
        <v>1</v>
      </c>
    </row>
    <row r="816" spans="1:10" x14ac:dyDescent="0.25">
      <c r="A816" t="s">
        <v>14</v>
      </c>
      <c r="B816" t="s">
        <v>1668</v>
      </c>
      <c r="C816" t="s">
        <v>16</v>
      </c>
      <c r="D816" t="s">
        <v>1669</v>
      </c>
      <c r="E816" s="5" t="s">
        <v>35</v>
      </c>
      <c r="F816" s="5" t="e">
        <f>VLOOKUP(B816,'Türkkep Jira'!B:F,5,0)</f>
        <v>#N/A</v>
      </c>
      <c r="G816" t="str">
        <f>IF(IFERROR(VLOOKUP(B816,'Devam Eden Sprint'!B:B,1,0),"-")=B816,"Devam Eden Sprint","-")</f>
        <v>-</v>
      </c>
      <c r="H816" t="str">
        <f>IF(IFERROR(VLOOKUP(B816,'Gelecek Sprint'!B:B,1,0),"-")=B816,"Gelecek Sprint","-")</f>
        <v>-</v>
      </c>
      <c r="I816" t="str">
        <f t="shared" si="20"/>
        <v>Ürün İş Listesi</v>
      </c>
      <c r="J816" s="5">
        <v>1</v>
      </c>
    </row>
    <row r="817" spans="1:10" x14ac:dyDescent="0.25">
      <c r="A817" t="s">
        <v>14</v>
      </c>
      <c r="B817" t="s">
        <v>1670</v>
      </c>
      <c r="C817" t="s">
        <v>16</v>
      </c>
      <c r="D817" t="s">
        <v>1671</v>
      </c>
      <c r="E817" s="5" t="s">
        <v>991</v>
      </c>
      <c r="F817" s="5" t="e">
        <f>VLOOKUP(B817,'Türkkep Jira'!B:F,5,0)</f>
        <v>#N/A</v>
      </c>
      <c r="G817" t="str">
        <f>IF(IFERROR(VLOOKUP(B817,'Devam Eden Sprint'!B:B,1,0),"-")=B817,"Devam Eden Sprint","-")</f>
        <v>-</v>
      </c>
      <c r="H817" t="str">
        <f>IF(IFERROR(VLOOKUP(B817,'Gelecek Sprint'!B:B,1,0),"-")=B817,"Gelecek Sprint","-")</f>
        <v>-</v>
      </c>
      <c r="I817" t="str">
        <f t="shared" si="20"/>
        <v>Ürün İş Listesi</v>
      </c>
    </row>
    <row r="818" spans="1:10" x14ac:dyDescent="0.25">
      <c r="A818" t="s">
        <v>14</v>
      </c>
      <c r="B818" t="s">
        <v>1672</v>
      </c>
      <c r="C818" t="s">
        <v>16</v>
      </c>
      <c r="D818" t="s">
        <v>1673</v>
      </c>
      <c r="E818" s="5" t="s">
        <v>991</v>
      </c>
      <c r="F818" s="5" t="e">
        <f>VLOOKUP(B818,'Türkkep Jira'!B:F,5,0)</f>
        <v>#N/A</v>
      </c>
      <c r="G818" t="str">
        <f>IF(IFERROR(VLOOKUP(B818,'Devam Eden Sprint'!B:B,1,0),"-")=B818,"Devam Eden Sprint","-")</f>
        <v>-</v>
      </c>
      <c r="H818" t="str">
        <f>IF(IFERROR(VLOOKUP(B818,'Gelecek Sprint'!B:B,1,0),"-")=B818,"Gelecek Sprint","-")</f>
        <v>-</v>
      </c>
      <c r="I818" t="str">
        <f t="shared" si="20"/>
        <v>Ürün İş Listesi</v>
      </c>
    </row>
    <row r="819" spans="1:10" x14ac:dyDescent="0.25">
      <c r="A819" t="s">
        <v>14</v>
      </c>
      <c r="B819" t="s">
        <v>1674</v>
      </c>
      <c r="C819" t="s">
        <v>16</v>
      </c>
      <c r="D819" t="s">
        <v>1675</v>
      </c>
      <c r="E819" s="5" t="s">
        <v>991</v>
      </c>
      <c r="F819" s="5" t="e">
        <f>VLOOKUP(B819,'Türkkep Jira'!B:F,5,0)</f>
        <v>#N/A</v>
      </c>
      <c r="G819" t="str">
        <f>IF(IFERROR(VLOOKUP(B819,'Devam Eden Sprint'!B:B,1,0),"-")=B819,"Devam Eden Sprint","-")</f>
        <v>-</v>
      </c>
      <c r="H819" t="str">
        <f>IF(IFERROR(VLOOKUP(B819,'Gelecek Sprint'!B:B,1,0),"-")=B819,"Gelecek Sprint","-")</f>
        <v>-</v>
      </c>
      <c r="I819" t="str">
        <f t="shared" si="20"/>
        <v>Ürün İş Listesi</v>
      </c>
    </row>
    <row r="820" spans="1:10" x14ac:dyDescent="0.25">
      <c r="A820" t="s">
        <v>14</v>
      </c>
      <c r="B820" t="s">
        <v>1676</v>
      </c>
      <c r="C820" t="s">
        <v>16</v>
      </c>
      <c r="D820" t="s">
        <v>1677</v>
      </c>
      <c r="E820" s="5" t="s">
        <v>991</v>
      </c>
      <c r="F820" s="5" t="e">
        <f>VLOOKUP(B820,'Türkkep Jira'!B:F,5,0)</f>
        <v>#N/A</v>
      </c>
      <c r="G820" t="str">
        <f>IF(IFERROR(VLOOKUP(B820,'Devam Eden Sprint'!B:B,1,0),"-")=B820,"Devam Eden Sprint","-")</f>
        <v>-</v>
      </c>
      <c r="H820" t="str">
        <f>IF(IFERROR(VLOOKUP(B820,'Gelecek Sprint'!B:B,1,0),"-")=B820,"Gelecek Sprint","-")</f>
        <v>-</v>
      </c>
      <c r="I820" t="str">
        <f t="shared" si="20"/>
        <v>Ürün İş Listesi</v>
      </c>
    </row>
    <row r="821" spans="1:10" x14ac:dyDescent="0.25">
      <c r="A821" t="s">
        <v>14</v>
      </c>
      <c r="B821" t="s">
        <v>1678</v>
      </c>
      <c r="C821" t="s">
        <v>16</v>
      </c>
      <c r="D821" t="s">
        <v>1679</v>
      </c>
      <c r="E821" s="5" t="s">
        <v>991</v>
      </c>
      <c r="F821" s="5" t="e">
        <f>VLOOKUP(B821,'Türkkep Jira'!B:F,5,0)</f>
        <v>#N/A</v>
      </c>
      <c r="G821" t="str">
        <f>IF(IFERROR(VLOOKUP(B821,'Devam Eden Sprint'!B:B,1,0),"-")=B821,"Devam Eden Sprint","-")</f>
        <v>-</v>
      </c>
      <c r="H821" t="str">
        <f>IF(IFERROR(VLOOKUP(B821,'Gelecek Sprint'!B:B,1,0),"-")=B821,"Gelecek Sprint","-")</f>
        <v>-</v>
      </c>
      <c r="I821" t="str">
        <f t="shared" si="20"/>
        <v>Ürün İş Listesi</v>
      </c>
    </row>
    <row r="822" spans="1:10" x14ac:dyDescent="0.25">
      <c r="A822" t="s">
        <v>1379</v>
      </c>
      <c r="B822" t="s">
        <v>1680</v>
      </c>
      <c r="C822" t="s">
        <v>26</v>
      </c>
      <c r="D822" t="s">
        <v>1681</v>
      </c>
      <c r="E822" s="5" t="s">
        <v>991</v>
      </c>
      <c r="F822" s="5" t="e">
        <f>VLOOKUP(B822,'Türkkep Jira'!B:F,5,0)</f>
        <v>#N/A</v>
      </c>
      <c r="G822" t="str">
        <f>IF(IFERROR(VLOOKUP(B822,'Devam Eden Sprint'!B:B,1,0),"-")=B822,"Devam Eden Sprint","-")</f>
        <v>-</v>
      </c>
      <c r="H822" t="str">
        <f>IF(IFERROR(VLOOKUP(B822,'Gelecek Sprint'!B:B,1,0),"-")=B822,"Gelecek Sprint","-")</f>
        <v>-</v>
      </c>
      <c r="I822" t="str">
        <f t="shared" si="20"/>
        <v>Ürün İş Listesi</v>
      </c>
    </row>
    <row r="823" spans="1:10" x14ac:dyDescent="0.25">
      <c r="A823" t="s">
        <v>1379</v>
      </c>
      <c r="B823" t="s">
        <v>1682</v>
      </c>
      <c r="C823" t="s">
        <v>16</v>
      </c>
      <c r="D823" t="s">
        <v>1681</v>
      </c>
      <c r="E823" s="5" t="s">
        <v>991</v>
      </c>
      <c r="F823" s="5" t="e">
        <f>VLOOKUP(B823,'Türkkep Jira'!B:F,5,0)</f>
        <v>#N/A</v>
      </c>
      <c r="G823" t="str">
        <f>IF(IFERROR(VLOOKUP(B823,'Devam Eden Sprint'!B:B,1,0),"-")=B823,"Devam Eden Sprint","-")</f>
        <v>-</v>
      </c>
      <c r="H823" t="str">
        <f>IF(IFERROR(VLOOKUP(B823,'Gelecek Sprint'!B:B,1,0),"-")=B823,"Gelecek Sprint","-")</f>
        <v>-</v>
      </c>
      <c r="I823" t="str">
        <f t="shared" si="20"/>
        <v>Ürün İş Listesi</v>
      </c>
    </row>
    <row r="824" spans="1:10" x14ac:dyDescent="0.25">
      <c r="A824" t="s">
        <v>1379</v>
      </c>
      <c r="B824" t="s">
        <v>1683</v>
      </c>
      <c r="C824" t="s">
        <v>16</v>
      </c>
      <c r="D824" t="s">
        <v>1681</v>
      </c>
      <c r="E824" s="5" t="s">
        <v>991</v>
      </c>
      <c r="F824" s="5" t="e">
        <f>VLOOKUP(B824,'Türkkep Jira'!B:F,5,0)</f>
        <v>#N/A</v>
      </c>
      <c r="G824" t="str">
        <f>IF(IFERROR(VLOOKUP(B824,'Devam Eden Sprint'!B:B,1,0),"-")=B824,"Devam Eden Sprint","-")</f>
        <v>-</v>
      </c>
      <c r="H824" t="str">
        <f>IF(IFERROR(VLOOKUP(B824,'Gelecek Sprint'!B:B,1,0),"-")=B824,"Gelecek Sprint","-")</f>
        <v>-</v>
      </c>
      <c r="I824" t="str">
        <f t="shared" si="20"/>
        <v>Ürün İş Listesi</v>
      </c>
    </row>
    <row r="825" spans="1:10" x14ac:dyDescent="0.25">
      <c r="A825" t="s">
        <v>14</v>
      </c>
      <c r="B825" t="s">
        <v>1684</v>
      </c>
      <c r="C825" t="s">
        <v>10</v>
      </c>
      <c r="D825" t="s">
        <v>1685</v>
      </c>
      <c r="E825" s="5" t="s">
        <v>991</v>
      </c>
      <c r="F825" s="5" t="e">
        <f>VLOOKUP(B825,'Türkkep Jira'!B:F,5,0)</f>
        <v>#N/A</v>
      </c>
      <c r="G825" t="str">
        <f>IF(IFERROR(VLOOKUP(B825,'Devam Eden Sprint'!B:B,1,0),"-")=B825,"Devam Eden Sprint","-")</f>
        <v>-</v>
      </c>
      <c r="H825" t="str">
        <f>IF(IFERROR(VLOOKUP(B825,'Gelecek Sprint'!B:B,1,0),"-")=B825,"Gelecek Sprint","-")</f>
        <v>-</v>
      </c>
      <c r="I825" t="str">
        <f t="shared" si="20"/>
        <v>Ürün İş Listesi</v>
      </c>
    </row>
    <row r="826" spans="1:10" x14ac:dyDescent="0.25">
      <c r="A826" t="s">
        <v>14</v>
      </c>
      <c r="B826" t="s">
        <v>1686</v>
      </c>
      <c r="C826" t="s">
        <v>26</v>
      </c>
      <c r="D826" t="s">
        <v>1687</v>
      </c>
      <c r="E826" s="5" t="s">
        <v>991</v>
      </c>
      <c r="F826" s="5" t="e">
        <f>VLOOKUP(B826,'Türkkep Jira'!B:F,5,0)</f>
        <v>#N/A</v>
      </c>
      <c r="G826" t="str">
        <f>IF(IFERROR(VLOOKUP(B826,'Devam Eden Sprint'!B:B,1,0),"-")=B826,"Devam Eden Sprint","-")</f>
        <v>-</v>
      </c>
      <c r="H826" t="str">
        <f>IF(IFERROR(VLOOKUP(B826,'Gelecek Sprint'!B:B,1,0),"-")=B826,"Gelecek Sprint","-")</f>
        <v>-</v>
      </c>
      <c r="I826" t="str">
        <f t="shared" si="20"/>
        <v>Ürün İş Listesi</v>
      </c>
    </row>
    <row r="827" spans="1:10" x14ac:dyDescent="0.25">
      <c r="A827" t="s">
        <v>14</v>
      </c>
      <c r="B827" t="s">
        <v>1688</v>
      </c>
      <c r="C827" t="s">
        <v>16</v>
      </c>
      <c r="D827" t="s">
        <v>1689</v>
      </c>
      <c r="E827" s="5" t="s">
        <v>991</v>
      </c>
      <c r="F827" s="5" t="e">
        <f>VLOOKUP(B827,'Türkkep Jira'!B:F,5,0)</f>
        <v>#N/A</v>
      </c>
      <c r="G827" t="str">
        <f>IF(IFERROR(VLOOKUP(B827,'Devam Eden Sprint'!B:B,1,0),"-")=B827,"Devam Eden Sprint","-")</f>
        <v>-</v>
      </c>
      <c r="H827" t="str">
        <f>IF(IFERROR(VLOOKUP(B827,'Gelecek Sprint'!B:B,1,0),"-")=B827,"Gelecek Sprint","-")</f>
        <v>-</v>
      </c>
      <c r="I827" t="str">
        <f t="shared" si="20"/>
        <v>Ürün İş Listesi</v>
      </c>
    </row>
    <row r="828" spans="1:10" x14ac:dyDescent="0.25">
      <c r="A828" t="s">
        <v>14</v>
      </c>
      <c r="B828" t="s">
        <v>1690</v>
      </c>
      <c r="C828" t="s">
        <v>16</v>
      </c>
      <c r="D828" t="s">
        <v>1691</v>
      </c>
      <c r="E828" s="5" t="s">
        <v>991</v>
      </c>
      <c r="F828" s="5" t="e">
        <f>VLOOKUP(B828,'Türkkep Jira'!B:F,5,0)</f>
        <v>#N/A</v>
      </c>
      <c r="G828" t="str">
        <f>IF(IFERROR(VLOOKUP(B828,'Devam Eden Sprint'!B:B,1,0),"-")=B828,"Devam Eden Sprint","-")</f>
        <v>-</v>
      </c>
      <c r="H828" t="str">
        <f>IF(IFERROR(VLOOKUP(B828,'Gelecek Sprint'!B:B,1,0),"-")=B828,"Gelecek Sprint","-")</f>
        <v>-</v>
      </c>
      <c r="I828" t="str">
        <f t="shared" si="20"/>
        <v>Ürün İş Listesi</v>
      </c>
    </row>
    <row r="829" spans="1:10" x14ac:dyDescent="0.25">
      <c r="A829" t="s">
        <v>14</v>
      </c>
      <c r="B829" t="s">
        <v>1692</v>
      </c>
      <c r="C829" t="s">
        <v>16</v>
      </c>
      <c r="D829" t="s">
        <v>1693</v>
      </c>
      <c r="E829" s="5" t="s">
        <v>991</v>
      </c>
      <c r="F829" s="5" t="e">
        <f>VLOOKUP(B829,'Türkkep Jira'!B:F,5,0)</f>
        <v>#N/A</v>
      </c>
      <c r="G829" t="str">
        <f>IF(IFERROR(VLOOKUP(B829,'Devam Eden Sprint'!B:B,1,0),"-")=B829,"Devam Eden Sprint","-")</f>
        <v>-</v>
      </c>
      <c r="H829" t="str">
        <f>IF(IFERROR(VLOOKUP(B829,'Gelecek Sprint'!B:B,1,0),"-")=B829,"Gelecek Sprint","-")</f>
        <v>-</v>
      </c>
      <c r="I829" t="str">
        <f t="shared" si="20"/>
        <v>Ürün İş Listesi</v>
      </c>
    </row>
    <row r="830" spans="1:10" x14ac:dyDescent="0.25">
      <c r="A830" t="s">
        <v>14</v>
      </c>
      <c r="B830" t="s">
        <v>1694</v>
      </c>
      <c r="C830" t="s">
        <v>16</v>
      </c>
      <c r="D830" t="s">
        <v>1695</v>
      </c>
      <c r="E830" s="5" t="s">
        <v>991</v>
      </c>
      <c r="F830" s="5" t="e">
        <f>VLOOKUP(B830,'Türkkep Jira'!B:F,5,0)</f>
        <v>#N/A</v>
      </c>
      <c r="G830" t="str">
        <f>IF(IFERROR(VLOOKUP(B830,'Devam Eden Sprint'!B:B,1,0),"-")=B830,"Devam Eden Sprint","-")</f>
        <v>-</v>
      </c>
      <c r="H830" t="str">
        <f>IF(IFERROR(VLOOKUP(B830,'Gelecek Sprint'!B:B,1,0),"-")=B830,"Gelecek Sprint","-")</f>
        <v>-</v>
      </c>
      <c r="I830" t="str">
        <f t="shared" si="20"/>
        <v>Ürün İş Listesi</v>
      </c>
    </row>
    <row r="831" spans="1:10" x14ac:dyDescent="0.25">
      <c r="A831" t="s">
        <v>14</v>
      </c>
      <c r="B831" t="s">
        <v>1696</v>
      </c>
      <c r="C831" t="s">
        <v>10</v>
      </c>
      <c r="D831" t="s">
        <v>1697</v>
      </c>
      <c r="E831" s="5" t="s">
        <v>12</v>
      </c>
      <c r="F831" s="5" t="e">
        <f>VLOOKUP(B831,'Türkkep Jira'!B:F,5,0)</f>
        <v>#N/A</v>
      </c>
      <c r="G831" t="str">
        <f>IF(IFERROR(VLOOKUP(B831,'Devam Eden Sprint'!B:B,1,0),"-")=B831,"Devam Eden Sprint","-")</f>
        <v>-</v>
      </c>
      <c r="H831" t="str">
        <f>IF(IFERROR(VLOOKUP(B831,'Gelecek Sprint'!B:B,1,0),"-")=B831,"Gelecek Sprint","-")</f>
        <v>-</v>
      </c>
      <c r="I831" t="str">
        <f t="shared" si="20"/>
        <v>Ürün İş Listesi</v>
      </c>
    </row>
    <row r="832" spans="1:10" x14ac:dyDescent="0.25">
      <c r="A832" t="s">
        <v>14</v>
      </c>
      <c r="B832" t="s">
        <v>1698</v>
      </c>
      <c r="C832" t="s">
        <v>16</v>
      </c>
      <c r="D832" t="s">
        <v>1699</v>
      </c>
      <c r="E832" s="5" t="s">
        <v>12</v>
      </c>
      <c r="F832" s="5" t="e">
        <f>VLOOKUP(B832,'Türkkep Jira'!B:F,5,0)</f>
        <v>#N/A</v>
      </c>
      <c r="G832" t="str">
        <f>IF(IFERROR(VLOOKUP(B832,'Devam Eden Sprint'!B:B,1,0),"-")=B832,"Devam Eden Sprint","-")</f>
        <v>-</v>
      </c>
      <c r="H832" t="str">
        <f>IF(IFERROR(VLOOKUP(B832,'Gelecek Sprint'!B:B,1,0),"-")=B832,"Gelecek Sprint","-")</f>
        <v>-</v>
      </c>
      <c r="I832" t="str">
        <f t="shared" si="20"/>
        <v>Ürün İş Listesi</v>
      </c>
      <c r="J832" s="5">
        <v>3</v>
      </c>
    </row>
    <row r="833" spans="1:10" x14ac:dyDescent="0.25">
      <c r="A833" t="s">
        <v>14</v>
      </c>
      <c r="B833" t="s">
        <v>1700</v>
      </c>
      <c r="C833" t="s">
        <v>16</v>
      </c>
      <c r="D833" t="s">
        <v>1701</v>
      </c>
      <c r="E833" s="5" t="s">
        <v>12</v>
      </c>
      <c r="F833" s="5" t="e">
        <f>VLOOKUP(B833,'Türkkep Jira'!B:F,5,0)</f>
        <v>#N/A</v>
      </c>
      <c r="G833" t="str">
        <f>IF(IFERROR(VLOOKUP(B833,'Devam Eden Sprint'!B:B,1,0),"-")=B833,"Devam Eden Sprint","-")</f>
        <v>-</v>
      </c>
      <c r="H833" t="str">
        <f>IF(IFERROR(VLOOKUP(B833,'Gelecek Sprint'!B:B,1,0),"-")=B833,"Gelecek Sprint","-")</f>
        <v>-</v>
      </c>
      <c r="I833" t="str">
        <f t="shared" si="20"/>
        <v>Ürün İş Listesi</v>
      </c>
      <c r="J833" s="5">
        <v>1</v>
      </c>
    </row>
    <row r="834" spans="1:10" x14ac:dyDescent="0.25">
      <c r="A834" t="s">
        <v>77</v>
      </c>
      <c r="B834" t="s">
        <v>1702</v>
      </c>
      <c r="C834" t="s">
        <v>16</v>
      </c>
      <c r="D834" t="s">
        <v>1703</v>
      </c>
      <c r="E834" s="5" t="s">
        <v>41</v>
      </c>
      <c r="F834" s="5" t="e">
        <f>VLOOKUP(B834,'Türkkep Jira'!B:F,5,0)</f>
        <v>#N/A</v>
      </c>
      <c r="G834" t="str">
        <f>IF(IFERROR(VLOOKUP(B834,'Devam Eden Sprint'!B:B,1,0),"-")=B834,"Devam Eden Sprint","-")</f>
        <v>-</v>
      </c>
      <c r="H834" t="str">
        <f>IF(IFERROR(VLOOKUP(B834,'Gelecek Sprint'!B:B,1,0),"-")=B834,"Gelecek Sprint","-")</f>
        <v>-</v>
      </c>
      <c r="I834" t="str">
        <f t="shared" si="20"/>
        <v>Ürün İş Listesi</v>
      </c>
      <c r="J834" s="5">
        <v>2</v>
      </c>
    </row>
    <row r="835" spans="1:10" x14ac:dyDescent="0.25">
      <c r="A835" t="s">
        <v>14</v>
      </c>
      <c r="B835" t="s">
        <v>1704</v>
      </c>
      <c r="C835" t="s">
        <v>16</v>
      </c>
      <c r="D835" t="s">
        <v>1705</v>
      </c>
      <c r="E835" s="5" t="s">
        <v>41</v>
      </c>
      <c r="F835" s="5" t="e">
        <f>VLOOKUP(B835,'Türkkep Jira'!B:F,5,0)</f>
        <v>#N/A</v>
      </c>
      <c r="G835" t="str">
        <f>IF(IFERROR(VLOOKUP(B835,'Devam Eden Sprint'!B:B,1,0),"-")=B835,"Devam Eden Sprint","-")</f>
        <v>-</v>
      </c>
      <c r="H835" t="str">
        <f>IF(IFERROR(VLOOKUP(B835,'Gelecek Sprint'!B:B,1,0),"-")=B835,"Gelecek Sprint","-")</f>
        <v>-</v>
      </c>
      <c r="I835" t="str">
        <f t="shared" si="20"/>
        <v>Ürün İş Listesi</v>
      </c>
      <c r="J835" s="5">
        <v>3</v>
      </c>
    </row>
    <row r="836" spans="1:10" x14ac:dyDescent="0.25">
      <c r="A836" t="s">
        <v>14</v>
      </c>
      <c r="B836" t="s">
        <v>1706</v>
      </c>
      <c r="C836" t="s">
        <v>16</v>
      </c>
      <c r="D836" t="s">
        <v>1707</v>
      </c>
      <c r="E836" s="5" t="s">
        <v>35</v>
      </c>
      <c r="F836" s="5" t="e">
        <f>VLOOKUP(B836,'Türkkep Jira'!B:F,5,0)</f>
        <v>#N/A</v>
      </c>
      <c r="G836" t="str">
        <f>IF(IFERROR(VLOOKUP(B836,'Devam Eden Sprint'!B:B,1,0),"-")=B836,"Devam Eden Sprint","-")</f>
        <v>-</v>
      </c>
      <c r="H836" t="str">
        <f>IF(IFERROR(VLOOKUP(B836,'Gelecek Sprint'!B:B,1,0),"-")=B836,"Gelecek Sprint","-")</f>
        <v>-</v>
      </c>
      <c r="I836" t="str">
        <f t="shared" si="20"/>
        <v>Ürün İş Listesi</v>
      </c>
      <c r="J836" s="5">
        <v>3</v>
      </c>
    </row>
    <row r="837" spans="1:10" x14ac:dyDescent="0.25">
      <c r="A837" t="s">
        <v>14</v>
      </c>
      <c r="B837" t="s">
        <v>1708</v>
      </c>
      <c r="C837" t="s">
        <v>16</v>
      </c>
      <c r="D837" t="s">
        <v>1709</v>
      </c>
      <c r="E837" s="5" t="s">
        <v>38</v>
      </c>
      <c r="F837" s="5" t="e">
        <f>VLOOKUP(B837,'Türkkep Jira'!B:F,5,0)</f>
        <v>#N/A</v>
      </c>
      <c r="G837" t="str">
        <f>IF(IFERROR(VLOOKUP(B837,'Devam Eden Sprint'!B:B,1,0),"-")=B837,"Devam Eden Sprint","-")</f>
        <v>-</v>
      </c>
      <c r="H837" t="str">
        <f>IF(IFERROR(VLOOKUP(B837,'Gelecek Sprint'!B:B,1,0),"-")=B837,"Gelecek Sprint","-")</f>
        <v>-</v>
      </c>
      <c r="I837" t="str">
        <f t="shared" si="20"/>
        <v>Ürün İş Listesi</v>
      </c>
      <c r="J837" s="5">
        <v>3</v>
      </c>
    </row>
    <row r="838" spans="1:10" x14ac:dyDescent="0.25">
      <c r="A838" t="s">
        <v>77</v>
      </c>
      <c r="B838" t="s">
        <v>1710</v>
      </c>
      <c r="C838" t="s">
        <v>16</v>
      </c>
      <c r="D838" t="s">
        <v>1711</v>
      </c>
      <c r="E838" s="5" t="s">
        <v>53</v>
      </c>
      <c r="F838" s="5" t="e">
        <f>VLOOKUP(B838,'Türkkep Jira'!B:F,5,0)</f>
        <v>#N/A</v>
      </c>
      <c r="G838" t="str">
        <f>IF(IFERROR(VLOOKUP(B838,'Devam Eden Sprint'!B:B,1,0),"-")=B838,"Devam Eden Sprint","-")</f>
        <v>-</v>
      </c>
      <c r="H838" t="str">
        <f>IF(IFERROR(VLOOKUP(B838,'Gelecek Sprint'!B:B,1,0),"-")=B838,"Gelecek Sprint","-")</f>
        <v>-</v>
      </c>
      <c r="I838" t="str">
        <f t="shared" si="20"/>
        <v>Ürün İş Listesi</v>
      </c>
      <c r="J838" s="5">
        <v>5</v>
      </c>
    </row>
    <row r="839" spans="1:10" x14ac:dyDescent="0.25">
      <c r="A839" t="s">
        <v>14</v>
      </c>
      <c r="B839" t="s">
        <v>1712</v>
      </c>
      <c r="C839" t="s">
        <v>16</v>
      </c>
      <c r="D839" t="s">
        <v>1713</v>
      </c>
      <c r="E839" s="5" t="s">
        <v>53</v>
      </c>
      <c r="F839" s="5" t="e">
        <f>VLOOKUP(B839,'Türkkep Jira'!B:F,5,0)</f>
        <v>#N/A</v>
      </c>
      <c r="G839" t="str">
        <f>IF(IFERROR(VLOOKUP(B839,'Devam Eden Sprint'!B:B,1,0),"-")=B839,"Devam Eden Sprint","-")</f>
        <v>-</v>
      </c>
      <c r="H839" t="str">
        <f>IF(IFERROR(VLOOKUP(B839,'Gelecek Sprint'!B:B,1,0),"-")=B839,"Gelecek Sprint","-")</f>
        <v>-</v>
      </c>
      <c r="I839" t="str">
        <f t="shared" si="20"/>
        <v>Ürün İş Listesi</v>
      </c>
      <c r="J839" s="5">
        <v>3</v>
      </c>
    </row>
    <row r="840" spans="1:10" x14ac:dyDescent="0.25">
      <c r="A840" t="s">
        <v>14</v>
      </c>
      <c r="B840" t="s">
        <v>1714</v>
      </c>
      <c r="C840" t="s">
        <v>10</v>
      </c>
      <c r="D840" t="s">
        <v>1715</v>
      </c>
      <c r="E840" s="5" t="s">
        <v>127</v>
      </c>
      <c r="F840" s="5" t="e">
        <f>VLOOKUP(B840,'Türkkep Jira'!B:F,5,0)</f>
        <v>#N/A</v>
      </c>
      <c r="G840" t="str">
        <f>IF(IFERROR(VLOOKUP(B840,'Devam Eden Sprint'!B:B,1,0),"-")=B840,"Devam Eden Sprint","-")</f>
        <v>-</v>
      </c>
      <c r="H840" t="str">
        <f>IF(IFERROR(VLOOKUP(B840,'Gelecek Sprint'!B:B,1,0),"-")=B840,"Gelecek Sprint","-")</f>
        <v>-</v>
      </c>
      <c r="I840" t="str">
        <f t="shared" si="20"/>
        <v>Ürün İş Listesi</v>
      </c>
      <c r="J840" s="5">
        <v>1</v>
      </c>
    </row>
    <row r="841" spans="1:10" x14ac:dyDescent="0.25">
      <c r="A841" t="s">
        <v>14</v>
      </c>
      <c r="B841" t="s">
        <v>1716</v>
      </c>
      <c r="C841" t="s">
        <v>16</v>
      </c>
      <c r="D841" t="s">
        <v>1717</v>
      </c>
      <c r="E841" s="5" t="s">
        <v>127</v>
      </c>
      <c r="F841" s="5" t="e">
        <f>VLOOKUP(B841,'Türkkep Jira'!B:F,5,0)</f>
        <v>#N/A</v>
      </c>
      <c r="G841" t="str">
        <f>IF(IFERROR(VLOOKUP(B841,'Devam Eden Sprint'!B:B,1,0),"-")=B841,"Devam Eden Sprint","-")</f>
        <v>-</v>
      </c>
      <c r="H841" t="str">
        <f>IF(IFERROR(VLOOKUP(B841,'Gelecek Sprint'!B:B,1,0),"-")=B841,"Gelecek Sprint","-")</f>
        <v>-</v>
      </c>
      <c r="I841" t="str">
        <f t="shared" si="20"/>
        <v>Ürün İş Listesi</v>
      </c>
      <c r="J841" s="5">
        <v>1</v>
      </c>
    </row>
    <row r="842" spans="1:10" x14ac:dyDescent="0.25">
      <c r="A842" t="s">
        <v>14</v>
      </c>
      <c r="B842" t="s">
        <v>1718</v>
      </c>
      <c r="C842" t="s">
        <v>16</v>
      </c>
      <c r="D842" t="s">
        <v>1719</v>
      </c>
      <c r="E842" s="5" t="s">
        <v>127</v>
      </c>
      <c r="F842" s="5" t="e">
        <f>VLOOKUP(B842,'Türkkep Jira'!B:F,5,0)</f>
        <v>#N/A</v>
      </c>
      <c r="G842" t="str">
        <f>IF(IFERROR(VLOOKUP(B842,'Devam Eden Sprint'!B:B,1,0),"-")=B842,"Devam Eden Sprint","-")</f>
        <v>-</v>
      </c>
      <c r="H842" t="str">
        <f>IF(IFERROR(VLOOKUP(B842,'Gelecek Sprint'!B:B,1,0),"-")=B842,"Gelecek Sprint","-")</f>
        <v>-</v>
      </c>
      <c r="I842" t="str">
        <f t="shared" si="20"/>
        <v>Ürün İş Listesi</v>
      </c>
      <c r="J842" s="5">
        <v>3</v>
      </c>
    </row>
    <row r="843" spans="1:10" x14ac:dyDescent="0.25">
      <c r="A843" t="s">
        <v>14</v>
      </c>
      <c r="B843" t="s">
        <v>1720</v>
      </c>
      <c r="C843" t="s">
        <v>16</v>
      </c>
      <c r="D843" t="s">
        <v>1721</v>
      </c>
      <c r="E843" s="5" t="s">
        <v>127</v>
      </c>
      <c r="F843" s="5" t="e">
        <f>VLOOKUP(B843,'Türkkep Jira'!B:F,5,0)</f>
        <v>#N/A</v>
      </c>
      <c r="G843" t="str">
        <f>IF(IFERROR(VLOOKUP(B843,'Devam Eden Sprint'!B:B,1,0),"-")=B843,"Devam Eden Sprint","-")</f>
        <v>-</v>
      </c>
      <c r="H843" t="str">
        <f>IF(IFERROR(VLOOKUP(B843,'Gelecek Sprint'!B:B,1,0),"-")=B843,"Gelecek Sprint","-")</f>
        <v>-</v>
      </c>
      <c r="I843" t="str">
        <f t="shared" si="20"/>
        <v>Ürün İş Listesi</v>
      </c>
    </row>
    <row r="844" spans="1:10" x14ac:dyDescent="0.25">
      <c r="A844" t="s">
        <v>14</v>
      </c>
      <c r="B844" t="s">
        <v>1722</v>
      </c>
      <c r="C844" t="s">
        <v>16</v>
      </c>
      <c r="D844" t="s">
        <v>1723</v>
      </c>
      <c r="E844" s="5" t="s">
        <v>127</v>
      </c>
      <c r="F844" s="5" t="e">
        <f>VLOOKUP(B844,'Türkkep Jira'!B:F,5,0)</f>
        <v>#N/A</v>
      </c>
      <c r="G844" t="str">
        <f>IF(IFERROR(VLOOKUP(B844,'Devam Eden Sprint'!B:B,1,0),"-")=B844,"Devam Eden Sprint","-")</f>
        <v>-</v>
      </c>
      <c r="H844" t="str">
        <f>IF(IFERROR(VLOOKUP(B844,'Gelecek Sprint'!B:B,1,0),"-")=B844,"Gelecek Sprint","-")</f>
        <v>-</v>
      </c>
      <c r="I844" t="str">
        <f t="shared" si="20"/>
        <v>Ürün İş Listesi</v>
      </c>
    </row>
    <row r="845" spans="1:10" x14ac:dyDescent="0.25">
      <c r="A845" t="s">
        <v>14</v>
      </c>
      <c r="B845" t="s">
        <v>1724</v>
      </c>
      <c r="C845" t="s">
        <v>16</v>
      </c>
      <c r="D845" t="s">
        <v>1725</v>
      </c>
      <c r="E845" s="5" t="s">
        <v>542</v>
      </c>
      <c r="F845" s="5" t="e">
        <f>VLOOKUP(B845,'Türkkep Jira'!B:F,5,0)</f>
        <v>#N/A</v>
      </c>
      <c r="G845" t="str">
        <f>IF(IFERROR(VLOOKUP(B845,'Devam Eden Sprint'!B:B,1,0),"-")=B845,"Devam Eden Sprint","-")</f>
        <v>-</v>
      </c>
      <c r="H845" t="str">
        <f>IF(IFERROR(VLOOKUP(B845,'Gelecek Sprint'!B:B,1,0),"-")=B845,"Gelecek Sprint","-")</f>
        <v>-</v>
      </c>
      <c r="I845" t="str">
        <f t="shared" si="20"/>
        <v>Ürün İş Listesi</v>
      </c>
    </row>
    <row r="846" spans="1:10" x14ac:dyDescent="0.25">
      <c r="A846" t="s">
        <v>14</v>
      </c>
      <c r="B846" t="s">
        <v>1726</v>
      </c>
      <c r="C846" t="s">
        <v>16</v>
      </c>
      <c r="D846" t="s">
        <v>1727</v>
      </c>
      <c r="E846" s="5" t="s">
        <v>1728</v>
      </c>
      <c r="F846" s="5" t="e">
        <f>VLOOKUP(B846,'Türkkep Jira'!B:F,5,0)</f>
        <v>#N/A</v>
      </c>
      <c r="G846" t="str">
        <f>IF(IFERROR(VLOOKUP(B846,'Devam Eden Sprint'!B:B,1,0),"-")=B846,"Devam Eden Sprint","-")</f>
        <v>-</v>
      </c>
      <c r="H846" t="str">
        <f>IF(IFERROR(VLOOKUP(B846,'Gelecek Sprint'!B:B,1,0),"-")=B846,"Gelecek Sprint","-")</f>
        <v>-</v>
      </c>
      <c r="I846" t="str">
        <f t="shared" si="20"/>
        <v>Ürün İş Listesi</v>
      </c>
    </row>
    <row r="847" spans="1:10" x14ac:dyDescent="0.25">
      <c r="A847" t="s">
        <v>14</v>
      </c>
      <c r="B847" t="s">
        <v>1729</v>
      </c>
      <c r="C847" t="s">
        <v>16</v>
      </c>
      <c r="D847" t="s">
        <v>1730</v>
      </c>
      <c r="E847" s="5" t="s">
        <v>59</v>
      </c>
      <c r="F847" s="5" t="e">
        <f>VLOOKUP(B847,'Türkkep Jira'!B:F,5,0)</f>
        <v>#N/A</v>
      </c>
      <c r="G847" t="str">
        <f>IF(IFERROR(VLOOKUP(B847,'Devam Eden Sprint'!B:B,1,0),"-")=B847,"Devam Eden Sprint","-")</f>
        <v>-</v>
      </c>
      <c r="H847" t="str">
        <f>IF(IFERROR(VLOOKUP(B847,'Gelecek Sprint'!B:B,1,0),"-")=B847,"Gelecek Sprint","-")</f>
        <v>-</v>
      </c>
      <c r="I847" t="str">
        <f t="shared" si="20"/>
        <v>Ürün İş Listesi</v>
      </c>
      <c r="J847" s="5">
        <v>1</v>
      </c>
    </row>
    <row r="848" spans="1:10" x14ac:dyDescent="0.25">
      <c r="A848" t="s">
        <v>77</v>
      </c>
      <c r="B848" t="s">
        <v>1731</v>
      </c>
      <c r="C848" t="s">
        <v>16</v>
      </c>
      <c r="D848" t="s">
        <v>1732</v>
      </c>
      <c r="E848" s="5" t="s">
        <v>56</v>
      </c>
      <c r="F848" s="5" t="e">
        <f>VLOOKUP(B848,'Türkkep Jira'!B:F,5,0)</f>
        <v>#N/A</v>
      </c>
      <c r="G848" t="str">
        <f>IF(IFERROR(VLOOKUP(B848,'Devam Eden Sprint'!B:B,1,0),"-")=B848,"Devam Eden Sprint","-")</f>
        <v>-</v>
      </c>
      <c r="H848" t="str">
        <f>IF(IFERROR(VLOOKUP(B848,'Gelecek Sprint'!B:B,1,0),"-")=B848,"Gelecek Sprint","-")</f>
        <v>-</v>
      </c>
      <c r="I848" t="str">
        <f t="shared" si="20"/>
        <v>Ürün İş Listesi</v>
      </c>
      <c r="J848" s="5">
        <v>5</v>
      </c>
    </row>
    <row r="849" spans="1:10" x14ac:dyDescent="0.25">
      <c r="A849" t="s">
        <v>77</v>
      </c>
      <c r="B849" t="s">
        <v>1733</v>
      </c>
      <c r="C849" t="s">
        <v>16</v>
      </c>
      <c r="D849" t="s">
        <v>1734</v>
      </c>
      <c r="E849" s="5" t="s">
        <v>56</v>
      </c>
      <c r="F849" s="5" t="str">
        <f>VLOOKUP(B849,'Türkkep Jira'!B:F,5,0)</f>
        <v>Done</v>
      </c>
      <c r="G849" t="str">
        <f>IF(IFERROR(VLOOKUP(B849,'Devam Eden Sprint'!B:B,1,0),"-")=B849,"Devam Eden Sprint","-")</f>
        <v>-</v>
      </c>
      <c r="H849" t="str">
        <f>IF(IFERROR(VLOOKUP(B849,'Gelecek Sprint'!B:B,1,0),"-")=B849,"Gelecek Sprint","-")</f>
        <v>-</v>
      </c>
      <c r="I849" t="str">
        <f t="shared" si="20"/>
        <v>Ürün İş Listesi</v>
      </c>
    </row>
    <row r="850" spans="1:10" x14ac:dyDescent="0.25">
      <c r="A850" t="s">
        <v>14</v>
      </c>
      <c r="B850" t="s">
        <v>1735</v>
      </c>
      <c r="C850" t="s">
        <v>27</v>
      </c>
      <c r="D850" t="s">
        <v>1736</v>
      </c>
      <c r="E850" s="5" t="s">
        <v>56</v>
      </c>
      <c r="F850" s="5" t="e">
        <f>VLOOKUP(B850,'Türkkep Jira'!B:F,5,0)</f>
        <v>#N/A</v>
      </c>
      <c r="G850" t="str">
        <f>IF(IFERROR(VLOOKUP(B850,'Devam Eden Sprint'!B:B,1,0),"-")=B850,"Devam Eden Sprint","-")</f>
        <v>-</v>
      </c>
      <c r="H850" t="str">
        <f>IF(IFERROR(VLOOKUP(B850,'Gelecek Sprint'!B:B,1,0),"-")=B850,"Gelecek Sprint","-")</f>
        <v>-</v>
      </c>
      <c r="I850" t="str">
        <f t="shared" si="20"/>
        <v>Ürün İş Listesi</v>
      </c>
      <c r="J850" s="5">
        <v>2</v>
      </c>
    </row>
    <row r="851" spans="1:10" x14ac:dyDescent="0.25">
      <c r="A851" t="s">
        <v>77</v>
      </c>
      <c r="B851" t="s">
        <v>1737</v>
      </c>
      <c r="C851" t="s">
        <v>16</v>
      </c>
      <c r="D851" t="s">
        <v>1738</v>
      </c>
      <c r="E851" s="5" t="s">
        <v>56</v>
      </c>
      <c r="F851" s="5" t="e">
        <f>VLOOKUP(B851,'Türkkep Jira'!B:F,5,0)</f>
        <v>#N/A</v>
      </c>
      <c r="G851" t="str">
        <f>IF(IFERROR(VLOOKUP(B851,'Devam Eden Sprint'!B:B,1,0),"-")=B851,"Devam Eden Sprint","-")</f>
        <v>-</v>
      </c>
      <c r="H851" t="str">
        <f>IF(IFERROR(VLOOKUP(B851,'Gelecek Sprint'!B:B,1,0),"-")=B851,"Gelecek Sprint","-")</f>
        <v>-</v>
      </c>
      <c r="I851" t="str">
        <f t="shared" si="20"/>
        <v>Ürün İş Listesi</v>
      </c>
      <c r="J851" s="5">
        <v>3</v>
      </c>
    </row>
    <row r="852" spans="1:10" x14ac:dyDescent="0.25">
      <c r="A852" t="s">
        <v>14</v>
      </c>
      <c r="B852" t="s">
        <v>1739</v>
      </c>
      <c r="C852" t="s">
        <v>16</v>
      </c>
      <c r="D852" t="s">
        <v>1740</v>
      </c>
      <c r="E852" s="5" t="s">
        <v>56</v>
      </c>
      <c r="F852" s="5" t="e">
        <f>VLOOKUP(B852,'Türkkep Jira'!B:F,5,0)</f>
        <v>#N/A</v>
      </c>
      <c r="G852" t="str">
        <f>IF(IFERROR(VLOOKUP(B852,'Devam Eden Sprint'!B:B,1,0),"-")=B852,"Devam Eden Sprint","-")</f>
        <v>-</v>
      </c>
      <c r="H852" t="str">
        <f>IF(IFERROR(VLOOKUP(B852,'Gelecek Sprint'!B:B,1,0),"-")=B852,"Gelecek Sprint","-")</f>
        <v>-</v>
      </c>
      <c r="I852" t="str">
        <f t="shared" si="20"/>
        <v>Ürün İş Listesi</v>
      </c>
      <c r="J852" s="5">
        <v>3</v>
      </c>
    </row>
    <row r="853" spans="1:10" x14ac:dyDescent="0.25">
      <c r="A853" t="s">
        <v>14</v>
      </c>
      <c r="B853" t="s">
        <v>1741</v>
      </c>
      <c r="C853" t="s">
        <v>16</v>
      </c>
      <c r="D853" t="s">
        <v>1742</v>
      </c>
      <c r="E853" s="5" t="s">
        <v>56</v>
      </c>
      <c r="F853" s="5" t="e">
        <f>VLOOKUP(B853,'Türkkep Jira'!B:F,5,0)</f>
        <v>#N/A</v>
      </c>
      <c r="G853" t="str">
        <f>IF(IFERROR(VLOOKUP(B853,'Devam Eden Sprint'!B:B,1,0),"-")=B853,"Devam Eden Sprint","-")</f>
        <v>-</v>
      </c>
      <c r="H853" t="str">
        <f>IF(IFERROR(VLOOKUP(B853,'Gelecek Sprint'!B:B,1,0),"-")=B853,"Gelecek Sprint","-")</f>
        <v>-</v>
      </c>
      <c r="I853" t="str">
        <f t="shared" si="20"/>
        <v>Ürün İş Listesi</v>
      </c>
      <c r="J853" s="5">
        <v>2</v>
      </c>
    </row>
    <row r="854" spans="1:10" x14ac:dyDescent="0.25">
      <c r="A854" t="s">
        <v>14</v>
      </c>
      <c r="B854" t="s">
        <v>1743</v>
      </c>
      <c r="C854" t="s">
        <v>16</v>
      </c>
      <c r="D854" t="s">
        <v>1744</v>
      </c>
      <c r="E854" s="5" t="s">
        <v>47</v>
      </c>
      <c r="F854" s="5" t="e">
        <f>VLOOKUP(B854,'Türkkep Jira'!B:F,5,0)</f>
        <v>#N/A</v>
      </c>
      <c r="G854" t="str">
        <f>IF(IFERROR(VLOOKUP(B854,'Devam Eden Sprint'!B:B,1,0),"-")=B854,"Devam Eden Sprint","-")</f>
        <v>-</v>
      </c>
      <c r="H854" t="str">
        <f>IF(IFERROR(VLOOKUP(B854,'Gelecek Sprint'!B:B,1,0),"-")=B854,"Gelecek Sprint","-")</f>
        <v>-</v>
      </c>
      <c r="I854" t="str">
        <f t="shared" si="20"/>
        <v>Ürün İş Listesi</v>
      </c>
    </row>
    <row r="855" spans="1:10" x14ac:dyDescent="0.25">
      <c r="A855" t="s">
        <v>1379</v>
      </c>
      <c r="B855" t="s">
        <v>1745</v>
      </c>
      <c r="C855" t="s">
        <v>16</v>
      </c>
      <c r="D855" t="s">
        <v>1746</v>
      </c>
      <c r="E855" s="5" t="s">
        <v>50</v>
      </c>
      <c r="F855" s="5" t="e">
        <f>VLOOKUP(B855,'Türkkep Jira'!B:F,5,0)</f>
        <v>#N/A</v>
      </c>
      <c r="G855" t="str">
        <f>IF(IFERROR(VLOOKUP(B855,'Devam Eden Sprint'!B:B,1,0),"-")=B855,"Devam Eden Sprint","-")</f>
        <v>-</v>
      </c>
      <c r="H855" t="str">
        <f>IF(IFERROR(VLOOKUP(B855,'Gelecek Sprint'!B:B,1,0),"-")=B855,"Gelecek Sprint","-")</f>
        <v>-</v>
      </c>
      <c r="I855" t="str">
        <f t="shared" si="20"/>
        <v>Ürün İş Listesi</v>
      </c>
    </row>
    <row r="856" spans="1:10" x14ac:dyDescent="0.25">
      <c r="A856" t="s">
        <v>14</v>
      </c>
      <c r="B856" t="s">
        <v>1747</v>
      </c>
      <c r="C856" t="s">
        <v>16</v>
      </c>
      <c r="D856" t="s">
        <v>1748</v>
      </c>
      <c r="E856" s="5" t="s">
        <v>50</v>
      </c>
      <c r="F856" s="5" t="e">
        <f>VLOOKUP(B856,'Türkkep Jira'!B:F,5,0)</f>
        <v>#N/A</v>
      </c>
      <c r="G856" t="str">
        <f>IF(IFERROR(VLOOKUP(B856,'Devam Eden Sprint'!B:B,1,0),"-")=B856,"Devam Eden Sprint","-")</f>
        <v>-</v>
      </c>
      <c r="H856" t="str">
        <f>IF(IFERROR(VLOOKUP(B856,'Gelecek Sprint'!B:B,1,0),"-")=B856,"Gelecek Sprint","-")</f>
        <v>-</v>
      </c>
      <c r="I856" t="str">
        <f t="shared" si="20"/>
        <v>Ürün İş Listesi</v>
      </c>
      <c r="J856" s="5">
        <v>3</v>
      </c>
    </row>
    <row r="857" spans="1:10" x14ac:dyDescent="0.25">
      <c r="A857" t="s">
        <v>77</v>
      </c>
      <c r="B857" t="s">
        <v>1749</v>
      </c>
      <c r="C857" t="s">
        <v>16</v>
      </c>
      <c r="D857" t="s">
        <v>1750</v>
      </c>
      <c r="E857" s="5" t="s">
        <v>50</v>
      </c>
      <c r="F857" s="5" t="e">
        <f>VLOOKUP(B857,'Türkkep Jira'!B:F,5,0)</f>
        <v>#N/A</v>
      </c>
      <c r="G857" t="str">
        <f>IF(IFERROR(VLOOKUP(B857,'Devam Eden Sprint'!B:B,1,0),"-")=B857,"Devam Eden Sprint","-")</f>
        <v>-</v>
      </c>
      <c r="H857" t="str">
        <f>IF(IFERROR(VLOOKUP(B857,'Gelecek Sprint'!B:B,1,0),"-")=B857,"Gelecek Sprint","-")</f>
        <v>-</v>
      </c>
      <c r="I857" t="str">
        <f t="shared" si="20"/>
        <v>Ürün İş Listesi</v>
      </c>
      <c r="J857" s="5">
        <v>3</v>
      </c>
    </row>
    <row r="858" spans="1:10" x14ac:dyDescent="0.25">
      <c r="A858" t="s">
        <v>14</v>
      </c>
      <c r="B858" t="s">
        <v>1751</v>
      </c>
      <c r="C858" t="s">
        <v>16</v>
      </c>
      <c r="D858" t="s">
        <v>1752</v>
      </c>
      <c r="E858" s="5" t="s">
        <v>44</v>
      </c>
      <c r="F858" s="5" t="e">
        <f>VLOOKUP(B858,'Türkkep Jira'!B:F,5,0)</f>
        <v>#N/A</v>
      </c>
      <c r="G858" t="str">
        <f>IF(IFERROR(VLOOKUP(B858,'Devam Eden Sprint'!B:B,1,0),"-")=B858,"Devam Eden Sprint","-")</f>
        <v>-</v>
      </c>
      <c r="H858" t="str">
        <f>IF(IFERROR(VLOOKUP(B858,'Gelecek Sprint'!B:B,1,0),"-")=B858,"Gelecek Sprint","-")</f>
        <v>-</v>
      </c>
      <c r="I858" t="str">
        <f t="shared" si="20"/>
        <v>Ürün İş Listesi</v>
      </c>
      <c r="J858" s="5">
        <v>3</v>
      </c>
    </row>
    <row r="859" spans="1:10" x14ac:dyDescent="0.25">
      <c r="A859" t="s">
        <v>14</v>
      </c>
      <c r="B859" t="s">
        <v>1753</v>
      </c>
      <c r="C859" t="s">
        <v>16</v>
      </c>
      <c r="D859" t="s">
        <v>1754</v>
      </c>
      <c r="E859" s="5" t="s">
        <v>44</v>
      </c>
      <c r="F859" s="5" t="e">
        <f>VLOOKUP(B859,'Türkkep Jira'!B:F,5,0)</f>
        <v>#N/A</v>
      </c>
      <c r="G859" t="str">
        <f>IF(IFERROR(VLOOKUP(B859,'Devam Eden Sprint'!B:B,1,0),"-")=B859,"Devam Eden Sprint","-")</f>
        <v>-</v>
      </c>
      <c r="H859" t="str">
        <f>IF(IFERROR(VLOOKUP(B859,'Gelecek Sprint'!B:B,1,0),"-")=B859,"Gelecek Sprint","-")</f>
        <v>-</v>
      </c>
      <c r="I859" t="str">
        <f t="shared" si="20"/>
        <v>Ürün İş Listesi</v>
      </c>
      <c r="J859" s="5">
        <v>3</v>
      </c>
    </row>
    <row r="860" spans="1:10" x14ac:dyDescent="0.25">
      <c r="A860" t="s">
        <v>14</v>
      </c>
      <c r="B860" t="s">
        <v>1755</v>
      </c>
      <c r="C860" t="s">
        <v>27</v>
      </c>
      <c r="D860" t="s">
        <v>1756</v>
      </c>
      <c r="E860" s="5" t="s">
        <v>44</v>
      </c>
      <c r="F860" s="5" t="str">
        <f>VLOOKUP(B860,'Türkkep Jira'!B:F,5,0)</f>
        <v>TO TEST</v>
      </c>
      <c r="G860" t="str">
        <f>IF(IFERROR(VLOOKUP(B860,'Devam Eden Sprint'!B:B,1,0),"-")=B860,"Devam Eden Sprint","-")</f>
        <v>Devam Eden Sprint</v>
      </c>
      <c r="H860" t="str">
        <f>IF(IFERROR(VLOOKUP(B860,'Gelecek Sprint'!B:B,1,0),"-")=B860,"Gelecek Sprint","-")</f>
        <v>Gelecek Sprint</v>
      </c>
      <c r="I860" t="str">
        <f t="shared" si="20"/>
        <v>Devam Eden ve Gelecek Sprint</v>
      </c>
      <c r="J860" s="5">
        <v>2</v>
      </c>
    </row>
    <row r="861" spans="1:10" x14ac:dyDescent="0.25">
      <c r="A861" t="s">
        <v>14</v>
      </c>
      <c r="B861" t="s">
        <v>1757</v>
      </c>
      <c r="C861" t="s">
        <v>10</v>
      </c>
      <c r="D861" t="s">
        <v>1758</v>
      </c>
      <c r="E861" s="5" t="s">
        <v>44</v>
      </c>
      <c r="F861" s="5" t="e">
        <f>VLOOKUP(B861,'Türkkep Jira'!B:F,5,0)</f>
        <v>#N/A</v>
      </c>
      <c r="G861" t="str">
        <f>IF(IFERROR(VLOOKUP(B861,'Devam Eden Sprint'!B:B,1,0),"-")=B861,"Devam Eden Sprint","-")</f>
        <v>-</v>
      </c>
      <c r="H861" t="str">
        <f>IF(IFERROR(VLOOKUP(B861,'Gelecek Sprint'!B:B,1,0),"-")=B861,"Gelecek Sprint","-")</f>
        <v>-</v>
      </c>
      <c r="I861" t="str">
        <f t="shared" ref="I861:I892" si="21">IFERROR(IF(AND(G861="Devam Eden Sprint",H861="Gelecek Sprint"),"Devam Eden ve Gelecek Sprint",IF(G861="Devam Eden Sprint","Devam Eden Sprint",IF(H861="Gelecek Sprint","Gelecek Sprint","Ürün İş Listesi"))),"Ürün İş Listesi")</f>
        <v>Ürün İş Listesi</v>
      </c>
    </row>
    <row r="862" spans="1:10" x14ac:dyDescent="0.25">
      <c r="A862" t="s">
        <v>77</v>
      </c>
      <c r="B862" t="s">
        <v>1759</v>
      </c>
      <c r="C862" t="s">
        <v>16</v>
      </c>
      <c r="D862" t="s">
        <v>1760</v>
      </c>
      <c r="E862" s="5" t="s">
        <v>41</v>
      </c>
      <c r="F862" s="5" t="e">
        <f>VLOOKUP(B862,'Türkkep Jira'!B:F,5,0)</f>
        <v>#N/A</v>
      </c>
      <c r="G862" t="str">
        <f>IF(IFERROR(VLOOKUP(B862,'Devam Eden Sprint'!B:B,1,0),"-")=B862,"Devam Eden Sprint","-")</f>
        <v>-</v>
      </c>
      <c r="H862" t="str">
        <f>IF(IFERROR(VLOOKUP(B862,'Gelecek Sprint'!B:B,1,0),"-")=B862,"Gelecek Sprint","-")</f>
        <v>-</v>
      </c>
      <c r="I862" t="str">
        <f t="shared" si="21"/>
        <v>Ürün İş Listesi</v>
      </c>
      <c r="J862" s="5">
        <v>1</v>
      </c>
    </row>
    <row r="863" spans="1:10" x14ac:dyDescent="0.25">
      <c r="A863" t="s">
        <v>14</v>
      </c>
      <c r="B863" t="s">
        <v>1761</v>
      </c>
      <c r="C863" t="s">
        <v>10</v>
      </c>
      <c r="D863" t="s">
        <v>1762</v>
      </c>
      <c r="E863" s="5" t="s">
        <v>41</v>
      </c>
      <c r="F863" s="5" t="e">
        <f>VLOOKUP(B863,'Türkkep Jira'!B:F,5,0)</f>
        <v>#N/A</v>
      </c>
      <c r="G863" t="str">
        <f>IF(IFERROR(VLOOKUP(B863,'Devam Eden Sprint'!B:B,1,0),"-")=B863,"Devam Eden Sprint","-")</f>
        <v>-</v>
      </c>
      <c r="H863" t="str">
        <f>IF(IFERROR(VLOOKUP(B863,'Gelecek Sprint'!B:B,1,0),"-")=B863,"Gelecek Sprint","-")</f>
        <v>-</v>
      </c>
      <c r="I863" t="str">
        <f t="shared" si="21"/>
        <v>Ürün İş Listesi</v>
      </c>
    </row>
    <row r="864" spans="1:10" x14ac:dyDescent="0.25">
      <c r="A864" t="s">
        <v>14</v>
      </c>
      <c r="B864" t="s">
        <v>1763</v>
      </c>
      <c r="C864" t="s">
        <v>16</v>
      </c>
      <c r="D864" t="s">
        <v>1764</v>
      </c>
      <c r="E864" s="5" t="s">
        <v>41</v>
      </c>
      <c r="F864" s="5" t="e">
        <f>VLOOKUP(B864,'Türkkep Jira'!B:F,5,0)</f>
        <v>#N/A</v>
      </c>
      <c r="G864" t="str">
        <f>IF(IFERROR(VLOOKUP(B864,'Devam Eden Sprint'!B:B,1,0),"-")=B864,"Devam Eden Sprint","-")</f>
        <v>-</v>
      </c>
      <c r="H864" t="str">
        <f>IF(IFERROR(VLOOKUP(B864,'Gelecek Sprint'!B:B,1,0),"-")=B864,"Gelecek Sprint","-")</f>
        <v>-</v>
      </c>
      <c r="I864" t="str">
        <f t="shared" si="21"/>
        <v>Ürün İş Listesi</v>
      </c>
    </row>
    <row r="865" spans="1:10" x14ac:dyDescent="0.25">
      <c r="A865" t="s">
        <v>14</v>
      </c>
      <c r="B865" t="s">
        <v>1765</v>
      </c>
      <c r="C865" t="s">
        <v>16</v>
      </c>
      <c r="D865" t="s">
        <v>1766</v>
      </c>
      <c r="E865" s="5" t="s">
        <v>41</v>
      </c>
      <c r="F865" s="5" t="e">
        <f>VLOOKUP(B865,'Türkkep Jira'!B:F,5,0)</f>
        <v>#N/A</v>
      </c>
      <c r="G865" t="str">
        <f>IF(IFERROR(VLOOKUP(B865,'Devam Eden Sprint'!B:B,1,0),"-")=B865,"Devam Eden Sprint","-")</f>
        <v>-</v>
      </c>
      <c r="H865" t="str">
        <f>IF(IFERROR(VLOOKUP(B865,'Gelecek Sprint'!B:B,1,0),"-")=B865,"Gelecek Sprint","-")</f>
        <v>-</v>
      </c>
      <c r="I865" t="str">
        <f t="shared" si="21"/>
        <v>Ürün İş Listesi</v>
      </c>
    </row>
    <row r="866" spans="1:10" x14ac:dyDescent="0.25">
      <c r="A866" t="s">
        <v>1379</v>
      </c>
      <c r="B866" t="s">
        <v>1767</v>
      </c>
      <c r="C866" t="s">
        <v>192</v>
      </c>
      <c r="D866" t="s">
        <v>1681</v>
      </c>
      <c r="E866" s="5" t="s">
        <v>991</v>
      </c>
      <c r="F866" s="5" t="e">
        <f>VLOOKUP(B866,'Türkkep Jira'!B:F,5,0)</f>
        <v>#N/A</v>
      </c>
      <c r="G866" t="str">
        <f>IF(IFERROR(VLOOKUP(B866,'Devam Eden Sprint'!B:B,1,0),"-")=B866,"Devam Eden Sprint","-")</f>
        <v>-</v>
      </c>
      <c r="H866" t="str">
        <f>IF(IFERROR(VLOOKUP(B866,'Gelecek Sprint'!B:B,1,0),"-")=B866,"Gelecek Sprint","-")</f>
        <v>-</v>
      </c>
      <c r="I866" t="str">
        <f t="shared" si="21"/>
        <v>Ürün İş Listesi</v>
      </c>
    </row>
    <row r="867" spans="1:10" x14ac:dyDescent="0.25">
      <c r="A867" t="s">
        <v>14</v>
      </c>
      <c r="B867" t="s">
        <v>1768</v>
      </c>
      <c r="C867" t="s">
        <v>16</v>
      </c>
      <c r="D867" t="s">
        <v>1769</v>
      </c>
      <c r="E867" s="5" t="s">
        <v>12</v>
      </c>
      <c r="F867" s="5" t="e">
        <f>VLOOKUP(B867,'Türkkep Jira'!B:F,5,0)</f>
        <v>#N/A</v>
      </c>
      <c r="G867" t="str">
        <f>IF(IFERROR(VLOOKUP(B867,'Devam Eden Sprint'!B:B,1,0),"-")=B867,"Devam Eden Sprint","-")</f>
        <v>-</v>
      </c>
      <c r="H867" t="str">
        <f>IF(IFERROR(VLOOKUP(B867,'Gelecek Sprint'!B:B,1,0),"-")=B867,"Gelecek Sprint","-")</f>
        <v>-</v>
      </c>
      <c r="I867" t="str">
        <f t="shared" si="21"/>
        <v>Ürün İş Listesi</v>
      </c>
      <c r="J867" s="5">
        <v>1</v>
      </c>
    </row>
    <row r="868" spans="1:10" x14ac:dyDescent="0.25">
      <c r="A868" t="s">
        <v>14</v>
      </c>
      <c r="B868" t="s">
        <v>1770</v>
      </c>
      <c r="C868" t="s">
        <v>16</v>
      </c>
      <c r="D868" t="s">
        <v>1771</v>
      </c>
      <c r="E868" s="5" t="s">
        <v>12</v>
      </c>
      <c r="F868" s="5" t="e">
        <f>VLOOKUP(B868,'Türkkep Jira'!B:F,5,0)</f>
        <v>#N/A</v>
      </c>
      <c r="G868" t="str">
        <f>IF(IFERROR(VLOOKUP(B868,'Devam Eden Sprint'!B:B,1,0),"-")=B868,"Devam Eden Sprint","-")</f>
        <v>-</v>
      </c>
      <c r="H868" t="str">
        <f>IF(IFERROR(VLOOKUP(B868,'Gelecek Sprint'!B:B,1,0),"-")=B868,"Gelecek Sprint","-")</f>
        <v>-</v>
      </c>
      <c r="I868" t="str">
        <f t="shared" si="21"/>
        <v>Ürün İş Listesi</v>
      </c>
      <c r="J868" s="5">
        <v>3</v>
      </c>
    </row>
    <row r="869" spans="1:10" x14ac:dyDescent="0.25">
      <c r="A869" t="s">
        <v>14</v>
      </c>
      <c r="B869" t="s">
        <v>1772</v>
      </c>
      <c r="C869" t="s">
        <v>16</v>
      </c>
      <c r="D869" t="s">
        <v>1773</v>
      </c>
      <c r="E869" s="5" t="s">
        <v>12</v>
      </c>
      <c r="F869" s="5" t="e">
        <f>VLOOKUP(B869,'Türkkep Jira'!B:F,5,0)</f>
        <v>#N/A</v>
      </c>
      <c r="G869" t="str">
        <f>IF(IFERROR(VLOOKUP(B869,'Devam Eden Sprint'!B:B,1,0),"-")=B869,"Devam Eden Sprint","-")</f>
        <v>-</v>
      </c>
      <c r="H869" t="str">
        <f>IF(IFERROR(VLOOKUP(B869,'Gelecek Sprint'!B:B,1,0),"-")=B869,"Gelecek Sprint","-")</f>
        <v>-</v>
      </c>
      <c r="I869" t="str">
        <f t="shared" si="21"/>
        <v>Ürün İş Listesi</v>
      </c>
      <c r="J869" s="5">
        <v>2</v>
      </c>
    </row>
    <row r="870" spans="1:10" x14ac:dyDescent="0.25">
      <c r="A870" t="s">
        <v>14</v>
      </c>
      <c r="B870" t="s">
        <v>1774</v>
      </c>
      <c r="C870" t="s">
        <v>16</v>
      </c>
      <c r="D870" t="s">
        <v>1775</v>
      </c>
      <c r="E870" s="5" t="s">
        <v>12</v>
      </c>
      <c r="F870" s="5" t="e">
        <f>VLOOKUP(B870,'Türkkep Jira'!B:F,5,0)</f>
        <v>#N/A</v>
      </c>
      <c r="G870" t="str">
        <f>IF(IFERROR(VLOOKUP(B870,'Devam Eden Sprint'!B:B,1,0),"-")=B870,"Devam Eden Sprint","-")</f>
        <v>-</v>
      </c>
      <c r="H870" t="str">
        <f>IF(IFERROR(VLOOKUP(B870,'Gelecek Sprint'!B:B,1,0),"-")=B870,"Gelecek Sprint","-")</f>
        <v>-</v>
      </c>
      <c r="I870" t="str">
        <f t="shared" si="21"/>
        <v>Ürün İş Listesi</v>
      </c>
    </row>
    <row r="871" spans="1:10" x14ac:dyDescent="0.25">
      <c r="A871" t="s">
        <v>14</v>
      </c>
      <c r="B871" t="s">
        <v>1776</v>
      </c>
      <c r="C871" t="s">
        <v>10</v>
      </c>
      <c r="D871" t="s">
        <v>1777</v>
      </c>
      <c r="E871" s="5" t="s">
        <v>12</v>
      </c>
      <c r="F871" s="5" t="e">
        <f>VLOOKUP(B871,'Türkkep Jira'!B:F,5,0)</f>
        <v>#N/A</v>
      </c>
      <c r="G871" t="str">
        <f>IF(IFERROR(VLOOKUP(B871,'Devam Eden Sprint'!B:B,1,0),"-")=B871,"Devam Eden Sprint","-")</f>
        <v>-</v>
      </c>
      <c r="H871" t="str">
        <f>IF(IFERROR(VLOOKUP(B871,'Gelecek Sprint'!B:B,1,0),"-")=B871,"Gelecek Sprint","-")</f>
        <v>-</v>
      </c>
      <c r="I871" t="str">
        <f t="shared" si="21"/>
        <v>Ürün İş Listesi</v>
      </c>
    </row>
    <row r="872" spans="1:10" x14ac:dyDescent="0.25">
      <c r="A872" t="s">
        <v>14</v>
      </c>
      <c r="B872" t="s">
        <v>1778</v>
      </c>
      <c r="C872" t="s">
        <v>16</v>
      </c>
      <c r="D872" t="s">
        <v>1779</v>
      </c>
      <c r="E872" s="5" t="s">
        <v>12</v>
      </c>
      <c r="F872" s="5" t="e">
        <f>VLOOKUP(B872,'Türkkep Jira'!B:F,5,0)</f>
        <v>#N/A</v>
      </c>
      <c r="G872" t="str">
        <f>IF(IFERROR(VLOOKUP(B872,'Devam Eden Sprint'!B:B,1,0),"-")=B872,"Devam Eden Sprint","-")</f>
        <v>-</v>
      </c>
      <c r="H872" t="str">
        <f>IF(IFERROR(VLOOKUP(B872,'Gelecek Sprint'!B:B,1,0),"-")=B872,"Gelecek Sprint","-")</f>
        <v>-</v>
      </c>
      <c r="I872" t="str">
        <f t="shared" si="21"/>
        <v>Ürün İş Listesi</v>
      </c>
      <c r="J872" s="5">
        <v>2</v>
      </c>
    </row>
    <row r="873" spans="1:10" x14ac:dyDescent="0.25">
      <c r="A873" t="s">
        <v>14</v>
      </c>
      <c r="B873" t="s">
        <v>1780</v>
      </c>
      <c r="C873" t="s">
        <v>16</v>
      </c>
      <c r="D873" t="s">
        <v>1781</v>
      </c>
      <c r="E873" s="5" t="s">
        <v>12</v>
      </c>
      <c r="F873" s="5" t="e">
        <f>VLOOKUP(B873,'Türkkep Jira'!B:F,5,0)</f>
        <v>#N/A</v>
      </c>
      <c r="G873" t="str">
        <f>IF(IFERROR(VLOOKUP(B873,'Devam Eden Sprint'!B:B,1,0),"-")=B873,"Devam Eden Sprint","-")</f>
        <v>-</v>
      </c>
      <c r="H873" t="str">
        <f>IF(IFERROR(VLOOKUP(B873,'Gelecek Sprint'!B:B,1,0),"-")=B873,"Gelecek Sprint","-")</f>
        <v>-</v>
      </c>
      <c r="I873" t="str">
        <f t="shared" si="21"/>
        <v>Ürün İş Listesi</v>
      </c>
      <c r="J873" s="5">
        <v>2</v>
      </c>
    </row>
    <row r="874" spans="1:10" x14ac:dyDescent="0.25">
      <c r="A874" t="s">
        <v>14</v>
      </c>
      <c r="B874" t="s">
        <v>1782</v>
      </c>
      <c r="C874" t="s">
        <v>16</v>
      </c>
      <c r="D874" t="s">
        <v>1783</v>
      </c>
      <c r="E874" s="5" t="s">
        <v>12</v>
      </c>
      <c r="F874" s="5" t="e">
        <f>VLOOKUP(B874,'Türkkep Jira'!B:F,5,0)</f>
        <v>#N/A</v>
      </c>
      <c r="G874" t="str">
        <f>IF(IFERROR(VLOOKUP(B874,'Devam Eden Sprint'!B:B,1,0),"-")=B874,"Devam Eden Sprint","-")</f>
        <v>-</v>
      </c>
      <c r="H874" t="str">
        <f>IF(IFERROR(VLOOKUP(B874,'Gelecek Sprint'!B:B,1,0),"-")=B874,"Gelecek Sprint","-")</f>
        <v>-</v>
      </c>
      <c r="I874" t="str">
        <f t="shared" si="21"/>
        <v>Ürün İş Listesi</v>
      </c>
    </row>
    <row r="875" spans="1:10" x14ac:dyDescent="0.25">
      <c r="A875" t="s">
        <v>14</v>
      </c>
      <c r="B875" t="s">
        <v>1784</v>
      </c>
      <c r="C875" t="s">
        <v>16</v>
      </c>
      <c r="D875" t="s">
        <v>1785</v>
      </c>
      <c r="E875" s="5" t="s">
        <v>56</v>
      </c>
      <c r="F875" s="5" t="e">
        <f>VLOOKUP(B875,'Türkkep Jira'!B:F,5,0)</f>
        <v>#N/A</v>
      </c>
      <c r="G875" t="str">
        <f>IF(IFERROR(VLOOKUP(B875,'Devam Eden Sprint'!B:B,1,0),"-")=B875,"Devam Eden Sprint","-")</f>
        <v>-</v>
      </c>
      <c r="H875" t="str">
        <f>IF(IFERROR(VLOOKUP(B875,'Gelecek Sprint'!B:B,1,0),"-")=B875,"Gelecek Sprint","-")</f>
        <v>-</v>
      </c>
      <c r="I875" t="str">
        <f t="shared" si="21"/>
        <v>Ürün İş Listesi</v>
      </c>
      <c r="J875" s="5">
        <v>3</v>
      </c>
    </row>
    <row r="876" spans="1:10" x14ac:dyDescent="0.25">
      <c r="A876" t="s">
        <v>14</v>
      </c>
      <c r="B876" t="s">
        <v>1786</v>
      </c>
      <c r="C876" t="s">
        <v>16</v>
      </c>
      <c r="D876" t="s">
        <v>1787</v>
      </c>
      <c r="E876" s="5" t="s">
        <v>136</v>
      </c>
      <c r="F876" s="5" t="e">
        <f>VLOOKUP(B876,'Türkkep Jira'!B:F,5,0)</f>
        <v>#N/A</v>
      </c>
      <c r="G876" t="str">
        <f>IF(IFERROR(VLOOKUP(B876,'Devam Eden Sprint'!B:B,1,0),"-")=B876,"Devam Eden Sprint","-")</f>
        <v>-</v>
      </c>
      <c r="H876" t="str">
        <f>IF(IFERROR(VLOOKUP(B876,'Gelecek Sprint'!B:B,1,0),"-")=B876,"Gelecek Sprint","-")</f>
        <v>-</v>
      </c>
      <c r="I876" t="str">
        <f t="shared" si="21"/>
        <v>Ürün İş Listesi</v>
      </c>
    </row>
    <row r="877" spans="1:10" x14ac:dyDescent="0.25">
      <c r="A877" t="s">
        <v>14</v>
      </c>
      <c r="B877" t="s">
        <v>1788</v>
      </c>
      <c r="C877" t="s">
        <v>16</v>
      </c>
      <c r="D877" t="s">
        <v>1789</v>
      </c>
      <c r="E877" s="5" t="s">
        <v>136</v>
      </c>
      <c r="F877" s="5" t="e">
        <f>VLOOKUP(B877,'Türkkep Jira'!B:F,5,0)</f>
        <v>#N/A</v>
      </c>
      <c r="G877" t="str">
        <f>IF(IFERROR(VLOOKUP(B877,'Devam Eden Sprint'!B:B,1,0),"-")=B877,"Devam Eden Sprint","-")</f>
        <v>-</v>
      </c>
      <c r="H877" t="str">
        <f>IF(IFERROR(VLOOKUP(B877,'Gelecek Sprint'!B:B,1,0),"-")=B877,"Gelecek Sprint","-")</f>
        <v>-</v>
      </c>
      <c r="I877" t="str">
        <f t="shared" si="21"/>
        <v>Ürün İş Listesi</v>
      </c>
    </row>
    <row r="878" spans="1:10" x14ac:dyDescent="0.25">
      <c r="A878" t="s">
        <v>14</v>
      </c>
      <c r="B878" t="s">
        <v>1790</v>
      </c>
      <c r="C878" t="s">
        <v>16</v>
      </c>
      <c r="D878" t="s">
        <v>1791</v>
      </c>
      <c r="E878" s="5" t="s">
        <v>136</v>
      </c>
      <c r="F878" s="5" t="e">
        <f>VLOOKUP(B878,'Türkkep Jira'!B:F,5,0)</f>
        <v>#N/A</v>
      </c>
      <c r="G878" t="str">
        <f>IF(IFERROR(VLOOKUP(B878,'Devam Eden Sprint'!B:B,1,0),"-")=B878,"Devam Eden Sprint","-")</f>
        <v>-</v>
      </c>
      <c r="H878" t="str">
        <f>IF(IFERROR(VLOOKUP(B878,'Gelecek Sprint'!B:B,1,0),"-")=B878,"Gelecek Sprint","-")</f>
        <v>-</v>
      </c>
      <c r="I878" t="str">
        <f t="shared" si="21"/>
        <v>Ürün İş Listesi</v>
      </c>
    </row>
    <row r="879" spans="1:10" x14ac:dyDescent="0.25">
      <c r="A879" t="s">
        <v>14</v>
      </c>
      <c r="B879" t="s">
        <v>1792</v>
      </c>
      <c r="C879" t="s">
        <v>16</v>
      </c>
      <c r="D879" t="s">
        <v>1358</v>
      </c>
      <c r="E879" s="5" t="s">
        <v>1294</v>
      </c>
      <c r="F879" s="5" t="e">
        <f>VLOOKUP(B879,'Türkkep Jira'!B:F,5,0)</f>
        <v>#N/A</v>
      </c>
      <c r="G879" t="str">
        <f>IF(IFERROR(VLOOKUP(B879,'Devam Eden Sprint'!B:B,1,0),"-")=B879,"Devam Eden Sprint","-")</f>
        <v>-</v>
      </c>
      <c r="H879" t="str">
        <f>IF(IFERROR(VLOOKUP(B879,'Gelecek Sprint'!B:B,1,0),"-")=B879,"Gelecek Sprint","-")</f>
        <v>-</v>
      </c>
      <c r="I879" t="str">
        <f t="shared" si="21"/>
        <v>Ürün İş Listesi</v>
      </c>
    </row>
    <row r="880" spans="1:10" x14ac:dyDescent="0.25">
      <c r="A880" t="s">
        <v>14</v>
      </c>
      <c r="B880" t="s">
        <v>1793</v>
      </c>
      <c r="C880" t="s">
        <v>16</v>
      </c>
      <c r="D880" t="s">
        <v>1371</v>
      </c>
      <c r="E880" s="5" t="s">
        <v>50</v>
      </c>
      <c r="F880" s="5" t="e">
        <f>VLOOKUP(B880,'Türkkep Jira'!B:F,5,0)</f>
        <v>#N/A</v>
      </c>
      <c r="G880" t="str">
        <f>IF(IFERROR(VLOOKUP(B880,'Devam Eden Sprint'!B:B,1,0),"-")=B880,"Devam Eden Sprint","-")</f>
        <v>-</v>
      </c>
      <c r="H880" t="str">
        <f>IF(IFERROR(VLOOKUP(B880,'Gelecek Sprint'!B:B,1,0),"-")=B880,"Gelecek Sprint","-")</f>
        <v>-</v>
      </c>
      <c r="I880" t="str">
        <f t="shared" si="21"/>
        <v>Ürün İş Listesi</v>
      </c>
    </row>
    <row r="881" spans="1:10" x14ac:dyDescent="0.25">
      <c r="A881" t="s">
        <v>14</v>
      </c>
      <c r="B881" t="s">
        <v>1794</v>
      </c>
      <c r="C881" t="s">
        <v>16</v>
      </c>
      <c r="D881" t="s">
        <v>1202</v>
      </c>
      <c r="E881" s="5" t="s">
        <v>50</v>
      </c>
      <c r="F881" s="5" t="e">
        <f>VLOOKUP(B881,'Türkkep Jira'!B:F,5,0)</f>
        <v>#N/A</v>
      </c>
      <c r="G881" t="str">
        <f>IF(IFERROR(VLOOKUP(B881,'Devam Eden Sprint'!B:B,1,0),"-")=B881,"Devam Eden Sprint","-")</f>
        <v>-</v>
      </c>
      <c r="H881" t="str">
        <f>IF(IFERROR(VLOOKUP(B881,'Gelecek Sprint'!B:B,1,0),"-")=B881,"Gelecek Sprint","-")</f>
        <v>-</v>
      </c>
      <c r="I881" t="str">
        <f t="shared" si="21"/>
        <v>Ürün İş Listesi</v>
      </c>
    </row>
    <row r="882" spans="1:10" x14ac:dyDescent="0.25">
      <c r="A882" t="s">
        <v>14</v>
      </c>
      <c r="B882" t="s">
        <v>1795</v>
      </c>
      <c r="C882" t="s">
        <v>16</v>
      </c>
      <c r="D882" t="s">
        <v>1298</v>
      </c>
      <c r="E882" s="5" t="s">
        <v>50</v>
      </c>
      <c r="F882" s="5" t="e">
        <f>VLOOKUP(B882,'Türkkep Jira'!B:F,5,0)</f>
        <v>#N/A</v>
      </c>
      <c r="G882" t="str">
        <f>IF(IFERROR(VLOOKUP(B882,'Devam Eden Sprint'!B:B,1,0),"-")=B882,"Devam Eden Sprint","-")</f>
        <v>-</v>
      </c>
      <c r="H882" t="str">
        <f>IF(IFERROR(VLOOKUP(B882,'Gelecek Sprint'!B:B,1,0),"-")=B882,"Gelecek Sprint","-")</f>
        <v>-</v>
      </c>
      <c r="I882" t="str">
        <f t="shared" si="21"/>
        <v>Ürün İş Listesi</v>
      </c>
    </row>
    <row r="883" spans="1:10" x14ac:dyDescent="0.25">
      <c r="A883" t="s">
        <v>14</v>
      </c>
      <c r="B883" t="s">
        <v>1796</v>
      </c>
      <c r="C883" t="s">
        <v>16</v>
      </c>
      <c r="D883" t="s">
        <v>1358</v>
      </c>
      <c r="E883" s="5" t="s">
        <v>50</v>
      </c>
      <c r="F883" s="5" t="e">
        <f>VLOOKUP(B883,'Türkkep Jira'!B:F,5,0)</f>
        <v>#N/A</v>
      </c>
      <c r="G883" t="str">
        <f>IF(IFERROR(VLOOKUP(B883,'Devam Eden Sprint'!B:B,1,0),"-")=B883,"Devam Eden Sprint","-")</f>
        <v>-</v>
      </c>
      <c r="H883" t="str">
        <f>IF(IFERROR(VLOOKUP(B883,'Gelecek Sprint'!B:B,1,0),"-")=B883,"Gelecek Sprint","-")</f>
        <v>-</v>
      </c>
      <c r="I883" t="str">
        <f t="shared" si="21"/>
        <v>Ürün İş Listesi</v>
      </c>
    </row>
    <row r="884" spans="1:10" x14ac:dyDescent="0.25">
      <c r="A884" t="s">
        <v>14</v>
      </c>
      <c r="B884" t="s">
        <v>1797</v>
      </c>
      <c r="C884" t="s">
        <v>16</v>
      </c>
      <c r="D884" t="s">
        <v>1798</v>
      </c>
      <c r="E884" s="5" t="s">
        <v>56</v>
      </c>
      <c r="F884" s="5" t="e">
        <f>VLOOKUP(B884,'Türkkep Jira'!B:F,5,0)</f>
        <v>#N/A</v>
      </c>
      <c r="G884" t="str">
        <f>IF(IFERROR(VLOOKUP(B884,'Devam Eden Sprint'!B:B,1,0),"-")=B884,"Devam Eden Sprint","-")</f>
        <v>-</v>
      </c>
      <c r="H884" t="str">
        <f>IF(IFERROR(VLOOKUP(B884,'Gelecek Sprint'!B:B,1,0),"-")=B884,"Gelecek Sprint","-")</f>
        <v>-</v>
      </c>
      <c r="I884" t="str">
        <f t="shared" si="21"/>
        <v>Ürün İş Listesi</v>
      </c>
    </row>
    <row r="885" spans="1:10" x14ac:dyDescent="0.25">
      <c r="A885" t="s">
        <v>14</v>
      </c>
      <c r="B885" t="s">
        <v>1799</v>
      </c>
      <c r="C885" t="s">
        <v>16</v>
      </c>
      <c r="D885" t="s">
        <v>1800</v>
      </c>
      <c r="E885" s="5" t="s">
        <v>56</v>
      </c>
      <c r="F885" s="5" t="e">
        <f>VLOOKUP(B885,'Türkkep Jira'!B:F,5,0)</f>
        <v>#N/A</v>
      </c>
      <c r="G885" t="str">
        <f>IF(IFERROR(VLOOKUP(B885,'Devam Eden Sprint'!B:B,1,0),"-")=B885,"Devam Eden Sprint","-")</f>
        <v>-</v>
      </c>
      <c r="H885" t="str">
        <f>IF(IFERROR(VLOOKUP(B885,'Gelecek Sprint'!B:B,1,0),"-")=B885,"Gelecek Sprint","-")</f>
        <v>-</v>
      </c>
      <c r="I885" t="str">
        <f t="shared" si="21"/>
        <v>Ürün İş Listesi</v>
      </c>
    </row>
    <row r="886" spans="1:10" x14ac:dyDescent="0.25">
      <c r="A886" t="s">
        <v>14</v>
      </c>
      <c r="B886" t="s">
        <v>1801</v>
      </c>
      <c r="C886" t="s">
        <v>16</v>
      </c>
      <c r="D886" t="s">
        <v>1802</v>
      </c>
      <c r="E886" s="5" t="s">
        <v>56</v>
      </c>
      <c r="F886" s="5" t="e">
        <f>VLOOKUP(B886,'Türkkep Jira'!B:F,5,0)</f>
        <v>#N/A</v>
      </c>
      <c r="G886" t="str">
        <f>IF(IFERROR(VLOOKUP(B886,'Devam Eden Sprint'!B:B,1,0),"-")=B886,"Devam Eden Sprint","-")</f>
        <v>-</v>
      </c>
      <c r="H886" t="str">
        <f>IF(IFERROR(VLOOKUP(B886,'Gelecek Sprint'!B:B,1,0),"-")=B886,"Gelecek Sprint","-")</f>
        <v>-</v>
      </c>
      <c r="I886" t="str">
        <f t="shared" si="21"/>
        <v>Ürün İş Listesi</v>
      </c>
    </row>
    <row r="887" spans="1:10" x14ac:dyDescent="0.25">
      <c r="A887" t="s">
        <v>14</v>
      </c>
      <c r="B887" t="s">
        <v>1803</v>
      </c>
      <c r="C887" t="s">
        <v>16</v>
      </c>
      <c r="D887" t="s">
        <v>1804</v>
      </c>
      <c r="E887" s="5" t="s">
        <v>56</v>
      </c>
      <c r="F887" s="5" t="e">
        <f>VLOOKUP(B887,'Türkkep Jira'!B:F,5,0)</f>
        <v>#N/A</v>
      </c>
      <c r="G887" t="str">
        <f>IF(IFERROR(VLOOKUP(B887,'Devam Eden Sprint'!B:B,1,0),"-")=B887,"Devam Eden Sprint","-")</f>
        <v>-</v>
      </c>
      <c r="H887" t="str">
        <f>IF(IFERROR(VLOOKUP(B887,'Gelecek Sprint'!B:B,1,0),"-")=B887,"Gelecek Sprint","-")</f>
        <v>-</v>
      </c>
      <c r="I887" t="str">
        <f t="shared" si="21"/>
        <v>Ürün İş Listesi</v>
      </c>
    </row>
    <row r="888" spans="1:10" x14ac:dyDescent="0.25">
      <c r="A888" t="s">
        <v>14</v>
      </c>
      <c r="B888" t="s">
        <v>1805</v>
      </c>
      <c r="C888" t="s">
        <v>16</v>
      </c>
      <c r="D888" t="s">
        <v>1806</v>
      </c>
      <c r="E888" s="5" t="s">
        <v>56</v>
      </c>
      <c r="F888" s="5" t="e">
        <f>VLOOKUP(B888,'Türkkep Jira'!B:F,5,0)</f>
        <v>#N/A</v>
      </c>
      <c r="G888" t="str">
        <f>IF(IFERROR(VLOOKUP(B888,'Devam Eden Sprint'!B:B,1,0),"-")=B888,"Devam Eden Sprint","-")</f>
        <v>-</v>
      </c>
      <c r="H888" t="str">
        <f>IF(IFERROR(VLOOKUP(B888,'Gelecek Sprint'!B:B,1,0),"-")=B888,"Gelecek Sprint","-")</f>
        <v>-</v>
      </c>
      <c r="I888" t="str">
        <f t="shared" si="21"/>
        <v>Ürün İş Listesi</v>
      </c>
    </row>
    <row r="889" spans="1:10" x14ac:dyDescent="0.25">
      <c r="A889" t="s">
        <v>14</v>
      </c>
      <c r="B889" t="s">
        <v>1807</v>
      </c>
      <c r="C889" t="s">
        <v>27</v>
      </c>
      <c r="D889" t="s">
        <v>1808</v>
      </c>
      <c r="E889" s="5" t="s">
        <v>12</v>
      </c>
      <c r="F889" s="5" t="str">
        <f>VLOOKUP(B889,'Türkkep Jira'!B:F,5,0)</f>
        <v>TO TEST</v>
      </c>
      <c r="G889" t="str">
        <f>IF(IFERROR(VLOOKUP(B889,'Devam Eden Sprint'!B:B,1,0),"-")=B889,"Devam Eden Sprint","-")</f>
        <v>Devam Eden Sprint</v>
      </c>
      <c r="H889" t="str">
        <f>IF(IFERROR(VLOOKUP(B889,'Gelecek Sprint'!B:B,1,0),"-")=B889,"Gelecek Sprint","-")</f>
        <v>Gelecek Sprint</v>
      </c>
      <c r="I889" t="str">
        <f t="shared" si="21"/>
        <v>Devam Eden ve Gelecek Sprint</v>
      </c>
      <c r="J889" s="5">
        <v>2</v>
      </c>
    </row>
    <row r="890" spans="1:10" x14ac:dyDescent="0.25">
      <c r="A890" t="s">
        <v>14</v>
      </c>
      <c r="B890" t="s">
        <v>1809</v>
      </c>
      <c r="C890" t="s">
        <v>16</v>
      </c>
      <c r="D890" t="s">
        <v>1810</v>
      </c>
      <c r="E890" s="5" t="s">
        <v>12</v>
      </c>
      <c r="F890" s="5" t="e">
        <f>VLOOKUP(B890,'Türkkep Jira'!B:F,5,0)</f>
        <v>#N/A</v>
      </c>
      <c r="G890" t="str">
        <f>IF(IFERROR(VLOOKUP(B890,'Devam Eden Sprint'!B:B,1,0),"-")=B890,"Devam Eden Sprint","-")</f>
        <v>-</v>
      </c>
      <c r="H890" t="str">
        <f>IF(IFERROR(VLOOKUP(B890,'Gelecek Sprint'!B:B,1,0),"-")=B890,"Gelecek Sprint","-")</f>
        <v>-</v>
      </c>
      <c r="I890" t="str">
        <f t="shared" si="21"/>
        <v>Ürün İş Listesi</v>
      </c>
    </row>
    <row r="891" spans="1:10" x14ac:dyDescent="0.25">
      <c r="A891" t="s">
        <v>14</v>
      </c>
      <c r="B891" t="s">
        <v>1811</v>
      </c>
      <c r="C891" t="s">
        <v>16</v>
      </c>
      <c r="D891" t="s">
        <v>1812</v>
      </c>
      <c r="E891" s="5" t="s">
        <v>127</v>
      </c>
      <c r="F891" s="5" t="e">
        <f>VLOOKUP(B891,'Türkkep Jira'!B:F,5,0)</f>
        <v>#N/A</v>
      </c>
      <c r="G891" t="str">
        <f>IF(IFERROR(VLOOKUP(B891,'Devam Eden Sprint'!B:B,1,0),"-")=B891,"Devam Eden Sprint","-")</f>
        <v>-</v>
      </c>
      <c r="H891" t="str">
        <f>IF(IFERROR(VLOOKUP(B891,'Gelecek Sprint'!B:B,1,0),"-")=B891,"Gelecek Sprint","-")</f>
        <v>-</v>
      </c>
      <c r="I891" t="str">
        <f t="shared" si="21"/>
        <v>Ürün İş Listesi</v>
      </c>
    </row>
    <row r="892" spans="1:10" x14ac:dyDescent="0.25">
      <c r="A892" t="s">
        <v>14</v>
      </c>
      <c r="B892" t="s">
        <v>1813</v>
      </c>
      <c r="C892" t="s">
        <v>26</v>
      </c>
      <c r="D892" t="s">
        <v>1814</v>
      </c>
      <c r="E892" s="5" t="s">
        <v>47</v>
      </c>
      <c r="F892" s="5" t="str">
        <f>VLOOKUP(B892,'Türkkep Jira'!B:F,5,0)</f>
        <v>Development</v>
      </c>
      <c r="G892" t="str">
        <f>IF(IFERROR(VLOOKUP(B892,'Devam Eden Sprint'!B:B,1,0),"-")=B892,"Devam Eden Sprint","-")</f>
        <v>Devam Eden Sprint</v>
      </c>
      <c r="H892" t="str">
        <f>IF(IFERROR(VLOOKUP(B892,'Gelecek Sprint'!B:B,1,0),"-")=B892,"Gelecek Sprint","-")</f>
        <v>-</v>
      </c>
      <c r="I892" t="str">
        <f t="shared" si="21"/>
        <v>Devam Eden Sprint</v>
      </c>
      <c r="J892" s="5">
        <v>8</v>
      </c>
    </row>
    <row r="893" spans="1:10" x14ac:dyDescent="0.25">
      <c r="A893" t="s">
        <v>14</v>
      </c>
      <c r="B893" t="s">
        <v>1843</v>
      </c>
      <c r="C893" t="s">
        <v>16</v>
      </c>
      <c r="D893" t="s">
        <v>1842</v>
      </c>
      <c r="E893" s="5" t="s">
        <v>1844</v>
      </c>
      <c r="F893" s="5" t="e">
        <f>VLOOKUP(B893,'Türkkep Jira'!B:F,5,0)</f>
        <v>#N/A</v>
      </c>
      <c r="G893" t="str">
        <f>IF(IFERROR(VLOOKUP(B893,'Devam Eden Sprint'!B:B,1,0),"-")=B893,"Devam Eden Sprint","-")</f>
        <v>-</v>
      </c>
      <c r="H893" t="str">
        <f>IF(IFERROR(VLOOKUP(B893,'Gelecek Sprint'!B:B,1,0),"-")=B893,"Gelecek Sprint","-")</f>
        <v>-</v>
      </c>
      <c r="I893" t="str">
        <f t="shared" ref="I893:I901" si="22">IFERROR(IF(AND(G893="Devam Eden Sprint",H893="Gelecek Sprint"),"Devam Eden ve Gelecek Sprint",IF(G893="Devam Eden Sprint","Devam Eden Sprint",IF(H893="Gelecek Sprint","Gelecek Sprint","Ürün İş Listesi"))),"Ürün İş Listesi")</f>
        <v>Ürün İş Listesi</v>
      </c>
    </row>
    <row r="894" spans="1:10" x14ac:dyDescent="0.25">
      <c r="A894" t="s">
        <v>14</v>
      </c>
      <c r="B894" t="s">
        <v>1846</v>
      </c>
      <c r="C894" t="s">
        <v>16</v>
      </c>
      <c r="D894" t="s">
        <v>1845</v>
      </c>
      <c r="E894" s="5" t="s">
        <v>1844</v>
      </c>
      <c r="F894" s="5" t="e">
        <f>VLOOKUP(B894,'Türkkep Jira'!B:F,5,0)</f>
        <v>#N/A</v>
      </c>
      <c r="G894" t="str">
        <f>IF(IFERROR(VLOOKUP(B894,'Devam Eden Sprint'!B:B,1,0),"-")=B894,"Devam Eden Sprint","-")</f>
        <v>-</v>
      </c>
      <c r="H894" t="str">
        <f>IF(IFERROR(VLOOKUP(B894,'Gelecek Sprint'!B:B,1,0),"-")=B894,"Gelecek Sprint","-")</f>
        <v>-</v>
      </c>
      <c r="I894" t="str">
        <f t="shared" si="22"/>
        <v>Ürün İş Listesi</v>
      </c>
    </row>
    <row r="895" spans="1:10" x14ac:dyDescent="0.25">
      <c r="A895" t="s">
        <v>14</v>
      </c>
      <c r="B895" t="s">
        <v>1848</v>
      </c>
      <c r="C895" t="s">
        <v>16</v>
      </c>
      <c r="D895" t="s">
        <v>1847</v>
      </c>
      <c r="E895" s="5" t="s">
        <v>1844</v>
      </c>
      <c r="F895" s="5" t="e">
        <f>VLOOKUP(B895,'Türkkep Jira'!B:F,5,0)</f>
        <v>#N/A</v>
      </c>
      <c r="G895" t="str">
        <f>IF(IFERROR(VLOOKUP(B895,'Devam Eden Sprint'!B:B,1,0),"-")=B895,"Devam Eden Sprint","-")</f>
        <v>-</v>
      </c>
      <c r="H895" t="str">
        <f>IF(IFERROR(VLOOKUP(B895,'Gelecek Sprint'!B:B,1,0),"-")=B895,"Gelecek Sprint","-")</f>
        <v>-</v>
      </c>
      <c r="I895" t="str">
        <f t="shared" si="22"/>
        <v>Ürün İş Listesi</v>
      </c>
    </row>
    <row r="896" spans="1:10" x14ac:dyDescent="0.25">
      <c r="A896" t="s">
        <v>14</v>
      </c>
      <c r="B896" t="s">
        <v>1850</v>
      </c>
      <c r="C896" t="s">
        <v>16</v>
      </c>
      <c r="D896" t="s">
        <v>1849</v>
      </c>
      <c r="E896" s="5" t="s">
        <v>1844</v>
      </c>
      <c r="F896" s="5" t="e">
        <f>VLOOKUP(B896,'Türkkep Jira'!B:F,5,0)</f>
        <v>#N/A</v>
      </c>
      <c r="G896" t="str">
        <f>IF(IFERROR(VLOOKUP(B896,'Devam Eden Sprint'!B:B,1,0),"-")=B896,"Devam Eden Sprint","-")</f>
        <v>-</v>
      </c>
      <c r="H896" t="str">
        <f>IF(IFERROR(VLOOKUP(B896,'Gelecek Sprint'!B:B,1,0),"-")=B896,"Gelecek Sprint","-")</f>
        <v>-</v>
      </c>
      <c r="I896" t="str">
        <f t="shared" si="22"/>
        <v>Ürün İş Listesi</v>
      </c>
    </row>
    <row r="897" spans="1:9" x14ac:dyDescent="0.25">
      <c r="A897" t="s">
        <v>14</v>
      </c>
      <c r="B897" t="s">
        <v>1852</v>
      </c>
      <c r="C897" t="s">
        <v>26</v>
      </c>
      <c r="D897" t="s">
        <v>1851</v>
      </c>
      <c r="E897" s="5" t="s">
        <v>1844</v>
      </c>
      <c r="F897" s="5" t="str">
        <f>VLOOKUP(B897,'Türkkep Jira'!B:F,5,0)</f>
        <v>In Progress</v>
      </c>
      <c r="G897" t="str">
        <f>IF(IFERROR(VLOOKUP(B897,'Devam Eden Sprint'!B:B,1,0),"-")=B897,"Devam Eden Sprint","-")</f>
        <v>-</v>
      </c>
      <c r="H897" t="str">
        <f>IF(IFERROR(VLOOKUP(B897,'Gelecek Sprint'!B:B,1,0),"-")=B897,"Gelecek Sprint","-")</f>
        <v>-</v>
      </c>
      <c r="I897" t="str">
        <f t="shared" si="22"/>
        <v>Ürün İş Listesi</v>
      </c>
    </row>
    <row r="898" spans="1:9" x14ac:dyDescent="0.25">
      <c r="A898" t="s">
        <v>77</v>
      </c>
      <c r="B898" t="s">
        <v>1854</v>
      </c>
      <c r="C898" t="s">
        <v>16</v>
      </c>
      <c r="D898" t="s">
        <v>1853</v>
      </c>
      <c r="E898" s="5" t="s">
        <v>1844</v>
      </c>
      <c r="F898" s="5" t="e">
        <f>VLOOKUP(B898,'Türkkep Jira'!B:F,5,0)</f>
        <v>#N/A</v>
      </c>
      <c r="G898" t="str">
        <f>IF(IFERROR(VLOOKUP(B898,'Devam Eden Sprint'!B:B,1,0),"-")=B898,"Devam Eden Sprint","-")</f>
        <v>-</v>
      </c>
      <c r="H898" t="str">
        <f>IF(IFERROR(VLOOKUP(B898,'Gelecek Sprint'!B:B,1,0),"-")=B898,"Gelecek Sprint","-")</f>
        <v>-</v>
      </c>
      <c r="I898" t="str">
        <f t="shared" si="22"/>
        <v>Ürün İş Listesi</v>
      </c>
    </row>
    <row r="899" spans="1:9" x14ac:dyDescent="0.25">
      <c r="A899" t="s">
        <v>14</v>
      </c>
      <c r="B899" t="s">
        <v>1856</v>
      </c>
      <c r="C899" t="s">
        <v>16</v>
      </c>
      <c r="D899" t="s">
        <v>1855</v>
      </c>
      <c r="E899" s="5" t="s">
        <v>1844</v>
      </c>
      <c r="F899" s="5" t="e">
        <f>VLOOKUP(B899,'Türkkep Jira'!B:F,5,0)</f>
        <v>#N/A</v>
      </c>
      <c r="G899" t="str">
        <f>IF(IFERROR(VLOOKUP(B899,'Devam Eden Sprint'!B:B,1,0),"-")=B899,"Devam Eden Sprint","-")</f>
        <v>-</v>
      </c>
      <c r="H899" t="str">
        <f>IF(IFERROR(VLOOKUP(B899,'Gelecek Sprint'!B:B,1,0),"-")=B899,"Gelecek Sprint","-")</f>
        <v>-</v>
      </c>
      <c r="I899" t="str">
        <f t="shared" si="22"/>
        <v>Ürün İş Listesi</v>
      </c>
    </row>
    <row r="900" spans="1:9" x14ac:dyDescent="0.25">
      <c r="A900" t="s">
        <v>77</v>
      </c>
      <c r="B900" t="s">
        <v>1858</v>
      </c>
      <c r="C900" t="s">
        <v>16</v>
      </c>
      <c r="D900" t="s">
        <v>1857</v>
      </c>
      <c r="E900" s="5" t="s">
        <v>1844</v>
      </c>
      <c r="F900" s="5" t="e">
        <f>VLOOKUP(B900,'Türkkep Jira'!B:F,5,0)</f>
        <v>#N/A</v>
      </c>
      <c r="G900" t="str">
        <f>IF(IFERROR(VLOOKUP(B900,'Devam Eden Sprint'!B:B,1,0),"-")=B900,"Devam Eden Sprint","-")</f>
        <v>-</v>
      </c>
      <c r="H900" t="str">
        <f>IF(IFERROR(VLOOKUP(B900,'Gelecek Sprint'!B:B,1,0),"-")=B900,"Gelecek Sprint","-")</f>
        <v>-</v>
      </c>
      <c r="I900" t="str">
        <f t="shared" si="22"/>
        <v>Ürün İş Listesi</v>
      </c>
    </row>
    <row r="901" spans="1:9" x14ac:dyDescent="0.25">
      <c r="A901" t="s">
        <v>14</v>
      </c>
      <c r="B901" t="s">
        <v>1860</v>
      </c>
      <c r="C901" t="s">
        <v>16</v>
      </c>
      <c r="D901" t="s">
        <v>1859</v>
      </c>
      <c r="E901" s="5" t="s">
        <v>1844</v>
      </c>
      <c r="F901" s="5" t="e">
        <f>VLOOKUP(B901,'Türkkep Jira'!B:F,5,0)</f>
        <v>#N/A</v>
      </c>
      <c r="G901" t="str">
        <f>IF(IFERROR(VLOOKUP(B901,'Devam Eden Sprint'!B:B,1,0),"-")=B901,"Devam Eden Sprint","-")</f>
        <v>-</v>
      </c>
      <c r="H901" t="str">
        <f>IF(IFERROR(VLOOKUP(B901,'Gelecek Sprint'!B:B,1,0),"-")=B901,"Gelecek Sprint","-")</f>
        <v>-</v>
      </c>
      <c r="I901" t="str">
        <f t="shared" si="22"/>
        <v>Ürün İş Listesi</v>
      </c>
    </row>
    <row r="902" spans="1:9" x14ac:dyDescent="0.25">
      <c r="A902" t="s">
        <v>77</v>
      </c>
      <c r="B902" t="s">
        <v>1861</v>
      </c>
      <c r="C902" t="s">
        <v>16</v>
      </c>
      <c r="D902" t="s">
        <v>1923</v>
      </c>
      <c r="E902" s="5" t="s">
        <v>53</v>
      </c>
      <c r="F902" s="5" t="e">
        <f>VLOOKUP(B902,'Türkkep Jira'!B:F,5,0)</f>
        <v>#N/A</v>
      </c>
      <c r="G902" t="str">
        <f>IF(IFERROR(VLOOKUP(B902,'Devam Eden Sprint'!B:B,1,0),"-")=B902,"Devam Eden Sprint","-")</f>
        <v>-</v>
      </c>
      <c r="H902" t="str">
        <f>IF(IFERROR(VLOOKUP(B902,'Gelecek Sprint'!B:B,1,0),"-")=B902,"Gelecek Sprint","-")</f>
        <v>-</v>
      </c>
      <c r="I902" t="str">
        <f t="shared" ref="I902:I964" si="23">IFERROR(IF(AND(G902="Devam Eden Sprint",H902="Gelecek Sprint"),"Devam Eden ve Gelecek Sprint",IF(G902="Devam Eden Sprint","Devam Eden Sprint",IF(H902="Gelecek Sprint","Gelecek Sprint","Ürün İş Listesi"))),"Ürün İş Listesi")</f>
        <v>Ürün İş Listesi</v>
      </c>
    </row>
    <row r="903" spans="1:9" x14ac:dyDescent="0.25">
      <c r="A903" t="s">
        <v>77</v>
      </c>
      <c r="B903" t="s">
        <v>1862</v>
      </c>
      <c r="C903" t="s">
        <v>16</v>
      </c>
      <c r="D903" t="s">
        <v>1924</v>
      </c>
      <c r="E903" s="5" t="s">
        <v>53</v>
      </c>
      <c r="F903" s="5" t="e">
        <f>VLOOKUP(B903,'Türkkep Jira'!B:F,5,0)</f>
        <v>#N/A</v>
      </c>
      <c r="G903" t="str">
        <f>IF(IFERROR(VLOOKUP(B903,'Devam Eden Sprint'!B:B,1,0),"-")=B903,"Devam Eden Sprint","-")</f>
        <v>-</v>
      </c>
      <c r="H903" t="str">
        <f>IF(IFERROR(VLOOKUP(B903,'Gelecek Sprint'!B:B,1,0),"-")=B903,"Gelecek Sprint","-")</f>
        <v>-</v>
      </c>
      <c r="I903" t="str">
        <f t="shared" si="23"/>
        <v>Ürün İş Listesi</v>
      </c>
    </row>
    <row r="904" spans="1:9" x14ac:dyDescent="0.25">
      <c r="A904" t="s">
        <v>77</v>
      </c>
      <c r="B904" t="s">
        <v>1863</v>
      </c>
      <c r="C904" t="s">
        <v>16</v>
      </c>
      <c r="D904" t="s">
        <v>1925</v>
      </c>
      <c r="E904" s="5" t="s">
        <v>53</v>
      </c>
      <c r="F904" s="5" t="e">
        <f>VLOOKUP(B904,'Türkkep Jira'!B:F,5,0)</f>
        <v>#N/A</v>
      </c>
      <c r="G904" t="str">
        <f>IF(IFERROR(VLOOKUP(B904,'Devam Eden Sprint'!B:B,1,0),"-")=B904,"Devam Eden Sprint","-")</f>
        <v>-</v>
      </c>
      <c r="H904" t="str">
        <f>IF(IFERROR(VLOOKUP(B904,'Gelecek Sprint'!B:B,1,0),"-")=B904,"Gelecek Sprint","-")</f>
        <v>-</v>
      </c>
      <c r="I904" t="str">
        <f t="shared" si="23"/>
        <v>Ürün İş Listesi</v>
      </c>
    </row>
    <row r="905" spans="1:9" x14ac:dyDescent="0.25">
      <c r="A905" t="s">
        <v>77</v>
      </c>
      <c r="B905" t="s">
        <v>1864</v>
      </c>
      <c r="C905" t="s">
        <v>16</v>
      </c>
      <c r="D905" t="s">
        <v>1926</v>
      </c>
      <c r="E905" s="5" t="s">
        <v>127</v>
      </c>
      <c r="F905" s="5" t="e">
        <f>VLOOKUP(B905,'Türkkep Jira'!B:F,5,0)</f>
        <v>#N/A</v>
      </c>
      <c r="G905" t="str">
        <f>IF(IFERROR(VLOOKUP(B905,'Devam Eden Sprint'!B:B,1,0),"-")=B905,"Devam Eden Sprint","-")</f>
        <v>-</v>
      </c>
      <c r="H905" t="str">
        <f>IF(IFERROR(VLOOKUP(B905,'Gelecek Sprint'!B:B,1,0),"-")=B905,"Gelecek Sprint","-")</f>
        <v>-</v>
      </c>
      <c r="I905" t="str">
        <f t="shared" si="23"/>
        <v>Ürün İş Listesi</v>
      </c>
    </row>
    <row r="906" spans="1:9" x14ac:dyDescent="0.25">
      <c r="A906" t="s">
        <v>77</v>
      </c>
      <c r="B906" t="s">
        <v>1865</v>
      </c>
      <c r="C906" t="s">
        <v>16</v>
      </c>
      <c r="D906" t="s">
        <v>1927</v>
      </c>
      <c r="E906" s="5" t="s">
        <v>127</v>
      </c>
      <c r="F906" s="5" t="e">
        <f>VLOOKUP(B906,'Türkkep Jira'!B:F,5,0)</f>
        <v>#N/A</v>
      </c>
      <c r="G906" t="str">
        <f>IF(IFERROR(VLOOKUP(B906,'Devam Eden Sprint'!B:B,1,0),"-")=B906,"Devam Eden Sprint","-")</f>
        <v>-</v>
      </c>
      <c r="H906" t="str">
        <f>IF(IFERROR(VLOOKUP(B906,'Gelecek Sprint'!B:B,1,0),"-")=B906,"Gelecek Sprint","-")</f>
        <v>-</v>
      </c>
      <c r="I906" t="str">
        <f t="shared" si="23"/>
        <v>Ürün İş Listesi</v>
      </c>
    </row>
    <row r="907" spans="1:9" x14ac:dyDescent="0.25">
      <c r="A907" t="s">
        <v>77</v>
      </c>
      <c r="B907" t="s">
        <v>1866</v>
      </c>
      <c r="C907" t="s">
        <v>16</v>
      </c>
      <c r="D907" t="s">
        <v>1928</v>
      </c>
      <c r="E907" s="5" t="s">
        <v>59</v>
      </c>
      <c r="F907" s="5" t="e">
        <f>VLOOKUP(B907,'Türkkep Jira'!B:F,5,0)</f>
        <v>#N/A</v>
      </c>
      <c r="G907" t="str">
        <f>IF(IFERROR(VLOOKUP(B907,'Devam Eden Sprint'!B:B,1,0),"-")=B907,"Devam Eden Sprint","-")</f>
        <v>-</v>
      </c>
      <c r="H907" t="str">
        <f>IF(IFERROR(VLOOKUP(B907,'Gelecek Sprint'!B:B,1,0),"-")=B907,"Gelecek Sprint","-")</f>
        <v>-</v>
      </c>
      <c r="I907" t="str">
        <f t="shared" si="23"/>
        <v>Ürün İş Listesi</v>
      </c>
    </row>
    <row r="908" spans="1:9" x14ac:dyDescent="0.25">
      <c r="A908" t="s">
        <v>77</v>
      </c>
      <c r="B908" t="s">
        <v>1867</v>
      </c>
      <c r="C908" t="s">
        <v>16</v>
      </c>
      <c r="D908" t="s">
        <v>1929</v>
      </c>
      <c r="E908" s="5" t="s">
        <v>59</v>
      </c>
      <c r="F908" s="5" t="e">
        <f>VLOOKUP(B908,'Türkkep Jira'!B:F,5,0)</f>
        <v>#N/A</v>
      </c>
      <c r="G908" t="str">
        <f>IF(IFERROR(VLOOKUP(B908,'Devam Eden Sprint'!B:B,1,0),"-")=B908,"Devam Eden Sprint","-")</f>
        <v>-</v>
      </c>
      <c r="H908" t="str">
        <f>IF(IFERROR(VLOOKUP(B908,'Gelecek Sprint'!B:B,1,0),"-")=B908,"Gelecek Sprint","-")</f>
        <v>-</v>
      </c>
      <c r="I908" t="str">
        <f t="shared" si="23"/>
        <v>Ürün İş Listesi</v>
      </c>
    </row>
    <row r="909" spans="1:9" x14ac:dyDescent="0.25">
      <c r="A909" t="s">
        <v>77</v>
      </c>
      <c r="B909" t="s">
        <v>1868</v>
      </c>
      <c r="C909" t="s">
        <v>16</v>
      </c>
      <c r="D909" t="s">
        <v>1930</v>
      </c>
      <c r="E909" s="5" t="s">
        <v>59</v>
      </c>
      <c r="F909" s="5" t="e">
        <f>VLOOKUP(B909,'Türkkep Jira'!B:F,5,0)</f>
        <v>#N/A</v>
      </c>
      <c r="G909" t="str">
        <f>IF(IFERROR(VLOOKUP(B909,'Devam Eden Sprint'!B:B,1,0),"-")=B909,"Devam Eden Sprint","-")</f>
        <v>-</v>
      </c>
      <c r="H909" t="str">
        <f>IF(IFERROR(VLOOKUP(B909,'Gelecek Sprint'!B:B,1,0),"-")=B909,"Gelecek Sprint","-")</f>
        <v>-</v>
      </c>
      <c r="I909" t="str">
        <f t="shared" si="23"/>
        <v>Ürün İş Listesi</v>
      </c>
    </row>
    <row r="910" spans="1:9" x14ac:dyDescent="0.25">
      <c r="A910" t="s">
        <v>77</v>
      </c>
      <c r="B910" t="s">
        <v>1869</v>
      </c>
      <c r="C910" t="s">
        <v>16</v>
      </c>
      <c r="D910" t="s">
        <v>1931</v>
      </c>
      <c r="E910" s="5" t="s">
        <v>59</v>
      </c>
      <c r="F910" s="5" t="e">
        <f>VLOOKUP(B910,'Türkkep Jira'!B:F,5,0)</f>
        <v>#N/A</v>
      </c>
      <c r="G910" t="str">
        <f>IF(IFERROR(VLOOKUP(B910,'Devam Eden Sprint'!B:B,1,0),"-")=B910,"Devam Eden Sprint","-")</f>
        <v>-</v>
      </c>
      <c r="H910" t="str">
        <f>IF(IFERROR(VLOOKUP(B910,'Gelecek Sprint'!B:B,1,0),"-")=B910,"Gelecek Sprint","-")</f>
        <v>-</v>
      </c>
      <c r="I910" t="str">
        <f t="shared" si="23"/>
        <v>Ürün İş Listesi</v>
      </c>
    </row>
    <row r="911" spans="1:9" x14ac:dyDescent="0.25">
      <c r="A911" t="s">
        <v>77</v>
      </c>
      <c r="B911" t="s">
        <v>1870</v>
      </c>
      <c r="C911" t="s">
        <v>16</v>
      </c>
      <c r="D911" t="s">
        <v>1932</v>
      </c>
      <c r="E911" s="5" t="s">
        <v>455</v>
      </c>
      <c r="F911" s="5" t="e">
        <f>VLOOKUP(B911,'Türkkep Jira'!B:F,5,0)</f>
        <v>#N/A</v>
      </c>
      <c r="G911" t="str">
        <f>IF(IFERROR(VLOOKUP(B911,'Devam Eden Sprint'!B:B,1,0),"-")=B911,"Devam Eden Sprint","-")</f>
        <v>-</v>
      </c>
      <c r="H911" t="str">
        <f>IF(IFERROR(VLOOKUP(B911,'Gelecek Sprint'!B:B,1,0),"-")=B911,"Gelecek Sprint","-")</f>
        <v>-</v>
      </c>
      <c r="I911" t="str">
        <f t="shared" si="23"/>
        <v>Ürün İş Listesi</v>
      </c>
    </row>
    <row r="912" spans="1:9" x14ac:dyDescent="0.25">
      <c r="A912" t="s">
        <v>77</v>
      </c>
      <c r="B912" t="s">
        <v>1871</v>
      </c>
      <c r="C912" t="s">
        <v>16</v>
      </c>
      <c r="D912" t="s">
        <v>1933</v>
      </c>
      <c r="E912" s="5" t="s">
        <v>455</v>
      </c>
      <c r="F912" s="5" t="e">
        <f>VLOOKUP(B912,'Türkkep Jira'!B:F,5,0)</f>
        <v>#N/A</v>
      </c>
      <c r="G912" t="str">
        <f>IF(IFERROR(VLOOKUP(B912,'Devam Eden Sprint'!B:B,1,0),"-")=B912,"Devam Eden Sprint","-")</f>
        <v>-</v>
      </c>
      <c r="H912" t="str">
        <f>IF(IFERROR(VLOOKUP(B912,'Gelecek Sprint'!B:B,1,0),"-")=B912,"Gelecek Sprint","-")</f>
        <v>-</v>
      </c>
      <c r="I912" t="str">
        <f t="shared" si="23"/>
        <v>Ürün İş Listesi</v>
      </c>
    </row>
    <row r="913" spans="1:10" x14ac:dyDescent="0.25">
      <c r="A913" t="s">
        <v>77</v>
      </c>
      <c r="B913" t="s">
        <v>1872</v>
      </c>
      <c r="C913" t="s">
        <v>16</v>
      </c>
      <c r="D913" t="s">
        <v>1934</v>
      </c>
      <c r="E913" s="5" t="s">
        <v>455</v>
      </c>
      <c r="F913" s="5" t="e">
        <f>VLOOKUP(B913,'Türkkep Jira'!B:F,5,0)</f>
        <v>#N/A</v>
      </c>
      <c r="G913" t="str">
        <f>IF(IFERROR(VLOOKUP(B913,'Devam Eden Sprint'!B:B,1,0),"-")=B913,"Devam Eden Sprint","-")</f>
        <v>-</v>
      </c>
      <c r="H913" t="str">
        <f>IF(IFERROR(VLOOKUP(B913,'Gelecek Sprint'!B:B,1,0),"-")=B913,"Gelecek Sprint","-")</f>
        <v>-</v>
      </c>
      <c r="I913" t="str">
        <f t="shared" si="23"/>
        <v>Ürün İş Listesi</v>
      </c>
    </row>
    <row r="914" spans="1:10" x14ac:dyDescent="0.25">
      <c r="A914" t="s">
        <v>77</v>
      </c>
      <c r="B914" t="s">
        <v>1873</v>
      </c>
      <c r="C914" t="s">
        <v>16</v>
      </c>
      <c r="D914" t="s">
        <v>1935</v>
      </c>
      <c r="E914" s="5" t="s">
        <v>455</v>
      </c>
      <c r="F914" s="5" t="e">
        <f>VLOOKUP(B914,'Türkkep Jira'!B:F,5,0)</f>
        <v>#N/A</v>
      </c>
      <c r="G914" t="str">
        <f>IF(IFERROR(VLOOKUP(B914,'Devam Eden Sprint'!B:B,1,0),"-")=B914,"Devam Eden Sprint","-")</f>
        <v>-</v>
      </c>
      <c r="H914" t="str">
        <f>IF(IFERROR(VLOOKUP(B914,'Gelecek Sprint'!B:B,1,0),"-")=B914,"Gelecek Sprint","-")</f>
        <v>-</v>
      </c>
      <c r="I914" t="str">
        <f t="shared" si="23"/>
        <v>Ürün İş Listesi</v>
      </c>
    </row>
    <row r="915" spans="1:10" x14ac:dyDescent="0.25">
      <c r="A915" t="s">
        <v>77</v>
      </c>
      <c r="B915" t="s">
        <v>1874</v>
      </c>
      <c r="C915" t="s">
        <v>16</v>
      </c>
      <c r="D915" t="s">
        <v>1936</v>
      </c>
      <c r="E915" s="5" t="s">
        <v>455</v>
      </c>
      <c r="F915" s="5" t="e">
        <f>VLOOKUP(B915,'Türkkep Jira'!B:F,5,0)</f>
        <v>#N/A</v>
      </c>
      <c r="G915" t="str">
        <f>IF(IFERROR(VLOOKUP(B915,'Devam Eden Sprint'!B:B,1,0),"-")=B915,"Devam Eden Sprint","-")</f>
        <v>-</v>
      </c>
      <c r="H915" t="str">
        <f>IF(IFERROR(VLOOKUP(B915,'Gelecek Sprint'!B:B,1,0),"-")=B915,"Gelecek Sprint","-")</f>
        <v>-</v>
      </c>
      <c r="I915" t="str">
        <f t="shared" si="23"/>
        <v>Ürün İş Listesi</v>
      </c>
    </row>
    <row r="916" spans="1:10" x14ac:dyDescent="0.25">
      <c r="A916" t="s">
        <v>77</v>
      </c>
      <c r="B916" t="s">
        <v>1875</v>
      </c>
      <c r="C916" t="s">
        <v>16</v>
      </c>
      <c r="D916" t="s">
        <v>1937</v>
      </c>
      <c r="E916" s="5" t="s">
        <v>455</v>
      </c>
      <c r="F916" s="5" t="e">
        <f>VLOOKUP(B916,'Türkkep Jira'!B:F,5,0)</f>
        <v>#N/A</v>
      </c>
      <c r="G916" t="str">
        <f>IF(IFERROR(VLOOKUP(B916,'Devam Eden Sprint'!B:B,1,0),"-")=B916,"Devam Eden Sprint","-")</f>
        <v>-</v>
      </c>
      <c r="H916" t="str">
        <f>IF(IFERROR(VLOOKUP(B916,'Gelecek Sprint'!B:B,1,0),"-")=B916,"Gelecek Sprint","-")</f>
        <v>-</v>
      </c>
      <c r="I916" t="str">
        <f t="shared" si="23"/>
        <v>Ürün İş Listesi</v>
      </c>
    </row>
    <row r="917" spans="1:10" x14ac:dyDescent="0.25">
      <c r="A917" t="s">
        <v>77</v>
      </c>
      <c r="B917" t="s">
        <v>1876</v>
      </c>
      <c r="C917" t="s">
        <v>16</v>
      </c>
      <c r="D917" t="s">
        <v>1938</v>
      </c>
      <c r="E917" s="5" t="s">
        <v>455</v>
      </c>
      <c r="F917" s="5" t="e">
        <f>VLOOKUP(B917,'Türkkep Jira'!B:F,5,0)</f>
        <v>#N/A</v>
      </c>
      <c r="G917" t="str">
        <f>IF(IFERROR(VLOOKUP(B917,'Devam Eden Sprint'!B:B,1,0),"-")=B917,"Devam Eden Sprint","-")</f>
        <v>-</v>
      </c>
      <c r="H917" t="str">
        <f>IF(IFERROR(VLOOKUP(B917,'Gelecek Sprint'!B:B,1,0),"-")=B917,"Gelecek Sprint","-")</f>
        <v>-</v>
      </c>
      <c r="I917" t="str">
        <f t="shared" si="23"/>
        <v>Ürün İş Listesi</v>
      </c>
    </row>
    <row r="918" spans="1:10" x14ac:dyDescent="0.25">
      <c r="A918" t="s">
        <v>77</v>
      </c>
      <c r="B918" t="s">
        <v>1877</v>
      </c>
      <c r="C918" t="s">
        <v>16</v>
      </c>
      <c r="D918" t="s">
        <v>1939</v>
      </c>
      <c r="E918" s="5" t="s">
        <v>455</v>
      </c>
      <c r="F918" s="5" t="e">
        <f>VLOOKUP(B918,'Türkkep Jira'!B:F,5,0)</f>
        <v>#N/A</v>
      </c>
      <c r="G918" t="str">
        <f>IF(IFERROR(VLOOKUP(B918,'Devam Eden Sprint'!B:B,1,0),"-")=B918,"Devam Eden Sprint","-")</f>
        <v>-</v>
      </c>
      <c r="H918" t="str">
        <f>IF(IFERROR(VLOOKUP(B918,'Gelecek Sprint'!B:B,1,0),"-")=B918,"Gelecek Sprint","-")</f>
        <v>-</v>
      </c>
      <c r="I918" t="str">
        <f t="shared" si="23"/>
        <v>Ürün İş Listesi</v>
      </c>
    </row>
    <row r="919" spans="1:10" x14ac:dyDescent="0.25">
      <c r="A919" t="s">
        <v>77</v>
      </c>
      <c r="B919" t="s">
        <v>1878</v>
      </c>
      <c r="C919" t="s">
        <v>16</v>
      </c>
      <c r="D919" t="s">
        <v>1940</v>
      </c>
      <c r="E919" s="5" t="s">
        <v>56</v>
      </c>
      <c r="F919" s="5" t="e">
        <f>VLOOKUP(B919,'Türkkep Jira'!B:F,5,0)</f>
        <v>#N/A</v>
      </c>
      <c r="G919" t="str">
        <f>IF(IFERROR(VLOOKUP(B919,'Devam Eden Sprint'!B:B,1,0),"-")=B919,"Devam Eden Sprint","-")</f>
        <v>-</v>
      </c>
      <c r="H919" t="str">
        <f>IF(IFERROR(VLOOKUP(B919,'Gelecek Sprint'!B:B,1,0),"-")=B919,"Gelecek Sprint","-")</f>
        <v>-</v>
      </c>
      <c r="I919" t="str">
        <f t="shared" si="23"/>
        <v>Ürün İş Listesi</v>
      </c>
    </row>
    <row r="920" spans="1:10" x14ac:dyDescent="0.25">
      <c r="A920" t="s">
        <v>77</v>
      </c>
      <c r="B920" t="s">
        <v>1879</v>
      </c>
      <c r="C920" t="s">
        <v>16</v>
      </c>
      <c r="D920" t="s">
        <v>1941</v>
      </c>
      <c r="E920" s="5" t="s">
        <v>56</v>
      </c>
      <c r="F920" s="5" t="e">
        <f>VLOOKUP(B920,'Türkkep Jira'!B:F,5,0)</f>
        <v>#N/A</v>
      </c>
      <c r="G920" t="str">
        <f>IF(IFERROR(VLOOKUP(B920,'Devam Eden Sprint'!B:B,1,0),"-")=B920,"Devam Eden Sprint","-")</f>
        <v>-</v>
      </c>
      <c r="H920" t="str">
        <f>IF(IFERROR(VLOOKUP(B920,'Gelecek Sprint'!B:B,1,0),"-")=B920,"Gelecek Sprint","-")</f>
        <v>-</v>
      </c>
      <c r="I920" t="str">
        <f t="shared" si="23"/>
        <v>Ürün İş Listesi</v>
      </c>
    </row>
    <row r="921" spans="1:10" x14ac:dyDescent="0.25">
      <c r="A921" t="s">
        <v>77</v>
      </c>
      <c r="B921" t="s">
        <v>1880</v>
      </c>
      <c r="C921" t="s">
        <v>16</v>
      </c>
      <c r="D921" t="s">
        <v>1942</v>
      </c>
      <c r="E921" s="5" t="s">
        <v>56</v>
      </c>
      <c r="F921" s="5" t="e">
        <f>VLOOKUP(B921,'Türkkep Jira'!B:F,5,0)</f>
        <v>#N/A</v>
      </c>
      <c r="G921" t="str">
        <f>IF(IFERROR(VLOOKUP(B921,'Devam Eden Sprint'!B:B,1,0),"-")=B921,"Devam Eden Sprint","-")</f>
        <v>-</v>
      </c>
      <c r="H921" t="str">
        <f>IF(IFERROR(VLOOKUP(B921,'Gelecek Sprint'!B:B,1,0),"-")=B921,"Gelecek Sprint","-")</f>
        <v>-</v>
      </c>
      <c r="I921" t="str">
        <f t="shared" si="23"/>
        <v>Ürün İş Listesi</v>
      </c>
    </row>
    <row r="922" spans="1:10" x14ac:dyDescent="0.25">
      <c r="A922" t="s">
        <v>77</v>
      </c>
      <c r="B922" t="s">
        <v>1881</v>
      </c>
      <c r="C922" t="s">
        <v>16</v>
      </c>
      <c r="D922" t="s">
        <v>1943</v>
      </c>
      <c r="E922" s="5" t="s">
        <v>56</v>
      </c>
      <c r="F922" s="5" t="e">
        <f>VLOOKUP(B922,'Türkkep Jira'!B:F,5,0)</f>
        <v>#N/A</v>
      </c>
      <c r="G922" t="str">
        <f>IF(IFERROR(VLOOKUP(B922,'Devam Eden Sprint'!B:B,1,0),"-")=B922,"Devam Eden Sprint","-")</f>
        <v>-</v>
      </c>
      <c r="H922" t="str">
        <f>IF(IFERROR(VLOOKUP(B922,'Gelecek Sprint'!B:B,1,0),"-")=B922,"Gelecek Sprint","-")</f>
        <v>-</v>
      </c>
      <c r="I922" t="str">
        <f t="shared" si="23"/>
        <v>Ürün İş Listesi</v>
      </c>
      <c r="J922" s="5">
        <v>1</v>
      </c>
    </row>
    <row r="923" spans="1:10" x14ac:dyDescent="0.25">
      <c r="A923" t="s">
        <v>77</v>
      </c>
      <c r="B923" t="s">
        <v>1882</v>
      </c>
      <c r="C923" t="s">
        <v>16</v>
      </c>
      <c r="D923" t="s">
        <v>1944</v>
      </c>
      <c r="E923" s="5" t="s">
        <v>56</v>
      </c>
      <c r="F923" s="5" t="e">
        <f>VLOOKUP(B923,'Türkkep Jira'!B:F,5,0)</f>
        <v>#N/A</v>
      </c>
      <c r="G923" t="str">
        <f>IF(IFERROR(VLOOKUP(B923,'Devam Eden Sprint'!B:B,1,0),"-")=B923,"Devam Eden Sprint","-")</f>
        <v>-</v>
      </c>
      <c r="H923" t="str">
        <f>IF(IFERROR(VLOOKUP(B923,'Gelecek Sprint'!B:B,1,0),"-")=B923,"Gelecek Sprint","-")</f>
        <v>-</v>
      </c>
      <c r="I923" t="str">
        <f t="shared" si="23"/>
        <v>Ürün İş Listesi</v>
      </c>
    </row>
    <row r="924" spans="1:10" x14ac:dyDescent="0.25">
      <c r="A924" t="s">
        <v>77</v>
      </c>
      <c r="B924" t="s">
        <v>1883</v>
      </c>
      <c r="C924" t="s">
        <v>16</v>
      </c>
      <c r="D924" t="s">
        <v>1945</v>
      </c>
      <c r="E924" s="5" t="s">
        <v>56</v>
      </c>
      <c r="F924" s="5" t="e">
        <f>VLOOKUP(B924,'Türkkep Jira'!B:F,5,0)</f>
        <v>#N/A</v>
      </c>
      <c r="G924" t="str">
        <f>IF(IFERROR(VLOOKUP(B924,'Devam Eden Sprint'!B:B,1,0),"-")=B924,"Devam Eden Sprint","-")</f>
        <v>-</v>
      </c>
      <c r="H924" t="str">
        <f>IF(IFERROR(VLOOKUP(B924,'Gelecek Sprint'!B:B,1,0),"-")=B924,"Gelecek Sprint","-")</f>
        <v>-</v>
      </c>
      <c r="I924" t="str">
        <f t="shared" si="23"/>
        <v>Ürün İş Listesi</v>
      </c>
    </row>
    <row r="925" spans="1:10" x14ac:dyDescent="0.25">
      <c r="A925" t="s">
        <v>77</v>
      </c>
      <c r="B925" t="s">
        <v>1884</v>
      </c>
      <c r="C925" t="s">
        <v>16</v>
      </c>
      <c r="D925" t="s">
        <v>1946</v>
      </c>
      <c r="E925" s="5" t="s">
        <v>56</v>
      </c>
      <c r="F925" s="5" t="str">
        <f>VLOOKUP(B925,'Türkkep Jira'!B:F,5,0)</f>
        <v>Done</v>
      </c>
      <c r="G925" t="str">
        <f>IF(IFERROR(VLOOKUP(B925,'Devam Eden Sprint'!B:B,1,0),"-")=B925,"Devam Eden Sprint","-")</f>
        <v>-</v>
      </c>
      <c r="H925" t="str">
        <f>IF(IFERROR(VLOOKUP(B925,'Gelecek Sprint'!B:B,1,0),"-")=B925,"Gelecek Sprint","-")</f>
        <v>-</v>
      </c>
      <c r="I925" t="str">
        <f t="shared" si="23"/>
        <v>Ürün İş Listesi</v>
      </c>
    </row>
    <row r="926" spans="1:10" x14ac:dyDescent="0.25">
      <c r="A926" t="s">
        <v>77</v>
      </c>
      <c r="B926" t="s">
        <v>1885</v>
      </c>
      <c r="C926" t="s">
        <v>16</v>
      </c>
      <c r="D926" t="s">
        <v>1947</v>
      </c>
      <c r="E926" s="5" t="s">
        <v>56</v>
      </c>
      <c r="F926" s="5" t="e">
        <f>VLOOKUP(B926,'Türkkep Jira'!B:F,5,0)</f>
        <v>#N/A</v>
      </c>
      <c r="G926" t="str">
        <f>IF(IFERROR(VLOOKUP(B926,'Devam Eden Sprint'!B:B,1,0),"-")=B926,"Devam Eden Sprint","-")</f>
        <v>-</v>
      </c>
      <c r="H926" t="str">
        <f>IF(IFERROR(VLOOKUP(B926,'Gelecek Sprint'!B:B,1,0),"-")=B926,"Gelecek Sprint","-")</f>
        <v>-</v>
      </c>
      <c r="I926" t="str">
        <f t="shared" si="23"/>
        <v>Ürün İş Listesi</v>
      </c>
    </row>
    <row r="927" spans="1:10" x14ac:dyDescent="0.25">
      <c r="A927" t="s">
        <v>77</v>
      </c>
      <c r="B927" t="s">
        <v>1886</v>
      </c>
      <c r="C927" t="s">
        <v>16</v>
      </c>
      <c r="D927" t="s">
        <v>1948</v>
      </c>
      <c r="E927" s="5" t="s">
        <v>47</v>
      </c>
      <c r="F927" s="5" t="e">
        <f>VLOOKUP(B927,'Türkkep Jira'!B:F,5,0)</f>
        <v>#N/A</v>
      </c>
      <c r="G927" t="str">
        <f>IF(IFERROR(VLOOKUP(B927,'Devam Eden Sprint'!B:B,1,0),"-")=B927,"Devam Eden Sprint","-")</f>
        <v>-</v>
      </c>
      <c r="H927" t="str">
        <f>IF(IFERROR(VLOOKUP(B927,'Gelecek Sprint'!B:B,1,0),"-")=B927,"Gelecek Sprint","-")</f>
        <v>-</v>
      </c>
      <c r="I927" t="str">
        <f t="shared" si="23"/>
        <v>Ürün İş Listesi</v>
      </c>
    </row>
    <row r="928" spans="1:10" x14ac:dyDescent="0.25">
      <c r="A928" t="s">
        <v>77</v>
      </c>
      <c r="B928" t="s">
        <v>1887</v>
      </c>
      <c r="C928" t="s">
        <v>16</v>
      </c>
      <c r="D928" t="s">
        <v>1949</v>
      </c>
      <c r="E928" s="5" t="s">
        <v>47</v>
      </c>
      <c r="F928" s="5" t="e">
        <f>VLOOKUP(B928,'Türkkep Jira'!B:F,5,0)</f>
        <v>#N/A</v>
      </c>
      <c r="G928" t="str">
        <f>IF(IFERROR(VLOOKUP(B928,'Devam Eden Sprint'!B:B,1,0),"-")=B928,"Devam Eden Sprint","-")</f>
        <v>-</v>
      </c>
      <c r="H928" t="str">
        <f>IF(IFERROR(VLOOKUP(B928,'Gelecek Sprint'!B:B,1,0),"-")=B928,"Gelecek Sprint","-")</f>
        <v>-</v>
      </c>
      <c r="I928" t="str">
        <f t="shared" si="23"/>
        <v>Ürün İş Listesi</v>
      </c>
    </row>
    <row r="929" spans="1:10" x14ac:dyDescent="0.25">
      <c r="A929" t="s">
        <v>77</v>
      </c>
      <c r="B929" t="s">
        <v>1888</v>
      </c>
      <c r="C929" t="s">
        <v>16</v>
      </c>
      <c r="D929" t="s">
        <v>1950</v>
      </c>
      <c r="E929" s="5" t="s">
        <v>50</v>
      </c>
      <c r="F929" s="5" t="e">
        <f>VLOOKUP(B929,'Türkkep Jira'!B:F,5,0)</f>
        <v>#N/A</v>
      </c>
      <c r="G929" t="str">
        <f>IF(IFERROR(VLOOKUP(B929,'Devam Eden Sprint'!B:B,1,0),"-")=B929,"Devam Eden Sprint","-")</f>
        <v>-</v>
      </c>
      <c r="H929" t="str">
        <f>IF(IFERROR(VLOOKUP(B929,'Gelecek Sprint'!B:B,1,0),"-")=B929,"Gelecek Sprint","-")</f>
        <v>-</v>
      </c>
      <c r="I929" t="str">
        <f t="shared" si="23"/>
        <v>Ürün İş Listesi</v>
      </c>
    </row>
    <row r="930" spans="1:10" x14ac:dyDescent="0.25">
      <c r="A930" t="s">
        <v>77</v>
      </c>
      <c r="B930" t="s">
        <v>1889</v>
      </c>
      <c r="C930" t="s">
        <v>16</v>
      </c>
      <c r="D930" t="s">
        <v>1951</v>
      </c>
      <c r="E930" s="5" t="s">
        <v>50</v>
      </c>
      <c r="F930" s="5" t="e">
        <f>VLOOKUP(B930,'Türkkep Jira'!B:F,5,0)</f>
        <v>#N/A</v>
      </c>
      <c r="G930" t="str">
        <f>IF(IFERROR(VLOOKUP(B930,'Devam Eden Sprint'!B:B,1,0),"-")=B930,"Devam Eden Sprint","-")</f>
        <v>-</v>
      </c>
      <c r="H930" t="str">
        <f>IF(IFERROR(VLOOKUP(B930,'Gelecek Sprint'!B:B,1,0),"-")=B930,"Gelecek Sprint","-")</f>
        <v>-</v>
      </c>
      <c r="I930" t="str">
        <f t="shared" si="23"/>
        <v>Ürün İş Listesi</v>
      </c>
    </row>
    <row r="931" spans="1:10" x14ac:dyDescent="0.25">
      <c r="A931" t="s">
        <v>77</v>
      </c>
      <c r="B931" t="s">
        <v>1890</v>
      </c>
      <c r="C931" t="s">
        <v>16</v>
      </c>
      <c r="D931" t="s">
        <v>1952</v>
      </c>
      <c r="E931" s="5" t="s">
        <v>50</v>
      </c>
      <c r="F931" s="5" t="e">
        <f>VLOOKUP(B931,'Türkkep Jira'!B:F,5,0)</f>
        <v>#N/A</v>
      </c>
      <c r="G931" t="str">
        <f>IF(IFERROR(VLOOKUP(B931,'Devam Eden Sprint'!B:B,1,0),"-")=B931,"Devam Eden Sprint","-")</f>
        <v>-</v>
      </c>
      <c r="H931" t="str">
        <f>IF(IFERROR(VLOOKUP(B931,'Gelecek Sprint'!B:B,1,0),"-")=B931,"Gelecek Sprint","-")</f>
        <v>-</v>
      </c>
      <c r="I931" t="str">
        <f t="shared" si="23"/>
        <v>Ürün İş Listesi</v>
      </c>
    </row>
    <row r="932" spans="1:10" x14ac:dyDescent="0.25">
      <c r="A932" t="s">
        <v>77</v>
      </c>
      <c r="B932" t="s">
        <v>1891</v>
      </c>
      <c r="C932" t="s">
        <v>16</v>
      </c>
      <c r="D932" t="s">
        <v>1953</v>
      </c>
      <c r="E932" s="5" t="s">
        <v>44</v>
      </c>
      <c r="F932" s="5" t="e">
        <f>VLOOKUP(B932,'Türkkep Jira'!B:F,5,0)</f>
        <v>#N/A</v>
      </c>
      <c r="G932" t="str">
        <f>IF(IFERROR(VLOOKUP(B932,'Devam Eden Sprint'!B:B,1,0),"-")=B932,"Devam Eden Sprint","-")</f>
        <v>-</v>
      </c>
      <c r="H932" t="str">
        <f>IF(IFERROR(VLOOKUP(B932,'Gelecek Sprint'!B:B,1,0),"-")=B932,"Gelecek Sprint","-")</f>
        <v>-</v>
      </c>
      <c r="I932" t="str">
        <f t="shared" si="23"/>
        <v>Ürün İş Listesi</v>
      </c>
      <c r="J932" s="5">
        <v>3</v>
      </c>
    </row>
    <row r="933" spans="1:10" x14ac:dyDescent="0.25">
      <c r="A933" t="s">
        <v>77</v>
      </c>
      <c r="B933" t="s">
        <v>1892</v>
      </c>
      <c r="C933" t="s">
        <v>16</v>
      </c>
      <c r="D933" t="s">
        <v>1954</v>
      </c>
      <c r="E933" s="5" t="s">
        <v>44</v>
      </c>
      <c r="F933" s="5" t="e">
        <f>VLOOKUP(B933,'Türkkep Jira'!B:F,5,0)</f>
        <v>#N/A</v>
      </c>
      <c r="G933" t="str">
        <f>IF(IFERROR(VLOOKUP(B933,'Devam Eden Sprint'!B:B,1,0),"-")=B933,"Devam Eden Sprint","-")</f>
        <v>-</v>
      </c>
      <c r="H933" t="str">
        <f>IF(IFERROR(VLOOKUP(B933,'Gelecek Sprint'!B:B,1,0),"-")=B933,"Gelecek Sprint","-")</f>
        <v>-</v>
      </c>
      <c r="I933" t="str">
        <f t="shared" si="23"/>
        <v>Ürün İş Listesi</v>
      </c>
    </row>
    <row r="934" spans="1:10" x14ac:dyDescent="0.25">
      <c r="A934" t="s">
        <v>77</v>
      </c>
      <c r="B934" t="s">
        <v>1893</v>
      </c>
      <c r="C934" t="s">
        <v>10</v>
      </c>
      <c r="D934" t="s">
        <v>1955</v>
      </c>
      <c r="E934" s="5" t="s">
        <v>44</v>
      </c>
      <c r="F934" s="5" t="e">
        <f>VLOOKUP(B934,'Türkkep Jira'!B:F,5,0)</f>
        <v>#N/A</v>
      </c>
      <c r="G934" t="str">
        <f>IF(IFERROR(VLOOKUP(B934,'Devam Eden Sprint'!B:B,1,0),"-")=B934,"Devam Eden Sprint","-")</f>
        <v>-</v>
      </c>
      <c r="H934" t="str">
        <f>IF(IFERROR(VLOOKUP(B934,'Gelecek Sprint'!B:B,1,0),"-")=B934,"Gelecek Sprint","-")</f>
        <v>-</v>
      </c>
      <c r="I934" t="str">
        <f t="shared" si="23"/>
        <v>Ürün İş Listesi</v>
      </c>
    </row>
    <row r="935" spans="1:10" x14ac:dyDescent="0.25">
      <c r="A935" t="s">
        <v>77</v>
      </c>
      <c r="B935" t="s">
        <v>1894</v>
      </c>
      <c r="C935" t="s">
        <v>16</v>
      </c>
      <c r="D935" t="s">
        <v>1956</v>
      </c>
      <c r="E935" s="5" t="s">
        <v>44</v>
      </c>
      <c r="F935" s="5" t="e">
        <f>VLOOKUP(B935,'Türkkep Jira'!B:F,5,0)</f>
        <v>#N/A</v>
      </c>
      <c r="G935" t="str">
        <f>IF(IFERROR(VLOOKUP(B935,'Devam Eden Sprint'!B:B,1,0),"-")=B935,"Devam Eden Sprint","-")</f>
        <v>-</v>
      </c>
      <c r="H935" t="str">
        <f>IF(IFERROR(VLOOKUP(B935,'Gelecek Sprint'!B:B,1,0),"-")=B935,"Gelecek Sprint","-")</f>
        <v>-</v>
      </c>
      <c r="I935" t="str">
        <f t="shared" si="23"/>
        <v>Ürün İş Listesi</v>
      </c>
    </row>
    <row r="936" spans="1:10" x14ac:dyDescent="0.25">
      <c r="A936" t="s">
        <v>77</v>
      </c>
      <c r="B936" t="s">
        <v>1895</v>
      </c>
      <c r="C936" t="s">
        <v>16</v>
      </c>
      <c r="D936" t="s">
        <v>1957</v>
      </c>
      <c r="E936" s="5" t="s">
        <v>44</v>
      </c>
      <c r="F936" s="5" t="e">
        <f>VLOOKUP(B936,'Türkkep Jira'!B:F,5,0)</f>
        <v>#N/A</v>
      </c>
      <c r="G936" t="str">
        <f>IF(IFERROR(VLOOKUP(B936,'Devam Eden Sprint'!B:B,1,0),"-")=B936,"Devam Eden Sprint","-")</f>
        <v>-</v>
      </c>
      <c r="H936" t="str">
        <f>IF(IFERROR(VLOOKUP(B936,'Gelecek Sprint'!B:B,1,0),"-")=B936,"Gelecek Sprint","-")</f>
        <v>-</v>
      </c>
      <c r="I936" t="str">
        <f t="shared" si="23"/>
        <v>Ürün İş Listesi</v>
      </c>
    </row>
    <row r="937" spans="1:10" x14ac:dyDescent="0.25">
      <c r="A937" t="s">
        <v>77</v>
      </c>
      <c r="B937" t="s">
        <v>1896</v>
      </c>
      <c r="C937" t="s">
        <v>10</v>
      </c>
      <c r="D937" t="s">
        <v>1958</v>
      </c>
      <c r="E937" s="5" t="s">
        <v>44</v>
      </c>
      <c r="F937" s="5" t="e">
        <f>VLOOKUP(B937,'Türkkep Jira'!B:F,5,0)</f>
        <v>#N/A</v>
      </c>
      <c r="G937" t="str">
        <f>IF(IFERROR(VLOOKUP(B937,'Devam Eden Sprint'!B:B,1,0),"-")=B937,"Devam Eden Sprint","-")</f>
        <v>-</v>
      </c>
      <c r="H937" t="str">
        <f>IF(IFERROR(VLOOKUP(B937,'Gelecek Sprint'!B:B,1,0),"-")=B937,"Gelecek Sprint","-")</f>
        <v>-</v>
      </c>
      <c r="I937" t="str">
        <f t="shared" si="23"/>
        <v>Ürün İş Listesi</v>
      </c>
    </row>
    <row r="938" spans="1:10" x14ac:dyDescent="0.25">
      <c r="A938" t="s">
        <v>77</v>
      </c>
      <c r="B938" t="s">
        <v>1897</v>
      </c>
      <c r="C938" t="s">
        <v>16</v>
      </c>
      <c r="D938" t="s">
        <v>1959</v>
      </c>
      <c r="E938" s="5" t="s">
        <v>44</v>
      </c>
      <c r="F938" s="5" t="e">
        <f>VLOOKUP(B938,'Türkkep Jira'!B:F,5,0)</f>
        <v>#N/A</v>
      </c>
      <c r="G938" t="str">
        <f>IF(IFERROR(VLOOKUP(B938,'Devam Eden Sprint'!B:B,1,0),"-")=B938,"Devam Eden Sprint","-")</f>
        <v>-</v>
      </c>
      <c r="H938" t="str">
        <f>IF(IFERROR(VLOOKUP(B938,'Gelecek Sprint'!B:B,1,0),"-")=B938,"Gelecek Sprint","-")</f>
        <v>-</v>
      </c>
      <c r="I938" t="str">
        <f t="shared" si="23"/>
        <v>Ürün İş Listesi</v>
      </c>
    </row>
    <row r="939" spans="1:10" x14ac:dyDescent="0.25">
      <c r="A939" t="s">
        <v>77</v>
      </c>
      <c r="B939" t="s">
        <v>1898</v>
      </c>
      <c r="C939" t="s">
        <v>16</v>
      </c>
      <c r="D939" t="s">
        <v>1960</v>
      </c>
      <c r="E939" s="5" t="s">
        <v>44</v>
      </c>
      <c r="F939" s="5" t="e">
        <f>VLOOKUP(B939,'Türkkep Jira'!B:F,5,0)</f>
        <v>#N/A</v>
      </c>
      <c r="G939" t="str">
        <f>IF(IFERROR(VLOOKUP(B939,'Devam Eden Sprint'!B:B,1,0),"-")=B939,"Devam Eden Sprint","-")</f>
        <v>-</v>
      </c>
      <c r="H939" t="str">
        <f>IF(IFERROR(VLOOKUP(B939,'Gelecek Sprint'!B:B,1,0),"-")=B939,"Gelecek Sprint","-")</f>
        <v>-</v>
      </c>
      <c r="I939" t="str">
        <f t="shared" si="23"/>
        <v>Ürün İş Listesi</v>
      </c>
    </row>
    <row r="940" spans="1:10" x14ac:dyDescent="0.25">
      <c r="A940" t="s">
        <v>77</v>
      </c>
      <c r="B940" t="s">
        <v>1899</v>
      </c>
      <c r="C940" t="s">
        <v>16</v>
      </c>
      <c r="D940" t="s">
        <v>1961</v>
      </c>
      <c r="E940" s="5" t="s">
        <v>41</v>
      </c>
      <c r="F940" s="5" t="e">
        <f>VLOOKUP(B940,'Türkkep Jira'!B:F,5,0)</f>
        <v>#N/A</v>
      </c>
      <c r="G940" t="str">
        <f>IF(IFERROR(VLOOKUP(B940,'Devam Eden Sprint'!B:B,1,0),"-")=B940,"Devam Eden Sprint","-")</f>
        <v>-</v>
      </c>
      <c r="H940" t="str">
        <f>IF(IFERROR(VLOOKUP(B940,'Gelecek Sprint'!B:B,1,0),"-")=B940,"Gelecek Sprint","-")</f>
        <v>-</v>
      </c>
      <c r="I940" t="str">
        <f t="shared" si="23"/>
        <v>Ürün İş Listesi</v>
      </c>
    </row>
    <row r="941" spans="1:10" x14ac:dyDescent="0.25">
      <c r="A941" t="s">
        <v>77</v>
      </c>
      <c r="B941" t="s">
        <v>1821</v>
      </c>
      <c r="C941" t="s">
        <v>16</v>
      </c>
      <c r="D941" t="s">
        <v>1822</v>
      </c>
      <c r="E941" s="5" t="s">
        <v>41</v>
      </c>
      <c r="F941" s="5" t="e">
        <f>VLOOKUP(B941,'Türkkep Jira'!B:F,5,0)</f>
        <v>#N/A</v>
      </c>
      <c r="G941" t="str">
        <f>IF(IFERROR(VLOOKUP(B941,'Devam Eden Sprint'!B:B,1,0),"-")=B941,"Devam Eden Sprint","-")</f>
        <v>-</v>
      </c>
      <c r="H941" t="str">
        <f>IF(IFERROR(VLOOKUP(B941,'Gelecek Sprint'!B:B,1,0),"-")=B941,"Gelecek Sprint","-")</f>
        <v>-</v>
      </c>
      <c r="I941" t="str">
        <f t="shared" si="23"/>
        <v>Ürün İş Listesi</v>
      </c>
    </row>
    <row r="942" spans="1:10" x14ac:dyDescent="0.25">
      <c r="A942" t="s">
        <v>77</v>
      </c>
      <c r="B942" t="s">
        <v>1900</v>
      </c>
      <c r="C942" t="s">
        <v>16</v>
      </c>
      <c r="D942" t="s">
        <v>1962</v>
      </c>
      <c r="E942" s="5" t="s">
        <v>41</v>
      </c>
      <c r="F942" s="5" t="e">
        <f>VLOOKUP(B942,'Türkkep Jira'!B:F,5,0)</f>
        <v>#N/A</v>
      </c>
      <c r="G942" t="str">
        <f>IF(IFERROR(VLOOKUP(B942,'Devam Eden Sprint'!B:B,1,0),"-")=B942,"Devam Eden Sprint","-")</f>
        <v>-</v>
      </c>
      <c r="H942" t="str">
        <f>IF(IFERROR(VLOOKUP(B942,'Gelecek Sprint'!B:B,1,0),"-")=B942,"Gelecek Sprint","-")</f>
        <v>-</v>
      </c>
      <c r="I942" t="str">
        <f t="shared" si="23"/>
        <v>Ürün İş Listesi</v>
      </c>
    </row>
    <row r="943" spans="1:10" x14ac:dyDescent="0.25">
      <c r="A943" t="s">
        <v>77</v>
      </c>
      <c r="B943" t="s">
        <v>1901</v>
      </c>
      <c r="C943" t="s">
        <v>16</v>
      </c>
      <c r="D943" t="s">
        <v>1963</v>
      </c>
      <c r="E943" s="5" t="s">
        <v>41</v>
      </c>
      <c r="F943" s="5" t="e">
        <f>VLOOKUP(B943,'Türkkep Jira'!B:F,5,0)</f>
        <v>#N/A</v>
      </c>
      <c r="G943" t="str">
        <f>IF(IFERROR(VLOOKUP(B943,'Devam Eden Sprint'!B:B,1,0),"-")=B943,"Devam Eden Sprint","-")</f>
        <v>-</v>
      </c>
      <c r="H943" t="str">
        <f>IF(IFERROR(VLOOKUP(B943,'Gelecek Sprint'!B:B,1,0),"-")=B943,"Gelecek Sprint","-")</f>
        <v>-</v>
      </c>
      <c r="I943" t="str">
        <f t="shared" si="23"/>
        <v>Ürün İş Listesi</v>
      </c>
    </row>
    <row r="944" spans="1:10" x14ac:dyDescent="0.25">
      <c r="A944" t="s">
        <v>77</v>
      </c>
      <c r="B944" t="s">
        <v>1902</v>
      </c>
      <c r="C944" t="s">
        <v>16</v>
      </c>
      <c r="D944" t="s">
        <v>1964</v>
      </c>
      <c r="E944" s="5" t="s">
        <v>41</v>
      </c>
      <c r="F944" s="5" t="e">
        <f>VLOOKUP(B944,'Türkkep Jira'!B:F,5,0)</f>
        <v>#N/A</v>
      </c>
      <c r="G944" t="str">
        <f>IF(IFERROR(VLOOKUP(B944,'Devam Eden Sprint'!B:B,1,0),"-")=B944,"Devam Eden Sprint","-")</f>
        <v>-</v>
      </c>
      <c r="H944" t="str">
        <f>IF(IFERROR(VLOOKUP(B944,'Gelecek Sprint'!B:B,1,0),"-")=B944,"Gelecek Sprint","-")</f>
        <v>-</v>
      </c>
      <c r="I944" t="str">
        <f t="shared" si="23"/>
        <v>Ürün İş Listesi</v>
      </c>
    </row>
    <row r="945" spans="1:10" x14ac:dyDescent="0.25">
      <c r="A945" t="s">
        <v>77</v>
      </c>
      <c r="B945" t="s">
        <v>1903</v>
      </c>
      <c r="C945" t="s">
        <v>16</v>
      </c>
      <c r="D945" t="s">
        <v>1965</v>
      </c>
      <c r="E945" s="5" t="s">
        <v>41</v>
      </c>
      <c r="F945" s="5" t="e">
        <f>VLOOKUP(B945,'Türkkep Jira'!B:F,5,0)</f>
        <v>#N/A</v>
      </c>
      <c r="G945" t="str">
        <f>IF(IFERROR(VLOOKUP(B945,'Devam Eden Sprint'!B:B,1,0),"-")=B945,"Devam Eden Sprint","-")</f>
        <v>-</v>
      </c>
      <c r="H945" t="str">
        <f>IF(IFERROR(VLOOKUP(B945,'Gelecek Sprint'!B:B,1,0),"-")=B945,"Gelecek Sprint","-")</f>
        <v>-</v>
      </c>
      <c r="I945" t="str">
        <f t="shared" si="23"/>
        <v>Ürün İş Listesi</v>
      </c>
    </row>
    <row r="946" spans="1:10" x14ac:dyDescent="0.25">
      <c r="A946" t="s">
        <v>77</v>
      </c>
      <c r="B946" t="s">
        <v>1904</v>
      </c>
      <c r="C946" t="s">
        <v>16</v>
      </c>
      <c r="D946" t="s">
        <v>1966</v>
      </c>
      <c r="E946" s="5" t="s">
        <v>38</v>
      </c>
      <c r="F946" s="5" t="e">
        <f>VLOOKUP(B946,'Türkkep Jira'!B:F,5,0)</f>
        <v>#N/A</v>
      </c>
      <c r="G946" t="str">
        <f>IF(IFERROR(VLOOKUP(B946,'Devam Eden Sprint'!B:B,1,0),"-")=B946,"Devam Eden Sprint","-")</f>
        <v>-</v>
      </c>
      <c r="H946" t="str">
        <f>IF(IFERROR(VLOOKUP(B946,'Gelecek Sprint'!B:B,1,0),"-")=B946,"Gelecek Sprint","-")</f>
        <v>-</v>
      </c>
      <c r="I946" t="str">
        <f t="shared" si="23"/>
        <v>Ürün İş Listesi</v>
      </c>
      <c r="J946" s="5">
        <v>2</v>
      </c>
    </row>
    <row r="947" spans="1:10" x14ac:dyDescent="0.25">
      <c r="A947" t="s">
        <v>77</v>
      </c>
      <c r="B947" t="s">
        <v>1831</v>
      </c>
      <c r="C947" t="s">
        <v>16</v>
      </c>
      <c r="D947" t="s">
        <v>1832</v>
      </c>
      <c r="E947" s="5" t="s">
        <v>38</v>
      </c>
      <c r="F947" s="5" t="e">
        <f>VLOOKUP(B947,'Türkkep Jira'!B:F,5,0)</f>
        <v>#N/A</v>
      </c>
      <c r="G947" t="str">
        <f>IF(IFERROR(VLOOKUP(B947,'Devam Eden Sprint'!B:B,1,0),"-")=B947,"Devam Eden Sprint","-")</f>
        <v>-</v>
      </c>
      <c r="H947" t="str">
        <f>IF(IFERROR(VLOOKUP(B947,'Gelecek Sprint'!B:B,1,0),"-")=B947,"Gelecek Sprint","-")</f>
        <v>-</v>
      </c>
      <c r="I947" t="str">
        <f t="shared" si="23"/>
        <v>Ürün İş Listesi</v>
      </c>
    </row>
    <row r="948" spans="1:10" x14ac:dyDescent="0.25">
      <c r="A948" t="s">
        <v>77</v>
      </c>
      <c r="B948" t="s">
        <v>1905</v>
      </c>
      <c r="C948" t="s">
        <v>16</v>
      </c>
      <c r="D948" t="s">
        <v>1967</v>
      </c>
      <c r="E948" s="5" t="s">
        <v>38</v>
      </c>
      <c r="F948" s="5" t="e">
        <f>VLOOKUP(B948,'Türkkep Jira'!B:F,5,0)</f>
        <v>#N/A</v>
      </c>
      <c r="G948" t="str">
        <f>IF(IFERROR(VLOOKUP(B948,'Devam Eden Sprint'!B:B,1,0),"-")=B948,"Devam Eden Sprint","-")</f>
        <v>-</v>
      </c>
      <c r="H948" t="str">
        <f>IF(IFERROR(VLOOKUP(B948,'Gelecek Sprint'!B:B,1,0),"-")=B948,"Gelecek Sprint","-")</f>
        <v>-</v>
      </c>
      <c r="I948" t="str">
        <f t="shared" si="23"/>
        <v>Ürün İş Listesi</v>
      </c>
    </row>
    <row r="949" spans="1:10" x14ac:dyDescent="0.25">
      <c r="A949" t="s">
        <v>77</v>
      </c>
      <c r="B949" t="s">
        <v>1906</v>
      </c>
      <c r="C949" t="s">
        <v>16</v>
      </c>
      <c r="D949" t="s">
        <v>1968</v>
      </c>
      <c r="E949" s="5" t="s">
        <v>38</v>
      </c>
      <c r="F949" s="5" t="e">
        <f>VLOOKUP(B949,'Türkkep Jira'!B:F,5,0)</f>
        <v>#N/A</v>
      </c>
      <c r="G949" t="str">
        <f>IF(IFERROR(VLOOKUP(B949,'Devam Eden Sprint'!B:B,1,0),"-")=B949,"Devam Eden Sprint","-")</f>
        <v>-</v>
      </c>
      <c r="H949" t="str">
        <f>IF(IFERROR(VLOOKUP(B949,'Gelecek Sprint'!B:B,1,0),"-")=B949,"Gelecek Sprint","-")</f>
        <v>-</v>
      </c>
      <c r="I949" t="str">
        <f t="shared" si="23"/>
        <v>Ürün İş Listesi</v>
      </c>
    </row>
    <row r="950" spans="1:10" x14ac:dyDescent="0.25">
      <c r="A950" t="s">
        <v>77</v>
      </c>
      <c r="B950" t="s">
        <v>1907</v>
      </c>
      <c r="C950" t="s">
        <v>16</v>
      </c>
      <c r="D950" t="s">
        <v>1969</v>
      </c>
      <c r="E950" s="5" t="s">
        <v>38</v>
      </c>
      <c r="F950" s="5" t="e">
        <f>VLOOKUP(B950,'Türkkep Jira'!B:F,5,0)</f>
        <v>#N/A</v>
      </c>
      <c r="G950" t="str">
        <f>IF(IFERROR(VLOOKUP(B950,'Devam Eden Sprint'!B:B,1,0),"-")=B950,"Devam Eden Sprint","-")</f>
        <v>-</v>
      </c>
      <c r="H950" t="str">
        <f>IF(IFERROR(VLOOKUP(B950,'Gelecek Sprint'!B:B,1,0),"-")=B950,"Gelecek Sprint","-")</f>
        <v>-</v>
      </c>
      <c r="I950" t="str">
        <f t="shared" si="23"/>
        <v>Ürün İş Listesi</v>
      </c>
    </row>
    <row r="951" spans="1:10" x14ac:dyDescent="0.25">
      <c r="A951" t="s">
        <v>77</v>
      </c>
      <c r="B951" t="s">
        <v>1908</v>
      </c>
      <c r="C951" t="s">
        <v>16</v>
      </c>
      <c r="D951" t="s">
        <v>1970</v>
      </c>
      <c r="E951" s="5" t="s">
        <v>38</v>
      </c>
      <c r="F951" s="5" t="e">
        <f>VLOOKUP(B951,'Türkkep Jira'!B:F,5,0)</f>
        <v>#N/A</v>
      </c>
      <c r="G951" t="str">
        <f>IF(IFERROR(VLOOKUP(B951,'Devam Eden Sprint'!B:B,1,0),"-")=B951,"Devam Eden Sprint","-")</f>
        <v>-</v>
      </c>
      <c r="H951" t="str">
        <f>IF(IFERROR(VLOOKUP(B951,'Gelecek Sprint'!B:B,1,0),"-")=B951,"Gelecek Sprint","-")</f>
        <v>-</v>
      </c>
      <c r="I951" t="str">
        <f t="shared" si="23"/>
        <v>Ürün İş Listesi</v>
      </c>
    </row>
    <row r="952" spans="1:10" x14ac:dyDescent="0.25">
      <c r="A952" t="s">
        <v>77</v>
      </c>
      <c r="B952" t="s">
        <v>1909</v>
      </c>
      <c r="C952" t="s">
        <v>16</v>
      </c>
      <c r="D952" t="s">
        <v>1971</v>
      </c>
      <c r="E952" s="5" t="s">
        <v>35</v>
      </c>
      <c r="F952" s="5" t="e">
        <f>VLOOKUP(B952,'Türkkep Jira'!B:F,5,0)</f>
        <v>#N/A</v>
      </c>
      <c r="G952" t="str">
        <f>IF(IFERROR(VLOOKUP(B952,'Devam Eden Sprint'!B:B,1,0),"-")=B952,"Devam Eden Sprint","-")</f>
        <v>-</v>
      </c>
      <c r="H952" t="str">
        <f>IF(IFERROR(VLOOKUP(B952,'Gelecek Sprint'!B:B,1,0),"-")=B952,"Gelecek Sprint","-")</f>
        <v>-</v>
      </c>
      <c r="I952" t="str">
        <f t="shared" si="23"/>
        <v>Ürün İş Listesi</v>
      </c>
    </row>
    <row r="953" spans="1:10" x14ac:dyDescent="0.25">
      <c r="A953" t="s">
        <v>77</v>
      </c>
      <c r="B953" t="s">
        <v>1910</v>
      </c>
      <c r="C953" t="s">
        <v>16</v>
      </c>
      <c r="D953" t="s">
        <v>1972</v>
      </c>
      <c r="E953" s="5" t="s">
        <v>35</v>
      </c>
      <c r="F953" s="5" t="e">
        <f>VLOOKUP(B953,'Türkkep Jira'!B:F,5,0)</f>
        <v>#N/A</v>
      </c>
      <c r="G953" t="str">
        <f>IF(IFERROR(VLOOKUP(B953,'Devam Eden Sprint'!B:B,1,0),"-")=B953,"Devam Eden Sprint","-")</f>
        <v>-</v>
      </c>
      <c r="H953" t="str">
        <f>IF(IFERROR(VLOOKUP(B953,'Gelecek Sprint'!B:B,1,0),"-")=B953,"Gelecek Sprint","-")</f>
        <v>-</v>
      </c>
      <c r="I953" t="str">
        <f t="shared" si="23"/>
        <v>Ürün İş Listesi</v>
      </c>
    </row>
    <row r="954" spans="1:10" x14ac:dyDescent="0.25">
      <c r="A954" t="s">
        <v>77</v>
      </c>
      <c r="B954" t="s">
        <v>1911</v>
      </c>
      <c r="C954" t="s">
        <v>16</v>
      </c>
      <c r="D954" t="s">
        <v>1973</v>
      </c>
      <c r="E954" s="5" t="s">
        <v>35</v>
      </c>
      <c r="F954" s="5" t="e">
        <f>VLOOKUP(B954,'Türkkep Jira'!B:F,5,0)</f>
        <v>#N/A</v>
      </c>
      <c r="G954" t="str">
        <f>IF(IFERROR(VLOOKUP(B954,'Devam Eden Sprint'!B:B,1,0),"-")=B954,"Devam Eden Sprint","-")</f>
        <v>-</v>
      </c>
      <c r="H954" t="str">
        <f>IF(IFERROR(VLOOKUP(B954,'Gelecek Sprint'!B:B,1,0),"-")=B954,"Gelecek Sprint","-")</f>
        <v>-</v>
      </c>
      <c r="I954" t="str">
        <f t="shared" si="23"/>
        <v>Ürün İş Listesi</v>
      </c>
    </row>
    <row r="955" spans="1:10" x14ac:dyDescent="0.25">
      <c r="A955" t="s">
        <v>77</v>
      </c>
      <c r="B955" t="s">
        <v>1912</v>
      </c>
      <c r="C955" t="s">
        <v>16</v>
      </c>
      <c r="D955" t="s">
        <v>1974</v>
      </c>
      <c r="E955" s="5" t="s">
        <v>35</v>
      </c>
      <c r="F955" s="5" t="e">
        <f>VLOOKUP(B955,'Türkkep Jira'!B:F,5,0)</f>
        <v>#N/A</v>
      </c>
      <c r="G955" t="str">
        <f>IF(IFERROR(VLOOKUP(B955,'Devam Eden Sprint'!B:B,1,0),"-")=B955,"Devam Eden Sprint","-")</f>
        <v>-</v>
      </c>
      <c r="H955" t="str">
        <f>IF(IFERROR(VLOOKUP(B955,'Gelecek Sprint'!B:B,1,0),"-")=B955,"Gelecek Sprint","-")</f>
        <v>-</v>
      </c>
      <c r="I955" t="str">
        <f t="shared" si="23"/>
        <v>Ürün İş Listesi</v>
      </c>
    </row>
    <row r="956" spans="1:10" x14ac:dyDescent="0.25">
      <c r="A956" t="s">
        <v>77</v>
      </c>
      <c r="B956" t="s">
        <v>1913</v>
      </c>
      <c r="C956" t="s">
        <v>16</v>
      </c>
      <c r="D956" t="s">
        <v>1975</v>
      </c>
      <c r="E956" s="5" t="s">
        <v>35</v>
      </c>
      <c r="F956" s="5" t="e">
        <f>VLOOKUP(B956,'Türkkep Jira'!B:F,5,0)</f>
        <v>#N/A</v>
      </c>
      <c r="G956" t="str">
        <f>IF(IFERROR(VLOOKUP(B956,'Devam Eden Sprint'!B:B,1,0),"-")=B956,"Devam Eden Sprint","-")</f>
        <v>-</v>
      </c>
      <c r="H956" t="str">
        <f>IF(IFERROR(VLOOKUP(B956,'Gelecek Sprint'!B:B,1,0),"-")=B956,"Gelecek Sprint","-")</f>
        <v>-</v>
      </c>
      <c r="I956" t="str">
        <f t="shared" si="23"/>
        <v>Ürün İş Listesi</v>
      </c>
    </row>
    <row r="957" spans="1:10" x14ac:dyDescent="0.25">
      <c r="A957" t="s">
        <v>77</v>
      </c>
      <c r="B957" t="s">
        <v>1914</v>
      </c>
      <c r="C957" t="s">
        <v>16</v>
      </c>
      <c r="D957" t="s">
        <v>1976</v>
      </c>
      <c r="E957" s="5" t="s">
        <v>35</v>
      </c>
      <c r="F957" s="5" t="e">
        <f>VLOOKUP(B957,'Türkkep Jira'!B:F,5,0)</f>
        <v>#N/A</v>
      </c>
      <c r="G957" t="str">
        <f>IF(IFERROR(VLOOKUP(B957,'Devam Eden Sprint'!B:B,1,0),"-")=B957,"Devam Eden Sprint","-")</f>
        <v>-</v>
      </c>
      <c r="H957" t="str">
        <f>IF(IFERROR(VLOOKUP(B957,'Gelecek Sprint'!B:B,1,0),"-")=B957,"Gelecek Sprint","-")</f>
        <v>-</v>
      </c>
      <c r="I957" t="str">
        <f t="shared" si="23"/>
        <v>Ürün İş Listesi</v>
      </c>
    </row>
    <row r="958" spans="1:10" x14ac:dyDescent="0.25">
      <c r="A958" t="s">
        <v>77</v>
      </c>
      <c r="B958" t="s">
        <v>1915</v>
      </c>
      <c r="C958" t="s">
        <v>16</v>
      </c>
      <c r="D958" t="s">
        <v>1977</v>
      </c>
      <c r="E958" s="5" t="s">
        <v>35</v>
      </c>
      <c r="F958" s="5" t="e">
        <f>VLOOKUP(B958,'Türkkep Jira'!B:F,5,0)</f>
        <v>#N/A</v>
      </c>
      <c r="G958" t="str">
        <f>IF(IFERROR(VLOOKUP(B958,'Devam Eden Sprint'!B:B,1,0),"-")=B958,"Devam Eden Sprint","-")</f>
        <v>-</v>
      </c>
      <c r="H958" t="str">
        <f>IF(IFERROR(VLOOKUP(B958,'Gelecek Sprint'!B:B,1,0),"-")=B958,"Gelecek Sprint","-")</f>
        <v>-</v>
      </c>
      <c r="I958" t="str">
        <f t="shared" si="23"/>
        <v>Ürün İş Listesi</v>
      </c>
    </row>
    <row r="959" spans="1:10" x14ac:dyDescent="0.25">
      <c r="A959" t="s">
        <v>77</v>
      </c>
      <c r="B959" t="s">
        <v>1916</v>
      </c>
      <c r="C959" t="s">
        <v>16</v>
      </c>
      <c r="D959" t="s">
        <v>1978</v>
      </c>
      <c r="E959" s="5" t="s">
        <v>35</v>
      </c>
      <c r="F959" s="5" t="e">
        <f>VLOOKUP(B959,'Türkkep Jira'!B:F,5,0)</f>
        <v>#N/A</v>
      </c>
      <c r="G959" t="str">
        <f>IF(IFERROR(VLOOKUP(B959,'Devam Eden Sprint'!B:B,1,0),"-")=B959,"Devam Eden Sprint","-")</f>
        <v>-</v>
      </c>
      <c r="H959" t="str">
        <f>IF(IFERROR(VLOOKUP(B959,'Gelecek Sprint'!B:B,1,0),"-")=B959,"Gelecek Sprint","-")</f>
        <v>-</v>
      </c>
      <c r="I959" t="str">
        <f t="shared" si="23"/>
        <v>Ürün İş Listesi</v>
      </c>
    </row>
    <row r="960" spans="1:10" x14ac:dyDescent="0.25">
      <c r="A960" t="s">
        <v>77</v>
      </c>
      <c r="B960" t="s">
        <v>1917</v>
      </c>
      <c r="C960" t="s">
        <v>16</v>
      </c>
      <c r="D960" t="s">
        <v>1979</v>
      </c>
      <c r="E960" s="5" t="s">
        <v>35</v>
      </c>
      <c r="F960" s="5" t="e">
        <f>VLOOKUP(B960,'Türkkep Jira'!B:F,5,0)</f>
        <v>#N/A</v>
      </c>
      <c r="G960" t="str">
        <f>IF(IFERROR(VLOOKUP(B960,'Devam Eden Sprint'!B:B,1,0),"-")=B960,"Devam Eden Sprint","-")</f>
        <v>-</v>
      </c>
      <c r="H960" t="str">
        <f>IF(IFERROR(VLOOKUP(B960,'Gelecek Sprint'!B:B,1,0),"-")=B960,"Gelecek Sprint","-")</f>
        <v>-</v>
      </c>
      <c r="I960" t="str">
        <f t="shared" si="23"/>
        <v>Ürün İş Listesi</v>
      </c>
    </row>
    <row r="961" spans="1:10" x14ac:dyDescent="0.25">
      <c r="A961" t="s">
        <v>77</v>
      </c>
      <c r="B961" t="s">
        <v>1918</v>
      </c>
      <c r="C961" t="s">
        <v>16</v>
      </c>
      <c r="D961" t="s">
        <v>1980</v>
      </c>
      <c r="E961" s="5" t="s">
        <v>12</v>
      </c>
      <c r="F961" s="5" t="e">
        <f>VLOOKUP(B961,'Türkkep Jira'!B:F,5,0)</f>
        <v>#N/A</v>
      </c>
      <c r="G961" t="str">
        <f>IF(IFERROR(VLOOKUP(B961,'Devam Eden Sprint'!B:B,1,0),"-")=B961,"Devam Eden Sprint","-")</f>
        <v>-</v>
      </c>
      <c r="H961" t="str">
        <f>IF(IFERROR(VLOOKUP(B961,'Gelecek Sprint'!B:B,1,0),"-")=B961,"Gelecek Sprint","-")</f>
        <v>-</v>
      </c>
      <c r="I961" t="str">
        <f t="shared" si="23"/>
        <v>Ürün İş Listesi</v>
      </c>
    </row>
    <row r="962" spans="1:10" x14ac:dyDescent="0.25">
      <c r="A962" t="s">
        <v>77</v>
      </c>
      <c r="B962" t="s">
        <v>1919</v>
      </c>
      <c r="C962" t="s">
        <v>16</v>
      </c>
      <c r="D962" t="s">
        <v>1981</v>
      </c>
      <c r="E962" s="5" t="s">
        <v>12</v>
      </c>
      <c r="F962" s="5" t="e">
        <f>VLOOKUP(B962,'Türkkep Jira'!B:F,5,0)</f>
        <v>#N/A</v>
      </c>
      <c r="G962" t="str">
        <f>IF(IFERROR(VLOOKUP(B962,'Devam Eden Sprint'!B:B,1,0),"-")=B962,"Devam Eden Sprint","-")</f>
        <v>-</v>
      </c>
      <c r="H962" t="str">
        <f>IF(IFERROR(VLOOKUP(B962,'Gelecek Sprint'!B:B,1,0),"-")=B962,"Gelecek Sprint","-")</f>
        <v>-</v>
      </c>
      <c r="I962" t="str">
        <f t="shared" si="23"/>
        <v>Ürün İş Listesi</v>
      </c>
    </row>
    <row r="963" spans="1:10" x14ac:dyDescent="0.25">
      <c r="A963" t="s">
        <v>77</v>
      </c>
      <c r="B963" t="s">
        <v>1920</v>
      </c>
      <c r="C963" t="s">
        <v>16</v>
      </c>
      <c r="D963" t="s">
        <v>1982</v>
      </c>
      <c r="E963" s="5" t="s">
        <v>12</v>
      </c>
      <c r="F963" s="5" t="e">
        <f>VLOOKUP(B963,'Türkkep Jira'!B:F,5,0)</f>
        <v>#N/A</v>
      </c>
      <c r="G963" t="str">
        <f>IF(IFERROR(VLOOKUP(B963,'Devam Eden Sprint'!B:B,1,0),"-")=B963,"Devam Eden Sprint","-")</f>
        <v>-</v>
      </c>
      <c r="H963" t="str">
        <f>IF(IFERROR(VLOOKUP(B963,'Gelecek Sprint'!B:B,1,0),"-")=B963,"Gelecek Sprint","-")</f>
        <v>-</v>
      </c>
      <c r="I963" t="str">
        <f t="shared" si="23"/>
        <v>Ürün İş Listesi</v>
      </c>
    </row>
    <row r="964" spans="1:10" x14ac:dyDescent="0.25">
      <c r="A964" t="s">
        <v>77</v>
      </c>
      <c r="B964" t="s">
        <v>1921</v>
      </c>
      <c r="C964" t="s">
        <v>16</v>
      </c>
      <c r="D964" t="s">
        <v>1983</v>
      </c>
      <c r="E964" s="5" t="s">
        <v>12</v>
      </c>
      <c r="F964" s="5" t="e">
        <f>VLOOKUP(B964,'Türkkep Jira'!B:F,5,0)</f>
        <v>#N/A</v>
      </c>
      <c r="G964" t="str">
        <f>IF(IFERROR(VLOOKUP(B964,'Devam Eden Sprint'!B:B,1,0),"-")=B964,"Devam Eden Sprint","-")</f>
        <v>-</v>
      </c>
      <c r="H964" t="str">
        <f>IF(IFERROR(VLOOKUP(B964,'Gelecek Sprint'!B:B,1,0),"-")=B964,"Gelecek Sprint","-")</f>
        <v>-</v>
      </c>
      <c r="I964" t="str">
        <f t="shared" si="23"/>
        <v>Ürün İş Listesi</v>
      </c>
    </row>
    <row r="965" spans="1:10" x14ac:dyDescent="0.25">
      <c r="A965" t="s">
        <v>14</v>
      </c>
      <c r="B965" t="s">
        <v>1988</v>
      </c>
      <c r="C965" t="s">
        <v>16</v>
      </c>
      <c r="D965" t="s">
        <v>1989</v>
      </c>
      <c r="E965" s="5" t="s">
        <v>12</v>
      </c>
      <c r="F965" s="5" t="e">
        <f>VLOOKUP(B965,'Türkkep Jira'!B:F,5,0)</f>
        <v>#N/A</v>
      </c>
      <c r="G965" t="str">
        <f>IF(IFERROR(VLOOKUP(B965,'Devam Eden Sprint'!B:B,1,0),"-")=B965,"Devam Eden Sprint","-")</f>
        <v>-</v>
      </c>
      <c r="H965" t="str">
        <f>IF(IFERROR(VLOOKUP(B965,'Gelecek Sprint'!B:B,1,0),"-")=B965,"Gelecek Sprint","-")</f>
        <v>-</v>
      </c>
      <c r="I965" t="str">
        <f t="shared" ref="I965:I998" si="24">IFERROR(IF(AND(G965="Devam Eden Sprint",H965="Gelecek Sprint"),"Devam Eden ve Gelecek Sprint",IF(G965="Devam Eden Sprint","Devam Eden Sprint",IF(H965="Gelecek Sprint","Gelecek Sprint","Ürün İş Listesi"))),"Ürün İş Listesi")</f>
        <v>Ürün İş Listesi</v>
      </c>
      <c r="J965" s="5">
        <v>1</v>
      </c>
    </row>
    <row r="966" spans="1:10" x14ac:dyDescent="0.25">
      <c r="A966" t="s">
        <v>14</v>
      </c>
      <c r="B966" t="s">
        <v>1990</v>
      </c>
      <c r="C966" t="s">
        <v>16</v>
      </c>
      <c r="D966" t="s">
        <v>1991</v>
      </c>
      <c r="E966" s="5" t="s">
        <v>12</v>
      </c>
      <c r="F966" s="5" t="e">
        <f>VLOOKUP(B966,'Türkkep Jira'!B:F,5,0)</f>
        <v>#N/A</v>
      </c>
      <c r="G966" t="str">
        <f>IF(IFERROR(VLOOKUP(B966,'Devam Eden Sprint'!B:B,1,0),"-")=B966,"Devam Eden Sprint","-")</f>
        <v>-</v>
      </c>
      <c r="H966" t="str">
        <f>IF(IFERROR(VLOOKUP(B966,'Gelecek Sprint'!B:B,1,0),"-")=B966,"Gelecek Sprint","-")</f>
        <v>-</v>
      </c>
      <c r="I966" t="str">
        <f t="shared" si="24"/>
        <v>Ürün İş Listesi</v>
      </c>
      <c r="J966" s="5">
        <v>1</v>
      </c>
    </row>
    <row r="967" spans="1:10" x14ac:dyDescent="0.25">
      <c r="A967" t="s">
        <v>14</v>
      </c>
      <c r="B967" t="s">
        <v>1992</v>
      </c>
      <c r="C967" t="s">
        <v>16</v>
      </c>
      <c r="D967" t="s">
        <v>1993</v>
      </c>
      <c r="E967" s="5" t="s">
        <v>12</v>
      </c>
      <c r="F967" s="5" t="str">
        <f>VLOOKUP(B967,'Türkkep Jira'!B:F,5,0)</f>
        <v>Done</v>
      </c>
      <c r="G967" t="str">
        <f>IF(IFERROR(VLOOKUP(B967,'Devam Eden Sprint'!B:B,1,0),"-")=B967,"Devam Eden Sprint","-")</f>
        <v>-</v>
      </c>
      <c r="H967" t="str">
        <f>IF(IFERROR(VLOOKUP(B967,'Gelecek Sprint'!B:B,1,0),"-")=B967,"Gelecek Sprint","-")</f>
        <v>-</v>
      </c>
      <c r="I967" t="str">
        <f t="shared" si="24"/>
        <v>Ürün İş Listesi</v>
      </c>
      <c r="J967" s="5">
        <v>3</v>
      </c>
    </row>
    <row r="968" spans="1:10" x14ac:dyDescent="0.25">
      <c r="A968" t="s">
        <v>14</v>
      </c>
      <c r="B968" t="s">
        <v>1994</v>
      </c>
      <c r="C968" t="s">
        <v>28</v>
      </c>
      <c r="D968" t="s">
        <v>1995</v>
      </c>
      <c r="E968" s="5" t="s">
        <v>12</v>
      </c>
      <c r="F968" s="5" t="e">
        <f>VLOOKUP(B968,'Türkkep Jira'!B:F,5,0)</f>
        <v>#N/A</v>
      </c>
      <c r="G968" t="str">
        <f>IF(IFERROR(VLOOKUP(B968,'Devam Eden Sprint'!B:B,1,0),"-")=B968,"Devam Eden Sprint","-")</f>
        <v>-</v>
      </c>
      <c r="H968" t="str">
        <f>IF(IFERROR(VLOOKUP(B968,'Gelecek Sprint'!B:B,1,0),"-")=B968,"Gelecek Sprint","-")</f>
        <v>-</v>
      </c>
      <c r="I968" t="str">
        <f t="shared" si="24"/>
        <v>Ürün İş Listesi</v>
      </c>
      <c r="J968" s="5">
        <v>3</v>
      </c>
    </row>
    <row r="969" spans="1:10" x14ac:dyDescent="0.25">
      <c r="A969" t="s">
        <v>14</v>
      </c>
      <c r="B969" t="s">
        <v>1996</v>
      </c>
      <c r="C969" t="s">
        <v>16</v>
      </c>
      <c r="D969" t="s">
        <v>1997</v>
      </c>
      <c r="E969" s="5" t="s">
        <v>12</v>
      </c>
      <c r="F969" s="5" t="e">
        <f>VLOOKUP(B969,'Türkkep Jira'!B:F,5,0)</f>
        <v>#N/A</v>
      </c>
      <c r="G969" t="str">
        <f>IF(IFERROR(VLOOKUP(B969,'Devam Eden Sprint'!B:B,1,0),"-")=B969,"Devam Eden Sprint","-")</f>
        <v>-</v>
      </c>
      <c r="H969" t="str">
        <f>IF(IFERROR(VLOOKUP(B969,'Gelecek Sprint'!B:B,1,0),"-")=B969,"Gelecek Sprint","-")</f>
        <v>-</v>
      </c>
      <c r="I969" t="str">
        <f t="shared" si="24"/>
        <v>Ürün İş Listesi</v>
      </c>
      <c r="J969" s="5">
        <v>3</v>
      </c>
    </row>
    <row r="970" spans="1:10" x14ac:dyDescent="0.25">
      <c r="A970" t="s">
        <v>14</v>
      </c>
      <c r="B970" t="s">
        <v>1998</v>
      </c>
      <c r="C970" t="s">
        <v>28</v>
      </c>
      <c r="D970" t="s">
        <v>1999</v>
      </c>
      <c r="E970" s="5" t="s">
        <v>12</v>
      </c>
      <c r="F970" s="5" t="e">
        <f>VLOOKUP(B970,'Türkkep Jira'!B:F,5,0)</f>
        <v>#N/A</v>
      </c>
      <c r="G970" t="str">
        <f>IF(IFERROR(VLOOKUP(B970,'Devam Eden Sprint'!B:B,1,0),"-")=B970,"Devam Eden Sprint","-")</f>
        <v>-</v>
      </c>
      <c r="H970" t="str">
        <f>IF(IFERROR(VLOOKUP(B970,'Gelecek Sprint'!B:B,1,0),"-")=B970,"Gelecek Sprint","-")</f>
        <v>-</v>
      </c>
      <c r="I970" t="str">
        <f t="shared" si="24"/>
        <v>Ürün İş Listesi</v>
      </c>
      <c r="J970" s="5">
        <v>3</v>
      </c>
    </row>
    <row r="971" spans="1:10" x14ac:dyDescent="0.25">
      <c r="A971" t="s">
        <v>14</v>
      </c>
      <c r="B971" t="s">
        <v>2000</v>
      </c>
      <c r="C971" t="s">
        <v>16</v>
      </c>
      <c r="D971" t="s">
        <v>2001</v>
      </c>
      <c r="E971" s="5" t="s">
        <v>12</v>
      </c>
      <c r="F971" s="5" t="e">
        <f>VLOOKUP(B971,'Türkkep Jira'!B:F,5,0)</f>
        <v>#N/A</v>
      </c>
      <c r="G971" t="str">
        <f>IF(IFERROR(VLOOKUP(B971,'Devam Eden Sprint'!B:B,1,0),"-")=B971,"Devam Eden Sprint","-")</f>
        <v>-</v>
      </c>
      <c r="H971" t="str">
        <f>IF(IFERROR(VLOOKUP(B971,'Gelecek Sprint'!B:B,1,0),"-")=B971,"Gelecek Sprint","-")</f>
        <v>-</v>
      </c>
      <c r="I971" t="str">
        <f t="shared" si="24"/>
        <v>Ürün İş Listesi</v>
      </c>
      <c r="J971" s="5">
        <v>2</v>
      </c>
    </row>
    <row r="972" spans="1:10" x14ac:dyDescent="0.25">
      <c r="A972" t="s">
        <v>14</v>
      </c>
      <c r="B972" t="s">
        <v>2002</v>
      </c>
      <c r="C972" t="s">
        <v>16</v>
      </c>
      <c r="D972" t="s">
        <v>2003</v>
      </c>
      <c r="E972" s="5" t="s">
        <v>12</v>
      </c>
      <c r="F972" s="5" t="e">
        <f>VLOOKUP(B972,'Türkkep Jira'!B:F,5,0)</f>
        <v>#N/A</v>
      </c>
      <c r="G972" t="str">
        <f>IF(IFERROR(VLOOKUP(B972,'Devam Eden Sprint'!B:B,1,0),"-")=B972,"Devam Eden Sprint","-")</f>
        <v>-</v>
      </c>
      <c r="H972" t="str">
        <f>IF(IFERROR(VLOOKUP(B972,'Gelecek Sprint'!B:B,1,0),"-")=B972,"Gelecek Sprint","-")</f>
        <v>-</v>
      </c>
      <c r="I972" t="str">
        <f t="shared" si="24"/>
        <v>Ürün İş Listesi</v>
      </c>
      <c r="J972" s="5">
        <v>3</v>
      </c>
    </row>
    <row r="973" spans="1:10" x14ac:dyDescent="0.25">
      <c r="A973" t="s">
        <v>14</v>
      </c>
      <c r="B973" t="s">
        <v>2004</v>
      </c>
      <c r="C973" t="s">
        <v>16</v>
      </c>
      <c r="D973" t="s">
        <v>2005</v>
      </c>
      <c r="E973" s="5" t="s">
        <v>12</v>
      </c>
      <c r="F973" s="5" t="e">
        <f>VLOOKUP(B973,'Türkkep Jira'!B:F,5,0)</f>
        <v>#N/A</v>
      </c>
      <c r="G973" t="str">
        <f>IF(IFERROR(VLOOKUP(B973,'Devam Eden Sprint'!B:B,1,0),"-")=B973,"Devam Eden Sprint","-")</f>
        <v>-</v>
      </c>
      <c r="H973" t="str">
        <f>IF(IFERROR(VLOOKUP(B973,'Gelecek Sprint'!B:B,1,0),"-")=B973,"Gelecek Sprint","-")</f>
        <v>-</v>
      </c>
      <c r="I973" t="str">
        <f t="shared" si="24"/>
        <v>Ürün İş Listesi</v>
      </c>
      <c r="J973" s="5">
        <v>2</v>
      </c>
    </row>
    <row r="974" spans="1:10" x14ac:dyDescent="0.25">
      <c r="A974" t="s">
        <v>14</v>
      </c>
      <c r="B974" t="s">
        <v>2006</v>
      </c>
      <c r="C974" t="s">
        <v>16</v>
      </c>
      <c r="D974" t="s">
        <v>2007</v>
      </c>
      <c r="E974" s="5" t="s">
        <v>12</v>
      </c>
      <c r="F974" s="5" t="e">
        <f>VLOOKUP(B974,'Türkkep Jira'!B:F,5,0)</f>
        <v>#N/A</v>
      </c>
      <c r="G974" t="str">
        <f>IF(IFERROR(VLOOKUP(B974,'Devam Eden Sprint'!B:B,1,0),"-")=B974,"Devam Eden Sprint","-")</f>
        <v>-</v>
      </c>
      <c r="H974" t="str">
        <f>IF(IFERROR(VLOOKUP(B974,'Gelecek Sprint'!B:B,1,0),"-")=B974,"Gelecek Sprint","-")</f>
        <v>-</v>
      </c>
      <c r="I974" t="str">
        <f t="shared" si="24"/>
        <v>Ürün İş Listesi</v>
      </c>
      <c r="J974" s="5">
        <v>1</v>
      </c>
    </row>
    <row r="975" spans="1:10" x14ac:dyDescent="0.25">
      <c r="A975" t="s">
        <v>14</v>
      </c>
      <c r="B975" t="s">
        <v>2008</v>
      </c>
      <c r="C975" t="s">
        <v>16</v>
      </c>
      <c r="D975" t="s">
        <v>2009</v>
      </c>
      <c r="E975" s="5" t="s">
        <v>12</v>
      </c>
      <c r="F975" s="5" t="e">
        <f>VLOOKUP(B975,'Türkkep Jira'!B:F,5,0)</f>
        <v>#N/A</v>
      </c>
      <c r="G975" t="str">
        <f>IF(IFERROR(VLOOKUP(B975,'Devam Eden Sprint'!B:B,1,0),"-")=B975,"Devam Eden Sprint","-")</f>
        <v>-</v>
      </c>
      <c r="H975" t="str">
        <f>IF(IFERROR(VLOOKUP(B975,'Gelecek Sprint'!B:B,1,0),"-")=B975,"Gelecek Sprint","-")</f>
        <v>-</v>
      </c>
      <c r="I975" t="str">
        <f t="shared" si="24"/>
        <v>Ürün İş Listesi</v>
      </c>
      <c r="J975" s="5">
        <v>1</v>
      </c>
    </row>
    <row r="976" spans="1:10" x14ac:dyDescent="0.25">
      <c r="A976" t="s">
        <v>14</v>
      </c>
      <c r="B976" t="s">
        <v>2014</v>
      </c>
      <c r="C976" t="s">
        <v>16</v>
      </c>
      <c r="D976" t="s">
        <v>2019</v>
      </c>
      <c r="E976" s="5" t="s">
        <v>44</v>
      </c>
      <c r="F976" s="5" t="e">
        <f>VLOOKUP(B976,'Türkkep Jira'!B:F,5,0)</f>
        <v>#N/A</v>
      </c>
      <c r="G976" t="str">
        <f>IF(IFERROR(VLOOKUP(B976,'Devam Eden Sprint'!B:B,1,0),"-")=B976,"Devam Eden Sprint","-")</f>
        <v>-</v>
      </c>
      <c r="H976" t="str">
        <f>IF(IFERROR(VLOOKUP(B976,'Gelecek Sprint'!B:B,1,0),"-")=B976,"Gelecek Sprint","-")</f>
        <v>-</v>
      </c>
      <c r="I976" t="str">
        <f t="shared" si="24"/>
        <v>Ürün İş Listesi</v>
      </c>
      <c r="J976" s="5">
        <v>5</v>
      </c>
    </row>
    <row r="977" spans="1:10" x14ac:dyDescent="0.25">
      <c r="A977" t="s">
        <v>77</v>
      </c>
      <c r="B977" t="s">
        <v>2015</v>
      </c>
      <c r="C977" t="s">
        <v>16</v>
      </c>
      <c r="D977" t="s">
        <v>2020</v>
      </c>
      <c r="E977" s="5" t="s">
        <v>44</v>
      </c>
      <c r="F977" s="5" t="e">
        <f>VLOOKUP(B977,'Türkkep Jira'!B:F,5,0)</f>
        <v>#N/A</v>
      </c>
      <c r="G977" t="str">
        <f>IF(IFERROR(VLOOKUP(B977,'Devam Eden Sprint'!B:B,1,0),"-")=B977,"Devam Eden Sprint","-")</f>
        <v>-</v>
      </c>
      <c r="H977" t="str">
        <f>IF(IFERROR(VLOOKUP(B977,'Gelecek Sprint'!B:B,1,0),"-")=B977,"Gelecek Sprint","-")</f>
        <v>-</v>
      </c>
      <c r="I977" t="str">
        <f t="shared" si="24"/>
        <v>Ürün İş Listesi</v>
      </c>
      <c r="J977" s="5">
        <v>3</v>
      </c>
    </row>
    <row r="978" spans="1:10" x14ac:dyDescent="0.25">
      <c r="A978" t="s">
        <v>14</v>
      </c>
      <c r="B978" t="s">
        <v>2016</v>
      </c>
      <c r="C978" t="s">
        <v>16</v>
      </c>
      <c r="D978" t="s">
        <v>2021</v>
      </c>
      <c r="E978" s="5" t="s">
        <v>50</v>
      </c>
      <c r="F978" s="5" t="e">
        <f>VLOOKUP(B978,'Türkkep Jira'!B:F,5,0)</f>
        <v>#N/A</v>
      </c>
      <c r="G978" t="str">
        <f>IF(IFERROR(VLOOKUP(B978,'Devam Eden Sprint'!B:B,1,0),"-")=B978,"Devam Eden Sprint","-")</f>
        <v>-</v>
      </c>
      <c r="H978" t="str">
        <f>IF(IFERROR(VLOOKUP(B978,'Gelecek Sprint'!B:B,1,0),"-")=B978,"Gelecek Sprint","-")</f>
        <v>-</v>
      </c>
      <c r="I978" t="str">
        <f t="shared" si="24"/>
        <v>Ürün İş Listesi</v>
      </c>
      <c r="J978" s="5">
        <v>5</v>
      </c>
    </row>
    <row r="979" spans="1:10" x14ac:dyDescent="0.25">
      <c r="A979" t="s">
        <v>14</v>
      </c>
      <c r="B979" t="s">
        <v>2017</v>
      </c>
      <c r="C979" t="s">
        <v>16</v>
      </c>
      <c r="D979" t="s">
        <v>2022</v>
      </c>
      <c r="E979" s="5" t="s">
        <v>50</v>
      </c>
      <c r="F979" s="5" t="e">
        <f>VLOOKUP(B979,'Türkkep Jira'!B:F,5,0)</f>
        <v>#N/A</v>
      </c>
      <c r="G979" t="str">
        <f>IF(IFERROR(VLOOKUP(B979,'Devam Eden Sprint'!B:B,1,0),"-")=B979,"Devam Eden Sprint","-")</f>
        <v>-</v>
      </c>
      <c r="H979" t="str">
        <f>IF(IFERROR(VLOOKUP(B979,'Gelecek Sprint'!B:B,1,0),"-")=B979,"Gelecek Sprint","-")</f>
        <v>-</v>
      </c>
      <c r="I979" t="str">
        <f t="shared" si="24"/>
        <v>Ürün İş Listesi</v>
      </c>
      <c r="J979" s="5">
        <v>2</v>
      </c>
    </row>
    <row r="980" spans="1:10" x14ac:dyDescent="0.25">
      <c r="A980" t="s">
        <v>14</v>
      </c>
      <c r="B980" t="s">
        <v>2018</v>
      </c>
      <c r="C980" t="s">
        <v>16</v>
      </c>
      <c r="D980" t="s">
        <v>2023</v>
      </c>
      <c r="E980" s="5" t="s">
        <v>59</v>
      </c>
      <c r="F980" s="5" t="e">
        <f>VLOOKUP(B980,'Türkkep Jira'!B:F,5,0)</f>
        <v>#N/A</v>
      </c>
      <c r="G980" t="str">
        <f>IF(IFERROR(VLOOKUP(B980,'Devam Eden Sprint'!B:B,1,0),"-")=B980,"Devam Eden Sprint","-")</f>
        <v>-</v>
      </c>
      <c r="H980" t="str">
        <f>IF(IFERROR(VLOOKUP(B980,'Gelecek Sprint'!B:B,1,0),"-")=B980,"Gelecek Sprint","-")</f>
        <v>-</v>
      </c>
      <c r="I980" t="str">
        <f t="shared" si="24"/>
        <v>Ürün İş Listesi</v>
      </c>
      <c r="J980" s="5">
        <v>5</v>
      </c>
    </row>
    <row r="981" spans="1:10" x14ac:dyDescent="0.25">
      <c r="A981" t="s">
        <v>14</v>
      </c>
      <c r="B981" t="s">
        <v>2010</v>
      </c>
      <c r="C981" t="s">
        <v>28</v>
      </c>
      <c r="D981" t="s">
        <v>2011</v>
      </c>
      <c r="E981" s="5" t="s">
        <v>12</v>
      </c>
      <c r="F981" s="5" t="e">
        <f>VLOOKUP(B981,'Türkkep Jira'!B:F,5,0)</f>
        <v>#N/A</v>
      </c>
      <c r="G981" t="str">
        <f>IF(IFERROR(VLOOKUP(B981,'Devam Eden Sprint'!B:B,1,0),"-")=B981,"Devam Eden Sprint","-")</f>
        <v>-</v>
      </c>
      <c r="H981" t="str">
        <f>IF(IFERROR(VLOOKUP(B981,'Gelecek Sprint'!B:B,1,0),"-")=B981,"Gelecek Sprint","-")</f>
        <v>-</v>
      </c>
      <c r="I981" t="str">
        <f t="shared" si="24"/>
        <v>Ürün İş Listesi</v>
      </c>
      <c r="J981" s="5">
        <v>5</v>
      </c>
    </row>
    <row r="982" spans="1:10" x14ac:dyDescent="0.25">
      <c r="A982" t="s">
        <v>14</v>
      </c>
      <c r="B982" t="s">
        <v>2012</v>
      </c>
      <c r="C982" t="s">
        <v>16</v>
      </c>
      <c r="D982" t="s">
        <v>2013</v>
      </c>
      <c r="E982" s="5" t="s">
        <v>12</v>
      </c>
      <c r="F982" s="5" t="e">
        <f>VLOOKUP(B982,'Türkkep Jira'!B:F,5,0)</f>
        <v>#N/A</v>
      </c>
      <c r="G982" t="str">
        <f>IF(IFERROR(VLOOKUP(B982,'Devam Eden Sprint'!B:B,1,0),"-")=B982,"Devam Eden Sprint","-")</f>
        <v>-</v>
      </c>
      <c r="H982" t="str">
        <f>IF(IFERROR(VLOOKUP(B982,'Gelecek Sprint'!B:B,1,0),"-")=B982,"Gelecek Sprint","-")</f>
        <v>-</v>
      </c>
      <c r="I982" t="str">
        <f t="shared" si="24"/>
        <v>Ürün İş Listesi</v>
      </c>
      <c r="J982" s="5">
        <v>3</v>
      </c>
    </row>
    <row r="983" spans="1:10" x14ac:dyDescent="0.25">
      <c r="A983" t="s">
        <v>14</v>
      </c>
      <c r="B983" t="s">
        <v>2024</v>
      </c>
      <c r="C983" t="s">
        <v>16</v>
      </c>
      <c r="D983" t="s">
        <v>2031</v>
      </c>
      <c r="E983" s="5" t="s">
        <v>44</v>
      </c>
      <c r="F983" s="5" t="e">
        <f>VLOOKUP(B983,'Türkkep Jira'!B:F,5,0)</f>
        <v>#N/A</v>
      </c>
      <c r="G983" t="str">
        <f>IF(IFERROR(VLOOKUP(B983,'Devam Eden Sprint'!B:B,1,0),"-")=B983,"Devam Eden Sprint","-")</f>
        <v>-</v>
      </c>
      <c r="H983" t="str">
        <f>IF(IFERROR(VLOOKUP(B983,'Gelecek Sprint'!B:B,1,0),"-")=B983,"Gelecek Sprint","-")</f>
        <v>-</v>
      </c>
      <c r="I983" t="str">
        <f t="shared" si="24"/>
        <v>Ürün İş Listesi</v>
      </c>
      <c r="J983" s="5">
        <v>3</v>
      </c>
    </row>
    <row r="984" spans="1:10" x14ac:dyDescent="0.25">
      <c r="A984" t="s">
        <v>14</v>
      </c>
      <c r="B984" t="s">
        <v>2025</v>
      </c>
      <c r="C984" t="s">
        <v>16</v>
      </c>
      <c r="D984" t="s">
        <v>2032</v>
      </c>
      <c r="E984" s="5" t="s">
        <v>44</v>
      </c>
      <c r="F984" s="5" t="e">
        <f>VLOOKUP(B984,'Türkkep Jira'!B:F,5,0)</f>
        <v>#N/A</v>
      </c>
      <c r="G984" t="str">
        <f>IF(IFERROR(VLOOKUP(B984,'Devam Eden Sprint'!B:B,1,0),"-")=B984,"Devam Eden Sprint","-")</f>
        <v>-</v>
      </c>
      <c r="H984" t="str">
        <f>IF(IFERROR(VLOOKUP(B984,'Gelecek Sprint'!B:B,1,0),"-")=B984,"Gelecek Sprint","-")</f>
        <v>-</v>
      </c>
      <c r="I984" t="str">
        <f t="shared" si="24"/>
        <v>Ürün İş Listesi</v>
      </c>
      <c r="J984" s="5">
        <v>3</v>
      </c>
    </row>
    <row r="985" spans="1:10" x14ac:dyDescent="0.25">
      <c r="A985" t="s">
        <v>14</v>
      </c>
      <c r="B985" t="s">
        <v>2026</v>
      </c>
      <c r="C985" t="s">
        <v>16</v>
      </c>
      <c r="D985" t="s">
        <v>1719</v>
      </c>
      <c r="E985" s="5" t="s">
        <v>56</v>
      </c>
      <c r="F985" s="5" t="str">
        <f>VLOOKUP(B985,'Türkkep Jira'!B:F,5,0)</f>
        <v>Done</v>
      </c>
      <c r="G985" t="str">
        <f>IF(IFERROR(VLOOKUP(B985,'Devam Eden Sprint'!B:B,1,0),"-")=B985,"Devam Eden Sprint","-")</f>
        <v>-</v>
      </c>
      <c r="H985" t="str">
        <f>IF(IFERROR(VLOOKUP(B985,'Gelecek Sprint'!B:B,1,0),"-")=B985,"Gelecek Sprint","-")</f>
        <v>-</v>
      </c>
      <c r="I985" t="str">
        <f t="shared" si="24"/>
        <v>Ürün İş Listesi</v>
      </c>
      <c r="J985" s="5">
        <v>8</v>
      </c>
    </row>
    <row r="986" spans="1:10" x14ac:dyDescent="0.25">
      <c r="A986" t="s">
        <v>14</v>
      </c>
      <c r="B986" t="s">
        <v>2027</v>
      </c>
      <c r="C986" t="s">
        <v>16</v>
      </c>
      <c r="D986" t="s">
        <v>2033</v>
      </c>
      <c r="E986" s="5" t="s">
        <v>56</v>
      </c>
      <c r="F986" s="5" t="e">
        <f>VLOOKUP(B986,'Türkkep Jira'!B:F,5,0)</f>
        <v>#N/A</v>
      </c>
      <c r="G986" t="str">
        <f>IF(IFERROR(VLOOKUP(B986,'Devam Eden Sprint'!B:B,1,0),"-")=B986,"Devam Eden Sprint","-")</f>
        <v>-</v>
      </c>
      <c r="H986" t="str">
        <f>IF(IFERROR(VLOOKUP(B986,'Gelecek Sprint'!B:B,1,0),"-")=B986,"Gelecek Sprint","-")</f>
        <v>-</v>
      </c>
      <c r="I986" t="str">
        <f t="shared" si="24"/>
        <v>Ürün İş Listesi</v>
      </c>
      <c r="J986" s="5">
        <v>2</v>
      </c>
    </row>
    <row r="987" spans="1:10" x14ac:dyDescent="0.25">
      <c r="A987" t="s">
        <v>14</v>
      </c>
      <c r="B987" t="s">
        <v>2028</v>
      </c>
      <c r="C987" t="s">
        <v>16</v>
      </c>
      <c r="D987" t="s">
        <v>2034</v>
      </c>
      <c r="E987" s="5" t="s">
        <v>56</v>
      </c>
      <c r="F987" s="5" t="e">
        <f>VLOOKUP(B987,'Türkkep Jira'!B:F,5,0)</f>
        <v>#N/A</v>
      </c>
      <c r="G987" t="str">
        <f>IF(IFERROR(VLOOKUP(B987,'Devam Eden Sprint'!B:B,1,0),"-")=B987,"Devam Eden Sprint","-")</f>
        <v>-</v>
      </c>
      <c r="H987" t="str">
        <f>IF(IFERROR(VLOOKUP(B987,'Gelecek Sprint'!B:B,1,0),"-")=B987,"Gelecek Sprint","-")</f>
        <v>-</v>
      </c>
      <c r="I987" t="str">
        <f t="shared" si="24"/>
        <v>Ürün İş Listesi</v>
      </c>
      <c r="J987" s="5">
        <v>2</v>
      </c>
    </row>
    <row r="988" spans="1:10" x14ac:dyDescent="0.25">
      <c r="A988" t="s">
        <v>14</v>
      </c>
      <c r="B988" t="s">
        <v>2029</v>
      </c>
      <c r="C988" t="s">
        <v>16</v>
      </c>
      <c r="D988" t="s">
        <v>2035</v>
      </c>
      <c r="E988" s="5" t="s">
        <v>59</v>
      </c>
      <c r="F988" s="5" t="e">
        <f>VLOOKUP(B988,'Türkkep Jira'!B:F,5,0)</f>
        <v>#N/A</v>
      </c>
      <c r="G988" t="str">
        <f>IF(IFERROR(VLOOKUP(B988,'Devam Eden Sprint'!B:B,1,0),"-")=B988,"Devam Eden Sprint","-")</f>
        <v>-</v>
      </c>
      <c r="H988" t="str">
        <f>IF(IFERROR(VLOOKUP(B988,'Gelecek Sprint'!B:B,1,0),"-")=B988,"Gelecek Sprint","-")</f>
        <v>-</v>
      </c>
      <c r="I988" t="str">
        <f t="shared" si="24"/>
        <v>Ürün İş Listesi</v>
      </c>
    </row>
    <row r="989" spans="1:10" x14ac:dyDescent="0.25">
      <c r="A989" t="s">
        <v>14</v>
      </c>
      <c r="B989" t="s">
        <v>2030</v>
      </c>
      <c r="C989" t="s">
        <v>16</v>
      </c>
      <c r="D989" t="s">
        <v>2036</v>
      </c>
      <c r="E989" s="5" t="s">
        <v>59</v>
      </c>
      <c r="F989" s="5" t="e">
        <f>VLOOKUP(B989,'Türkkep Jira'!B:F,5,0)</f>
        <v>#N/A</v>
      </c>
      <c r="G989" t="str">
        <f>IF(IFERROR(VLOOKUP(B989,'Devam Eden Sprint'!B:B,1,0),"-")=B989,"Devam Eden Sprint","-")</f>
        <v>-</v>
      </c>
      <c r="H989" t="str">
        <f>IF(IFERROR(VLOOKUP(B989,'Gelecek Sprint'!B:B,1,0),"-")=B989,"Gelecek Sprint","-")</f>
        <v>-</v>
      </c>
      <c r="I989" t="str">
        <f t="shared" si="24"/>
        <v>Ürün İş Listesi</v>
      </c>
      <c r="J989" s="5">
        <v>3</v>
      </c>
    </row>
    <row r="990" spans="1:10" x14ac:dyDescent="0.25">
      <c r="A990" t="s">
        <v>14</v>
      </c>
      <c r="B990" t="s">
        <v>2037</v>
      </c>
      <c r="C990" t="s">
        <v>16</v>
      </c>
      <c r="D990" t="s">
        <v>2038</v>
      </c>
      <c r="E990" s="5" t="s">
        <v>127</v>
      </c>
      <c r="F990" s="5" t="e">
        <f>VLOOKUP(B990,'Türkkep Jira'!B:F,5,0)</f>
        <v>#N/A</v>
      </c>
      <c r="G990" t="str">
        <f>IF(IFERROR(VLOOKUP(B990,'Devam Eden Sprint'!B:B,1,0),"-")=B990,"Devam Eden Sprint","-")</f>
        <v>-</v>
      </c>
      <c r="H990" t="str">
        <f>IF(IFERROR(VLOOKUP(B990,'Gelecek Sprint'!B:B,1,0),"-")=B990,"Gelecek Sprint","-")</f>
        <v>-</v>
      </c>
      <c r="I990" t="str">
        <f t="shared" si="24"/>
        <v>Ürün İş Listesi</v>
      </c>
      <c r="J990" s="5">
        <v>2</v>
      </c>
    </row>
    <row r="991" spans="1:10" x14ac:dyDescent="0.25">
      <c r="A991" t="s">
        <v>14</v>
      </c>
      <c r="B991" t="s">
        <v>2039</v>
      </c>
      <c r="C991" t="s">
        <v>16</v>
      </c>
      <c r="D991" t="s">
        <v>2040</v>
      </c>
      <c r="E991" s="5" t="s">
        <v>127</v>
      </c>
      <c r="F991" s="5" t="e">
        <f>VLOOKUP(B991,'Türkkep Jira'!B:F,5,0)</f>
        <v>#N/A</v>
      </c>
      <c r="G991" t="str">
        <f>IF(IFERROR(VLOOKUP(B991,'Devam Eden Sprint'!B:B,1,0),"-")=B991,"Devam Eden Sprint","-")</f>
        <v>-</v>
      </c>
      <c r="H991" t="str">
        <f>IF(IFERROR(VLOOKUP(B991,'Gelecek Sprint'!B:B,1,0),"-")=B991,"Gelecek Sprint","-")</f>
        <v>-</v>
      </c>
      <c r="I991" t="str">
        <f t="shared" si="24"/>
        <v>Ürün İş Listesi</v>
      </c>
      <c r="J991" s="5">
        <v>2</v>
      </c>
    </row>
    <row r="992" spans="1:10" x14ac:dyDescent="0.25">
      <c r="A992" t="s">
        <v>14</v>
      </c>
      <c r="B992" t="s">
        <v>2041</v>
      </c>
      <c r="C992" t="s">
        <v>16</v>
      </c>
      <c r="D992" t="s">
        <v>2042</v>
      </c>
      <c r="E992" s="5" t="s">
        <v>127</v>
      </c>
      <c r="F992" s="5" t="e">
        <f>VLOOKUP(B992,'Türkkep Jira'!B:F,5,0)</f>
        <v>#N/A</v>
      </c>
      <c r="G992" t="str">
        <f>IF(IFERROR(VLOOKUP(B992,'Devam Eden Sprint'!B:B,1,0),"-")=B992,"Devam Eden Sprint","-")</f>
        <v>-</v>
      </c>
      <c r="H992" t="str">
        <f>IF(IFERROR(VLOOKUP(B992,'Gelecek Sprint'!B:B,1,0),"-")=B992,"Gelecek Sprint","-")</f>
        <v>-</v>
      </c>
      <c r="I992" t="str">
        <f t="shared" si="24"/>
        <v>Ürün İş Listesi</v>
      </c>
      <c r="J992" s="5">
        <v>2</v>
      </c>
    </row>
    <row r="993" spans="1:10" x14ac:dyDescent="0.25">
      <c r="A993" t="s">
        <v>14</v>
      </c>
      <c r="B993" t="s">
        <v>2043</v>
      </c>
      <c r="C993" t="s">
        <v>16</v>
      </c>
      <c r="D993" t="s">
        <v>2044</v>
      </c>
      <c r="E993" s="5" t="s">
        <v>127</v>
      </c>
      <c r="F993" s="5" t="e">
        <f>VLOOKUP(B993,'Türkkep Jira'!B:F,5,0)</f>
        <v>#N/A</v>
      </c>
      <c r="G993" t="str">
        <f>IF(IFERROR(VLOOKUP(B993,'Devam Eden Sprint'!B:B,1,0),"-")=B993,"Devam Eden Sprint","-")</f>
        <v>-</v>
      </c>
      <c r="H993" t="str">
        <f>IF(IFERROR(VLOOKUP(B993,'Gelecek Sprint'!B:B,1,0),"-")=B993,"Gelecek Sprint","-")</f>
        <v>-</v>
      </c>
      <c r="I993" t="str">
        <f t="shared" si="24"/>
        <v>Ürün İş Listesi</v>
      </c>
      <c r="J993" s="5">
        <v>2</v>
      </c>
    </row>
    <row r="994" spans="1:10" x14ac:dyDescent="0.25">
      <c r="A994" t="s">
        <v>14</v>
      </c>
      <c r="B994" t="s">
        <v>2045</v>
      </c>
      <c r="C994" t="s">
        <v>16</v>
      </c>
      <c r="D994" t="s">
        <v>2046</v>
      </c>
      <c r="E994" s="5" t="s">
        <v>127</v>
      </c>
      <c r="F994" s="5" t="e">
        <f>VLOOKUP(B994,'Türkkep Jira'!B:F,5,0)</f>
        <v>#N/A</v>
      </c>
      <c r="G994" t="str">
        <f>IF(IFERROR(VLOOKUP(B994,'Devam Eden Sprint'!B:B,1,0),"-")=B994,"Devam Eden Sprint","-")</f>
        <v>-</v>
      </c>
      <c r="H994" t="str">
        <f>IF(IFERROR(VLOOKUP(B994,'Gelecek Sprint'!B:B,1,0),"-")=B994,"Gelecek Sprint","-")</f>
        <v>-</v>
      </c>
      <c r="I994" t="str">
        <f t="shared" si="24"/>
        <v>Ürün İş Listesi</v>
      </c>
      <c r="J994" s="5">
        <v>1</v>
      </c>
    </row>
    <row r="995" spans="1:10" x14ac:dyDescent="0.25">
      <c r="A995" t="s">
        <v>14</v>
      </c>
      <c r="B995" t="s">
        <v>2047</v>
      </c>
      <c r="C995" t="s">
        <v>16</v>
      </c>
      <c r="D995" t="s">
        <v>2048</v>
      </c>
      <c r="E995" s="5" t="s">
        <v>127</v>
      </c>
      <c r="F995" s="5" t="e">
        <f>VLOOKUP(B995,'Türkkep Jira'!B:F,5,0)</f>
        <v>#N/A</v>
      </c>
      <c r="G995" t="str">
        <f>IF(IFERROR(VLOOKUP(B995,'Devam Eden Sprint'!B:B,1,0),"-")=B995,"Devam Eden Sprint","-")</f>
        <v>-</v>
      </c>
      <c r="H995" t="str">
        <f>IF(IFERROR(VLOOKUP(B995,'Gelecek Sprint'!B:B,1,0),"-")=B995,"Gelecek Sprint","-")</f>
        <v>-</v>
      </c>
      <c r="I995" t="str">
        <f t="shared" si="24"/>
        <v>Ürün İş Listesi</v>
      </c>
      <c r="J995" s="5">
        <v>1</v>
      </c>
    </row>
    <row r="996" spans="1:10" x14ac:dyDescent="0.25">
      <c r="A996" t="s">
        <v>14</v>
      </c>
      <c r="B996" t="s">
        <v>2049</v>
      </c>
      <c r="C996" t="s">
        <v>16</v>
      </c>
      <c r="D996" t="s">
        <v>2050</v>
      </c>
      <c r="E996" s="5" t="s">
        <v>127</v>
      </c>
      <c r="F996" s="5" t="e">
        <f>VLOOKUP(B996,'Türkkep Jira'!B:F,5,0)</f>
        <v>#N/A</v>
      </c>
      <c r="G996" t="str">
        <f>IF(IFERROR(VLOOKUP(B996,'Devam Eden Sprint'!B:B,1,0),"-")=B996,"Devam Eden Sprint","-")</f>
        <v>-</v>
      </c>
      <c r="H996" t="str">
        <f>IF(IFERROR(VLOOKUP(B996,'Gelecek Sprint'!B:B,1,0),"-")=B996,"Gelecek Sprint","-")</f>
        <v>-</v>
      </c>
      <c r="I996" t="str">
        <f t="shared" si="24"/>
        <v>Ürün İş Listesi</v>
      </c>
      <c r="J996" s="5">
        <v>1</v>
      </c>
    </row>
    <row r="997" spans="1:10" x14ac:dyDescent="0.25">
      <c r="A997" t="s">
        <v>14</v>
      </c>
      <c r="B997" t="s">
        <v>2051</v>
      </c>
      <c r="C997" t="s">
        <v>16</v>
      </c>
      <c r="D997" t="s">
        <v>2052</v>
      </c>
      <c r="E997" s="5" t="s">
        <v>127</v>
      </c>
      <c r="F997" s="5" t="e">
        <f>VLOOKUP(B997,'Türkkep Jira'!B:F,5,0)</f>
        <v>#N/A</v>
      </c>
      <c r="G997" t="str">
        <f>IF(IFERROR(VLOOKUP(B997,'Devam Eden Sprint'!B:B,1,0),"-")=B997,"Devam Eden Sprint","-")</f>
        <v>-</v>
      </c>
      <c r="H997" t="str">
        <f>IF(IFERROR(VLOOKUP(B997,'Gelecek Sprint'!B:B,1,0),"-")=B997,"Gelecek Sprint","-")</f>
        <v>-</v>
      </c>
      <c r="I997" t="str">
        <f t="shared" si="24"/>
        <v>Ürün İş Listesi</v>
      </c>
      <c r="J997" s="5">
        <v>1</v>
      </c>
    </row>
    <row r="998" spans="1:10" x14ac:dyDescent="0.25">
      <c r="A998" t="s">
        <v>14</v>
      </c>
      <c r="B998" t="s">
        <v>2053</v>
      </c>
      <c r="C998" t="s">
        <v>16</v>
      </c>
      <c r="D998" t="s">
        <v>2054</v>
      </c>
      <c r="E998" s="5" t="s">
        <v>127</v>
      </c>
      <c r="F998" s="5" t="e">
        <f>VLOOKUP(B998,'Türkkep Jira'!B:F,5,0)</f>
        <v>#N/A</v>
      </c>
      <c r="G998" t="str">
        <f>IF(IFERROR(VLOOKUP(B998,'Devam Eden Sprint'!B:B,1,0),"-")=B998,"Devam Eden Sprint","-")</f>
        <v>-</v>
      </c>
      <c r="H998" t="str">
        <f>IF(IFERROR(VLOOKUP(B998,'Gelecek Sprint'!B:B,1,0),"-")=B998,"Gelecek Sprint","-")</f>
        <v>-</v>
      </c>
      <c r="I998" t="str">
        <f t="shared" si="24"/>
        <v>Ürün İş Listesi</v>
      </c>
      <c r="J998" s="5">
        <v>1</v>
      </c>
    </row>
    <row r="999" spans="1:10" x14ac:dyDescent="0.25">
      <c r="A999" t="s">
        <v>14</v>
      </c>
      <c r="B999" t="s">
        <v>2125</v>
      </c>
      <c r="C999" t="s">
        <v>16</v>
      </c>
      <c r="D999" t="s">
        <v>2124</v>
      </c>
      <c r="E999" s="5" t="s">
        <v>1844</v>
      </c>
      <c r="F999" s="5" t="e">
        <f>VLOOKUP(B999,'Türkkep Jira'!B:F,5,0)</f>
        <v>#N/A</v>
      </c>
      <c r="G999" t="str">
        <f>IF(IFERROR(VLOOKUP(B999,'Devam Eden Sprint'!B:B,1,0),"-")=B999,"Devam Eden Sprint","-")</f>
        <v>-</v>
      </c>
      <c r="H999" t="str">
        <f>IF(IFERROR(VLOOKUP(B999,'Gelecek Sprint'!B:B,1,0),"-")=B999,"Gelecek Sprint","-")</f>
        <v>-</v>
      </c>
      <c r="I999" t="str">
        <f t="shared" ref="I999:I1016" si="25">IFERROR(IF(AND(G999="Devam Eden Sprint",H999="Gelecek Sprint"),"Devam Eden ve Gelecek Sprint",IF(G999="Devam Eden Sprint","Devam Eden Sprint",IF(H999="Gelecek Sprint","Gelecek Sprint","Ürün İş Listesi"))),"Ürün İş Listesi")</f>
        <v>Ürün İş Listesi</v>
      </c>
    </row>
    <row r="1000" spans="1:10" x14ac:dyDescent="0.25">
      <c r="A1000" t="s">
        <v>14</v>
      </c>
      <c r="B1000" t="s">
        <v>2133</v>
      </c>
      <c r="C1000" t="s">
        <v>10</v>
      </c>
      <c r="D1000" t="s">
        <v>2132</v>
      </c>
      <c r="E1000" s="5" t="s">
        <v>1844</v>
      </c>
      <c r="F1000" s="5" t="e">
        <f>VLOOKUP(B1000,'Türkkep Jira'!B:F,5,0)</f>
        <v>#N/A</v>
      </c>
      <c r="G1000" t="str">
        <f>IF(IFERROR(VLOOKUP(B1000,'Devam Eden Sprint'!B:B,1,0),"-")=B1000,"Devam Eden Sprint","-")</f>
        <v>-</v>
      </c>
      <c r="H1000" t="str">
        <f>IF(IFERROR(VLOOKUP(B1000,'Gelecek Sprint'!B:B,1,0),"-")=B1000,"Gelecek Sprint","-")</f>
        <v>-</v>
      </c>
      <c r="I1000" t="str">
        <f t="shared" si="25"/>
        <v>Ürün İş Listesi</v>
      </c>
    </row>
    <row r="1001" spans="1:10" x14ac:dyDescent="0.25">
      <c r="A1001" t="s">
        <v>14</v>
      </c>
      <c r="B1001" t="s">
        <v>2147</v>
      </c>
      <c r="C1001" t="s">
        <v>16</v>
      </c>
      <c r="D1001" t="s">
        <v>2146</v>
      </c>
      <c r="E1001" s="5" t="s">
        <v>127</v>
      </c>
      <c r="F1001" s="5" t="e">
        <f>VLOOKUP(B1001,'Türkkep Jira'!B:F,5,0)</f>
        <v>#N/A</v>
      </c>
      <c r="G1001" t="str">
        <f>IF(IFERROR(VLOOKUP(B1001,'Devam Eden Sprint'!B:B,1,0),"-")=B1001,"Devam Eden Sprint","-")</f>
        <v>-</v>
      </c>
      <c r="H1001" t="str">
        <f>IF(IFERROR(VLOOKUP(B1001,'Gelecek Sprint'!B:B,1,0),"-")=B1001,"Gelecek Sprint","-")</f>
        <v>-</v>
      </c>
      <c r="I1001" t="str">
        <f t="shared" si="25"/>
        <v>Ürün İş Listesi</v>
      </c>
    </row>
    <row r="1002" spans="1:10" x14ac:dyDescent="0.25">
      <c r="A1002" t="s">
        <v>14</v>
      </c>
      <c r="B1002" t="s">
        <v>2149</v>
      </c>
      <c r="C1002" t="s">
        <v>10</v>
      </c>
      <c r="D1002" t="s">
        <v>2148</v>
      </c>
      <c r="E1002" s="5" t="s">
        <v>127</v>
      </c>
      <c r="F1002" s="5" t="e">
        <f>VLOOKUP(B1002,'Türkkep Jira'!B:F,5,0)</f>
        <v>#N/A</v>
      </c>
      <c r="G1002" t="str">
        <f>IF(IFERROR(VLOOKUP(B1002,'Devam Eden Sprint'!B:B,1,0),"-")=B1002,"Devam Eden Sprint","-")</f>
        <v>-</v>
      </c>
      <c r="H1002" t="str">
        <f>IF(IFERROR(VLOOKUP(B1002,'Gelecek Sprint'!B:B,1,0),"-")=B1002,"Gelecek Sprint","-")</f>
        <v>-</v>
      </c>
      <c r="I1002" t="str">
        <f t="shared" si="25"/>
        <v>Ürün İş Listesi</v>
      </c>
    </row>
    <row r="1003" spans="1:10" x14ac:dyDescent="0.25">
      <c r="A1003" t="s">
        <v>14</v>
      </c>
      <c r="B1003" t="s">
        <v>2162</v>
      </c>
      <c r="C1003" t="s">
        <v>27</v>
      </c>
      <c r="D1003" t="s">
        <v>2161</v>
      </c>
      <c r="E1003" s="5" t="s">
        <v>56</v>
      </c>
      <c r="F1003" s="5" t="e">
        <f>VLOOKUP(B1003,'Türkkep Jira'!B:F,5,0)</f>
        <v>#N/A</v>
      </c>
      <c r="G1003" t="str">
        <f>IF(IFERROR(VLOOKUP(B1003,'Devam Eden Sprint'!B:B,1,0),"-")=B1003,"Devam Eden Sprint","-")</f>
        <v>-</v>
      </c>
      <c r="H1003" t="str">
        <f>IF(IFERROR(VLOOKUP(B1003,'Gelecek Sprint'!B:B,1,0),"-")=B1003,"Gelecek Sprint","-")</f>
        <v>-</v>
      </c>
      <c r="I1003" t="str">
        <f t="shared" si="25"/>
        <v>Ürün İş Listesi</v>
      </c>
      <c r="J1003" s="5">
        <v>5</v>
      </c>
    </row>
    <row r="1004" spans="1:10" x14ac:dyDescent="0.25">
      <c r="A1004" t="s">
        <v>1379</v>
      </c>
      <c r="B1004" t="s">
        <v>2184</v>
      </c>
      <c r="C1004" t="s">
        <v>16</v>
      </c>
      <c r="D1004" t="s">
        <v>2183</v>
      </c>
      <c r="E1004" s="5" t="s">
        <v>41</v>
      </c>
      <c r="F1004" s="5" t="e">
        <f>VLOOKUP(B1004,'Türkkep Jira'!B:F,5,0)</f>
        <v>#N/A</v>
      </c>
      <c r="G1004" t="str">
        <f>IF(IFERROR(VLOOKUP(B1004,'Devam Eden Sprint'!B:B,1,0),"-")=B1004,"Devam Eden Sprint","-")</f>
        <v>-</v>
      </c>
      <c r="H1004" t="str">
        <f>IF(IFERROR(VLOOKUP(B1004,'Gelecek Sprint'!B:B,1,0),"-")=B1004,"Gelecek Sprint","-")</f>
        <v>-</v>
      </c>
      <c r="I1004" t="str">
        <f t="shared" si="25"/>
        <v>Ürün İş Listesi</v>
      </c>
    </row>
    <row r="1005" spans="1:10" x14ac:dyDescent="0.25">
      <c r="A1005" t="s">
        <v>14</v>
      </c>
      <c r="B1005" t="s">
        <v>2189</v>
      </c>
      <c r="C1005" t="s">
        <v>10</v>
      </c>
      <c r="D1005" t="s">
        <v>2188</v>
      </c>
      <c r="E1005" s="5" t="s">
        <v>41</v>
      </c>
      <c r="F1005" s="5" t="e">
        <f>VLOOKUP(B1005,'Türkkep Jira'!B:F,5,0)</f>
        <v>#N/A</v>
      </c>
      <c r="G1005" t="str">
        <f>IF(IFERROR(VLOOKUP(B1005,'Devam Eden Sprint'!B:B,1,0),"-")=B1005,"Devam Eden Sprint","-")</f>
        <v>-</v>
      </c>
      <c r="H1005" t="str">
        <f>IF(IFERROR(VLOOKUP(B1005,'Gelecek Sprint'!B:B,1,0),"-")=B1005,"Gelecek Sprint","-")</f>
        <v>-</v>
      </c>
      <c r="I1005" t="str">
        <f t="shared" si="25"/>
        <v>Ürün İş Listesi</v>
      </c>
    </row>
    <row r="1006" spans="1:10" x14ac:dyDescent="0.25">
      <c r="A1006" t="s">
        <v>14</v>
      </c>
      <c r="B1006" t="s">
        <v>2192</v>
      </c>
      <c r="C1006" t="s">
        <v>10</v>
      </c>
      <c r="D1006" t="s">
        <v>2191</v>
      </c>
      <c r="E1006" s="5" t="s">
        <v>41</v>
      </c>
      <c r="F1006" s="5" t="str">
        <f>VLOOKUP(B1006,'Türkkep Jira'!B:F,5,0)</f>
        <v>To Do</v>
      </c>
      <c r="G1006" t="str">
        <f>IF(IFERROR(VLOOKUP(B1006,'Devam Eden Sprint'!B:B,1,0),"-")=B1006,"Devam Eden Sprint","-")</f>
        <v>-</v>
      </c>
      <c r="H1006" t="str">
        <f>IF(IFERROR(VLOOKUP(B1006,'Gelecek Sprint'!B:B,1,0),"-")=B1006,"Gelecek Sprint","-")</f>
        <v>-</v>
      </c>
      <c r="I1006" t="str">
        <f t="shared" si="25"/>
        <v>Ürün İş Listesi</v>
      </c>
    </row>
    <row r="1007" spans="1:10" x14ac:dyDescent="0.25">
      <c r="A1007" t="s">
        <v>14</v>
      </c>
      <c r="B1007" t="s">
        <v>1827</v>
      </c>
      <c r="C1007" t="s">
        <v>16</v>
      </c>
      <c r="D1007" t="s">
        <v>2193</v>
      </c>
      <c r="E1007" s="5" t="s">
        <v>41</v>
      </c>
      <c r="F1007" s="5" t="e">
        <f>VLOOKUP(B1007,'Türkkep Jira'!B:F,5,0)</f>
        <v>#N/A</v>
      </c>
      <c r="G1007" t="str">
        <f>IF(IFERROR(VLOOKUP(B1007,'Devam Eden Sprint'!B:B,1,0),"-")=B1007,"Devam Eden Sprint","-")</f>
        <v>-</v>
      </c>
      <c r="H1007" t="str">
        <f>IF(IFERROR(VLOOKUP(B1007,'Gelecek Sprint'!B:B,1,0),"-")=B1007,"Gelecek Sprint","-")</f>
        <v>-</v>
      </c>
      <c r="I1007" t="str">
        <f t="shared" si="25"/>
        <v>Ürün İş Listesi</v>
      </c>
    </row>
    <row r="1008" spans="1:10" x14ac:dyDescent="0.25">
      <c r="A1008" t="s">
        <v>14</v>
      </c>
      <c r="B1008" t="s">
        <v>1828</v>
      </c>
      <c r="C1008" t="s">
        <v>16</v>
      </c>
      <c r="D1008" t="s">
        <v>2194</v>
      </c>
      <c r="E1008" s="5" t="s">
        <v>41</v>
      </c>
      <c r="F1008" s="5" t="e">
        <f>VLOOKUP(B1008,'Türkkep Jira'!B:F,5,0)</f>
        <v>#N/A</v>
      </c>
      <c r="G1008" t="str">
        <f>IF(IFERROR(VLOOKUP(B1008,'Devam Eden Sprint'!B:B,1,0),"-")=B1008,"Devam Eden Sprint","-")</f>
        <v>-</v>
      </c>
      <c r="H1008" t="str">
        <f>IF(IFERROR(VLOOKUP(B1008,'Gelecek Sprint'!B:B,1,0),"-")=B1008,"Gelecek Sprint","-")</f>
        <v>-</v>
      </c>
      <c r="I1008" t="str">
        <f t="shared" si="25"/>
        <v>Ürün İş Listesi</v>
      </c>
    </row>
    <row r="1009" spans="1:10" x14ac:dyDescent="0.25">
      <c r="A1009" t="s">
        <v>14</v>
      </c>
      <c r="B1009" t="s">
        <v>2176</v>
      </c>
      <c r="C1009" t="s">
        <v>16</v>
      </c>
      <c r="D1009" t="s">
        <v>2197</v>
      </c>
      <c r="E1009" s="5" t="s">
        <v>35</v>
      </c>
      <c r="F1009" s="5" t="e">
        <f>VLOOKUP(B1009,'Türkkep Jira'!B:F,5,0)</f>
        <v>#N/A</v>
      </c>
      <c r="G1009" t="str">
        <f>IF(IFERROR(VLOOKUP(B1009,'Devam Eden Sprint'!B:B,1,0),"-")=B1009,"Devam Eden Sprint","-")</f>
        <v>-</v>
      </c>
      <c r="H1009" t="str">
        <f>IF(IFERROR(VLOOKUP(B1009,'Gelecek Sprint'!B:B,1,0),"-")=B1009,"Gelecek Sprint","-")</f>
        <v>-</v>
      </c>
      <c r="I1009" t="str">
        <f t="shared" si="25"/>
        <v>Ürün İş Listesi</v>
      </c>
    </row>
    <row r="1010" spans="1:10" x14ac:dyDescent="0.25">
      <c r="A1010" t="s">
        <v>14</v>
      </c>
      <c r="B1010" t="s">
        <v>2202</v>
      </c>
      <c r="C1010" t="s">
        <v>10</v>
      </c>
      <c r="D1010" t="s">
        <v>2201</v>
      </c>
      <c r="E1010" s="5" t="s">
        <v>12</v>
      </c>
      <c r="F1010" s="5" t="e">
        <f>VLOOKUP(B1010,'Türkkep Jira'!B:F,5,0)</f>
        <v>#N/A</v>
      </c>
      <c r="G1010" t="str">
        <f>IF(IFERROR(VLOOKUP(B1010,'Devam Eden Sprint'!B:B,1,0),"-")=B1010,"Devam Eden Sprint","-")</f>
        <v>-</v>
      </c>
      <c r="H1010" t="str">
        <f>IF(IFERROR(VLOOKUP(B1010,'Gelecek Sprint'!B:B,1,0),"-")=B1010,"Gelecek Sprint","-")</f>
        <v>-</v>
      </c>
      <c r="I1010" t="str">
        <f t="shared" si="25"/>
        <v>Ürün İş Listesi</v>
      </c>
    </row>
    <row r="1011" spans="1:10" x14ac:dyDescent="0.25">
      <c r="A1011" t="s">
        <v>14</v>
      </c>
      <c r="B1011" t="s">
        <v>2204</v>
      </c>
      <c r="C1011" t="s">
        <v>16</v>
      </c>
      <c r="D1011" t="s">
        <v>2203</v>
      </c>
      <c r="E1011" s="5" t="s">
        <v>12</v>
      </c>
      <c r="F1011" s="5" t="e">
        <f>VLOOKUP(B1011,'Türkkep Jira'!B:F,5,0)</f>
        <v>#N/A</v>
      </c>
      <c r="G1011" t="str">
        <f>IF(IFERROR(VLOOKUP(B1011,'Devam Eden Sprint'!B:B,1,0),"-")=B1011,"Devam Eden Sprint","-")</f>
        <v>-</v>
      </c>
      <c r="H1011" t="str">
        <f>IF(IFERROR(VLOOKUP(B1011,'Gelecek Sprint'!B:B,1,0),"-")=B1011,"Gelecek Sprint","-")</f>
        <v>-</v>
      </c>
      <c r="I1011" t="str">
        <f t="shared" si="25"/>
        <v>Ürün İş Listesi</v>
      </c>
      <c r="J1011" s="5">
        <v>2</v>
      </c>
    </row>
    <row r="1012" spans="1:10" x14ac:dyDescent="0.25">
      <c r="A1012" t="s">
        <v>14</v>
      </c>
      <c r="B1012" t="s">
        <v>2207</v>
      </c>
      <c r="C1012" t="s">
        <v>27</v>
      </c>
      <c r="D1012" t="s">
        <v>2206</v>
      </c>
      <c r="E1012" s="5" t="s">
        <v>12</v>
      </c>
      <c r="F1012" s="5" t="str">
        <f>VLOOKUP(B1012,'Türkkep Jira'!B:F,5,0)</f>
        <v>TO TEST</v>
      </c>
      <c r="G1012" t="str">
        <f>IF(IFERROR(VLOOKUP(B1012,'Devam Eden Sprint'!B:B,1,0),"-")=B1012,"Devam Eden Sprint","-")</f>
        <v>Devam Eden Sprint</v>
      </c>
      <c r="H1012" t="str">
        <f>IF(IFERROR(VLOOKUP(B1012,'Gelecek Sprint'!B:B,1,0),"-")=B1012,"Gelecek Sprint","-")</f>
        <v>Gelecek Sprint</v>
      </c>
      <c r="I1012" t="str">
        <f t="shared" si="25"/>
        <v>Devam Eden ve Gelecek Sprint</v>
      </c>
    </row>
    <row r="1013" spans="1:10" x14ac:dyDescent="0.25">
      <c r="A1013" t="s">
        <v>14</v>
      </c>
      <c r="B1013" t="s">
        <v>2209</v>
      </c>
      <c r="C1013" t="s">
        <v>28</v>
      </c>
      <c r="D1013" t="s">
        <v>2208</v>
      </c>
      <c r="E1013" s="5" t="s">
        <v>12</v>
      </c>
      <c r="F1013" s="5" t="str">
        <f>VLOOKUP(B1013,'Türkkep Jira'!B:F,5,0)</f>
        <v>In Test</v>
      </c>
      <c r="G1013" t="str">
        <f>IF(IFERROR(VLOOKUP(B1013,'Devam Eden Sprint'!B:B,1,0),"-")=B1013,"Devam Eden Sprint","-")</f>
        <v>Devam Eden Sprint</v>
      </c>
      <c r="H1013" t="str">
        <f>IF(IFERROR(VLOOKUP(B1013,'Gelecek Sprint'!B:B,1,0),"-")=B1013,"Gelecek Sprint","-")</f>
        <v>Gelecek Sprint</v>
      </c>
      <c r="I1013" t="str">
        <f t="shared" si="25"/>
        <v>Devam Eden ve Gelecek Sprint</v>
      </c>
      <c r="J1013" s="5">
        <v>2</v>
      </c>
    </row>
    <row r="1014" spans="1:10" x14ac:dyDescent="0.25">
      <c r="A1014" t="s">
        <v>14</v>
      </c>
      <c r="B1014" t="s">
        <v>2211</v>
      </c>
      <c r="C1014" t="s">
        <v>10</v>
      </c>
      <c r="D1014" t="s">
        <v>2210</v>
      </c>
      <c r="E1014" s="5" t="s">
        <v>12</v>
      </c>
      <c r="F1014" s="5" t="e">
        <f>VLOOKUP(B1014,'Türkkep Jira'!B:F,5,0)</f>
        <v>#N/A</v>
      </c>
      <c r="G1014" t="str">
        <f>IF(IFERROR(VLOOKUP(B1014,'Devam Eden Sprint'!B:B,1,0),"-")=B1014,"Devam Eden Sprint","-")</f>
        <v>-</v>
      </c>
      <c r="H1014" t="str">
        <f>IF(IFERROR(VLOOKUP(B1014,'Gelecek Sprint'!B:B,1,0),"-")=B1014,"Gelecek Sprint","-")</f>
        <v>-</v>
      </c>
      <c r="I1014" t="str">
        <f t="shared" si="25"/>
        <v>Ürün İş Listesi</v>
      </c>
    </row>
    <row r="1015" spans="1:10" x14ac:dyDescent="0.25">
      <c r="A1015" t="s">
        <v>14</v>
      </c>
      <c r="B1015" t="s">
        <v>2213</v>
      </c>
      <c r="C1015" t="s">
        <v>10</v>
      </c>
      <c r="D1015" t="s">
        <v>2212</v>
      </c>
      <c r="E1015" s="5" t="s">
        <v>12</v>
      </c>
      <c r="F1015" s="5" t="e">
        <f>VLOOKUP(B1015,'Türkkep Jira'!B:F,5,0)</f>
        <v>#N/A</v>
      </c>
      <c r="G1015" t="str">
        <f>IF(IFERROR(VLOOKUP(B1015,'Devam Eden Sprint'!B:B,1,0),"-")=B1015,"Devam Eden Sprint","-")</f>
        <v>-</v>
      </c>
      <c r="H1015" t="str">
        <f>IF(IFERROR(VLOOKUP(B1015,'Gelecek Sprint'!B:B,1,0),"-")=B1015,"Gelecek Sprint","-")</f>
        <v>-</v>
      </c>
      <c r="I1015" t="str">
        <f t="shared" si="25"/>
        <v>Ürün İş Listesi</v>
      </c>
    </row>
    <row r="1016" spans="1:10" x14ac:dyDescent="0.25">
      <c r="A1016" t="s">
        <v>14</v>
      </c>
      <c r="B1016" t="s">
        <v>2215</v>
      </c>
      <c r="C1016" t="s">
        <v>10</v>
      </c>
      <c r="D1016" t="s">
        <v>2214</v>
      </c>
      <c r="E1016" s="5" t="s">
        <v>12</v>
      </c>
      <c r="F1016" s="5" t="e">
        <f>VLOOKUP(B1016,'Türkkep Jira'!B:F,5,0)</f>
        <v>#N/A</v>
      </c>
      <c r="G1016" t="str">
        <f>IF(IFERROR(VLOOKUP(B1016,'Devam Eden Sprint'!B:B,1,0),"-")=B1016,"Devam Eden Sprint","-")</f>
        <v>-</v>
      </c>
      <c r="H1016" t="str">
        <f>IF(IFERROR(VLOOKUP(B1016,'Gelecek Sprint'!B:B,1,0),"-")=B1016,"Gelecek Sprint","-")</f>
        <v>-</v>
      </c>
      <c r="I1016" t="str">
        <f t="shared" si="25"/>
        <v>Ürün İş Listesi</v>
      </c>
    </row>
    <row r="1017" spans="1:10" x14ac:dyDescent="0.25">
      <c r="A1017" t="s">
        <v>14</v>
      </c>
      <c r="B1017" t="s">
        <v>2055</v>
      </c>
      <c r="C1017" t="s">
        <v>16</v>
      </c>
      <c r="D1017" t="s">
        <v>2056</v>
      </c>
      <c r="E1017" s="5" t="s">
        <v>127</v>
      </c>
      <c r="F1017" s="5" t="e">
        <f>VLOOKUP(B1017,'Türkkep Jira'!B:F,5,0)</f>
        <v>#N/A</v>
      </c>
      <c r="G1017" t="str">
        <f>IF(IFERROR(VLOOKUP(B1017,'Devam Eden Sprint'!B:B,1,0),"-")=B1017,"Devam Eden Sprint","-")</f>
        <v>-</v>
      </c>
      <c r="H1017" t="str">
        <f>IF(IFERROR(VLOOKUP(B1017,'Gelecek Sprint'!B:B,1,0),"-")=B1017,"Gelecek Sprint","-")</f>
        <v>-</v>
      </c>
      <c r="I1017" t="str">
        <f t="shared" ref="I1017:I1019" si="26">IFERROR(IF(AND(G1017="Devam Eden Sprint",H1017="Gelecek Sprint"),"Devam Eden ve Gelecek Sprint",IF(G1017="Devam Eden Sprint","Devam Eden Sprint",IF(H1017="Gelecek Sprint","Gelecek Sprint","Ürün İş Listesi"))),"Ürün İş Listesi")</f>
        <v>Ürün İş Listesi</v>
      </c>
      <c r="J1017" s="5">
        <v>3</v>
      </c>
    </row>
    <row r="1018" spans="1:10" x14ac:dyDescent="0.25">
      <c r="A1018" t="s">
        <v>14</v>
      </c>
      <c r="B1018" t="s">
        <v>2057</v>
      </c>
      <c r="C1018" t="s">
        <v>16</v>
      </c>
      <c r="D1018" t="s">
        <v>2058</v>
      </c>
      <c r="E1018" s="5" t="s">
        <v>53</v>
      </c>
      <c r="F1018" s="5" t="e">
        <f>VLOOKUP(B1018,'Türkkep Jira'!B:F,5,0)</f>
        <v>#N/A</v>
      </c>
      <c r="G1018" t="str">
        <f>IF(IFERROR(VLOOKUP(B1018,'Devam Eden Sprint'!B:B,1,0),"-")=B1018,"Devam Eden Sprint","-")</f>
        <v>-</v>
      </c>
      <c r="H1018" t="str">
        <f>IF(IFERROR(VLOOKUP(B1018,'Gelecek Sprint'!B:B,1,0),"-")=B1018,"Gelecek Sprint","-")</f>
        <v>-</v>
      </c>
      <c r="I1018" t="str">
        <f t="shared" si="26"/>
        <v>Ürün İş Listesi</v>
      </c>
      <c r="J1018" s="5">
        <v>5</v>
      </c>
    </row>
    <row r="1019" spans="1:10" x14ac:dyDescent="0.25">
      <c r="A1019" t="s">
        <v>14</v>
      </c>
      <c r="B1019" t="s">
        <v>2059</v>
      </c>
      <c r="C1019" t="s">
        <v>16</v>
      </c>
      <c r="D1019" t="s">
        <v>2060</v>
      </c>
      <c r="E1019" s="5" t="s">
        <v>53</v>
      </c>
      <c r="F1019" s="5" t="e">
        <f>VLOOKUP(B1019,'Türkkep Jira'!B:F,5,0)</f>
        <v>#N/A</v>
      </c>
      <c r="G1019" t="str">
        <f>IF(IFERROR(VLOOKUP(B1019,'Devam Eden Sprint'!B:B,1,0),"-")=B1019,"Devam Eden Sprint","-")</f>
        <v>-</v>
      </c>
      <c r="H1019" t="str">
        <f>IF(IFERROR(VLOOKUP(B1019,'Gelecek Sprint'!B:B,1,0),"-")=B1019,"Gelecek Sprint","-")</f>
        <v>-</v>
      </c>
      <c r="I1019" t="str">
        <f t="shared" si="26"/>
        <v>Ürün İş Listesi</v>
      </c>
      <c r="J1019" s="5">
        <v>5</v>
      </c>
    </row>
    <row r="1020" spans="1:10" x14ac:dyDescent="0.25">
      <c r="A1020" t="s">
        <v>14</v>
      </c>
      <c r="B1020" t="s">
        <v>2240</v>
      </c>
      <c r="C1020" t="s">
        <v>16</v>
      </c>
      <c r="D1020" t="s">
        <v>2241</v>
      </c>
      <c r="E1020" s="5" t="s">
        <v>41</v>
      </c>
      <c r="F1020" s="5" t="e">
        <f>VLOOKUP(B1020,'Türkkep Jira'!B:F,5,0)</f>
        <v>#N/A</v>
      </c>
      <c r="G1020" t="str">
        <f>IF(IFERROR(VLOOKUP(B1020,'Devam Eden Sprint'!B:B,1,0),"-")=B1020,"Devam Eden Sprint","-")</f>
        <v>-</v>
      </c>
      <c r="H1020" t="str">
        <f>IF(IFERROR(VLOOKUP(B1020,'Gelecek Sprint'!B:B,1,0),"-")=B1020,"Gelecek Sprint","-")</f>
        <v>-</v>
      </c>
      <c r="I1020" t="str">
        <f t="shared" ref="I1020:I1026" si="27">IFERROR(IF(AND(G1020="Devam Eden Sprint",H1020="Gelecek Sprint"),"Devam Eden ve Gelecek Sprint",IF(G1020="Devam Eden Sprint","Devam Eden Sprint",IF(H1020="Gelecek Sprint","Gelecek Sprint","Ürün İş Listesi"))),"Ürün İş Listesi")</f>
        <v>Ürün İş Listesi</v>
      </c>
      <c r="J1020" s="5">
        <v>8</v>
      </c>
    </row>
    <row r="1021" spans="1:10" x14ac:dyDescent="0.25">
      <c r="A1021" t="s">
        <v>14</v>
      </c>
      <c r="B1021" t="s">
        <v>2242</v>
      </c>
      <c r="C1021" t="s">
        <v>16</v>
      </c>
      <c r="D1021" t="s">
        <v>2243</v>
      </c>
      <c r="E1021" s="5" t="s">
        <v>41</v>
      </c>
      <c r="F1021" s="5" t="e">
        <f>VLOOKUP(B1021,'Türkkep Jira'!B:F,5,0)</f>
        <v>#N/A</v>
      </c>
      <c r="G1021" t="str">
        <f>IF(IFERROR(VLOOKUP(B1021,'Devam Eden Sprint'!B:B,1,0),"-")=B1021,"Devam Eden Sprint","-")</f>
        <v>-</v>
      </c>
      <c r="H1021" t="str">
        <f>IF(IFERROR(VLOOKUP(B1021,'Gelecek Sprint'!B:B,1,0),"-")=B1021,"Gelecek Sprint","-")</f>
        <v>-</v>
      </c>
      <c r="I1021" t="str">
        <f t="shared" si="27"/>
        <v>Ürün İş Listesi</v>
      </c>
      <c r="J1021" s="5">
        <v>8</v>
      </c>
    </row>
    <row r="1022" spans="1:10" x14ac:dyDescent="0.25">
      <c r="A1022" t="s">
        <v>14</v>
      </c>
      <c r="B1022" t="s">
        <v>2244</v>
      </c>
      <c r="C1022" t="s">
        <v>10</v>
      </c>
      <c r="D1022" t="s">
        <v>1966</v>
      </c>
      <c r="E1022" s="5" t="s">
        <v>41</v>
      </c>
      <c r="F1022" s="5" t="e">
        <f>VLOOKUP(B1022,'Türkkep Jira'!B:F,5,0)</f>
        <v>#N/A</v>
      </c>
      <c r="G1022" t="str">
        <f>IF(IFERROR(VLOOKUP(B1022,'Devam Eden Sprint'!B:B,1,0),"-")=B1022,"Devam Eden Sprint","-")</f>
        <v>-</v>
      </c>
      <c r="H1022" t="str">
        <f>IF(IFERROR(VLOOKUP(B1022,'Gelecek Sprint'!B:B,1,0),"-")=B1022,"Gelecek Sprint","-")</f>
        <v>-</v>
      </c>
      <c r="I1022" t="str">
        <f t="shared" si="27"/>
        <v>Ürün İş Listesi</v>
      </c>
      <c r="J1022" s="5">
        <v>2</v>
      </c>
    </row>
    <row r="1023" spans="1:10" x14ac:dyDescent="0.25">
      <c r="A1023" t="s">
        <v>14</v>
      </c>
      <c r="B1023" t="s">
        <v>1833</v>
      </c>
      <c r="C1023" t="s">
        <v>16</v>
      </c>
      <c r="D1023" t="s">
        <v>1834</v>
      </c>
      <c r="E1023" s="5" t="s">
        <v>38</v>
      </c>
      <c r="F1023" s="5" t="e">
        <f>VLOOKUP(B1023,'Türkkep Jira'!B:F,5,0)</f>
        <v>#N/A</v>
      </c>
      <c r="G1023" t="str">
        <f>IF(IFERROR(VLOOKUP(B1023,'Devam Eden Sprint'!B:B,1,0),"-")=B1023,"Devam Eden Sprint","-")</f>
        <v>-</v>
      </c>
      <c r="H1023" t="str">
        <f>IF(IFERROR(VLOOKUP(B1023,'Gelecek Sprint'!B:B,1,0),"-")=B1023,"Gelecek Sprint","-")</f>
        <v>-</v>
      </c>
      <c r="I1023" t="str">
        <f t="shared" si="27"/>
        <v>Ürün İş Listesi</v>
      </c>
      <c r="J1023" s="5">
        <v>3</v>
      </c>
    </row>
    <row r="1024" spans="1:10" x14ac:dyDescent="0.25">
      <c r="A1024" t="s">
        <v>14</v>
      </c>
      <c r="B1024" t="s">
        <v>1823</v>
      </c>
      <c r="C1024" t="s">
        <v>16</v>
      </c>
      <c r="D1024" t="s">
        <v>1824</v>
      </c>
      <c r="E1024" s="5" t="s">
        <v>41</v>
      </c>
      <c r="F1024" s="5" t="e">
        <f>VLOOKUP(B1024,'Türkkep Jira'!B:F,5,0)</f>
        <v>#N/A</v>
      </c>
      <c r="G1024" t="str">
        <f>IF(IFERROR(VLOOKUP(B1024,'Devam Eden Sprint'!B:B,1,0),"-")=B1024,"Devam Eden Sprint","-")</f>
        <v>-</v>
      </c>
      <c r="H1024" t="str">
        <f>IF(IFERROR(VLOOKUP(B1024,'Gelecek Sprint'!B:B,1,0),"-")=B1024,"Gelecek Sprint","-")</f>
        <v>-</v>
      </c>
      <c r="I1024" t="str">
        <f t="shared" si="27"/>
        <v>Ürün İş Listesi</v>
      </c>
      <c r="J1024" s="5">
        <v>2</v>
      </c>
    </row>
    <row r="1025" spans="1:10" x14ac:dyDescent="0.25">
      <c r="A1025" t="s">
        <v>14</v>
      </c>
      <c r="B1025" t="s">
        <v>1825</v>
      </c>
      <c r="C1025" t="s">
        <v>16</v>
      </c>
      <c r="D1025" t="s">
        <v>1826</v>
      </c>
      <c r="E1025" s="5" t="s">
        <v>41</v>
      </c>
      <c r="F1025" s="5" t="e">
        <f>VLOOKUP(B1025,'Türkkep Jira'!B:F,5,0)</f>
        <v>#N/A</v>
      </c>
      <c r="G1025" t="str">
        <f>IF(IFERROR(VLOOKUP(B1025,'Devam Eden Sprint'!B:B,1,0),"-")=B1025,"Devam Eden Sprint","-")</f>
        <v>-</v>
      </c>
      <c r="H1025" t="str">
        <f>IF(IFERROR(VLOOKUP(B1025,'Gelecek Sprint'!B:B,1,0),"-")=B1025,"Gelecek Sprint","-")</f>
        <v>-</v>
      </c>
      <c r="I1025" t="str">
        <f t="shared" si="27"/>
        <v>Ürün İş Listesi</v>
      </c>
      <c r="J1025" s="5">
        <v>1</v>
      </c>
    </row>
    <row r="1026" spans="1:10" x14ac:dyDescent="0.25">
      <c r="A1026" t="s">
        <v>14</v>
      </c>
      <c r="B1026" t="s">
        <v>1829</v>
      </c>
      <c r="C1026" t="s">
        <v>16</v>
      </c>
      <c r="D1026" t="s">
        <v>1830</v>
      </c>
      <c r="E1026" s="5" t="s">
        <v>41</v>
      </c>
      <c r="F1026" s="5" t="e">
        <f>VLOOKUP(B1026,'Türkkep Jira'!B:F,5,0)</f>
        <v>#N/A</v>
      </c>
      <c r="G1026" t="str">
        <f>IF(IFERROR(VLOOKUP(B1026,'Devam Eden Sprint'!B:B,1,0),"-")=B1026,"Devam Eden Sprint","-")</f>
        <v>-</v>
      </c>
      <c r="H1026" t="str">
        <f>IF(IFERROR(VLOOKUP(B1026,'Gelecek Sprint'!B:B,1,0),"-")=B1026,"Gelecek Sprint","-")</f>
        <v>-</v>
      </c>
      <c r="I1026" t="str">
        <f t="shared" si="27"/>
        <v>Ürün İş Listesi</v>
      </c>
      <c r="J1026" s="5">
        <v>5</v>
      </c>
    </row>
    <row r="1027" spans="1:10" x14ac:dyDescent="0.25">
      <c r="A1027" t="s">
        <v>77</v>
      </c>
      <c r="B1027" t="s">
        <v>2245</v>
      </c>
      <c r="C1027" t="s">
        <v>16</v>
      </c>
      <c r="D1027" t="s">
        <v>2254</v>
      </c>
      <c r="E1027" s="5" t="s">
        <v>44</v>
      </c>
      <c r="F1027" s="5" t="e">
        <f>VLOOKUP(B1027,'Türkkep Jira'!B:F,5,0)</f>
        <v>#N/A</v>
      </c>
      <c r="G1027" t="str">
        <f>IF(IFERROR(VLOOKUP(B1027,'Devam Eden Sprint'!B:B,1,0),"-")=B1027,"Devam Eden Sprint","-")</f>
        <v>-</v>
      </c>
      <c r="H1027" t="str">
        <f>IF(IFERROR(VLOOKUP(B1027,'Gelecek Sprint'!B:B,1,0),"-")=B1027,"Gelecek Sprint","-")</f>
        <v>-</v>
      </c>
      <c r="I1027" t="str">
        <f t="shared" ref="I1027:I1055" si="28">IFERROR(IF(AND(G1027="Devam Eden Sprint",H1027="Gelecek Sprint"),"Devam Eden ve Gelecek Sprint",IF(G1027="Devam Eden Sprint","Devam Eden Sprint",IF(H1027="Gelecek Sprint","Gelecek Sprint","Ürün İş Listesi"))),"Ürün İş Listesi")</f>
        <v>Ürün İş Listesi</v>
      </c>
      <c r="J1027" s="5">
        <v>3</v>
      </c>
    </row>
    <row r="1028" spans="1:10" x14ac:dyDescent="0.25">
      <c r="A1028" t="s">
        <v>14</v>
      </c>
      <c r="B1028" t="s">
        <v>2247</v>
      </c>
      <c r="C1028" t="s">
        <v>16</v>
      </c>
      <c r="D1028" t="s">
        <v>332</v>
      </c>
      <c r="E1028" s="5" t="s">
        <v>50</v>
      </c>
      <c r="F1028" s="5" t="e">
        <f>VLOOKUP(B1028,'Türkkep Jira'!B:F,5,0)</f>
        <v>#N/A</v>
      </c>
      <c r="G1028" t="str">
        <f>IF(IFERROR(VLOOKUP(B1028,'Devam Eden Sprint'!B:B,1,0),"-")=B1028,"Devam Eden Sprint","-")</f>
        <v>-</v>
      </c>
      <c r="H1028" t="str">
        <f>IF(IFERROR(VLOOKUP(B1028,'Gelecek Sprint'!B:B,1,0),"-")=B1028,"Gelecek Sprint","-")</f>
        <v>-</v>
      </c>
      <c r="I1028" t="str">
        <f t="shared" si="28"/>
        <v>Ürün İş Listesi</v>
      </c>
      <c r="J1028" s="5">
        <v>3</v>
      </c>
    </row>
    <row r="1029" spans="1:10" x14ac:dyDescent="0.25">
      <c r="A1029" t="s">
        <v>77</v>
      </c>
      <c r="B1029" t="s">
        <v>2262</v>
      </c>
      <c r="C1029" t="s">
        <v>16</v>
      </c>
      <c r="D1029" t="s">
        <v>2264</v>
      </c>
      <c r="E1029" s="5" t="s">
        <v>50</v>
      </c>
      <c r="F1029" s="5" t="e">
        <f>VLOOKUP(B1029,'Türkkep Jira'!B:F,5,0)</f>
        <v>#N/A</v>
      </c>
      <c r="G1029" t="str">
        <f>IF(IFERROR(VLOOKUP(B1029,'Devam Eden Sprint'!B:B,1,0),"-")=B1029,"Devam Eden Sprint","-")</f>
        <v>-</v>
      </c>
      <c r="H1029" t="str">
        <f>IF(IFERROR(VLOOKUP(B1029,'Gelecek Sprint'!B:B,1,0),"-")=B1029,"Gelecek Sprint","-")</f>
        <v>-</v>
      </c>
      <c r="I1029" t="str">
        <f t="shared" si="28"/>
        <v>Ürün İş Listesi</v>
      </c>
      <c r="J1029" s="5">
        <v>1</v>
      </c>
    </row>
    <row r="1030" spans="1:10" x14ac:dyDescent="0.25">
      <c r="A1030" t="s">
        <v>14</v>
      </c>
      <c r="B1030" t="s">
        <v>2248</v>
      </c>
      <c r="C1030" t="s">
        <v>16</v>
      </c>
      <c r="D1030" t="s">
        <v>2256</v>
      </c>
      <c r="E1030" s="5" t="s">
        <v>56</v>
      </c>
      <c r="F1030" s="5" t="e">
        <f>VLOOKUP(B1030,'Türkkep Jira'!B:F,5,0)</f>
        <v>#N/A</v>
      </c>
      <c r="G1030" t="str">
        <f>IF(IFERROR(VLOOKUP(B1030,'Devam Eden Sprint'!B:B,1,0),"-")=B1030,"Devam Eden Sprint","-")</f>
        <v>-</v>
      </c>
      <c r="H1030" t="str">
        <f>IF(IFERROR(VLOOKUP(B1030,'Gelecek Sprint'!B:B,1,0),"-")=B1030,"Gelecek Sprint","-")</f>
        <v>-</v>
      </c>
      <c r="I1030" t="str">
        <f t="shared" si="28"/>
        <v>Ürün İş Listesi</v>
      </c>
      <c r="J1030" s="5">
        <v>3</v>
      </c>
    </row>
    <row r="1031" spans="1:10" x14ac:dyDescent="0.25">
      <c r="A1031" t="s">
        <v>14</v>
      </c>
      <c r="B1031" t="s">
        <v>2249</v>
      </c>
      <c r="C1031" t="s">
        <v>16</v>
      </c>
      <c r="D1031" t="s">
        <v>2257</v>
      </c>
      <c r="E1031" s="5" t="s">
        <v>56</v>
      </c>
      <c r="F1031" s="5" t="e">
        <f>VLOOKUP(B1031,'Türkkep Jira'!B:F,5,0)</f>
        <v>#N/A</v>
      </c>
      <c r="G1031" t="str">
        <f>IF(IFERROR(VLOOKUP(B1031,'Devam Eden Sprint'!B:B,1,0),"-")=B1031,"Devam Eden Sprint","-")</f>
        <v>-</v>
      </c>
      <c r="H1031" t="str">
        <f>IF(IFERROR(VLOOKUP(B1031,'Gelecek Sprint'!B:B,1,0),"-")=B1031,"Gelecek Sprint","-")</f>
        <v>-</v>
      </c>
      <c r="I1031" t="str">
        <f t="shared" si="28"/>
        <v>Ürün İş Listesi</v>
      </c>
      <c r="J1031" s="5">
        <v>1</v>
      </c>
    </row>
    <row r="1032" spans="1:10" x14ac:dyDescent="0.25">
      <c r="A1032" t="s">
        <v>14</v>
      </c>
      <c r="B1032" t="s">
        <v>2263</v>
      </c>
      <c r="C1032" t="s">
        <v>16</v>
      </c>
      <c r="D1032" t="s">
        <v>2266</v>
      </c>
      <c r="E1032" s="5" t="s">
        <v>56</v>
      </c>
      <c r="F1032" s="5" t="e">
        <f>VLOOKUP(B1032,'Türkkep Jira'!B:F,5,0)</f>
        <v>#N/A</v>
      </c>
      <c r="G1032" t="str">
        <f>IF(IFERROR(VLOOKUP(B1032,'Devam Eden Sprint'!B:B,1,0),"-")=B1032,"Devam Eden Sprint","-")</f>
        <v>-</v>
      </c>
      <c r="H1032" t="str">
        <f>IF(IFERROR(VLOOKUP(B1032,'Gelecek Sprint'!B:B,1,0),"-")=B1032,"Gelecek Sprint","-")</f>
        <v>-</v>
      </c>
      <c r="I1032" t="str">
        <f t="shared" si="28"/>
        <v>Ürün İş Listesi</v>
      </c>
      <c r="J1032" s="5">
        <v>3</v>
      </c>
    </row>
    <row r="1033" spans="1:10" x14ac:dyDescent="0.25">
      <c r="A1033" t="s">
        <v>77</v>
      </c>
      <c r="B1033" t="s">
        <v>2269</v>
      </c>
      <c r="C1033" t="s">
        <v>16</v>
      </c>
      <c r="D1033" t="s">
        <v>2270</v>
      </c>
      <c r="E1033" s="5" t="s">
        <v>41</v>
      </c>
      <c r="F1033" s="5" t="e">
        <f>VLOOKUP(B1033,'Türkkep Jira'!B:F,5,0)</f>
        <v>#N/A</v>
      </c>
      <c r="G1033" t="str">
        <f>IF(IFERROR(VLOOKUP(B1033,'Devam Eden Sprint'!B:B,1,0),"-")=B1033,"Devam Eden Sprint","-")</f>
        <v>-</v>
      </c>
      <c r="H1033" t="str">
        <f>IF(IFERROR(VLOOKUP(B1033,'Gelecek Sprint'!B:B,1,0),"-")=B1033,"Gelecek Sprint","-")</f>
        <v>-</v>
      </c>
      <c r="I1033" t="str">
        <f t="shared" si="28"/>
        <v>Ürün İş Listesi</v>
      </c>
      <c r="J1033" s="5">
        <v>1</v>
      </c>
    </row>
    <row r="1034" spans="1:10" x14ac:dyDescent="0.25">
      <c r="A1034" t="s">
        <v>14</v>
      </c>
      <c r="B1034" t="s">
        <v>2271</v>
      </c>
      <c r="C1034" t="s">
        <v>16</v>
      </c>
      <c r="D1034" t="s">
        <v>2272</v>
      </c>
      <c r="E1034" s="5" t="s">
        <v>41</v>
      </c>
      <c r="F1034" s="5" t="e">
        <f>VLOOKUP(B1034,'Türkkep Jira'!B:F,5,0)</f>
        <v>#N/A</v>
      </c>
      <c r="G1034" t="str">
        <f>IF(IFERROR(VLOOKUP(B1034,'Devam Eden Sprint'!B:B,1,0),"-")=B1034,"Devam Eden Sprint","-")</f>
        <v>-</v>
      </c>
      <c r="H1034" t="str">
        <f>IF(IFERROR(VLOOKUP(B1034,'Gelecek Sprint'!B:B,1,0),"-")=B1034,"Gelecek Sprint","-")</f>
        <v>-</v>
      </c>
      <c r="I1034" t="str">
        <f t="shared" si="28"/>
        <v>Ürün İş Listesi</v>
      </c>
      <c r="J1034" s="5">
        <v>1</v>
      </c>
    </row>
    <row r="1035" spans="1:10" x14ac:dyDescent="0.25">
      <c r="A1035" t="s">
        <v>14</v>
      </c>
      <c r="B1035" t="s">
        <v>2273</v>
      </c>
      <c r="C1035" t="s">
        <v>10</v>
      </c>
      <c r="D1035" t="s">
        <v>2274</v>
      </c>
      <c r="E1035" s="5" t="s">
        <v>41</v>
      </c>
      <c r="F1035" s="5" t="str">
        <f>VLOOKUP(B1035,'Türkkep Jira'!B:F,5,0)</f>
        <v>To Do</v>
      </c>
      <c r="G1035" t="str">
        <f>IF(IFERROR(VLOOKUP(B1035,'Devam Eden Sprint'!B:B,1,0),"-")=B1035,"Devam Eden Sprint","-")</f>
        <v>-</v>
      </c>
      <c r="H1035" t="str">
        <f>IF(IFERROR(VLOOKUP(B1035,'Gelecek Sprint'!B:B,1,0),"-")=B1035,"Gelecek Sprint","-")</f>
        <v>Gelecek Sprint</v>
      </c>
      <c r="I1035" t="str">
        <f t="shared" si="28"/>
        <v>Gelecek Sprint</v>
      </c>
      <c r="J1035" s="5">
        <v>8</v>
      </c>
    </row>
    <row r="1036" spans="1:10" x14ac:dyDescent="0.25">
      <c r="A1036" t="s">
        <v>14</v>
      </c>
      <c r="B1036" t="s">
        <v>2275</v>
      </c>
      <c r="C1036" t="s">
        <v>10</v>
      </c>
      <c r="D1036" t="s">
        <v>2276</v>
      </c>
      <c r="E1036" s="5" t="s">
        <v>41</v>
      </c>
      <c r="F1036" s="5" t="str">
        <f>VLOOKUP(B1036,'Türkkep Jira'!B:F,5,0)</f>
        <v>To Do</v>
      </c>
      <c r="G1036" t="str">
        <f>IF(IFERROR(VLOOKUP(B1036,'Devam Eden Sprint'!B:B,1,0),"-")=B1036,"Devam Eden Sprint","-")</f>
        <v>-</v>
      </c>
      <c r="H1036" t="str">
        <f>IF(IFERROR(VLOOKUP(B1036,'Gelecek Sprint'!B:B,1,0),"-")=B1036,"Gelecek Sprint","-")</f>
        <v>Gelecek Sprint</v>
      </c>
      <c r="I1036" t="str">
        <f t="shared" si="28"/>
        <v>Gelecek Sprint</v>
      </c>
      <c r="J1036" s="5">
        <v>13</v>
      </c>
    </row>
    <row r="1037" spans="1:10" x14ac:dyDescent="0.25">
      <c r="A1037" t="s">
        <v>77</v>
      </c>
      <c r="B1037" t="s">
        <v>2278</v>
      </c>
      <c r="C1037" t="s">
        <v>16</v>
      </c>
      <c r="D1037" t="s">
        <v>2279</v>
      </c>
      <c r="E1037" s="5" t="s">
        <v>53</v>
      </c>
      <c r="F1037" s="5" t="e">
        <f>VLOOKUP(B1037,'Türkkep Jira'!B:F,5,0)</f>
        <v>#N/A</v>
      </c>
      <c r="G1037" t="str">
        <f>IF(IFERROR(VLOOKUP(B1037,'Devam Eden Sprint'!B:B,1,0),"-")=B1037,"Devam Eden Sprint","-")</f>
        <v>-</v>
      </c>
      <c r="H1037" t="str">
        <f>IF(IFERROR(VLOOKUP(B1037,'Gelecek Sprint'!B:B,1,0),"-")=B1037,"Gelecek Sprint","-")</f>
        <v>-</v>
      </c>
      <c r="I1037" t="str">
        <f t="shared" si="28"/>
        <v>Ürün İş Listesi</v>
      </c>
      <c r="J1037" s="5">
        <v>1</v>
      </c>
    </row>
    <row r="1038" spans="1:10" x14ac:dyDescent="0.25">
      <c r="A1038" t="s">
        <v>77</v>
      </c>
      <c r="B1038" t="s">
        <v>2280</v>
      </c>
      <c r="C1038" t="s">
        <v>16</v>
      </c>
      <c r="D1038" t="s">
        <v>2281</v>
      </c>
      <c r="E1038" s="5" t="s">
        <v>53</v>
      </c>
      <c r="F1038" s="5" t="e">
        <f>VLOOKUP(B1038,'Türkkep Jira'!B:F,5,0)</f>
        <v>#N/A</v>
      </c>
      <c r="G1038" t="str">
        <f>IF(IFERROR(VLOOKUP(B1038,'Devam Eden Sprint'!B:B,1,0),"-")=B1038,"Devam Eden Sprint","-")</f>
        <v>-</v>
      </c>
      <c r="H1038" t="str">
        <f>IF(IFERROR(VLOOKUP(B1038,'Gelecek Sprint'!B:B,1,0),"-")=B1038,"Gelecek Sprint","-")</f>
        <v>-</v>
      </c>
      <c r="I1038" t="str">
        <f t="shared" si="28"/>
        <v>Ürün İş Listesi</v>
      </c>
      <c r="J1038" s="5">
        <v>1</v>
      </c>
    </row>
    <row r="1039" spans="1:10" x14ac:dyDescent="0.25">
      <c r="A1039" t="s">
        <v>77</v>
      </c>
      <c r="B1039" t="s">
        <v>2282</v>
      </c>
      <c r="C1039" t="s">
        <v>16</v>
      </c>
      <c r="D1039" t="s">
        <v>2283</v>
      </c>
      <c r="E1039" s="5" t="s">
        <v>53</v>
      </c>
      <c r="F1039" s="5" t="e">
        <f>VLOOKUP(B1039,'Türkkep Jira'!B:F,5,0)</f>
        <v>#N/A</v>
      </c>
      <c r="G1039" t="str">
        <f>IF(IFERROR(VLOOKUP(B1039,'Devam Eden Sprint'!B:B,1,0),"-")=B1039,"Devam Eden Sprint","-")</f>
        <v>-</v>
      </c>
      <c r="H1039" t="str">
        <f>IF(IFERROR(VLOOKUP(B1039,'Gelecek Sprint'!B:B,1,0),"-")=B1039,"Gelecek Sprint","-")</f>
        <v>-</v>
      </c>
      <c r="I1039" t="str">
        <f t="shared" si="28"/>
        <v>Ürün İş Listesi</v>
      </c>
      <c r="J1039" s="5">
        <v>2</v>
      </c>
    </row>
    <row r="1040" spans="1:10" x14ac:dyDescent="0.25">
      <c r="A1040" t="s">
        <v>14</v>
      </c>
      <c r="B1040" t="s">
        <v>2284</v>
      </c>
      <c r="C1040" t="s">
        <v>16</v>
      </c>
      <c r="D1040" t="s">
        <v>2285</v>
      </c>
      <c r="E1040" s="5" t="s">
        <v>53</v>
      </c>
      <c r="F1040" s="5" t="e">
        <f>VLOOKUP(B1040,'Türkkep Jira'!B:F,5,0)</f>
        <v>#N/A</v>
      </c>
      <c r="G1040" t="str">
        <f>IF(IFERROR(VLOOKUP(B1040,'Devam Eden Sprint'!B:B,1,0),"-")=B1040,"Devam Eden Sprint","-")</f>
        <v>-</v>
      </c>
      <c r="H1040" t="str">
        <f>IF(IFERROR(VLOOKUP(B1040,'Gelecek Sprint'!B:B,1,0),"-")=B1040,"Gelecek Sprint","-")</f>
        <v>-</v>
      </c>
      <c r="I1040" t="str">
        <f t="shared" si="28"/>
        <v>Ürün İş Listesi</v>
      </c>
      <c r="J1040" s="5">
        <v>1</v>
      </c>
    </row>
    <row r="1041" spans="1:10" x14ac:dyDescent="0.25">
      <c r="A1041" t="s">
        <v>14</v>
      </c>
      <c r="B1041" t="s">
        <v>2286</v>
      </c>
      <c r="C1041" t="s">
        <v>16</v>
      </c>
      <c r="D1041" t="s">
        <v>2287</v>
      </c>
      <c r="E1041" s="5" t="s">
        <v>53</v>
      </c>
      <c r="F1041" s="5" t="e">
        <f>VLOOKUP(B1041,'Türkkep Jira'!B:F,5,0)</f>
        <v>#N/A</v>
      </c>
      <c r="G1041" t="str">
        <f>IF(IFERROR(VLOOKUP(B1041,'Devam Eden Sprint'!B:B,1,0),"-")=B1041,"Devam Eden Sprint","-")</f>
        <v>-</v>
      </c>
      <c r="H1041" t="str">
        <f>IF(IFERROR(VLOOKUP(B1041,'Gelecek Sprint'!B:B,1,0),"-")=B1041,"Gelecek Sprint","-")</f>
        <v>-</v>
      </c>
      <c r="I1041" t="str">
        <f t="shared" si="28"/>
        <v>Ürün İş Listesi</v>
      </c>
      <c r="J1041" s="5">
        <v>3</v>
      </c>
    </row>
    <row r="1042" spans="1:10" x14ac:dyDescent="0.25">
      <c r="A1042" t="s">
        <v>14</v>
      </c>
      <c r="B1042" t="s">
        <v>2288</v>
      </c>
      <c r="C1042" t="s">
        <v>16</v>
      </c>
      <c r="D1042" t="s">
        <v>2289</v>
      </c>
      <c r="E1042" s="5" t="s">
        <v>53</v>
      </c>
      <c r="F1042" s="5" t="e">
        <f>VLOOKUP(B1042,'Türkkep Jira'!B:F,5,0)</f>
        <v>#N/A</v>
      </c>
      <c r="G1042" t="str">
        <f>IF(IFERROR(VLOOKUP(B1042,'Devam Eden Sprint'!B:B,1,0),"-")=B1042,"Devam Eden Sprint","-")</f>
        <v>-</v>
      </c>
      <c r="H1042" t="str">
        <f>IF(IFERROR(VLOOKUP(B1042,'Gelecek Sprint'!B:B,1,0),"-")=B1042,"Gelecek Sprint","-")</f>
        <v>-</v>
      </c>
      <c r="I1042" t="str">
        <f t="shared" si="28"/>
        <v>Ürün İş Listesi</v>
      </c>
      <c r="J1042" s="5">
        <v>3</v>
      </c>
    </row>
    <row r="1043" spans="1:10" x14ac:dyDescent="0.25">
      <c r="A1043" t="s">
        <v>14</v>
      </c>
      <c r="B1043" t="s">
        <v>2290</v>
      </c>
      <c r="C1043" t="s">
        <v>16</v>
      </c>
      <c r="D1043" t="s">
        <v>2291</v>
      </c>
      <c r="E1043" s="5" t="s">
        <v>127</v>
      </c>
      <c r="F1043" s="5" t="e">
        <f>VLOOKUP(B1043,'Türkkep Jira'!B:F,5,0)</f>
        <v>#N/A</v>
      </c>
      <c r="G1043" t="str">
        <f>IF(IFERROR(VLOOKUP(B1043,'Devam Eden Sprint'!B:B,1,0),"-")=B1043,"Devam Eden Sprint","-")</f>
        <v>-</v>
      </c>
      <c r="H1043" t="str">
        <f>IF(IFERROR(VLOOKUP(B1043,'Gelecek Sprint'!B:B,1,0),"-")=B1043,"Gelecek Sprint","-")</f>
        <v>-</v>
      </c>
      <c r="I1043" t="str">
        <f t="shared" si="28"/>
        <v>Ürün İş Listesi</v>
      </c>
      <c r="J1043" s="5">
        <v>1</v>
      </c>
    </row>
    <row r="1044" spans="1:10" x14ac:dyDescent="0.25">
      <c r="A1044" t="s">
        <v>14</v>
      </c>
      <c r="B1044" t="s">
        <v>2292</v>
      </c>
      <c r="C1044" t="s">
        <v>16</v>
      </c>
      <c r="D1044" t="s">
        <v>2293</v>
      </c>
      <c r="E1044" s="5" t="s">
        <v>12</v>
      </c>
      <c r="F1044" s="5" t="e">
        <f>VLOOKUP(B1044,'Türkkep Jira'!B:F,5,0)</f>
        <v>#N/A</v>
      </c>
      <c r="G1044" t="str">
        <f>IF(IFERROR(VLOOKUP(B1044,'Devam Eden Sprint'!B:B,1,0),"-")=B1044,"Devam Eden Sprint","-")</f>
        <v>-</v>
      </c>
      <c r="H1044" t="str">
        <f>IF(IFERROR(VLOOKUP(B1044,'Gelecek Sprint'!B:B,1,0),"-")=B1044,"Gelecek Sprint","-")</f>
        <v>-</v>
      </c>
      <c r="I1044" t="str">
        <f t="shared" si="28"/>
        <v>Ürün İş Listesi</v>
      </c>
      <c r="J1044" s="5">
        <v>1</v>
      </c>
    </row>
    <row r="1045" spans="1:10" x14ac:dyDescent="0.25">
      <c r="A1045" t="s">
        <v>14</v>
      </c>
      <c r="B1045" t="s">
        <v>2294</v>
      </c>
      <c r="C1045" t="s">
        <v>27</v>
      </c>
      <c r="D1045" t="s">
        <v>2295</v>
      </c>
      <c r="E1045" s="5" t="s">
        <v>12</v>
      </c>
      <c r="F1045" s="5" t="e">
        <f>VLOOKUP(B1045,'Türkkep Jira'!B:F,5,0)</f>
        <v>#N/A</v>
      </c>
      <c r="G1045" t="str">
        <f>IF(IFERROR(VLOOKUP(B1045,'Devam Eden Sprint'!B:B,1,0),"-")=B1045,"Devam Eden Sprint","-")</f>
        <v>-</v>
      </c>
      <c r="H1045" t="str">
        <f>IF(IFERROR(VLOOKUP(B1045,'Gelecek Sprint'!B:B,1,0),"-")=B1045,"Gelecek Sprint","-")</f>
        <v>-</v>
      </c>
      <c r="I1045" t="str">
        <f t="shared" si="28"/>
        <v>Ürün İş Listesi</v>
      </c>
      <c r="J1045" s="5">
        <v>1</v>
      </c>
    </row>
    <row r="1046" spans="1:10" x14ac:dyDescent="0.25">
      <c r="A1046" t="s">
        <v>14</v>
      </c>
      <c r="B1046" t="s">
        <v>2296</v>
      </c>
      <c r="C1046" t="s">
        <v>27</v>
      </c>
      <c r="D1046" t="s">
        <v>2297</v>
      </c>
      <c r="E1046" s="5" t="s">
        <v>12</v>
      </c>
      <c r="F1046" s="5" t="str">
        <f>VLOOKUP(B1046,'Türkkep Jira'!B:F,5,0)</f>
        <v>TO TEST</v>
      </c>
      <c r="G1046" t="str">
        <f>IF(IFERROR(VLOOKUP(B1046,'Devam Eden Sprint'!B:B,1,0),"-")=B1046,"Devam Eden Sprint","-")</f>
        <v>Devam Eden Sprint</v>
      </c>
      <c r="H1046" t="str">
        <f>IF(IFERROR(VLOOKUP(B1046,'Gelecek Sprint'!B:B,1,0),"-")=B1046,"Gelecek Sprint","-")</f>
        <v>Gelecek Sprint</v>
      </c>
      <c r="I1046" t="str">
        <f t="shared" si="28"/>
        <v>Devam Eden ve Gelecek Sprint</v>
      </c>
      <c r="J1046" s="5">
        <v>1</v>
      </c>
    </row>
    <row r="1047" spans="1:10" x14ac:dyDescent="0.25">
      <c r="A1047" t="s">
        <v>14</v>
      </c>
      <c r="B1047" t="s">
        <v>2300</v>
      </c>
      <c r="C1047" t="s">
        <v>27</v>
      </c>
      <c r="D1047" t="s">
        <v>2301</v>
      </c>
      <c r="E1047" s="5" t="s">
        <v>12</v>
      </c>
      <c r="F1047" s="5" t="e">
        <f>VLOOKUP(B1047,'Türkkep Jira'!B:F,5,0)</f>
        <v>#N/A</v>
      </c>
      <c r="G1047" t="str">
        <f>IF(IFERROR(VLOOKUP(B1047,'Devam Eden Sprint'!B:B,1,0),"-")=B1047,"Devam Eden Sprint","-")</f>
        <v>-</v>
      </c>
      <c r="H1047" t="str">
        <f>IF(IFERROR(VLOOKUP(B1047,'Gelecek Sprint'!B:B,1,0),"-")=B1047,"Gelecek Sprint","-")</f>
        <v>-</v>
      </c>
      <c r="I1047" t="str">
        <f t="shared" si="28"/>
        <v>Ürün İş Listesi</v>
      </c>
      <c r="J1047" s="5">
        <v>1</v>
      </c>
    </row>
    <row r="1048" spans="1:10" x14ac:dyDescent="0.25">
      <c r="A1048" t="s">
        <v>14</v>
      </c>
      <c r="B1048" t="s">
        <v>2246</v>
      </c>
      <c r="C1048" t="s">
        <v>16</v>
      </c>
      <c r="D1048" t="s">
        <v>2255</v>
      </c>
      <c r="E1048" s="5" t="s">
        <v>50</v>
      </c>
      <c r="F1048" s="5" t="e">
        <f>VLOOKUP(B1048,'Türkkep Jira'!B:F,5,0)</f>
        <v>#N/A</v>
      </c>
      <c r="G1048" t="str">
        <f>IF(IFERROR(VLOOKUP(B1048,'Devam Eden Sprint'!B:B,1,0),"-")=B1048,"Devam Eden Sprint","-")</f>
        <v>-</v>
      </c>
      <c r="H1048" t="str">
        <f>IF(IFERROR(VLOOKUP(B1048,'Gelecek Sprint'!B:B,1,0),"-")=B1048,"Gelecek Sprint","-")</f>
        <v>-</v>
      </c>
      <c r="I1048" t="str">
        <f t="shared" si="28"/>
        <v>Ürün İş Listesi</v>
      </c>
    </row>
    <row r="1049" spans="1:10" x14ac:dyDescent="0.25">
      <c r="A1049" t="s">
        <v>14</v>
      </c>
      <c r="B1049" t="s">
        <v>2250</v>
      </c>
      <c r="C1049" t="s">
        <v>16</v>
      </c>
      <c r="D1049" t="s">
        <v>2258</v>
      </c>
      <c r="E1049" s="5" t="s">
        <v>59</v>
      </c>
      <c r="F1049" s="5" t="e">
        <f>VLOOKUP(B1049,'Türkkep Jira'!B:F,5,0)</f>
        <v>#N/A</v>
      </c>
      <c r="G1049" t="str">
        <f>IF(IFERROR(VLOOKUP(B1049,'Devam Eden Sprint'!B:B,1,0),"-")=B1049,"Devam Eden Sprint","-")</f>
        <v>-</v>
      </c>
      <c r="H1049" t="str">
        <f>IF(IFERROR(VLOOKUP(B1049,'Gelecek Sprint'!B:B,1,0),"-")=B1049,"Gelecek Sprint","-")</f>
        <v>-</v>
      </c>
      <c r="I1049" t="str">
        <f t="shared" si="28"/>
        <v>Ürün İş Listesi</v>
      </c>
      <c r="J1049" s="5">
        <v>3</v>
      </c>
    </row>
    <row r="1050" spans="1:10" x14ac:dyDescent="0.25">
      <c r="A1050" t="s">
        <v>14</v>
      </c>
      <c r="B1050" t="s">
        <v>2251</v>
      </c>
      <c r="C1050" t="s">
        <v>16</v>
      </c>
      <c r="D1050" t="s">
        <v>2259</v>
      </c>
      <c r="E1050" s="5" t="s">
        <v>59</v>
      </c>
      <c r="F1050" s="5" t="e">
        <f>VLOOKUP(B1050,'Türkkep Jira'!B:F,5,0)</f>
        <v>#N/A</v>
      </c>
      <c r="G1050" t="str">
        <f>IF(IFERROR(VLOOKUP(B1050,'Devam Eden Sprint'!B:B,1,0),"-")=B1050,"Devam Eden Sprint","-")</f>
        <v>-</v>
      </c>
      <c r="H1050" t="str">
        <f>IF(IFERROR(VLOOKUP(B1050,'Gelecek Sprint'!B:B,1,0),"-")=B1050,"Gelecek Sprint","-")</f>
        <v>-</v>
      </c>
      <c r="I1050" t="str">
        <f t="shared" si="28"/>
        <v>Ürün İş Listesi</v>
      </c>
      <c r="J1050" s="5">
        <v>1</v>
      </c>
    </row>
    <row r="1051" spans="1:10" x14ac:dyDescent="0.25">
      <c r="A1051" t="s">
        <v>14</v>
      </c>
      <c r="B1051" t="s">
        <v>2252</v>
      </c>
      <c r="C1051" t="s">
        <v>16</v>
      </c>
      <c r="D1051" t="s">
        <v>2260</v>
      </c>
      <c r="E1051" s="5" t="s">
        <v>59</v>
      </c>
      <c r="F1051" s="5" t="e">
        <f>VLOOKUP(B1051,'Türkkep Jira'!B:F,5,0)</f>
        <v>#N/A</v>
      </c>
      <c r="G1051" t="str">
        <f>IF(IFERROR(VLOOKUP(B1051,'Devam Eden Sprint'!B:B,1,0),"-")=B1051,"Devam Eden Sprint","-")</f>
        <v>-</v>
      </c>
      <c r="H1051" t="str">
        <f>IF(IFERROR(VLOOKUP(B1051,'Gelecek Sprint'!B:B,1,0),"-")=B1051,"Gelecek Sprint","-")</f>
        <v>-</v>
      </c>
      <c r="I1051" t="str">
        <f t="shared" si="28"/>
        <v>Ürün İş Listesi</v>
      </c>
      <c r="J1051" s="5">
        <v>5</v>
      </c>
    </row>
    <row r="1052" spans="1:10" x14ac:dyDescent="0.25">
      <c r="A1052" t="s">
        <v>14</v>
      </c>
      <c r="B1052" t="s">
        <v>2253</v>
      </c>
      <c r="C1052" t="s">
        <v>16</v>
      </c>
      <c r="D1052" t="s">
        <v>2261</v>
      </c>
      <c r="E1052" s="5" t="s">
        <v>59</v>
      </c>
      <c r="F1052" s="5" t="e">
        <f>VLOOKUP(B1052,'Türkkep Jira'!B:F,5,0)</f>
        <v>#N/A</v>
      </c>
      <c r="G1052" t="str">
        <f>IF(IFERROR(VLOOKUP(B1052,'Devam Eden Sprint'!B:B,1,0),"-")=B1052,"Devam Eden Sprint","-")</f>
        <v>-</v>
      </c>
      <c r="H1052" t="str">
        <f>IF(IFERROR(VLOOKUP(B1052,'Gelecek Sprint'!B:B,1,0),"-")=B1052,"Gelecek Sprint","-")</f>
        <v>-</v>
      </c>
      <c r="I1052" t="str">
        <f t="shared" si="28"/>
        <v>Ürün İş Listesi</v>
      </c>
      <c r="J1052" s="5">
        <v>3</v>
      </c>
    </row>
    <row r="1053" spans="1:10" x14ac:dyDescent="0.25">
      <c r="A1053" t="s">
        <v>77</v>
      </c>
      <c r="B1053" t="s">
        <v>2267</v>
      </c>
      <c r="C1053" t="s">
        <v>16</v>
      </c>
      <c r="D1053" t="s">
        <v>2268</v>
      </c>
      <c r="E1053" s="5" t="s">
        <v>41</v>
      </c>
      <c r="F1053" s="5" t="e">
        <f>VLOOKUP(B1053,'Türkkep Jira'!B:F,5,0)</f>
        <v>#N/A</v>
      </c>
      <c r="G1053" t="str">
        <f>IF(IFERROR(VLOOKUP(B1053,'Devam Eden Sprint'!B:B,1,0),"-")=B1053,"Devam Eden Sprint","-")</f>
        <v>-</v>
      </c>
      <c r="H1053" t="str">
        <f>IF(IFERROR(VLOOKUP(B1053,'Gelecek Sprint'!B:B,1,0),"-")=B1053,"Gelecek Sprint","-")</f>
        <v>-</v>
      </c>
      <c r="I1053" t="str">
        <f t="shared" si="28"/>
        <v>Ürün İş Listesi</v>
      </c>
      <c r="J1053" s="5">
        <v>3</v>
      </c>
    </row>
    <row r="1054" spans="1:10" x14ac:dyDescent="0.25">
      <c r="A1054" t="s">
        <v>14</v>
      </c>
      <c r="B1054" t="s">
        <v>2277</v>
      </c>
      <c r="C1054" t="s">
        <v>16</v>
      </c>
      <c r="D1054" t="s">
        <v>1603</v>
      </c>
      <c r="E1054" s="5" t="s">
        <v>127</v>
      </c>
      <c r="F1054" s="5" t="e">
        <f>VLOOKUP(B1054,'Türkkep Jira'!B:F,5,0)</f>
        <v>#N/A</v>
      </c>
      <c r="G1054" t="str">
        <f>IF(IFERROR(VLOOKUP(B1054,'Devam Eden Sprint'!B:B,1,0),"-")=B1054,"Devam Eden Sprint","-")</f>
        <v>-</v>
      </c>
      <c r="H1054" t="str">
        <f>IF(IFERROR(VLOOKUP(B1054,'Gelecek Sprint'!B:B,1,0),"-")=B1054,"Gelecek Sprint","-")</f>
        <v>-</v>
      </c>
      <c r="I1054" t="str">
        <f t="shared" si="28"/>
        <v>Ürün İş Listesi</v>
      </c>
      <c r="J1054" s="5">
        <v>2</v>
      </c>
    </row>
    <row r="1055" spans="1:10" x14ac:dyDescent="0.25">
      <c r="A1055" t="s">
        <v>14</v>
      </c>
      <c r="B1055" t="s">
        <v>2298</v>
      </c>
      <c r="C1055" t="s">
        <v>16</v>
      </c>
      <c r="D1055" t="s">
        <v>2299</v>
      </c>
      <c r="E1055" s="5" t="s">
        <v>12</v>
      </c>
      <c r="F1055" s="5" t="e">
        <f>VLOOKUP(B1055,'Türkkep Jira'!B:F,5,0)</f>
        <v>#N/A</v>
      </c>
      <c r="G1055" t="str">
        <f>IF(IFERROR(VLOOKUP(B1055,'Devam Eden Sprint'!B:B,1,0),"-")=B1055,"Devam Eden Sprint","-")</f>
        <v>-</v>
      </c>
      <c r="H1055" t="str">
        <f>IF(IFERROR(VLOOKUP(B1055,'Gelecek Sprint'!B:B,1,0),"-")=B1055,"Gelecek Sprint","-")</f>
        <v>-</v>
      </c>
      <c r="I1055" t="str">
        <f t="shared" si="28"/>
        <v>Ürün İş Listesi</v>
      </c>
      <c r="J1055" s="5">
        <v>1</v>
      </c>
    </row>
    <row r="1056" spans="1:10" x14ac:dyDescent="0.25">
      <c r="A1056" t="s">
        <v>14</v>
      </c>
      <c r="B1056" t="s">
        <v>2324</v>
      </c>
      <c r="C1056" t="s">
        <v>16</v>
      </c>
      <c r="D1056" t="s">
        <v>1298</v>
      </c>
      <c r="E1056" s="5" t="s">
        <v>59</v>
      </c>
      <c r="F1056" s="5" t="e">
        <f>VLOOKUP(B1056,'Türkkep Jira'!B:F,5,0)</f>
        <v>#N/A</v>
      </c>
      <c r="G1056" t="str">
        <f>IF(IFERROR(VLOOKUP(B1056,'Devam Eden Sprint'!B:B,1,0),"-")=B1056,"Devam Eden Sprint","-")</f>
        <v>-</v>
      </c>
      <c r="H1056" t="str">
        <f>IF(IFERROR(VLOOKUP(B1056,'Gelecek Sprint'!B:B,1,0),"-")=B1056,"Gelecek Sprint","-")</f>
        <v>-</v>
      </c>
      <c r="I1056" t="str">
        <f t="shared" ref="I1056:I1071" si="29">IFERROR(IF(AND(G1056="Devam Eden Sprint",H1056="Gelecek Sprint"),"Devam Eden ve Gelecek Sprint",IF(G1056="Devam Eden Sprint","Devam Eden Sprint",IF(H1056="Gelecek Sprint","Gelecek Sprint","Ürün İş Listesi"))),"Ürün İş Listesi")</f>
        <v>Ürün İş Listesi</v>
      </c>
      <c r="J1056">
        <v>3</v>
      </c>
    </row>
    <row r="1057" spans="1:10" x14ac:dyDescent="0.25">
      <c r="A1057" t="s">
        <v>14</v>
      </c>
      <c r="B1057" t="s">
        <v>2325</v>
      </c>
      <c r="C1057" t="s">
        <v>16</v>
      </c>
      <c r="D1057" t="s">
        <v>2333</v>
      </c>
      <c r="E1057" s="5" t="s">
        <v>59</v>
      </c>
      <c r="F1057" s="5" t="e">
        <f>VLOOKUP(B1057,'Türkkep Jira'!B:F,5,0)</f>
        <v>#N/A</v>
      </c>
      <c r="G1057" t="str">
        <f>IF(IFERROR(VLOOKUP(B1057,'Devam Eden Sprint'!B:B,1,0),"-")=B1057,"Devam Eden Sprint","-")</f>
        <v>-</v>
      </c>
      <c r="H1057" t="str">
        <f>IF(IFERROR(VLOOKUP(B1057,'Gelecek Sprint'!B:B,1,0),"-")=B1057,"Gelecek Sprint","-")</f>
        <v>-</v>
      </c>
      <c r="I1057" t="str">
        <f t="shared" si="29"/>
        <v>Ürün İş Listesi</v>
      </c>
      <c r="J1057">
        <v>1</v>
      </c>
    </row>
    <row r="1058" spans="1:10" x14ac:dyDescent="0.25">
      <c r="A1058" t="s">
        <v>14</v>
      </c>
      <c r="B1058" t="s">
        <v>2326</v>
      </c>
      <c r="C1058" t="s">
        <v>16</v>
      </c>
      <c r="D1058" t="s">
        <v>2334</v>
      </c>
      <c r="E1058" s="5" t="s">
        <v>59</v>
      </c>
      <c r="F1058" s="5" t="e">
        <f>VLOOKUP(B1058,'Türkkep Jira'!B:F,5,0)</f>
        <v>#N/A</v>
      </c>
      <c r="G1058" t="str">
        <f>IF(IFERROR(VLOOKUP(B1058,'Devam Eden Sprint'!B:B,1,0),"-")=B1058,"Devam Eden Sprint","-")</f>
        <v>-</v>
      </c>
      <c r="H1058" t="str">
        <f>IF(IFERROR(VLOOKUP(B1058,'Gelecek Sprint'!B:B,1,0),"-")=B1058,"Gelecek Sprint","-")</f>
        <v>-</v>
      </c>
      <c r="I1058" t="str">
        <f t="shared" si="29"/>
        <v>Ürün İş Listesi</v>
      </c>
      <c r="J1058">
        <v>1</v>
      </c>
    </row>
    <row r="1059" spans="1:10" x14ac:dyDescent="0.25">
      <c r="A1059" t="s">
        <v>14</v>
      </c>
      <c r="B1059" t="s">
        <v>2309</v>
      </c>
      <c r="C1059" t="s">
        <v>16</v>
      </c>
      <c r="D1059" t="s">
        <v>2308</v>
      </c>
      <c r="E1059" s="5" t="s">
        <v>56</v>
      </c>
      <c r="F1059" s="5" t="e">
        <f>VLOOKUP(B1059,'Türkkep Jira'!B:F,5,0)</f>
        <v>#N/A</v>
      </c>
      <c r="G1059" t="str">
        <f>IF(IFERROR(VLOOKUP(B1059,'Devam Eden Sprint'!B:B,1,0),"-")=B1059,"Devam Eden Sprint","-")</f>
        <v>-</v>
      </c>
      <c r="H1059" t="str">
        <f>IF(IFERROR(VLOOKUP(B1059,'Gelecek Sprint'!B:B,1,0),"-")=B1059,"Gelecek Sprint","-")</f>
        <v>-</v>
      </c>
      <c r="I1059" t="str">
        <f t="shared" si="29"/>
        <v>Ürün İş Listesi</v>
      </c>
      <c r="J1059">
        <v>1</v>
      </c>
    </row>
    <row r="1060" spans="1:10" x14ac:dyDescent="0.25">
      <c r="A1060" t="s">
        <v>14</v>
      </c>
      <c r="B1060" t="s">
        <v>2327</v>
      </c>
      <c r="C1060" t="s">
        <v>16</v>
      </c>
      <c r="D1060" t="s">
        <v>2335</v>
      </c>
      <c r="E1060" s="5" t="s">
        <v>44</v>
      </c>
      <c r="F1060" s="5" t="e">
        <f>VLOOKUP(B1060,'Türkkep Jira'!B:F,5,0)</f>
        <v>#N/A</v>
      </c>
      <c r="G1060" t="str">
        <f>IF(IFERROR(VLOOKUP(B1060,'Devam Eden Sprint'!B:B,1,0),"-")=B1060,"Devam Eden Sprint","-")</f>
        <v>-</v>
      </c>
      <c r="H1060" t="str">
        <f>IF(IFERROR(VLOOKUP(B1060,'Gelecek Sprint'!B:B,1,0),"-")=B1060,"Gelecek Sprint","-")</f>
        <v>-</v>
      </c>
      <c r="I1060" t="str">
        <f t="shared" si="29"/>
        <v>Ürün İş Listesi</v>
      </c>
      <c r="J1060">
        <v>1</v>
      </c>
    </row>
    <row r="1061" spans="1:10" x14ac:dyDescent="0.25">
      <c r="A1061" t="s">
        <v>14</v>
      </c>
      <c r="B1061" t="s">
        <v>2328</v>
      </c>
      <c r="C1061" t="s">
        <v>16</v>
      </c>
      <c r="D1061" t="s">
        <v>2336</v>
      </c>
      <c r="E1061" s="5" t="s">
        <v>44</v>
      </c>
      <c r="F1061" s="5" t="e">
        <f>VLOOKUP(B1061,'Türkkep Jira'!B:F,5,0)</f>
        <v>#N/A</v>
      </c>
      <c r="G1061" t="str">
        <f>IF(IFERROR(VLOOKUP(B1061,'Devam Eden Sprint'!B:B,1,0),"-")=B1061,"Devam Eden Sprint","-")</f>
        <v>-</v>
      </c>
      <c r="H1061" t="str">
        <f>IF(IFERROR(VLOOKUP(B1061,'Gelecek Sprint'!B:B,1,0),"-")=B1061,"Gelecek Sprint","-")</f>
        <v>-</v>
      </c>
      <c r="I1061" t="str">
        <f t="shared" si="29"/>
        <v>Ürün İş Listesi</v>
      </c>
      <c r="J1061">
        <v>1</v>
      </c>
    </row>
    <row r="1062" spans="1:10" x14ac:dyDescent="0.25">
      <c r="A1062" t="s">
        <v>14</v>
      </c>
      <c r="B1062" t="s">
        <v>2329</v>
      </c>
      <c r="C1062" t="s">
        <v>16</v>
      </c>
      <c r="D1062" t="s">
        <v>2337</v>
      </c>
      <c r="E1062" s="5" t="s">
        <v>44</v>
      </c>
      <c r="F1062" s="5" t="e">
        <f>VLOOKUP(B1062,'Türkkep Jira'!B:F,5,0)</f>
        <v>#N/A</v>
      </c>
      <c r="G1062" t="str">
        <f>IF(IFERROR(VLOOKUP(B1062,'Devam Eden Sprint'!B:B,1,0),"-")=B1062,"Devam Eden Sprint","-")</f>
        <v>-</v>
      </c>
      <c r="H1062" t="str">
        <f>IF(IFERROR(VLOOKUP(B1062,'Gelecek Sprint'!B:B,1,0),"-")=B1062,"Gelecek Sprint","-")</f>
        <v>-</v>
      </c>
      <c r="I1062" t="str">
        <f t="shared" si="29"/>
        <v>Ürün İş Listesi</v>
      </c>
      <c r="J1062">
        <v>8</v>
      </c>
    </row>
    <row r="1063" spans="1:10" x14ac:dyDescent="0.25">
      <c r="A1063" t="s">
        <v>14</v>
      </c>
      <c r="B1063" t="s">
        <v>2330</v>
      </c>
      <c r="C1063" t="s">
        <v>16</v>
      </c>
      <c r="D1063" t="s">
        <v>2338</v>
      </c>
      <c r="E1063" s="5" t="s">
        <v>50</v>
      </c>
      <c r="F1063" s="5" t="e">
        <f>VLOOKUP(B1063,'Türkkep Jira'!B:F,5,0)</f>
        <v>#N/A</v>
      </c>
      <c r="G1063" t="str">
        <f>IF(IFERROR(VLOOKUP(B1063,'Devam Eden Sprint'!B:B,1,0),"-")=B1063,"Devam Eden Sprint","-")</f>
        <v>-</v>
      </c>
      <c r="H1063" t="str">
        <f>IF(IFERROR(VLOOKUP(B1063,'Gelecek Sprint'!B:B,1,0),"-")=B1063,"Gelecek Sprint","-")</f>
        <v>-</v>
      </c>
      <c r="I1063" t="str">
        <f t="shared" si="29"/>
        <v>Ürün İş Listesi</v>
      </c>
      <c r="J1063">
        <v>3</v>
      </c>
    </row>
    <row r="1064" spans="1:10" x14ac:dyDescent="0.25">
      <c r="A1064" t="s">
        <v>14</v>
      </c>
      <c r="B1064" t="s">
        <v>2331</v>
      </c>
      <c r="C1064" t="s">
        <v>16</v>
      </c>
      <c r="D1064" t="s">
        <v>2339</v>
      </c>
      <c r="E1064" s="5" t="s">
        <v>50</v>
      </c>
      <c r="F1064" s="5" t="e">
        <f>VLOOKUP(B1064,'Türkkep Jira'!B:F,5,0)</f>
        <v>#N/A</v>
      </c>
      <c r="G1064" t="str">
        <f>IF(IFERROR(VLOOKUP(B1064,'Devam Eden Sprint'!B:B,1,0),"-")=B1064,"Devam Eden Sprint","-")</f>
        <v>-</v>
      </c>
      <c r="H1064" t="str">
        <f>IF(IFERROR(VLOOKUP(B1064,'Gelecek Sprint'!B:B,1,0),"-")=B1064,"Gelecek Sprint","-")</f>
        <v>-</v>
      </c>
      <c r="I1064" t="str">
        <f t="shared" si="29"/>
        <v>Ürün İş Listesi</v>
      </c>
      <c r="J1064">
        <v>3</v>
      </c>
    </row>
    <row r="1065" spans="1:10" x14ac:dyDescent="0.25">
      <c r="A1065" t="s">
        <v>14</v>
      </c>
      <c r="B1065" t="s">
        <v>2332</v>
      </c>
      <c r="C1065" t="s">
        <v>16</v>
      </c>
      <c r="D1065" t="s">
        <v>2340</v>
      </c>
      <c r="E1065" s="5" t="s">
        <v>59</v>
      </c>
      <c r="F1065" s="5" t="e">
        <f>VLOOKUP(B1065,'Türkkep Jira'!B:F,5,0)</f>
        <v>#N/A</v>
      </c>
      <c r="G1065" t="str">
        <f>IF(IFERROR(VLOOKUP(B1065,'Devam Eden Sprint'!B:B,1,0),"-")=B1065,"Devam Eden Sprint","-")</f>
        <v>-</v>
      </c>
      <c r="H1065" t="str">
        <f>IF(IFERROR(VLOOKUP(B1065,'Gelecek Sprint'!B:B,1,0),"-")=B1065,"Gelecek Sprint","-")</f>
        <v>-</v>
      </c>
      <c r="I1065" t="str">
        <f t="shared" si="29"/>
        <v>Ürün İş Listesi</v>
      </c>
      <c r="J1065">
        <v>1</v>
      </c>
    </row>
    <row r="1066" spans="1:10" x14ac:dyDescent="0.25">
      <c r="A1066" t="s">
        <v>14</v>
      </c>
      <c r="B1066" t="s">
        <v>2347</v>
      </c>
      <c r="C1066" t="s">
        <v>16</v>
      </c>
      <c r="D1066" t="s">
        <v>2348</v>
      </c>
      <c r="E1066" s="5" t="s">
        <v>127</v>
      </c>
      <c r="F1066" s="5" t="e">
        <f>VLOOKUP(B1066,'Türkkep Jira'!B:F,5,0)</f>
        <v>#N/A</v>
      </c>
      <c r="G1066" t="str">
        <f>IF(IFERROR(VLOOKUP(B1066,'Devam Eden Sprint'!B:B,1,0),"-")=B1066,"Devam Eden Sprint","-")</f>
        <v>-</v>
      </c>
      <c r="H1066" t="str">
        <f>IF(IFERROR(VLOOKUP(B1066,'Gelecek Sprint'!B:B,1,0),"-")=B1066,"Gelecek Sprint","-")</f>
        <v>-</v>
      </c>
      <c r="I1066" t="str">
        <f t="shared" si="29"/>
        <v>Ürün İş Listesi</v>
      </c>
      <c r="J1066">
        <v>2</v>
      </c>
    </row>
    <row r="1067" spans="1:10" x14ac:dyDescent="0.25">
      <c r="A1067" t="s">
        <v>14</v>
      </c>
      <c r="B1067" t="s">
        <v>2304</v>
      </c>
      <c r="C1067" t="s">
        <v>16</v>
      </c>
      <c r="D1067" t="s">
        <v>2349</v>
      </c>
      <c r="E1067" s="5" t="s">
        <v>53</v>
      </c>
      <c r="F1067" s="5" t="e">
        <f>VLOOKUP(B1067,'Türkkep Jira'!B:F,5,0)</f>
        <v>#N/A</v>
      </c>
      <c r="G1067" t="str">
        <f>IF(IFERROR(VLOOKUP(B1067,'Devam Eden Sprint'!B:B,1,0),"-")=B1067,"Devam Eden Sprint","-")</f>
        <v>-</v>
      </c>
      <c r="H1067" t="str">
        <f>IF(IFERROR(VLOOKUP(B1067,'Gelecek Sprint'!B:B,1,0),"-")=B1067,"Gelecek Sprint","-")</f>
        <v>-</v>
      </c>
      <c r="I1067" t="str">
        <f t="shared" si="29"/>
        <v>Ürün İş Listesi</v>
      </c>
      <c r="J1067"/>
    </row>
    <row r="1068" spans="1:10" x14ac:dyDescent="0.25">
      <c r="A1068" t="s">
        <v>14</v>
      </c>
      <c r="B1068" t="s">
        <v>2350</v>
      </c>
      <c r="C1068" t="s">
        <v>16</v>
      </c>
      <c r="D1068" t="s">
        <v>2348</v>
      </c>
      <c r="E1068" s="5" t="s">
        <v>53</v>
      </c>
      <c r="F1068" s="5" t="e">
        <f>VLOOKUP(B1068,'Türkkep Jira'!B:F,5,0)</f>
        <v>#N/A</v>
      </c>
      <c r="G1068" t="str">
        <f>IF(IFERROR(VLOOKUP(B1068,'Devam Eden Sprint'!B:B,1,0),"-")=B1068,"Devam Eden Sprint","-")</f>
        <v>-</v>
      </c>
      <c r="H1068" t="str">
        <f>IF(IFERROR(VLOOKUP(B1068,'Gelecek Sprint'!B:B,1,0),"-")=B1068,"Gelecek Sprint","-")</f>
        <v>-</v>
      </c>
      <c r="I1068" t="str">
        <f t="shared" si="29"/>
        <v>Ürün İş Listesi</v>
      </c>
      <c r="J1068">
        <v>2</v>
      </c>
    </row>
    <row r="1069" spans="1:10" x14ac:dyDescent="0.25">
      <c r="A1069" t="s">
        <v>14</v>
      </c>
      <c r="B1069" t="s">
        <v>2351</v>
      </c>
      <c r="C1069" t="s">
        <v>16</v>
      </c>
      <c r="D1069" t="s">
        <v>2348</v>
      </c>
      <c r="E1069" s="5" t="s">
        <v>533</v>
      </c>
      <c r="F1069" s="5" t="e">
        <f>VLOOKUP(B1069,'Türkkep Jira'!B:F,5,0)</f>
        <v>#N/A</v>
      </c>
      <c r="G1069" t="str">
        <f>IF(IFERROR(VLOOKUP(B1069,'Devam Eden Sprint'!B:B,1,0),"-")=B1069,"Devam Eden Sprint","-")</f>
        <v>-</v>
      </c>
      <c r="H1069" t="str">
        <f>IF(IFERROR(VLOOKUP(B1069,'Gelecek Sprint'!B:B,1,0),"-")=B1069,"Gelecek Sprint","-")</f>
        <v>-</v>
      </c>
      <c r="I1069" t="str">
        <f t="shared" si="29"/>
        <v>Ürün İş Listesi</v>
      </c>
      <c r="J1069">
        <v>2</v>
      </c>
    </row>
    <row r="1070" spans="1:10" x14ac:dyDescent="0.25">
      <c r="A1070" t="s">
        <v>14</v>
      </c>
      <c r="B1070" t="s">
        <v>2352</v>
      </c>
      <c r="C1070" t="s">
        <v>16</v>
      </c>
      <c r="D1070" t="s">
        <v>2348</v>
      </c>
      <c r="E1070" s="5" t="s">
        <v>455</v>
      </c>
      <c r="F1070" s="5" t="e">
        <f>VLOOKUP(B1070,'Türkkep Jira'!B:F,5,0)</f>
        <v>#N/A</v>
      </c>
      <c r="G1070" t="str">
        <f>IF(IFERROR(VLOOKUP(B1070,'Devam Eden Sprint'!B:B,1,0),"-")=B1070,"Devam Eden Sprint","-")</f>
        <v>-</v>
      </c>
      <c r="H1070" t="str">
        <f>IF(IFERROR(VLOOKUP(B1070,'Gelecek Sprint'!B:B,1,0),"-")=B1070,"Gelecek Sprint","-")</f>
        <v>-</v>
      </c>
      <c r="I1070" t="str">
        <f t="shared" si="29"/>
        <v>Ürün İş Listesi</v>
      </c>
      <c r="J1070">
        <v>3</v>
      </c>
    </row>
    <row r="1071" spans="1:10" x14ac:dyDescent="0.25">
      <c r="A1071" t="s">
        <v>14</v>
      </c>
      <c r="B1071" t="s">
        <v>2353</v>
      </c>
      <c r="C1071" t="s">
        <v>16</v>
      </c>
      <c r="D1071" t="s">
        <v>2348</v>
      </c>
      <c r="E1071" s="5" t="s">
        <v>53</v>
      </c>
      <c r="F1071" s="5" t="e">
        <f>VLOOKUP(B1071,'Türkkep Jira'!B:F,5,0)</f>
        <v>#N/A</v>
      </c>
      <c r="G1071" t="str">
        <f>IF(IFERROR(VLOOKUP(B1071,'Devam Eden Sprint'!B:B,1,0),"-")=B1071,"Devam Eden Sprint","-")</f>
        <v>-</v>
      </c>
      <c r="H1071" t="str">
        <f>IF(IFERROR(VLOOKUP(B1071,'Gelecek Sprint'!B:B,1,0),"-")=B1071,"Gelecek Sprint","-")</f>
        <v>-</v>
      </c>
      <c r="I1071" t="str">
        <f t="shared" si="29"/>
        <v>Ürün İş Listesi</v>
      </c>
      <c r="J1071">
        <v>3</v>
      </c>
    </row>
    <row r="1072" spans="1:10" x14ac:dyDescent="0.25">
      <c r="A1072" t="s">
        <v>14</v>
      </c>
      <c r="B1072" t="s">
        <v>2432</v>
      </c>
      <c r="C1072" t="s">
        <v>27</v>
      </c>
      <c r="D1072" t="s">
        <v>2431</v>
      </c>
      <c r="E1072" s="5" t="s">
        <v>12</v>
      </c>
      <c r="F1072" s="5" t="str">
        <f>VLOOKUP(B1072,'Türkkep Jira'!B:F,5,0)</f>
        <v>TO TEST</v>
      </c>
      <c r="G1072" t="str">
        <f>IF(IFERROR(VLOOKUP(B1072,'Devam Eden Sprint'!B:B,1,0),"-")=B1072,"Devam Eden Sprint","-")</f>
        <v>Devam Eden Sprint</v>
      </c>
      <c r="H1072" t="str">
        <f>IF(IFERROR(VLOOKUP(B1072,'Gelecek Sprint'!B:B,1,0),"-")=B1072,"Gelecek Sprint","-")</f>
        <v>Gelecek Sprint</v>
      </c>
      <c r="I1072" t="str">
        <f t="shared" ref="I1072:I1079" si="30">IFERROR(IF(AND(G1072="Devam Eden Sprint",H1072="Gelecek Sprint"),"Devam Eden ve Gelecek Sprint",IF(G1072="Devam Eden Sprint","Devam Eden Sprint",IF(H1072="Gelecek Sprint","Gelecek Sprint","Ürün İş Listesi"))),"Ürün İş Listesi")</f>
        <v>Devam Eden ve Gelecek Sprint</v>
      </c>
      <c r="J1072">
        <v>5</v>
      </c>
    </row>
    <row r="1073" spans="1:10" x14ac:dyDescent="0.25">
      <c r="A1073" t="s">
        <v>77</v>
      </c>
      <c r="B1073" t="s">
        <v>2403</v>
      </c>
      <c r="C1073" t="s">
        <v>16</v>
      </c>
      <c r="D1073" t="s">
        <v>2402</v>
      </c>
      <c r="E1073" s="5" t="s">
        <v>41</v>
      </c>
      <c r="F1073" s="5" t="e">
        <f>VLOOKUP(B1073,'Türkkep Jira'!B:F,5,0)</f>
        <v>#N/A</v>
      </c>
      <c r="G1073" t="str">
        <f>IF(IFERROR(VLOOKUP(B1073,'Devam Eden Sprint'!B:B,1,0),"-")=B1073,"Devam Eden Sprint","-")</f>
        <v>-</v>
      </c>
      <c r="H1073" t="str">
        <f>IF(IFERROR(VLOOKUP(B1073,'Gelecek Sprint'!B:B,1,0),"-")=B1073,"Gelecek Sprint","-")</f>
        <v>-</v>
      </c>
      <c r="I1073" t="str">
        <f t="shared" si="30"/>
        <v>Ürün İş Listesi</v>
      </c>
      <c r="J1073">
        <v>2</v>
      </c>
    </row>
    <row r="1074" spans="1:10" x14ac:dyDescent="0.25">
      <c r="A1074" t="s">
        <v>77</v>
      </c>
      <c r="B1074" t="s">
        <v>2405</v>
      </c>
      <c r="C1074" t="s">
        <v>16</v>
      </c>
      <c r="D1074" t="s">
        <v>2404</v>
      </c>
      <c r="E1074" s="5" t="s">
        <v>41</v>
      </c>
      <c r="F1074" s="5" t="e">
        <f>VLOOKUP(B1074,'Türkkep Jira'!B:F,5,0)</f>
        <v>#N/A</v>
      </c>
      <c r="G1074" t="str">
        <f>IF(IFERROR(VLOOKUP(B1074,'Devam Eden Sprint'!B:B,1,0),"-")=B1074,"Devam Eden Sprint","-")</f>
        <v>-</v>
      </c>
      <c r="H1074" t="str">
        <f>IF(IFERROR(VLOOKUP(B1074,'Gelecek Sprint'!B:B,1,0),"-")=B1074,"Gelecek Sprint","-")</f>
        <v>-</v>
      </c>
      <c r="I1074" t="str">
        <f t="shared" si="30"/>
        <v>Ürün İş Listesi</v>
      </c>
      <c r="J1074">
        <v>1</v>
      </c>
    </row>
    <row r="1075" spans="1:10" x14ac:dyDescent="0.25">
      <c r="A1075" t="s">
        <v>77</v>
      </c>
      <c r="B1075" t="s">
        <v>2416</v>
      </c>
      <c r="C1075" t="s">
        <v>16</v>
      </c>
      <c r="D1075" t="s">
        <v>2415</v>
      </c>
      <c r="E1075" s="5" t="s">
        <v>38</v>
      </c>
      <c r="F1075" s="5" t="e">
        <f>VLOOKUP(B1075,'Türkkep Jira'!B:F,5,0)</f>
        <v>#N/A</v>
      </c>
      <c r="G1075" t="str">
        <f>IF(IFERROR(VLOOKUP(B1075,'Devam Eden Sprint'!B:B,1,0),"-")=B1075,"Devam Eden Sprint","-")</f>
        <v>-</v>
      </c>
      <c r="H1075" t="str">
        <f>IF(IFERROR(VLOOKUP(B1075,'Gelecek Sprint'!B:B,1,0),"-")=B1075,"Gelecek Sprint","-")</f>
        <v>-</v>
      </c>
      <c r="I1075" t="str">
        <f t="shared" si="30"/>
        <v>Ürün İş Listesi</v>
      </c>
      <c r="J1075">
        <v>2</v>
      </c>
    </row>
    <row r="1076" spans="1:10" x14ac:dyDescent="0.25">
      <c r="A1076" t="s">
        <v>77</v>
      </c>
      <c r="B1076" t="s">
        <v>2407</v>
      </c>
      <c r="C1076" t="s">
        <v>16</v>
      </c>
      <c r="D1076" t="s">
        <v>2406</v>
      </c>
      <c r="E1076" s="5" t="s">
        <v>41</v>
      </c>
      <c r="F1076" s="5" t="e">
        <f>VLOOKUP(B1076,'Türkkep Jira'!B:F,5,0)</f>
        <v>#N/A</v>
      </c>
      <c r="G1076" t="str">
        <f>IF(IFERROR(VLOOKUP(B1076,'Devam Eden Sprint'!B:B,1,0),"-")=B1076,"Devam Eden Sprint","-")</f>
        <v>-</v>
      </c>
      <c r="H1076" t="str">
        <f>IF(IFERROR(VLOOKUP(B1076,'Gelecek Sprint'!B:B,1,0),"-")=B1076,"Gelecek Sprint","-")</f>
        <v>-</v>
      </c>
      <c r="I1076" t="str">
        <f t="shared" si="30"/>
        <v>Ürün İş Listesi</v>
      </c>
      <c r="J1076">
        <v>2</v>
      </c>
    </row>
    <row r="1077" spans="1:10" x14ac:dyDescent="0.25">
      <c r="A1077" t="s">
        <v>77</v>
      </c>
      <c r="B1077" t="s">
        <v>2409</v>
      </c>
      <c r="C1077" t="s">
        <v>16</v>
      </c>
      <c r="D1077" t="s">
        <v>2408</v>
      </c>
      <c r="E1077" s="5" t="s">
        <v>41</v>
      </c>
      <c r="F1077" s="5" t="e">
        <f>VLOOKUP(B1077,'Türkkep Jira'!B:F,5,0)</f>
        <v>#N/A</v>
      </c>
      <c r="G1077" t="str">
        <f>IF(IFERROR(VLOOKUP(B1077,'Devam Eden Sprint'!B:B,1,0),"-")=B1077,"Devam Eden Sprint","-")</f>
        <v>-</v>
      </c>
      <c r="H1077" t="str">
        <f>IF(IFERROR(VLOOKUP(B1077,'Gelecek Sprint'!B:B,1,0),"-")=B1077,"Gelecek Sprint","-")</f>
        <v>-</v>
      </c>
      <c r="I1077" t="str">
        <f t="shared" si="30"/>
        <v>Ürün İş Listesi</v>
      </c>
      <c r="J1077">
        <v>1</v>
      </c>
    </row>
    <row r="1078" spans="1:10" x14ac:dyDescent="0.25">
      <c r="A1078" t="s">
        <v>77</v>
      </c>
      <c r="B1078" t="s">
        <v>2410</v>
      </c>
      <c r="C1078" t="s">
        <v>16</v>
      </c>
      <c r="D1078" t="s">
        <v>2445</v>
      </c>
      <c r="E1078" s="5" t="s">
        <v>41</v>
      </c>
      <c r="F1078" s="5" t="e">
        <f>VLOOKUP(B1078,'Türkkep Jira'!B:F,5,0)</f>
        <v>#N/A</v>
      </c>
      <c r="G1078" t="str">
        <f>IF(IFERROR(VLOOKUP(B1078,'Devam Eden Sprint'!B:B,1,0),"-")=B1078,"Devam Eden Sprint","-")</f>
        <v>-</v>
      </c>
      <c r="H1078" t="str">
        <f>IF(IFERROR(VLOOKUP(B1078,'Gelecek Sprint'!B:B,1,0),"-")=B1078,"Gelecek Sprint","-")</f>
        <v>-</v>
      </c>
      <c r="I1078" t="str">
        <f t="shared" si="30"/>
        <v>Ürün İş Listesi</v>
      </c>
      <c r="J1078">
        <v>1</v>
      </c>
    </row>
    <row r="1079" spans="1:10" x14ac:dyDescent="0.25">
      <c r="A1079" t="s">
        <v>14</v>
      </c>
      <c r="B1079" t="s">
        <v>2412</v>
      </c>
      <c r="C1079" t="s">
        <v>16</v>
      </c>
      <c r="D1079" t="s">
        <v>2411</v>
      </c>
      <c r="E1079" s="5" t="s">
        <v>41</v>
      </c>
      <c r="F1079" s="5" t="e">
        <f>VLOOKUP(B1079,'Türkkep Jira'!B:F,5,0)</f>
        <v>#N/A</v>
      </c>
      <c r="G1079" t="str">
        <f>IF(IFERROR(VLOOKUP(B1079,'Devam Eden Sprint'!B:B,1,0),"-")=B1079,"Devam Eden Sprint","-")</f>
        <v>-</v>
      </c>
      <c r="H1079" t="str">
        <f>IF(IFERROR(VLOOKUP(B1079,'Gelecek Sprint'!B:B,1,0),"-")=B1079,"Gelecek Sprint","-")</f>
        <v>-</v>
      </c>
      <c r="I1079" t="str">
        <f t="shared" si="30"/>
        <v>Ürün İş Listesi</v>
      </c>
      <c r="J1079">
        <v>1</v>
      </c>
    </row>
    <row r="1080" spans="1:10" x14ac:dyDescent="0.25">
      <c r="A1080" t="s">
        <v>14</v>
      </c>
      <c r="B1080" t="s">
        <v>2341</v>
      </c>
      <c r="C1080" t="s">
        <v>16</v>
      </c>
      <c r="D1080" t="s">
        <v>2342</v>
      </c>
      <c r="E1080" s="5" t="s">
        <v>50</v>
      </c>
      <c r="F1080" s="5" t="e">
        <f>VLOOKUP(B1080,'Türkkep Jira'!B:F,5,0)</f>
        <v>#N/A</v>
      </c>
      <c r="G1080" t="str">
        <f>IF(IFERROR(VLOOKUP(B1080,'Devam Eden Sprint'!B:B,1,0),"-")=B1080,"Devam Eden Sprint","-")</f>
        <v>-</v>
      </c>
      <c r="H1080" t="str">
        <f>IF(IFERROR(VLOOKUP(B1080,'Gelecek Sprint'!B:B,1,0),"-")=B1080,"Gelecek Sprint","-")</f>
        <v>-</v>
      </c>
      <c r="I1080" t="str">
        <f t="shared" ref="I1080:I1100" si="31">IFERROR(IF(AND(G1080="Devam Eden Sprint",H1080="Gelecek Sprint"),"Devam Eden ve Gelecek Sprint",IF(G1080="Devam Eden Sprint","Devam Eden Sprint",IF(H1080="Gelecek Sprint","Gelecek Sprint","Ürün İş Listesi"))),"Ürün İş Listesi")</f>
        <v>Ürün İş Listesi</v>
      </c>
      <c r="J1080">
        <v>1</v>
      </c>
    </row>
    <row r="1081" spans="1:10" x14ac:dyDescent="0.25">
      <c r="A1081" t="s">
        <v>14</v>
      </c>
      <c r="B1081" t="s">
        <v>2343</v>
      </c>
      <c r="C1081" t="s">
        <v>16</v>
      </c>
      <c r="D1081" t="s">
        <v>2344</v>
      </c>
      <c r="E1081" s="5" t="s">
        <v>56</v>
      </c>
      <c r="F1081" s="5" t="e">
        <f>VLOOKUP(B1081,'Türkkep Jira'!B:F,5,0)</f>
        <v>#N/A</v>
      </c>
      <c r="G1081" t="str">
        <f>IF(IFERROR(VLOOKUP(B1081,'Devam Eden Sprint'!B:B,1,0),"-")=B1081,"Devam Eden Sprint","-")</f>
        <v>-</v>
      </c>
      <c r="H1081" t="str">
        <f>IF(IFERROR(VLOOKUP(B1081,'Gelecek Sprint'!B:B,1,0),"-")=B1081,"Gelecek Sprint","-")</f>
        <v>-</v>
      </c>
      <c r="I1081" t="str">
        <f t="shared" si="31"/>
        <v>Ürün İş Listesi</v>
      </c>
      <c r="J1081">
        <v>5</v>
      </c>
    </row>
    <row r="1082" spans="1:10" x14ac:dyDescent="0.25">
      <c r="A1082" t="s">
        <v>14</v>
      </c>
      <c r="B1082" t="s">
        <v>2345</v>
      </c>
      <c r="C1082" t="s">
        <v>16</v>
      </c>
      <c r="D1082" t="s">
        <v>2346</v>
      </c>
      <c r="E1082" s="5" t="s">
        <v>56</v>
      </c>
      <c r="F1082" s="5" t="e">
        <f>VLOOKUP(B1082,'Türkkep Jira'!B:F,5,0)</f>
        <v>#N/A</v>
      </c>
      <c r="G1082" t="str">
        <f>IF(IFERROR(VLOOKUP(B1082,'Devam Eden Sprint'!B:B,1,0),"-")=B1082,"Devam Eden Sprint","-")</f>
        <v>-</v>
      </c>
      <c r="H1082" t="str">
        <f>IF(IFERROR(VLOOKUP(B1082,'Gelecek Sprint'!B:B,1,0),"-")=B1082,"Gelecek Sprint","-")</f>
        <v>-</v>
      </c>
      <c r="I1082" t="str">
        <f t="shared" si="31"/>
        <v>Ürün İş Listesi</v>
      </c>
      <c r="J1082">
        <v>5</v>
      </c>
    </row>
    <row r="1083" spans="1:10" x14ac:dyDescent="0.25">
      <c r="A1083" t="s">
        <v>77</v>
      </c>
      <c r="B1083" t="s">
        <v>2354</v>
      </c>
      <c r="C1083" t="s">
        <v>16</v>
      </c>
      <c r="D1083" t="s">
        <v>2355</v>
      </c>
      <c r="E1083" s="5" t="s">
        <v>53</v>
      </c>
      <c r="F1083" s="5" t="e">
        <f>VLOOKUP(B1083,'Türkkep Jira'!B:F,5,0)</f>
        <v>#N/A</v>
      </c>
      <c r="G1083" t="str">
        <f>IF(IFERROR(VLOOKUP(B1083,'Devam Eden Sprint'!B:B,1,0),"-")=B1083,"Devam Eden Sprint","-")</f>
        <v>-</v>
      </c>
      <c r="H1083" t="str">
        <f>IF(IFERROR(VLOOKUP(B1083,'Gelecek Sprint'!B:B,1,0),"-")=B1083,"Gelecek Sprint","-")</f>
        <v>-</v>
      </c>
      <c r="I1083" t="str">
        <f t="shared" si="31"/>
        <v>Ürün İş Listesi</v>
      </c>
      <c r="J1083">
        <v>3</v>
      </c>
    </row>
    <row r="1084" spans="1:10" x14ac:dyDescent="0.25">
      <c r="A1084" t="s">
        <v>77</v>
      </c>
      <c r="B1084" t="s">
        <v>2356</v>
      </c>
      <c r="C1084" t="s">
        <v>16</v>
      </c>
      <c r="D1084" t="s">
        <v>2357</v>
      </c>
      <c r="E1084" s="5" t="s">
        <v>53</v>
      </c>
      <c r="F1084" s="5" t="e">
        <f>VLOOKUP(B1084,'Türkkep Jira'!B:F,5,0)</f>
        <v>#N/A</v>
      </c>
      <c r="G1084" t="str">
        <f>IF(IFERROR(VLOOKUP(B1084,'Devam Eden Sprint'!B:B,1,0),"-")=B1084,"Devam Eden Sprint","-")</f>
        <v>-</v>
      </c>
      <c r="H1084" t="str">
        <f>IF(IFERROR(VLOOKUP(B1084,'Gelecek Sprint'!B:B,1,0),"-")=B1084,"Gelecek Sprint","-")</f>
        <v>-</v>
      </c>
      <c r="I1084" t="str">
        <f t="shared" si="31"/>
        <v>Ürün İş Listesi</v>
      </c>
      <c r="J1084">
        <v>2</v>
      </c>
    </row>
    <row r="1085" spans="1:10" x14ac:dyDescent="0.25">
      <c r="A1085" t="s">
        <v>77</v>
      </c>
      <c r="B1085" t="s">
        <v>2358</v>
      </c>
      <c r="C1085" t="s">
        <v>16</v>
      </c>
      <c r="D1085" t="s">
        <v>2359</v>
      </c>
      <c r="E1085" s="5" t="s">
        <v>53</v>
      </c>
      <c r="F1085" s="5" t="e">
        <f>VLOOKUP(B1085,'Türkkep Jira'!B:F,5,0)</f>
        <v>#N/A</v>
      </c>
      <c r="G1085" t="str">
        <f>IF(IFERROR(VLOOKUP(B1085,'Devam Eden Sprint'!B:B,1,0),"-")=B1085,"Devam Eden Sprint","-")</f>
        <v>-</v>
      </c>
      <c r="H1085" t="str">
        <f>IF(IFERROR(VLOOKUP(B1085,'Gelecek Sprint'!B:B,1,0),"-")=B1085,"Gelecek Sprint","-")</f>
        <v>-</v>
      </c>
      <c r="I1085" t="str">
        <f t="shared" si="31"/>
        <v>Ürün İş Listesi</v>
      </c>
      <c r="J1085">
        <v>2</v>
      </c>
    </row>
    <row r="1086" spans="1:10" x14ac:dyDescent="0.25">
      <c r="A1086" t="s">
        <v>77</v>
      </c>
      <c r="B1086" t="s">
        <v>2360</v>
      </c>
      <c r="C1086" t="s">
        <v>10</v>
      </c>
      <c r="D1086" t="s">
        <v>2361</v>
      </c>
      <c r="E1086" s="5" t="s">
        <v>53</v>
      </c>
      <c r="F1086" s="5" t="e">
        <f>VLOOKUP(B1086,'Türkkep Jira'!B:F,5,0)</f>
        <v>#N/A</v>
      </c>
      <c r="G1086" t="str">
        <f>IF(IFERROR(VLOOKUP(B1086,'Devam Eden Sprint'!B:B,1,0),"-")=B1086,"Devam Eden Sprint","-")</f>
        <v>-</v>
      </c>
      <c r="H1086" t="str">
        <f>IF(IFERROR(VLOOKUP(B1086,'Gelecek Sprint'!B:B,1,0),"-")=B1086,"Gelecek Sprint","-")</f>
        <v>-</v>
      </c>
      <c r="I1086" t="str">
        <f t="shared" si="31"/>
        <v>Ürün İş Listesi</v>
      </c>
      <c r="J1086">
        <v>2</v>
      </c>
    </row>
    <row r="1087" spans="1:10" x14ac:dyDescent="0.25">
      <c r="A1087" t="s">
        <v>14</v>
      </c>
      <c r="B1087" t="s">
        <v>2362</v>
      </c>
      <c r="C1087" t="s">
        <v>16</v>
      </c>
      <c r="D1087" t="s">
        <v>2363</v>
      </c>
      <c r="E1087" s="5" t="s">
        <v>53</v>
      </c>
      <c r="F1087" s="5" t="e">
        <f>VLOOKUP(B1087,'Türkkep Jira'!B:F,5,0)</f>
        <v>#N/A</v>
      </c>
      <c r="G1087" t="str">
        <f>IF(IFERROR(VLOOKUP(B1087,'Devam Eden Sprint'!B:B,1,0),"-")=B1087,"Devam Eden Sprint","-")</f>
        <v>-</v>
      </c>
      <c r="H1087" t="str">
        <f>IF(IFERROR(VLOOKUP(B1087,'Gelecek Sprint'!B:B,1,0),"-")=B1087,"Gelecek Sprint","-")</f>
        <v>-</v>
      </c>
      <c r="I1087" t="str">
        <f t="shared" si="31"/>
        <v>Ürün İş Listesi</v>
      </c>
      <c r="J1087">
        <v>3</v>
      </c>
    </row>
    <row r="1088" spans="1:10" x14ac:dyDescent="0.25">
      <c r="A1088" t="s">
        <v>14</v>
      </c>
      <c r="B1088" t="s">
        <v>2364</v>
      </c>
      <c r="C1088" t="s">
        <v>10</v>
      </c>
      <c r="D1088" t="s">
        <v>2365</v>
      </c>
      <c r="E1088" s="5" t="s">
        <v>53</v>
      </c>
      <c r="F1088" s="5" t="e">
        <f>VLOOKUP(B1088,'Türkkep Jira'!B:F,5,0)</f>
        <v>#N/A</v>
      </c>
      <c r="G1088" t="str">
        <f>IF(IFERROR(VLOOKUP(B1088,'Devam Eden Sprint'!B:B,1,0),"-")=B1088,"Devam Eden Sprint","-")</f>
        <v>-</v>
      </c>
      <c r="H1088" t="str">
        <f>IF(IFERROR(VLOOKUP(B1088,'Gelecek Sprint'!B:B,1,0),"-")=B1088,"Gelecek Sprint","-")</f>
        <v>-</v>
      </c>
      <c r="I1088" t="str">
        <f t="shared" si="31"/>
        <v>Ürün İş Listesi</v>
      </c>
      <c r="J1088">
        <v>3</v>
      </c>
    </row>
    <row r="1089" spans="1:10" x14ac:dyDescent="0.25">
      <c r="A1089" t="s">
        <v>14</v>
      </c>
      <c r="B1089" t="s">
        <v>2366</v>
      </c>
      <c r="C1089" t="s">
        <v>28</v>
      </c>
      <c r="D1089" t="s">
        <v>2367</v>
      </c>
      <c r="E1089" s="5" t="s">
        <v>53</v>
      </c>
      <c r="F1089" s="5" t="e">
        <f>VLOOKUP(B1089,'Türkkep Jira'!B:F,5,0)</f>
        <v>#N/A</v>
      </c>
      <c r="G1089" t="str">
        <f>IF(IFERROR(VLOOKUP(B1089,'Devam Eden Sprint'!B:B,1,0),"-")=B1089,"Devam Eden Sprint","-")</f>
        <v>-</v>
      </c>
      <c r="H1089" t="str">
        <f>IF(IFERROR(VLOOKUP(B1089,'Gelecek Sprint'!B:B,1,0),"-")=B1089,"Gelecek Sprint","-")</f>
        <v>-</v>
      </c>
      <c r="I1089" t="str">
        <f t="shared" si="31"/>
        <v>Ürün İş Listesi</v>
      </c>
      <c r="J1089">
        <v>2</v>
      </c>
    </row>
    <row r="1090" spans="1:10" x14ac:dyDescent="0.25">
      <c r="A1090" t="s">
        <v>14</v>
      </c>
      <c r="B1090" t="s">
        <v>2368</v>
      </c>
      <c r="C1090" t="s">
        <v>16</v>
      </c>
      <c r="D1090" t="s">
        <v>2369</v>
      </c>
      <c r="E1090" s="5" t="s">
        <v>127</v>
      </c>
      <c r="F1090" s="5" t="e">
        <f>VLOOKUP(B1090,'Türkkep Jira'!B:F,5,0)</f>
        <v>#N/A</v>
      </c>
      <c r="G1090" t="str">
        <f>IF(IFERROR(VLOOKUP(B1090,'Devam Eden Sprint'!B:B,1,0),"-")=B1090,"Devam Eden Sprint","-")</f>
        <v>-</v>
      </c>
      <c r="H1090" t="str">
        <f>IF(IFERROR(VLOOKUP(B1090,'Gelecek Sprint'!B:B,1,0),"-")=B1090,"Gelecek Sprint","-")</f>
        <v>-</v>
      </c>
      <c r="I1090" t="str">
        <f t="shared" si="31"/>
        <v>Ürün İş Listesi</v>
      </c>
      <c r="J1090">
        <v>1</v>
      </c>
    </row>
    <row r="1091" spans="1:10" x14ac:dyDescent="0.25">
      <c r="A1091" t="s">
        <v>14</v>
      </c>
      <c r="B1091" t="s">
        <v>2427</v>
      </c>
      <c r="C1091" t="s">
        <v>27</v>
      </c>
      <c r="D1091" t="s">
        <v>2426</v>
      </c>
      <c r="E1091" s="5" t="s">
        <v>12</v>
      </c>
      <c r="F1091" s="5" t="str">
        <f>VLOOKUP(B1091,'Türkkep Jira'!B:F,5,0)</f>
        <v>TO TEST</v>
      </c>
      <c r="G1091" t="str">
        <f>IF(IFERROR(VLOOKUP(B1091,'Devam Eden Sprint'!B:B,1,0),"-")=B1091,"Devam Eden Sprint","-")</f>
        <v>Devam Eden Sprint</v>
      </c>
      <c r="H1091" t="str">
        <f>IF(IFERROR(VLOOKUP(B1091,'Gelecek Sprint'!B:B,1,0),"-")=B1091,"Gelecek Sprint","-")</f>
        <v>Gelecek Sprint</v>
      </c>
      <c r="I1091" t="str">
        <f t="shared" si="31"/>
        <v>Devam Eden ve Gelecek Sprint</v>
      </c>
      <c r="J1091">
        <v>3</v>
      </c>
    </row>
    <row r="1092" spans="1:10" x14ac:dyDescent="0.25">
      <c r="A1092" t="s">
        <v>14</v>
      </c>
      <c r="B1092" t="s">
        <v>2316</v>
      </c>
      <c r="C1092" t="s">
        <v>28</v>
      </c>
      <c r="D1092" t="s">
        <v>2320</v>
      </c>
      <c r="E1092" s="5" t="s">
        <v>41</v>
      </c>
      <c r="F1092" s="5" t="e">
        <f>VLOOKUP(B1092,'Türkkep Jira'!B:F,5,0)</f>
        <v>#N/A</v>
      </c>
      <c r="G1092" t="str">
        <f>IF(IFERROR(VLOOKUP(B1092,'Devam Eden Sprint'!B:B,1,0),"-")=B1092,"Devam Eden Sprint","-")</f>
        <v>-</v>
      </c>
      <c r="H1092" t="str">
        <f>IF(IFERROR(VLOOKUP(B1092,'Gelecek Sprint'!B:B,1,0),"-")=B1092,"Gelecek Sprint","-")</f>
        <v>-</v>
      </c>
      <c r="I1092" t="str">
        <f t="shared" si="31"/>
        <v>Ürün İş Listesi</v>
      </c>
      <c r="J1092">
        <v>2</v>
      </c>
    </row>
    <row r="1093" spans="1:10" x14ac:dyDescent="0.25">
      <c r="A1093" t="s">
        <v>14</v>
      </c>
      <c r="B1093" t="s">
        <v>2313</v>
      </c>
      <c r="C1093" t="s">
        <v>28</v>
      </c>
      <c r="D1093" t="s">
        <v>2312</v>
      </c>
      <c r="E1093" s="5" t="s">
        <v>41</v>
      </c>
      <c r="F1093" s="5" t="e">
        <f>VLOOKUP(B1093,'Türkkep Jira'!B:F,5,0)</f>
        <v>#N/A</v>
      </c>
      <c r="G1093" t="str">
        <f>IF(IFERROR(VLOOKUP(B1093,'Devam Eden Sprint'!B:B,1,0),"-")=B1093,"Devam Eden Sprint","-")</f>
        <v>-</v>
      </c>
      <c r="H1093" t="str">
        <f>IF(IFERROR(VLOOKUP(B1093,'Gelecek Sprint'!B:B,1,0),"-")=B1093,"Gelecek Sprint","-")</f>
        <v>-</v>
      </c>
      <c r="I1093" t="str">
        <f t="shared" si="31"/>
        <v>Ürün İş Listesi</v>
      </c>
      <c r="J1093">
        <v>2</v>
      </c>
    </row>
    <row r="1094" spans="1:10" x14ac:dyDescent="0.25">
      <c r="A1094" t="s">
        <v>14</v>
      </c>
      <c r="B1094" t="s">
        <v>2314</v>
      </c>
      <c r="C1094" t="s">
        <v>27</v>
      </c>
      <c r="D1094" t="s">
        <v>2315</v>
      </c>
      <c r="E1094" s="5" t="s">
        <v>41</v>
      </c>
      <c r="F1094" s="5" t="e">
        <f>VLOOKUP(B1094,'Türkkep Jira'!B:F,5,0)</f>
        <v>#N/A</v>
      </c>
      <c r="G1094" t="str">
        <f>IF(IFERROR(VLOOKUP(B1094,'Devam Eden Sprint'!B:B,1,0),"-")=B1094,"Devam Eden Sprint","-")</f>
        <v>-</v>
      </c>
      <c r="H1094" t="str">
        <f>IF(IFERROR(VLOOKUP(B1094,'Gelecek Sprint'!B:B,1,0),"-")=B1094,"Gelecek Sprint","-")</f>
        <v>-</v>
      </c>
      <c r="I1094" t="str">
        <f t="shared" si="31"/>
        <v>Ürün İş Listesi</v>
      </c>
      <c r="J1094">
        <v>3</v>
      </c>
    </row>
    <row r="1095" spans="1:10" x14ac:dyDescent="0.25">
      <c r="A1095" t="s">
        <v>14</v>
      </c>
      <c r="B1095" t="s">
        <v>2317</v>
      </c>
      <c r="C1095" t="s">
        <v>28</v>
      </c>
      <c r="D1095" t="s">
        <v>2446</v>
      </c>
      <c r="E1095" s="5" t="s">
        <v>41</v>
      </c>
      <c r="F1095" s="5" t="e">
        <f>VLOOKUP(B1095,'Türkkep Jira'!B:F,5,0)</f>
        <v>#N/A</v>
      </c>
      <c r="G1095" t="str">
        <f>IF(IFERROR(VLOOKUP(B1095,'Devam Eden Sprint'!B:B,1,0),"-")=B1095,"Devam Eden Sprint","-")</f>
        <v>-</v>
      </c>
      <c r="H1095" t="str">
        <f>IF(IFERROR(VLOOKUP(B1095,'Gelecek Sprint'!B:B,1,0),"-")=B1095,"Gelecek Sprint","-")</f>
        <v>-</v>
      </c>
      <c r="I1095" t="str">
        <f t="shared" si="31"/>
        <v>Ürün İş Listesi</v>
      </c>
      <c r="J1095">
        <v>2</v>
      </c>
    </row>
    <row r="1096" spans="1:10" x14ac:dyDescent="0.25">
      <c r="A1096" t="s">
        <v>14</v>
      </c>
      <c r="B1096" t="s">
        <v>2319</v>
      </c>
      <c r="C1096" t="s">
        <v>16</v>
      </c>
      <c r="D1096" t="s">
        <v>2447</v>
      </c>
      <c r="E1096" s="5" t="s">
        <v>41</v>
      </c>
      <c r="F1096" s="5" t="e">
        <f>VLOOKUP(B1096,'Türkkep Jira'!B:F,5,0)</f>
        <v>#N/A</v>
      </c>
      <c r="G1096" t="str">
        <f>IF(IFERROR(VLOOKUP(B1096,'Devam Eden Sprint'!B:B,1,0),"-")=B1096,"Devam Eden Sprint","-")</f>
        <v>-</v>
      </c>
      <c r="H1096" t="str">
        <f>IF(IFERROR(VLOOKUP(B1096,'Gelecek Sprint'!B:B,1,0),"-")=B1096,"Gelecek Sprint","-")</f>
        <v>-</v>
      </c>
      <c r="I1096" t="str">
        <f t="shared" si="31"/>
        <v>Ürün İş Listesi</v>
      </c>
      <c r="J1096">
        <v>2</v>
      </c>
    </row>
    <row r="1097" spans="1:10" x14ac:dyDescent="0.25">
      <c r="A1097" t="s">
        <v>14</v>
      </c>
      <c r="B1097" t="s">
        <v>2318</v>
      </c>
      <c r="C1097" t="s">
        <v>28</v>
      </c>
      <c r="D1097" t="s">
        <v>2448</v>
      </c>
      <c r="E1097" s="5" t="s">
        <v>41</v>
      </c>
      <c r="F1097" s="5" t="e">
        <f>VLOOKUP(B1097,'Türkkep Jira'!B:F,5,0)</f>
        <v>#N/A</v>
      </c>
      <c r="G1097" t="str">
        <f>IF(IFERROR(VLOOKUP(B1097,'Devam Eden Sprint'!B:B,1,0),"-")=B1097,"Devam Eden Sprint","-")</f>
        <v>-</v>
      </c>
      <c r="H1097" t="str">
        <f>IF(IFERROR(VLOOKUP(B1097,'Gelecek Sprint'!B:B,1,0),"-")=B1097,"Gelecek Sprint","-")</f>
        <v>-</v>
      </c>
      <c r="I1097" t="str">
        <f t="shared" si="31"/>
        <v>Ürün İş Listesi</v>
      </c>
      <c r="J1097">
        <v>3</v>
      </c>
    </row>
    <row r="1098" spans="1:10" x14ac:dyDescent="0.25">
      <c r="A1098" t="s">
        <v>77</v>
      </c>
      <c r="B1098" t="s">
        <v>2418</v>
      </c>
      <c r="C1098" t="s">
        <v>16</v>
      </c>
      <c r="D1098" t="s">
        <v>2417</v>
      </c>
      <c r="E1098" s="5" t="s">
        <v>35</v>
      </c>
      <c r="F1098" s="5" t="e">
        <f>VLOOKUP(B1098,'Türkkep Jira'!B:F,5,0)</f>
        <v>#N/A</v>
      </c>
      <c r="G1098" t="str">
        <f>IF(IFERROR(VLOOKUP(B1098,'Devam Eden Sprint'!B:B,1,0),"-")=B1098,"Devam Eden Sprint","-")</f>
        <v>-</v>
      </c>
      <c r="H1098" t="str">
        <f>IF(IFERROR(VLOOKUP(B1098,'Gelecek Sprint'!B:B,1,0),"-")=B1098,"Gelecek Sprint","-")</f>
        <v>-</v>
      </c>
      <c r="I1098" t="str">
        <f t="shared" si="31"/>
        <v>Ürün İş Listesi</v>
      </c>
      <c r="J1098">
        <v>2</v>
      </c>
    </row>
    <row r="1099" spans="1:10" x14ac:dyDescent="0.25">
      <c r="A1099" t="s">
        <v>14</v>
      </c>
      <c r="B1099" t="s">
        <v>2399</v>
      </c>
      <c r="C1099" t="s">
        <v>16</v>
      </c>
      <c r="D1099" t="s">
        <v>2398</v>
      </c>
      <c r="E1099" s="5" t="s">
        <v>41</v>
      </c>
      <c r="F1099" s="5" t="e">
        <f>VLOOKUP(B1099,'Türkkep Jira'!B:F,5,0)</f>
        <v>#N/A</v>
      </c>
      <c r="G1099" t="str">
        <f>IF(IFERROR(VLOOKUP(B1099,'Devam Eden Sprint'!B:B,1,0),"-")=B1099,"Devam Eden Sprint","-")</f>
        <v>-</v>
      </c>
      <c r="H1099" t="str">
        <f>IF(IFERROR(VLOOKUP(B1099,'Gelecek Sprint'!B:B,1,0),"-")=B1099,"Gelecek Sprint","-")</f>
        <v>-</v>
      </c>
      <c r="I1099" t="str">
        <f t="shared" si="31"/>
        <v>Ürün İş Listesi</v>
      </c>
      <c r="J1099">
        <v>1</v>
      </c>
    </row>
    <row r="1100" spans="1:10" x14ac:dyDescent="0.25">
      <c r="A1100" t="s">
        <v>14</v>
      </c>
      <c r="B1100" t="s">
        <v>2401</v>
      </c>
      <c r="C1100" t="s">
        <v>27</v>
      </c>
      <c r="D1100" t="s">
        <v>2400</v>
      </c>
      <c r="E1100" s="5" t="s">
        <v>41</v>
      </c>
      <c r="F1100" s="5" t="e">
        <f>VLOOKUP(B1100,'Türkkep Jira'!B:F,5,0)</f>
        <v>#N/A</v>
      </c>
      <c r="G1100" t="str">
        <f>IF(IFERROR(VLOOKUP(B1100,'Devam Eden Sprint'!B:B,1,0),"-")=B1100,"Devam Eden Sprint","-")</f>
        <v>-</v>
      </c>
      <c r="H1100" t="str">
        <f>IF(IFERROR(VLOOKUP(B1100,'Gelecek Sprint'!B:B,1,0),"-")=B1100,"Gelecek Sprint","-")</f>
        <v>-</v>
      </c>
      <c r="I1100" t="str">
        <f t="shared" si="31"/>
        <v>Ürün İş Listesi</v>
      </c>
      <c r="J1100">
        <v>5</v>
      </c>
    </row>
    <row r="1101" spans="1:10" x14ac:dyDescent="0.25">
      <c r="A1101" t="s">
        <v>14</v>
      </c>
      <c r="B1101" t="s">
        <v>2379</v>
      </c>
      <c r="C1101" t="s">
        <v>16</v>
      </c>
      <c r="D1101" t="s">
        <v>2265</v>
      </c>
      <c r="E1101" s="5" t="s">
        <v>56</v>
      </c>
      <c r="F1101" s="5" t="e">
        <f>VLOOKUP(B1101,'Türkkep Jira'!B:F,5,0)</f>
        <v>#N/A</v>
      </c>
      <c r="G1101" t="str">
        <f>IF(IFERROR(VLOOKUP(B1101,'Devam Eden Sprint'!B:B,1,0),"-")=B1101,"Devam Eden Sprint","-")</f>
        <v>-</v>
      </c>
      <c r="H1101" t="str">
        <f>IF(IFERROR(VLOOKUP(B1101,'Gelecek Sprint'!B:B,1,0),"-")=B1101,"Gelecek Sprint","-")</f>
        <v>-</v>
      </c>
      <c r="I1101" t="str">
        <f t="shared" ref="I1101:I1120" si="32">IFERROR(IF(AND(G1101="Devam Eden Sprint",H1101="Gelecek Sprint"),"Devam Eden ve Gelecek Sprint",IF(G1101="Devam Eden Sprint","Devam Eden Sprint",IF(H1101="Gelecek Sprint","Gelecek Sprint","Ürün İş Listesi"))),"Ürün İş Listesi")</f>
        <v>Ürün İş Listesi</v>
      </c>
      <c r="J1101">
        <v>3</v>
      </c>
    </row>
    <row r="1102" spans="1:10" x14ac:dyDescent="0.25">
      <c r="A1102" t="s">
        <v>77</v>
      </c>
      <c r="B1102" t="s">
        <v>2450</v>
      </c>
      <c r="C1102" t="s">
        <v>26</v>
      </c>
      <c r="D1102" t="s">
        <v>2456</v>
      </c>
      <c r="E1102" s="5" t="s">
        <v>56</v>
      </c>
      <c r="F1102" s="5" t="e">
        <f>VLOOKUP(B1102,'Türkkep Jira'!B:F,5,0)</f>
        <v>#N/A</v>
      </c>
      <c r="G1102" t="str">
        <f>IF(IFERROR(VLOOKUP(B1102,'Devam Eden Sprint'!B:B,1,0),"-")=B1102,"Devam Eden Sprint","-")</f>
        <v>-</v>
      </c>
      <c r="H1102" t="str">
        <f>IF(IFERROR(VLOOKUP(B1102,'Gelecek Sprint'!B:B,1,0),"-")=B1102,"Gelecek Sprint","-")</f>
        <v>-</v>
      </c>
      <c r="I1102" t="str">
        <f t="shared" si="32"/>
        <v>Ürün İş Listesi</v>
      </c>
      <c r="J1102">
        <v>3</v>
      </c>
    </row>
    <row r="1103" spans="1:10" x14ac:dyDescent="0.25">
      <c r="A1103" t="s">
        <v>77</v>
      </c>
      <c r="B1103" t="s">
        <v>2451</v>
      </c>
      <c r="C1103" t="s">
        <v>16</v>
      </c>
      <c r="D1103" t="s">
        <v>2457</v>
      </c>
      <c r="E1103" s="5" t="s">
        <v>56</v>
      </c>
      <c r="F1103" s="5" t="e">
        <f>VLOOKUP(B1103,'Türkkep Jira'!B:F,5,0)</f>
        <v>#N/A</v>
      </c>
      <c r="G1103" t="str">
        <f>IF(IFERROR(VLOOKUP(B1103,'Devam Eden Sprint'!B:B,1,0),"-")=B1103,"Devam Eden Sprint","-")</f>
        <v>-</v>
      </c>
      <c r="H1103" t="str">
        <f>IF(IFERROR(VLOOKUP(B1103,'Gelecek Sprint'!B:B,1,0),"-")=B1103,"Gelecek Sprint","-")</f>
        <v>-</v>
      </c>
      <c r="I1103" t="str">
        <f t="shared" si="32"/>
        <v>Ürün İş Listesi</v>
      </c>
      <c r="J1103">
        <v>2</v>
      </c>
    </row>
    <row r="1104" spans="1:10" x14ac:dyDescent="0.25">
      <c r="A1104" t="s">
        <v>14</v>
      </c>
      <c r="B1104" t="s">
        <v>2452</v>
      </c>
      <c r="C1104" t="s">
        <v>16</v>
      </c>
      <c r="D1104" t="s">
        <v>2458</v>
      </c>
      <c r="E1104" s="5" t="s">
        <v>56</v>
      </c>
      <c r="F1104" s="5" t="e">
        <f>VLOOKUP(B1104,'Türkkep Jira'!B:F,5,0)</f>
        <v>#N/A</v>
      </c>
      <c r="G1104" t="str">
        <f>IF(IFERROR(VLOOKUP(B1104,'Devam Eden Sprint'!B:B,1,0),"-")=B1104,"Devam Eden Sprint","-")</f>
        <v>-</v>
      </c>
      <c r="H1104" t="str">
        <f>IF(IFERROR(VLOOKUP(B1104,'Gelecek Sprint'!B:B,1,0),"-")=B1104,"Gelecek Sprint","-")</f>
        <v>-</v>
      </c>
      <c r="I1104" t="str">
        <f t="shared" si="32"/>
        <v>Ürün İş Listesi</v>
      </c>
      <c r="J1104">
        <v>3</v>
      </c>
    </row>
    <row r="1105" spans="1:10" x14ac:dyDescent="0.25">
      <c r="A1105" t="s">
        <v>14</v>
      </c>
      <c r="B1105" t="s">
        <v>2454</v>
      </c>
      <c r="C1105" t="s">
        <v>16</v>
      </c>
      <c r="D1105" t="s">
        <v>2460</v>
      </c>
      <c r="E1105" s="5" t="s">
        <v>50</v>
      </c>
      <c r="F1105" s="5" t="e">
        <f>VLOOKUP(B1105,'Türkkep Jira'!B:F,5,0)</f>
        <v>#N/A</v>
      </c>
      <c r="G1105" t="str">
        <f>IF(IFERROR(VLOOKUP(B1105,'Devam Eden Sprint'!B:B,1,0),"-")=B1105,"Devam Eden Sprint","-")</f>
        <v>-</v>
      </c>
      <c r="H1105" t="str">
        <f>IF(IFERROR(VLOOKUP(B1105,'Gelecek Sprint'!B:B,1,0),"-")=B1105,"Gelecek Sprint","-")</f>
        <v>-</v>
      </c>
      <c r="I1105" t="str">
        <f t="shared" si="32"/>
        <v>Ürün İş Listesi</v>
      </c>
      <c r="J1105"/>
    </row>
    <row r="1106" spans="1:10" x14ac:dyDescent="0.25">
      <c r="A1106" t="s">
        <v>14</v>
      </c>
      <c r="B1106" t="s">
        <v>2461</v>
      </c>
      <c r="C1106" t="s">
        <v>16</v>
      </c>
      <c r="D1106" t="s">
        <v>2460</v>
      </c>
      <c r="E1106" s="5" t="s">
        <v>44</v>
      </c>
      <c r="F1106" s="5" t="e">
        <f>VLOOKUP(B1106,'Türkkep Jira'!B:F,5,0)</f>
        <v>#N/A</v>
      </c>
      <c r="G1106" t="str">
        <f>IF(IFERROR(VLOOKUP(B1106,'Devam Eden Sprint'!B:B,1,0),"-")=B1106,"Devam Eden Sprint","-")</f>
        <v>-</v>
      </c>
      <c r="H1106" t="str">
        <f>IF(IFERROR(VLOOKUP(B1106,'Gelecek Sprint'!B:B,1,0),"-")=B1106,"Gelecek Sprint","-")</f>
        <v>-</v>
      </c>
      <c r="I1106" t="str">
        <f t="shared" si="32"/>
        <v>Ürün İş Listesi</v>
      </c>
      <c r="J1106">
        <v>8</v>
      </c>
    </row>
    <row r="1107" spans="1:10" x14ac:dyDescent="0.25">
      <c r="A1107" t="s">
        <v>14</v>
      </c>
      <c r="B1107" t="s">
        <v>2378</v>
      </c>
      <c r="C1107" t="s">
        <v>16</v>
      </c>
      <c r="D1107" t="s">
        <v>2377</v>
      </c>
      <c r="E1107" s="5" t="s">
        <v>56</v>
      </c>
      <c r="F1107" s="5" t="str">
        <f>VLOOKUP(B1107,'Türkkep Jira'!B:F,5,0)</f>
        <v>Done</v>
      </c>
      <c r="G1107" t="str">
        <f>IF(IFERROR(VLOOKUP(B1107,'Devam Eden Sprint'!B:B,1,0),"-")=B1107,"Devam Eden Sprint","-")</f>
        <v>Devam Eden Sprint</v>
      </c>
      <c r="H1107" t="str">
        <f>IF(IFERROR(VLOOKUP(B1107,'Gelecek Sprint'!B:B,1,0),"-")=B1107,"Gelecek Sprint","-")</f>
        <v>-</v>
      </c>
      <c r="I1107" t="str">
        <f t="shared" si="32"/>
        <v>Devam Eden Sprint</v>
      </c>
      <c r="J1107"/>
    </row>
    <row r="1108" spans="1:10" x14ac:dyDescent="0.25">
      <c r="A1108" t="s">
        <v>14</v>
      </c>
      <c r="B1108" t="s">
        <v>2462</v>
      </c>
      <c r="C1108" t="s">
        <v>10</v>
      </c>
      <c r="D1108" t="s">
        <v>2465</v>
      </c>
      <c r="E1108" s="5" t="s">
        <v>56</v>
      </c>
      <c r="F1108" s="5" t="e">
        <f>VLOOKUP(B1108,'Türkkep Jira'!B:F,5,0)</f>
        <v>#N/A</v>
      </c>
      <c r="G1108" t="str">
        <f>IF(IFERROR(VLOOKUP(B1108,'Devam Eden Sprint'!B:B,1,0),"-")=B1108,"Devam Eden Sprint","-")</f>
        <v>-</v>
      </c>
      <c r="H1108" t="str">
        <f>IF(IFERROR(VLOOKUP(B1108,'Gelecek Sprint'!B:B,1,0),"-")=B1108,"Gelecek Sprint","-")</f>
        <v>-</v>
      </c>
      <c r="I1108" t="str">
        <f t="shared" si="32"/>
        <v>Ürün İş Listesi</v>
      </c>
      <c r="J1108">
        <v>1</v>
      </c>
    </row>
    <row r="1109" spans="1:10" x14ac:dyDescent="0.25">
      <c r="A1109" t="s">
        <v>77</v>
      </c>
      <c r="B1109" t="s">
        <v>2463</v>
      </c>
      <c r="C1109" t="s">
        <v>16</v>
      </c>
      <c r="D1109" t="s">
        <v>2466</v>
      </c>
      <c r="E1109" s="5" t="s">
        <v>56</v>
      </c>
      <c r="F1109" s="5" t="e">
        <f>VLOOKUP(B1109,'Türkkep Jira'!B:F,5,0)</f>
        <v>#N/A</v>
      </c>
      <c r="G1109" t="str">
        <f>IF(IFERROR(VLOOKUP(B1109,'Devam Eden Sprint'!B:B,1,0),"-")=B1109,"Devam Eden Sprint","-")</f>
        <v>-</v>
      </c>
      <c r="H1109" t="str">
        <f>IF(IFERROR(VLOOKUP(B1109,'Gelecek Sprint'!B:B,1,0),"-")=B1109,"Gelecek Sprint","-")</f>
        <v>-</v>
      </c>
      <c r="I1109" t="str">
        <f t="shared" si="32"/>
        <v>Ürün İş Listesi</v>
      </c>
      <c r="J1109"/>
    </row>
    <row r="1110" spans="1:10" x14ac:dyDescent="0.25">
      <c r="A1110" t="s">
        <v>14</v>
      </c>
      <c r="B1110" t="s">
        <v>2464</v>
      </c>
      <c r="C1110" t="s">
        <v>10</v>
      </c>
      <c r="D1110" t="s">
        <v>2467</v>
      </c>
      <c r="E1110" s="5" t="s">
        <v>56</v>
      </c>
      <c r="F1110" s="5" t="e">
        <f>VLOOKUP(B1110,'Türkkep Jira'!B:F,5,0)</f>
        <v>#N/A</v>
      </c>
      <c r="G1110" t="str">
        <f>IF(IFERROR(VLOOKUP(B1110,'Devam Eden Sprint'!B:B,1,0),"-")=B1110,"Devam Eden Sprint","-")</f>
        <v>-</v>
      </c>
      <c r="H1110" t="str">
        <f>IF(IFERROR(VLOOKUP(B1110,'Gelecek Sprint'!B:B,1,0),"-")=B1110,"Gelecek Sprint","-")</f>
        <v>-</v>
      </c>
      <c r="I1110" t="str">
        <f t="shared" si="32"/>
        <v>Ürün İş Listesi</v>
      </c>
      <c r="J1110">
        <v>8</v>
      </c>
    </row>
    <row r="1111" spans="1:10" x14ac:dyDescent="0.25">
      <c r="A1111" t="s">
        <v>14</v>
      </c>
      <c r="B1111" t="s">
        <v>2425</v>
      </c>
      <c r="C1111" t="s">
        <v>16</v>
      </c>
      <c r="D1111" t="s">
        <v>2469</v>
      </c>
      <c r="E1111" s="5" t="s">
        <v>12</v>
      </c>
      <c r="F1111" s="5" t="e">
        <f>VLOOKUP(B1111,'Türkkep Jira'!B:F,5,0)</f>
        <v>#N/A</v>
      </c>
      <c r="G1111" t="str">
        <f>IF(IFERROR(VLOOKUP(B1111,'Devam Eden Sprint'!B:B,1,0),"-")=B1111,"Devam Eden Sprint","-")</f>
        <v>-</v>
      </c>
      <c r="H1111" t="str">
        <f>IF(IFERROR(VLOOKUP(B1111,'Gelecek Sprint'!B:B,1,0),"-")=B1111,"Gelecek Sprint","-")</f>
        <v>-</v>
      </c>
      <c r="I1111" t="str">
        <f t="shared" si="32"/>
        <v>Ürün İş Listesi</v>
      </c>
      <c r="J1111">
        <v>2</v>
      </c>
    </row>
    <row r="1112" spans="1:10" x14ac:dyDescent="0.25">
      <c r="A1112" t="s">
        <v>14</v>
      </c>
      <c r="B1112" t="s">
        <v>2414</v>
      </c>
      <c r="C1112" t="s">
        <v>16</v>
      </c>
      <c r="D1112" t="s">
        <v>2413</v>
      </c>
      <c r="E1112" s="5" t="s">
        <v>2472</v>
      </c>
      <c r="F1112" s="5" t="e">
        <f>VLOOKUP(B1112,'Türkkep Jira'!B:F,5,0)</f>
        <v>#N/A</v>
      </c>
      <c r="G1112" t="str">
        <f>IF(IFERROR(VLOOKUP(B1112,'Devam Eden Sprint'!B:B,1,0),"-")=B1112,"Devam Eden Sprint","-")</f>
        <v>-</v>
      </c>
      <c r="H1112" t="str">
        <f>IF(IFERROR(VLOOKUP(B1112,'Gelecek Sprint'!B:B,1,0),"-")=B1112,"Gelecek Sprint","-")</f>
        <v>-</v>
      </c>
      <c r="I1112" t="str">
        <f t="shared" si="32"/>
        <v>Ürün İş Listesi</v>
      </c>
      <c r="J1112">
        <v>1</v>
      </c>
    </row>
    <row r="1113" spans="1:10" x14ac:dyDescent="0.25">
      <c r="A1113" t="s">
        <v>14</v>
      </c>
      <c r="B1113" t="s">
        <v>2449</v>
      </c>
      <c r="C1113" t="s">
        <v>16</v>
      </c>
      <c r="D1113" t="s">
        <v>2455</v>
      </c>
      <c r="E1113" s="5" t="s">
        <v>59</v>
      </c>
      <c r="F1113" s="5" t="e">
        <f>VLOOKUP(B1113,'Türkkep Jira'!B:F,5,0)</f>
        <v>#N/A</v>
      </c>
      <c r="G1113" t="str">
        <f>IF(IFERROR(VLOOKUP(B1113,'Devam Eden Sprint'!B:B,1,0),"-")=B1113,"Devam Eden Sprint","-")</f>
        <v>-</v>
      </c>
      <c r="H1113" t="str">
        <f>IF(IFERROR(VLOOKUP(B1113,'Gelecek Sprint'!B:B,1,0),"-")=B1113,"Gelecek Sprint","-")</f>
        <v>-</v>
      </c>
      <c r="I1113" t="str">
        <f t="shared" si="32"/>
        <v>Ürün İş Listesi</v>
      </c>
      <c r="J1113">
        <v>1</v>
      </c>
    </row>
    <row r="1114" spans="1:10" x14ac:dyDescent="0.25">
      <c r="A1114" t="s">
        <v>14</v>
      </c>
      <c r="B1114" t="s">
        <v>2453</v>
      </c>
      <c r="C1114" t="s">
        <v>16</v>
      </c>
      <c r="D1114" t="s">
        <v>2459</v>
      </c>
      <c r="E1114" s="5" t="s">
        <v>50</v>
      </c>
      <c r="F1114" s="5" t="e">
        <f>VLOOKUP(B1114,'Türkkep Jira'!B:F,5,0)</f>
        <v>#N/A</v>
      </c>
      <c r="G1114" t="str">
        <f>IF(IFERROR(VLOOKUP(B1114,'Devam Eden Sprint'!B:B,1,0),"-")=B1114,"Devam Eden Sprint","-")</f>
        <v>-</v>
      </c>
      <c r="H1114" t="str">
        <f>IF(IFERROR(VLOOKUP(B1114,'Gelecek Sprint'!B:B,1,0),"-")=B1114,"Gelecek Sprint","-")</f>
        <v>-</v>
      </c>
      <c r="I1114" t="str">
        <f t="shared" si="32"/>
        <v>Ürün İş Listesi</v>
      </c>
      <c r="J1114">
        <v>1</v>
      </c>
    </row>
    <row r="1115" spans="1:10" x14ac:dyDescent="0.25">
      <c r="A1115" t="s">
        <v>14</v>
      </c>
      <c r="B1115" t="s">
        <v>2422</v>
      </c>
      <c r="C1115" t="s">
        <v>10</v>
      </c>
      <c r="D1115" t="s">
        <v>2421</v>
      </c>
      <c r="E1115" s="5" t="s">
        <v>12</v>
      </c>
      <c r="F1115" s="5" t="e">
        <f>VLOOKUP(B1115,'Türkkep Jira'!B:F,5,0)</f>
        <v>#N/A</v>
      </c>
      <c r="G1115" t="str">
        <f>IF(IFERROR(VLOOKUP(B1115,'Devam Eden Sprint'!B:B,1,0),"-")=B1115,"Devam Eden Sprint","-")</f>
        <v>-</v>
      </c>
      <c r="H1115" t="str">
        <f>IF(IFERROR(VLOOKUP(B1115,'Gelecek Sprint'!B:B,1,0),"-")=B1115,"Gelecek Sprint","-")</f>
        <v>-</v>
      </c>
      <c r="I1115" t="str">
        <f t="shared" si="32"/>
        <v>Ürün İş Listesi</v>
      </c>
      <c r="J1115">
        <v>2</v>
      </c>
    </row>
    <row r="1116" spans="1:10" x14ac:dyDescent="0.25">
      <c r="A1116" t="s">
        <v>14</v>
      </c>
      <c r="B1116" t="s">
        <v>2420</v>
      </c>
      <c r="C1116" t="s">
        <v>16</v>
      </c>
      <c r="D1116" t="s">
        <v>2419</v>
      </c>
      <c r="E1116" s="5" t="s">
        <v>12</v>
      </c>
      <c r="F1116" s="5" t="e">
        <f>VLOOKUP(B1116,'Türkkep Jira'!B:F,5,0)</f>
        <v>#N/A</v>
      </c>
      <c r="G1116" t="str">
        <f>IF(IFERROR(VLOOKUP(B1116,'Devam Eden Sprint'!B:B,1,0),"-")=B1116,"Devam Eden Sprint","-")</f>
        <v>-</v>
      </c>
      <c r="H1116" t="str">
        <f>IF(IFERROR(VLOOKUP(B1116,'Gelecek Sprint'!B:B,1,0),"-")=B1116,"Gelecek Sprint","-")</f>
        <v>-</v>
      </c>
      <c r="I1116" t="str">
        <f t="shared" si="32"/>
        <v>Ürün İş Listesi</v>
      </c>
      <c r="J1116">
        <v>2</v>
      </c>
    </row>
    <row r="1117" spans="1:10" x14ac:dyDescent="0.25">
      <c r="A1117" t="s">
        <v>14</v>
      </c>
      <c r="B1117" t="s">
        <v>2468</v>
      </c>
      <c r="C1117" t="s">
        <v>16</v>
      </c>
      <c r="D1117" t="s">
        <v>2470</v>
      </c>
      <c r="E1117" s="5" t="s">
        <v>12</v>
      </c>
      <c r="F1117" s="5" t="e">
        <f>VLOOKUP(B1117,'Türkkep Jira'!B:F,5,0)</f>
        <v>#N/A</v>
      </c>
      <c r="G1117" t="str">
        <f>IF(IFERROR(VLOOKUP(B1117,'Devam Eden Sprint'!B:B,1,0),"-")=B1117,"Devam Eden Sprint","-")</f>
        <v>-</v>
      </c>
      <c r="H1117" t="str">
        <f>IF(IFERROR(VLOOKUP(B1117,'Gelecek Sprint'!B:B,1,0),"-")=B1117,"Gelecek Sprint","-")</f>
        <v>-</v>
      </c>
      <c r="I1117" t="str">
        <f t="shared" si="32"/>
        <v>Ürün İş Listesi</v>
      </c>
      <c r="J1117">
        <v>2</v>
      </c>
    </row>
    <row r="1118" spans="1:10" x14ac:dyDescent="0.25">
      <c r="A1118" t="s">
        <v>14</v>
      </c>
      <c r="B1118" t="s">
        <v>2430</v>
      </c>
      <c r="C1118" t="s">
        <v>27</v>
      </c>
      <c r="D1118" t="s">
        <v>2471</v>
      </c>
      <c r="E1118" s="5" t="s">
        <v>12</v>
      </c>
      <c r="F1118" s="5" t="str">
        <f>VLOOKUP(B1118,'Türkkep Jira'!B:F,5,0)</f>
        <v>TO TEST</v>
      </c>
      <c r="G1118" t="str">
        <f>IF(IFERROR(VLOOKUP(B1118,'Devam Eden Sprint'!B:B,1,0),"-")=B1118,"Devam Eden Sprint","-")</f>
        <v>Devam Eden Sprint</v>
      </c>
      <c r="H1118" t="str">
        <f>IF(IFERROR(VLOOKUP(B1118,'Gelecek Sprint'!B:B,1,0),"-")=B1118,"Gelecek Sprint","-")</f>
        <v>Gelecek Sprint</v>
      </c>
      <c r="I1118" t="str">
        <f t="shared" si="32"/>
        <v>Devam Eden ve Gelecek Sprint</v>
      </c>
      <c r="J1118">
        <v>3</v>
      </c>
    </row>
    <row r="1119" spans="1:10" x14ac:dyDescent="0.25">
      <c r="A1119" t="s">
        <v>14</v>
      </c>
      <c r="B1119" t="s">
        <v>2429</v>
      </c>
      <c r="C1119" t="s">
        <v>16</v>
      </c>
      <c r="D1119" t="s">
        <v>2428</v>
      </c>
      <c r="E1119" s="5" t="s">
        <v>12</v>
      </c>
      <c r="F1119" s="5" t="e">
        <f>VLOOKUP(B1119,'Türkkep Jira'!B:F,5,0)</f>
        <v>#N/A</v>
      </c>
      <c r="G1119" t="str">
        <f>IF(IFERROR(VLOOKUP(B1119,'Devam Eden Sprint'!B:B,1,0),"-")=B1119,"Devam Eden Sprint","-")</f>
        <v>-</v>
      </c>
      <c r="H1119" t="str">
        <f>IF(IFERROR(VLOOKUP(B1119,'Gelecek Sprint'!B:B,1,0),"-")=B1119,"Gelecek Sprint","-")</f>
        <v>-</v>
      </c>
      <c r="I1119" t="str">
        <f t="shared" si="32"/>
        <v>Ürün İş Listesi</v>
      </c>
      <c r="J1119"/>
    </row>
    <row r="1120" spans="1:10" x14ac:dyDescent="0.25">
      <c r="A1120" t="s">
        <v>14</v>
      </c>
      <c r="B1120" t="s">
        <v>2473</v>
      </c>
      <c r="C1120" t="s">
        <v>26</v>
      </c>
      <c r="D1120" t="s">
        <v>2474</v>
      </c>
      <c r="E1120" s="5" t="s">
        <v>38</v>
      </c>
      <c r="F1120" s="5" t="e">
        <f>VLOOKUP(B1120,'Türkkep Jira'!B:F,5,0)</f>
        <v>#N/A</v>
      </c>
      <c r="G1120" t="str">
        <f>IF(IFERROR(VLOOKUP(B1120,'Devam Eden Sprint'!B:B,1,0),"-")=B1120,"Devam Eden Sprint","-")</f>
        <v>-</v>
      </c>
      <c r="H1120" t="str">
        <f>IF(IFERROR(VLOOKUP(B1120,'Gelecek Sprint'!B:B,1,0),"-")=B1120,"Gelecek Sprint","-")</f>
        <v>-</v>
      </c>
      <c r="I1120" t="str">
        <f t="shared" si="32"/>
        <v>Ürün İş Listesi</v>
      </c>
      <c r="J1120"/>
    </row>
    <row r="1121" spans="1:10" x14ac:dyDescent="0.25">
      <c r="A1121" t="s">
        <v>14</v>
      </c>
      <c r="B1121" t="s">
        <v>2477</v>
      </c>
      <c r="C1121" t="s">
        <v>16</v>
      </c>
      <c r="D1121" t="s">
        <v>2476</v>
      </c>
      <c r="E1121" s="5" t="s">
        <v>1844</v>
      </c>
      <c r="F1121" s="5" t="e">
        <f>VLOOKUP(B1121,'Türkkep Jira'!B:F,5,0)</f>
        <v>#N/A</v>
      </c>
      <c r="G1121" t="str">
        <f>IF(IFERROR(VLOOKUP(B1121,'Devam Eden Sprint'!B:B,1,0),"-")=B1121,"Devam Eden Sprint","-")</f>
        <v>-</v>
      </c>
      <c r="H1121" t="str">
        <f>IF(IFERROR(VLOOKUP(B1121,'Gelecek Sprint'!B:B,1,0),"-")=B1121,"Gelecek Sprint","-")</f>
        <v>-</v>
      </c>
      <c r="I1121" t="str">
        <f t="shared" ref="I1121:I1166" si="33">IFERROR(IF(AND(G1121="Devam Eden Sprint",H1121="Gelecek Sprint"),"Devam Eden ve Gelecek Sprint",IF(G1121="Devam Eden Sprint","Devam Eden Sprint",IF(H1121="Gelecek Sprint","Gelecek Sprint","Ürün İş Listesi"))),"Ürün İş Listesi")</f>
        <v>Ürün İş Listesi</v>
      </c>
      <c r="J1121"/>
    </row>
    <row r="1122" spans="1:10" x14ac:dyDescent="0.25">
      <c r="A1122" t="s">
        <v>14</v>
      </c>
      <c r="B1122" t="s">
        <v>2372</v>
      </c>
      <c r="C1122" t="s">
        <v>10</v>
      </c>
      <c r="D1122" t="s">
        <v>2371</v>
      </c>
      <c r="E1122" s="5" t="s">
        <v>1844</v>
      </c>
      <c r="F1122" s="5" t="e">
        <f>VLOOKUP(B1122,'Türkkep Jira'!B:F,5,0)</f>
        <v>#N/A</v>
      </c>
      <c r="G1122" t="str">
        <f>IF(IFERROR(VLOOKUP(B1122,'Devam Eden Sprint'!B:B,1,0),"-")=B1122,"Devam Eden Sprint","-")</f>
        <v>-</v>
      </c>
      <c r="H1122" t="str">
        <f>IF(IFERROR(VLOOKUP(B1122,'Gelecek Sprint'!B:B,1,0),"-")=B1122,"Gelecek Sprint","-")</f>
        <v>-</v>
      </c>
      <c r="I1122" t="str">
        <f t="shared" si="33"/>
        <v>Ürün İş Listesi</v>
      </c>
      <c r="J1122"/>
    </row>
    <row r="1123" spans="1:10" x14ac:dyDescent="0.25">
      <c r="A1123" t="s">
        <v>77</v>
      </c>
      <c r="B1123" t="s">
        <v>2479</v>
      </c>
      <c r="C1123" t="s">
        <v>16</v>
      </c>
      <c r="D1123" t="s">
        <v>2478</v>
      </c>
      <c r="E1123" s="5" t="s">
        <v>53</v>
      </c>
      <c r="F1123" s="5" t="e">
        <f>VLOOKUP(B1123,'Türkkep Jira'!B:F,5,0)</f>
        <v>#N/A</v>
      </c>
      <c r="G1123" t="str">
        <f>IF(IFERROR(VLOOKUP(B1123,'Devam Eden Sprint'!B:B,1,0),"-")=B1123,"Devam Eden Sprint","-")</f>
        <v>-</v>
      </c>
      <c r="H1123" t="str">
        <f>IF(IFERROR(VLOOKUP(B1123,'Gelecek Sprint'!B:B,1,0),"-")=B1123,"Gelecek Sprint","-")</f>
        <v>-</v>
      </c>
      <c r="I1123" t="str">
        <f t="shared" si="33"/>
        <v>Ürün İş Listesi</v>
      </c>
      <c r="J1123"/>
    </row>
    <row r="1124" spans="1:10" x14ac:dyDescent="0.25">
      <c r="A1124" t="s">
        <v>77</v>
      </c>
      <c r="B1124" t="s">
        <v>2481</v>
      </c>
      <c r="C1124" t="s">
        <v>16</v>
      </c>
      <c r="D1124" t="s">
        <v>2480</v>
      </c>
      <c r="E1124" s="5" t="s">
        <v>53</v>
      </c>
      <c r="F1124" s="5" t="e">
        <f>VLOOKUP(B1124,'Türkkep Jira'!B:F,5,0)</f>
        <v>#N/A</v>
      </c>
      <c r="G1124" t="str">
        <f>IF(IFERROR(VLOOKUP(B1124,'Devam Eden Sprint'!B:B,1,0),"-")=B1124,"Devam Eden Sprint","-")</f>
        <v>-</v>
      </c>
      <c r="H1124" t="str">
        <f>IF(IFERROR(VLOOKUP(B1124,'Gelecek Sprint'!B:B,1,0),"-")=B1124,"Gelecek Sprint","-")</f>
        <v>-</v>
      </c>
      <c r="I1124" t="str">
        <f t="shared" si="33"/>
        <v>Ürün İş Listesi</v>
      </c>
      <c r="J1124"/>
    </row>
    <row r="1125" spans="1:10" x14ac:dyDescent="0.25">
      <c r="A1125" t="s">
        <v>14</v>
      </c>
      <c r="B1125" t="s">
        <v>2482</v>
      </c>
      <c r="C1125" t="s">
        <v>10</v>
      </c>
      <c r="D1125" t="s">
        <v>2460</v>
      </c>
      <c r="E1125" s="5" t="s">
        <v>53</v>
      </c>
      <c r="F1125" s="5" t="str">
        <f>VLOOKUP(B1125,'Türkkep Jira'!B:F,5,0)</f>
        <v>To Do</v>
      </c>
      <c r="G1125" t="str">
        <f>IF(IFERROR(VLOOKUP(B1125,'Devam Eden Sprint'!B:B,1,0),"-")=B1125,"Devam Eden Sprint","-")</f>
        <v>Devam Eden Sprint</v>
      </c>
      <c r="H1125" t="str">
        <f>IF(IFERROR(VLOOKUP(B1125,'Gelecek Sprint'!B:B,1,0),"-")=B1125,"Gelecek Sprint","-")</f>
        <v>-</v>
      </c>
      <c r="I1125" t="str">
        <f t="shared" si="33"/>
        <v>Devam Eden Sprint</v>
      </c>
      <c r="J1125"/>
    </row>
    <row r="1126" spans="1:10" x14ac:dyDescent="0.25">
      <c r="A1126" t="s">
        <v>14</v>
      </c>
      <c r="B1126" t="s">
        <v>2486</v>
      </c>
      <c r="C1126" t="s">
        <v>16</v>
      </c>
      <c r="D1126" t="s">
        <v>2485</v>
      </c>
      <c r="E1126" s="5" t="s">
        <v>53</v>
      </c>
      <c r="F1126" s="5" t="e">
        <f>VLOOKUP(B1126,'Türkkep Jira'!B:F,5,0)</f>
        <v>#N/A</v>
      </c>
      <c r="G1126" t="str">
        <f>IF(IFERROR(VLOOKUP(B1126,'Devam Eden Sprint'!B:B,1,0),"-")=B1126,"Devam Eden Sprint","-")</f>
        <v>-</v>
      </c>
      <c r="H1126" t="str">
        <f>IF(IFERROR(VLOOKUP(B1126,'Gelecek Sprint'!B:B,1,0),"-")=B1126,"Gelecek Sprint","-")</f>
        <v>-</v>
      </c>
      <c r="I1126" t="str">
        <f t="shared" si="33"/>
        <v>Ürün İş Listesi</v>
      </c>
      <c r="J1126"/>
    </row>
    <row r="1127" spans="1:10" x14ac:dyDescent="0.25">
      <c r="A1127" t="s">
        <v>14</v>
      </c>
      <c r="B1127" t="s">
        <v>2488</v>
      </c>
      <c r="C1127" t="s">
        <v>16</v>
      </c>
      <c r="D1127" t="s">
        <v>2487</v>
      </c>
      <c r="E1127" s="5" t="s">
        <v>53</v>
      </c>
      <c r="F1127" s="5" t="e">
        <f>VLOOKUP(B1127,'Türkkep Jira'!B:F,5,0)</f>
        <v>#N/A</v>
      </c>
      <c r="G1127" t="str">
        <f>IF(IFERROR(VLOOKUP(B1127,'Devam Eden Sprint'!B:B,1,0),"-")=B1127,"Devam Eden Sprint","-")</f>
        <v>-</v>
      </c>
      <c r="H1127" t="str">
        <f>IF(IFERROR(VLOOKUP(B1127,'Gelecek Sprint'!B:B,1,0),"-")=B1127,"Gelecek Sprint","-")</f>
        <v>-</v>
      </c>
      <c r="I1127" t="str">
        <f t="shared" si="33"/>
        <v>Ürün İş Listesi</v>
      </c>
      <c r="J1127"/>
    </row>
    <row r="1128" spans="1:10" x14ac:dyDescent="0.25">
      <c r="A1128" t="s">
        <v>14</v>
      </c>
      <c r="B1128" t="s">
        <v>2490</v>
      </c>
      <c r="C1128" t="s">
        <v>16</v>
      </c>
      <c r="D1128" t="s">
        <v>2489</v>
      </c>
      <c r="E1128" s="5" t="s">
        <v>53</v>
      </c>
      <c r="F1128" s="5" t="e">
        <f>VLOOKUP(B1128,'Türkkep Jira'!B:F,5,0)</f>
        <v>#N/A</v>
      </c>
      <c r="G1128" t="str">
        <f>IF(IFERROR(VLOOKUP(B1128,'Devam Eden Sprint'!B:B,1,0),"-")=B1128,"Devam Eden Sprint","-")</f>
        <v>-</v>
      </c>
      <c r="H1128" t="str">
        <f>IF(IFERROR(VLOOKUP(B1128,'Gelecek Sprint'!B:B,1,0),"-")=B1128,"Gelecek Sprint","-")</f>
        <v>-</v>
      </c>
      <c r="I1128" t="str">
        <f t="shared" si="33"/>
        <v>Ürün İş Listesi</v>
      </c>
      <c r="J1128"/>
    </row>
    <row r="1129" spans="1:10" x14ac:dyDescent="0.25">
      <c r="A1129" t="s">
        <v>14</v>
      </c>
      <c r="B1129" t="s">
        <v>2492</v>
      </c>
      <c r="C1129" t="s">
        <v>10</v>
      </c>
      <c r="D1129" t="s">
        <v>2491</v>
      </c>
      <c r="E1129" s="5" t="s">
        <v>53</v>
      </c>
      <c r="F1129" s="5" t="e">
        <f>VLOOKUP(B1129,'Türkkep Jira'!B:F,5,0)</f>
        <v>#N/A</v>
      </c>
      <c r="G1129" t="str">
        <f>IF(IFERROR(VLOOKUP(B1129,'Devam Eden Sprint'!B:B,1,0),"-")=B1129,"Devam Eden Sprint","-")</f>
        <v>-</v>
      </c>
      <c r="H1129" t="str">
        <f>IF(IFERROR(VLOOKUP(B1129,'Gelecek Sprint'!B:B,1,0),"-")=B1129,"Gelecek Sprint","-")</f>
        <v>-</v>
      </c>
      <c r="I1129" t="str">
        <f t="shared" si="33"/>
        <v>Ürün İş Listesi</v>
      </c>
      <c r="J1129"/>
    </row>
    <row r="1130" spans="1:10" x14ac:dyDescent="0.25">
      <c r="A1130" t="s">
        <v>77</v>
      </c>
      <c r="B1130" t="s">
        <v>2494</v>
      </c>
      <c r="C1130" t="s">
        <v>16</v>
      </c>
      <c r="D1130" t="s">
        <v>2493</v>
      </c>
      <c r="E1130" s="5" t="s">
        <v>53</v>
      </c>
      <c r="F1130" s="5" t="e">
        <f>VLOOKUP(B1130,'Türkkep Jira'!B:F,5,0)</f>
        <v>#N/A</v>
      </c>
      <c r="G1130" t="str">
        <f>IF(IFERROR(VLOOKUP(B1130,'Devam Eden Sprint'!B:B,1,0),"-")=B1130,"Devam Eden Sprint","-")</f>
        <v>-</v>
      </c>
      <c r="H1130" t="str">
        <f>IF(IFERROR(VLOOKUP(B1130,'Gelecek Sprint'!B:B,1,0),"-")=B1130,"Gelecek Sprint","-")</f>
        <v>-</v>
      </c>
      <c r="I1130" t="str">
        <f t="shared" si="33"/>
        <v>Ürün İş Listesi</v>
      </c>
      <c r="J1130"/>
    </row>
    <row r="1131" spans="1:10" x14ac:dyDescent="0.25">
      <c r="A1131" t="s">
        <v>1379</v>
      </c>
      <c r="B1131" t="s">
        <v>2496</v>
      </c>
      <c r="C1131" t="s">
        <v>16</v>
      </c>
      <c r="D1131" t="s">
        <v>2495</v>
      </c>
      <c r="E1131" s="5" t="s">
        <v>53</v>
      </c>
      <c r="F1131" s="5" t="e">
        <f>VLOOKUP(B1131,'Türkkep Jira'!B:F,5,0)</f>
        <v>#N/A</v>
      </c>
      <c r="G1131" t="str">
        <f>IF(IFERROR(VLOOKUP(B1131,'Devam Eden Sprint'!B:B,1,0),"-")=B1131,"Devam Eden Sprint","-")</f>
        <v>-</v>
      </c>
      <c r="H1131" t="str">
        <f>IF(IFERROR(VLOOKUP(B1131,'Gelecek Sprint'!B:B,1,0),"-")=B1131,"Gelecek Sprint","-")</f>
        <v>-</v>
      </c>
      <c r="I1131" t="str">
        <f t="shared" si="33"/>
        <v>Ürün İş Listesi</v>
      </c>
      <c r="J1131"/>
    </row>
    <row r="1132" spans="1:10" x14ac:dyDescent="0.25">
      <c r="A1132" t="s">
        <v>1379</v>
      </c>
      <c r="B1132" t="s">
        <v>2498</v>
      </c>
      <c r="C1132" t="s">
        <v>16</v>
      </c>
      <c r="D1132" t="s">
        <v>2497</v>
      </c>
      <c r="E1132" s="5" t="s">
        <v>53</v>
      </c>
      <c r="F1132" s="5" t="e">
        <f>VLOOKUP(B1132,'Türkkep Jira'!B:F,5,0)</f>
        <v>#N/A</v>
      </c>
      <c r="G1132" t="str">
        <f>IF(IFERROR(VLOOKUP(B1132,'Devam Eden Sprint'!B:B,1,0),"-")=B1132,"Devam Eden Sprint","-")</f>
        <v>-</v>
      </c>
      <c r="H1132" t="str">
        <f>IF(IFERROR(VLOOKUP(B1132,'Gelecek Sprint'!B:B,1,0),"-")=B1132,"Gelecek Sprint","-")</f>
        <v>-</v>
      </c>
      <c r="I1132" t="str">
        <f t="shared" si="33"/>
        <v>Ürün İş Listesi</v>
      </c>
      <c r="J1132"/>
    </row>
    <row r="1133" spans="1:10" x14ac:dyDescent="0.25">
      <c r="A1133" t="s">
        <v>1379</v>
      </c>
      <c r="B1133" t="s">
        <v>2500</v>
      </c>
      <c r="C1133" t="s">
        <v>16</v>
      </c>
      <c r="D1133" t="s">
        <v>2499</v>
      </c>
      <c r="E1133" s="5" t="s">
        <v>53</v>
      </c>
      <c r="F1133" s="5" t="e">
        <f>VLOOKUP(B1133,'Türkkep Jira'!B:F,5,0)</f>
        <v>#N/A</v>
      </c>
      <c r="G1133" t="str">
        <f>IF(IFERROR(VLOOKUP(B1133,'Devam Eden Sprint'!B:B,1,0),"-")=B1133,"Devam Eden Sprint","-")</f>
        <v>-</v>
      </c>
      <c r="H1133" t="str">
        <f>IF(IFERROR(VLOOKUP(B1133,'Gelecek Sprint'!B:B,1,0),"-")=B1133,"Gelecek Sprint","-")</f>
        <v>-</v>
      </c>
      <c r="I1133" t="str">
        <f t="shared" si="33"/>
        <v>Ürün İş Listesi</v>
      </c>
      <c r="J1133"/>
    </row>
    <row r="1134" spans="1:10" x14ac:dyDescent="0.25">
      <c r="A1134" t="s">
        <v>77</v>
      </c>
      <c r="B1134" t="s">
        <v>2502</v>
      </c>
      <c r="C1134" t="s">
        <v>16</v>
      </c>
      <c r="D1134" t="s">
        <v>2501</v>
      </c>
      <c r="E1134" s="5" t="s">
        <v>53</v>
      </c>
      <c r="F1134" s="5" t="e">
        <f>VLOOKUP(B1134,'Türkkep Jira'!B:F,5,0)</f>
        <v>#N/A</v>
      </c>
      <c r="G1134" t="str">
        <f>IF(IFERROR(VLOOKUP(B1134,'Devam Eden Sprint'!B:B,1,0),"-")=B1134,"Devam Eden Sprint","-")</f>
        <v>-</v>
      </c>
      <c r="H1134" t="str">
        <f>IF(IFERROR(VLOOKUP(B1134,'Gelecek Sprint'!B:B,1,0),"-")=B1134,"Gelecek Sprint","-")</f>
        <v>-</v>
      </c>
      <c r="I1134" t="str">
        <f t="shared" si="33"/>
        <v>Ürün İş Listesi</v>
      </c>
      <c r="J1134"/>
    </row>
    <row r="1135" spans="1:10" x14ac:dyDescent="0.25">
      <c r="A1135" t="s">
        <v>14</v>
      </c>
      <c r="B1135" t="s">
        <v>2503</v>
      </c>
      <c r="C1135" t="s">
        <v>16</v>
      </c>
      <c r="D1135" t="s">
        <v>2363</v>
      </c>
      <c r="E1135" s="5" t="s">
        <v>53</v>
      </c>
      <c r="F1135" s="5" t="e">
        <f>VLOOKUP(B1135,'Türkkep Jira'!B:F,5,0)</f>
        <v>#N/A</v>
      </c>
      <c r="G1135" t="str">
        <f>IF(IFERROR(VLOOKUP(B1135,'Devam Eden Sprint'!B:B,1,0),"-")=B1135,"Devam Eden Sprint","-")</f>
        <v>-</v>
      </c>
      <c r="H1135" t="str">
        <f>IF(IFERROR(VLOOKUP(B1135,'Gelecek Sprint'!B:B,1,0),"-")=B1135,"Gelecek Sprint","-")</f>
        <v>-</v>
      </c>
      <c r="I1135" t="str">
        <f t="shared" si="33"/>
        <v>Ürün İş Listesi</v>
      </c>
      <c r="J1135"/>
    </row>
    <row r="1136" spans="1:10" x14ac:dyDescent="0.25">
      <c r="A1136" t="s">
        <v>14</v>
      </c>
      <c r="B1136" t="s">
        <v>2374</v>
      </c>
      <c r="C1136" t="s">
        <v>10</v>
      </c>
      <c r="D1136" t="s">
        <v>2373</v>
      </c>
      <c r="E1136" s="5" t="s">
        <v>53</v>
      </c>
      <c r="F1136" s="5" t="e">
        <f>VLOOKUP(B1136,'Türkkep Jira'!B:F,5,0)</f>
        <v>#N/A</v>
      </c>
      <c r="G1136" t="str">
        <f>IF(IFERROR(VLOOKUP(B1136,'Devam Eden Sprint'!B:B,1,0),"-")=B1136,"Devam Eden Sprint","-")</f>
        <v>-</v>
      </c>
      <c r="H1136" t="str">
        <f>IF(IFERROR(VLOOKUP(B1136,'Gelecek Sprint'!B:B,1,0),"-")=B1136,"Gelecek Sprint","-")</f>
        <v>-</v>
      </c>
      <c r="I1136" t="str">
        <f t="shared" si="33"/>
        <v>Ürün İş Listesi</v>
      </c>
      <c r="J1136"/>
    </row>
    <row r="1137" spans="1:10" x14ac:dyDescent="0.25">
      <c r="A1137" t="s">
        <v>77</v>
      </c>
      <c r="B1137" t="s">
        <v>2376</v>
      </c>
      <c r="C1137" t="s">
        <v>16</v>
      </c>
      <c r="D1137" t="s">
        <v>2375</v>
      </c>
      <c r="E1137" s="5" t="s">
        <v>53</v>
      </c>
      <c r="F1137" s="5" t="e">
        <f>VLOOKUP(B1137,'Türkkep Jira'!B:F,5,0)</f>
        <v>#N/A</v>
      </c>
      <c r="G1137" t="str">
        <f>IF(IFERROR(VLOOKUP(B1137,'Devam Eden Sprint'!B:B,1,0),"-")=B1137,"Devam Eden Sprint","-")</f>
        <v>-</v>
      </c>
      <c r="H1137" t="str">
        <f>IF(IFERROR(VLOOKUP(B1137,'Gelecek Sprint'!B:B,1,0),"-")=B1137,"Gelecek Sprint","-")</f>
        <v>-</v>
      </c>
      <c r="I1137" t="str">
        <f t="shared" si="33"/>
        <v>Ürün İş Listesi</v>
      </c>
      <c r="J1137"/>
    </row>
    <row r="1138" spans="1:10" x14ac:dyDescent="0.25">
      <c r="A1138" t="s">
        <v>14</v>
      </c>
      <c r="B1138" t="s">
        <v>2505</v>
      </c>
      <c r="C1138" t="s">
        <v>10</v>
      </c>
      <c r="D1138" t="s">
        <v>2504</v>
      </c>
      <c r="E1138" s="5" t="s">
        <v>53</v>
      </c>
      <c r="F1138" s="5" t="e">
        <f>VLOOKUP(B1138,'Türkkep Jira'!B:F,5,0)</f>
        <v>#N/A</v>
      </c>
      <c r="G1138" t="str">
        <f>IF(IFERROR(VLOOKUP(B1138,'Devam Eden Sprint'!B:B,1,0),"-")=B1138,"Devam Eden Sprint","-")</f>
        <v>-</v>
      </c>
      <c r="H1138" t="str">
        <f>IF(IFERROR(VLOOKUP(B1138,'Gelecek Sprint'!B:B,1,0),"-")=B1138,"Gelecek Sprint","-")</f>
        <v>-</v>
      </c>
      <c r="I1138" t="str">
        <f t="shared" si="33"/>
        <v>Ürün İş Listesi</v>
      </c>
      <c r="J1138"/>
    </row>
    <row r="1139" spans="1:10" x14ac:dyDescent="0.25">
      <c r="A1139" t="s">
        <v>77</v>
      </c>
      <c r="B1139" t="s">
        <v>2507</v>
      </c>
      <c r="C1139" t="s">
        <v>16</v>
      </c>
      <c r="D1139" t="s">
        <v>2506</v>
      </c>
      <c r="E1139" s="5" t="s">
        <v>127</v>
      </c>
      <c r="F1139" s="5" t="e">
        <f>VLOOKUP(B1139,'Türkkep Jira'!B:F,5,0)</f>
        <v>#N/A</v>
      </c>
      <c r="G1139" t="str">
        <f>IF(IFERROR(VLOOKUP(B1139,'Devam Eden Sprint'!B:B,1,0),"-")=B1139,"Devam Eden Sprint","-")</f>
        <v>-</v>
      </c>
      <c r="H1139" t="str">
        <f>IF(IFERROR(VLOOKUP(B1139,'Gelecek Sprint'!B:B,1,0),"-")=B1139,"Gelecek Sprint","-")</f>
        <v>-</v>
      </c>
      <c r="I1139" t="str">
        <f t="shared" si="33"/>
        <v>Ürün İş Listesi</v>
      </c>
      <c r="J1139"/>
    </row>
    <row r="1140" spans="1:10" x14ac:dyDescent="0.25">
      <c r="A1140" t="s">
        <v>77</v>
      </c>
      <c r="B1140" t="s">
        <v>2509</v>
      </c>
      <c r="C1140" t="s">
        <v>16</v>
      </c>
      <c r="D1140" t="s">
        <v>2508</v>
      </c>
      <c r="E1140" s="5" t="s">
        <v>127</v>
      </c>
      <c r="F1140" s="5" t="e">
        <f>VLOOKUP(B1140,'Türkkep Jira'!B:F,5,0)</f>
        <v>#N/A</v>
      </c>
      <c r="G1140" t="str">
        <f>IF(IFERROR(VLOOKUP(B1140,'Devam Eden Sprint'!B:B,1,0),"-")=B1140,"Devam Eden Sprint","-")</f>
        <v>-</v>
      </c>
      <c r="H1140" t="str">
        <f>IF(IFERROR(VLOOKUP(B1140,'Gelecek Sprint'!B:B,1,0),"-")=B1140,"Gelecek Sprint","-")</f>
        <v>-</v>
      </c>
      <c r="I1140" t="str">
        <f t="shared" si="33"/>
        <v>Ürün İş Listesi</v>
      </c>
      <c r="J1140"/>
    </row>
    <row r="1141" spans="1:10" x14ac:dyDescent="0.25">
      <c r="A1141" t="s">
        <v>14</v>
      </c>
      <c r="B1141" t="s">
        <v>2511</v>
      </c>
      <c r="C1141" t="s">
        <v>94</v>
      </c>
      <c r="D1141" t="s">
        <v>2510</v>
      </c>
      <c r="E1141" s="5" t="s">
        <v>127</v>
      </c>
      <c r="F1141" s="5" t="e">
        <f>VLOOKUP(B1141,'Türkkep Jira'!B:F,5,0)</f>
        <v>#N/A</v>
      </c>
      <c r="G1141" t="str">
        <f>IF(IFERROR(VLOOKUP(B1141,'Devam Eden Sprint'!B:B,1,0),"-")=B1141,"Devam Eden Sprint","-")</f>
        <v>-</v>
      </c>
      <c r="H1141" t="str">
        <f>IF(IFERROR(VLOOKUP(B1141,'Gelecek Sprint'!B:B,1,0),"-")=B1141,"Gelecek Sprint","-")</f>
        <v>-</v>
      </c>
      <c r="I1141" t="str">
        <f t="shared" si="33"/>
        <v>Ürün İş Listesi</v>
      </c>
      <c r="J1141"/>
    </row>
    <row r="1142" spans="1:10" x14ac:dyDescent="0.25">
      <c r="A1142" t="s">
        <v>77</v>
      </c>
      <c r="B1142" t="s">
        <v>2513</v>
      </c>
      <c r="C1142" t="s">
        <v>16</v>
      </c>
      <c r="D1142" t="s">
        <v>2512</v>
      </c>
      <c r="E1142" s="5" t="s">
        <v>127</v>
      </c>
      <c r="F1142" s="5" t="e">
        <f>VLOOKUP(B1142,'Türkkep Jira'!B:F,5,0)</f>
        <v>#N/A</v>
      </c>
      <c r="G1142" t="str">
        <f>IF(IFERROR(VLOOKUP(B1142,'Devam Eden Sprint'!B:B,1,0),"-")=B1142,"Devam Eden Sprint","-")</f>
        <v>-</v>
      </c>
      <c r="H1142" t="str">
        <f>IF(IFERROR(VLOOKUP(B1142,'Gelecek Sprint'!B:B,1,0),"-")=B1142,"Gelecek Sprint","-")</f>
        <v>-</v>
      </c>
      <c r="I1142" t="str">
        <f t="shared" si="33"/>
        <v>Ürün İş Listesi</v>
      </c>
      <c r="J1142"/>
    </row>
    <row r="1143" spans="1:10" x14ac:dyDescent="0.25">
      <c r="A1143" t="s">
        <v>14</v>
      </c>
      <c r="B1143" t="s">
        <v>2515</v>
      </c>
      <c r="C1143" t="s">
        <v>16</v>
      </c>
      <c r="D1143" t="s">
        <v>2514</v>
      </c>
      <c r="E1143" s="5" t="s">
        <v>124</v>
      </c>
      <c r="F1143" s="5" t="e">
        <f>VLOOKUP(B1143,'Türkkep Jira'!B:F,5,0)</f>
        <v>#N/A</v>
      </c>
      <c r="G1143" t="str">
        <f>IF(IFERROR(VLOOKUP(B1143,'Devam Eden Sprint'!B:B,1,0),"-")=B1143,"Devam Eden Sprint","-")</f>
        <v>-</v>
      </c>
      <c r="H1143" t="str">
        <f>IF(IFERROR(VLOOKUP(B1143,'Gelecek Sprint'!B:B,1,0),"-")=B1143,"Gelecek Sprint","-")</f>
        <v>-</v>
      </c>
      <c r="I1143" t="str">
        <f t="shared" si="33"/>
        <v>Ürün İş Listesi</v>
      </c>
      <c r="J1143"/>
    </row>
    <row r="1144" spans="1:10" x14ac:dyDescent="0.25">
      <c r="A1144" t="s">
        <v>14</v>
      </c>
      <c r="B1144" t="s">
        <v>2516</v>
      </c>
      <c r="C1144" t="s">
        <v>10</v>
      </c>
      <c r="D1144" t="s">
        <v>2460</v>
      </c>
      <c r="E1144" s="5" t="s">
        <v>542</v>
      </c>
      <c r="F1144" s="5" t="e">
        <f>VLOOKUP(B1144,'Türkkep Jira'!B:F,5,0)</f>
        <v>#N/A</v>
      </c>
      <c r="G1144" t="str">
        <f>IF(IFERROR(VLOOKUP(B1144,'Devam Eden Sprint'!B:B,1,0),"-")=B1144,"Devam Eden Sprint","-")</f>
        <v>Devam Eden Sprint</v>
      </c>
      <c r="H1144" t="str">
        <f>IF(IFERROR(VLOOKUP(B1144,'Gelecek Sprint'!B:B,1,0),"-")=B1144,"Gelecek Sprint","-")</f>
        <v>-</v>
      </c>
      <c r="I1144" t="str">
        <f t="shared" si="33"/>
        <v>Devam Eden Sprint</v>
      </c>
      <c r="J1144"/>
    </row>
    <row r="1145" spans="1:10" x14ac:dyDescent="0.25">
      <c r="A1145" t="s">
        <v>14</v>
      </c>
      <c r="B1145" t="s">
        <v>2518</v>
      </c>
      <c r="C1145" t="s">
        <v>10</v>
      </c>
      <c r="D1145" t="s">
        <v>2517</v>
      </c>
      <c r="E1145" s="5" t="s">
        <v>1728</v>
      </c>
      <c r="F1145" s="5" t="e">
        <f>VLOOKUP(B1145,'Türkkep Jira'!B:F,5,0)</f>
        <v>#N/A</v>
      </c>
      <c r="G1145" t="str">
        <f>IF(IFERROR(VLOOKUP(B1145,'Devam Eden Sprint'!B:B,1,0),"-")=B1145,"Devam Eden Sprint","-")</f>
        <v>-</v>
      </c>
      <c r="H1145" t="str">
        <f>IF(IFERROR(VLOOKUP(B1145,'Gelecek Sprint'!B:B,1,0),"-")=B1145,"Gelecek Sprint","-")</f>
        <v>-</v>
      </c>
      <c r="I1145" t="str">
        <f t="shared" si="33"/>
        <v>Ürün İş Listesi</v>
      </c>
      <c r="J1145"/>
    </row>
    <row r="1146" spans="1:10" x14ac:dyDescent="0.25">
      <c r="A1146" t="s">
        <v>14</v>
      </c>
      <c r="B1146" t="s">
        <v>2520</v>
      </c>
      <c r="C1146" t="s">
        <v>10</v>
      </c>
      <c r="D1146" t="s">
        <v>2519</v>
      </c>
      <c r="E1146" s="5" t="s">
        <v>1728</v>
      </c>
      <c r="F1146" s="5" t="e">
        <f>VLOOKUP(B1146,'Türkkep Jira'!B:F,5,0)</f>
        <v>#N/A</v>
      </c>
      <c r="G1146" t="str">
        <f>IF(IFERROR(VLOOKUP(B1146,'Devam Eden Sprint'!B:B,1,0),"-")=B1146,"Devam Eden Sprint","-")</f>
        <v>-</v>
      </c>
      <c r="H1146" t="str">
        <f>IF(IFERROR(VLOOKUP(B1146,'Gelecek Sprint'!B:B,1,0),"-")=B1146,"Gelecek Sprint","-")</f>
        <v>-</v>
      </c>
      <c r="I1146" t="str">
        <f t="shared" si="33"/>
        <v>Ürün İş Listesi</v>
      </c>
      <c r="J1146"/>
    </row>
    <row r="1147" spans="1:10" x14ac:dyDescent="0.25">
      <c r="A1147" t="s">
        <v>14</v>
      </c>
      <c r="B1147" t="s">
        <v>2521</v>
      </c>
      <c r="C1147" t="s">
        <v>16</v>
      </c>
      <c r="D1147" t="s">
        <v>2460</v>
      </c>
      <c r="E1147" s="5" t="s">
        <v>59</v>
      </c>
      <c r="F1147" s="5" t="e">
        <f>VLOOKUP(B1147,'Türkkep Jira'!B:F,5,0)</f>
        <v>#N/A</v>
      </c>
      <c r="G1147" t="str">
        <f>IF(IFERROR(VLOOKUP(B1147,'Devam Eden Sprint'!B:B,1,0),"-")=B1147,"Devam Eden Sprint","-")</f>
        <v>-</v>
      </c>
      <c r="H1147" t="str">
        <f>IF(IFERROR(VLOOKUP(B1147,'Gelecek Sprint'!B:B,1,0),"-")=B1147,"Gelecek Sprint","-")</f>
        <v>-</v>
      </c>
      <c r="I1147" t="str">
        <f t="shared" si="33"/>
        <v>Ürün İş Listesi</v>
      </c>
      <c r="J1147"/>
    </row>
    <row r="1148" spans="1:10" x14ac:dyDescent="0.25">
      <c r="A1148" t="s">
        <v>14</v>
      </c>
      <c r="B1148" t="s">
        <v>2522</v>
      </c>
      <c r="C1148" t="s">
        <v>16</v>
      </c>
      <c r="D1148" t="s">
        <v>2460</v>
      </c>
      <c r="E1148" s="5" t="s">
        <v>455</v>
      </c>
      <c r="F1148" s="5" t="e">
        <f>VLOOKUP(B1148,'Türkkep Jira'!B:F,5,0)</f>
        <v>#N/A</v>
      </c>
      <c r="G1148" t="str">
        <f>IF(IFERROR(VLOOKUP(B1148,'Devam Eden Sprint'!B:B,1,0),"-")=B1148,"Devam Eden Sprint","-")</f>
        <v>-</v>
      </c>
      <c r="H1148" t="str">
        <f>IF(IFERROR(VLOOKUP(B1148,'Gelecek Sprint'!B:B,1,0),"-")=B1148,"Gelecek Sprint","-")</f>
        <v>-</v>
      </c>
      <c r="I1148" t="str">
        <f t="shared" si="33"/>
        <v>Ürün İş Listesi</v>
      </c>
      <c r="J1148"/>
    </row>
    <row r="1149" spans="1:10" x14ac:dyDescent="0.25">
      <c r="A1149" t="s">
        <v>77</v>
      </c>
      <c r="B1149" t="s">
        <v>2524</v>
      </c>
      <c r="C1149" t="s">
        <v>16</v>
      </c>
      <c r="D1149" t="s">
        <v>2523</v>
      </c>
      <c r="E1149" s="5" t="s">
        <v>56</v>
      </c>
      <c r="F1149" s="5" t="str">
        <f>VLOOKUP(B1149,'Türkkep Jira'!B:F,5,0)</f>
        <v>Done</v>
      </c>
      <c r="G1149" t="str">
        <f>IF(IFERROR(VLOOKUP(B1149,'Devam Eden Sprint'!B:B,1,0),"-")=B1149,"Devam Eden Sprint","-")</f>
        <v>-</v>
      </c>
      <c r="H1149" t="str">
        <f>IF(IFERROR(VLOOKUP(B1149,'Gelecek Sprint'!B:B,1,0),"-")=B1149,"Gelecek Sprint","-")</f>
        <v>-</v>
      </c>
      <c r="I1149" t="str">
        <f t="shared" si="33"/>
        <v>Ürün İş Listesi</v>
      </c>
      <c r="J1149"/>
    </row>
    <row r="1150" spans="1:10" x14ac:dyDescent="0.25">
      <c r="A1150" t="s">
        <v>77</v>
      </c>
      <c r="B1150" t="s">
        <v>2526</v>
      </c>
      <c r="C1150" t="s">
        <v>16</v>
      </c>
      <c r="D1150" t="s">
        <v>2525</v>
      </c>
      <c r="E1150" s="5" t="s">
        <v>56</v>
      </c>
      <c r="F1150" s="5" t="str">
        <f>VLOOKUP(B1150,'Türkkep Jira'!B:F,5,0)</f>
        <v>Done</v>
      </c>
      <c r="G1150" t="str">
        <f>IF(IFERROR(VLOOKUP(B1150,'Devam Eden Sprint'!B:B,1,0),"-")=B1150,"Devam Eden Sprint","-")</f>
        <v>-</v>
      </c>
      <c r="H1150" t="str">
        <f>IF(IFERROR(VLOOKUP(B1150,'Gelecek Sprint'!B:B,1,0),"-")=B1150,"Gelecek Sprint","-")</f>
        <v>-</v>
      </c>
      <c r="I1150" t="str">
        <f t="shared" si="33"/>
        <v>Ürün İş Listesi</v>
      </c>
      <c r="J1150"/>
    </row>
    <row r="1151" spans="1:10" x14ac:dyDescent="0.25">
      <c r="A1151" t="s">
        <v>77</v>
      </c>
      <c r="B1151" t="s">
        <v>2528</v>
      </c>
      <c r="C1151" t="s">
        <v>16</v>
      </c>
      <c r="D1151" t="s">
        <v>2527</v>
      </c>
      <c r="E1151" s="5" t="s">
        <v>56</v>
      </c>
      <c r="F1151" s="5" t="e">
        <f>VLOOKUP(B1151,'Türkkep Jira'!B:F,5,0)</f>
        <v>#N/A</v>
      </c>
      <c r="G1151" t="str">
        <f>IF(IFERROR(VLOOKUP(B1151,'Devam Eden Sprint'!B:B,1,0),"-")=B1151,"Devam Eden Sprint","-")</f>
        <v>-</v>
      </c>
      <c r="H1151" t="str">
        <f>IF(IFERROR(VLOOKUP(B1151,'Gelecek Sprint'!B:B,1,0),"-")=B1151,"Gelecek Sprint","-")</f>
        <v>-</v>
      </c>
      <c r="I1151" t="str">
        <f t="shared" si="33"/>
        <v>Ürün İş Listesi</v>
      </c>
      <c r="J1151"/>
    </row>
    <row r="1152" spans="1:10" x14ac:dyDescent="0.25">
      <c r="A1152" t="s">
        <v>14</v>
      </c>
      <c r="B1152" t="s">
        <v>2530</v>
      </c>
      <c r="C1152" t="s">
        <v>10</v>
      </c>
      <c r="D1152" t="s">
        <v>2529</v>
      </c>
      <c r="E1152" s="5" t="s">
        <v>56</v>
      </c>
      <c r="F1152" s="5" t="e">
        <f>VLOOKUP(B1152,'Türkkep Jira'!B:F,5,0)</f>
        <v>#N/A</v>
      </c>
      <c r="G1152" t="str">
        <f>IF(IFERROR(VLOOKUP(B1152,'Devam Eden Sprint'!B:B,1,0),"-")=B1152,"Devam Eden Sprint","-")</f>
        <v>-</v>
      </c>
      <c r="H1152" t="str">
        <f>IF(IFERROR(VLOOKUP(B1152,'Gelecek Sprint'!B:B,1,0),"-")=B1152,"Gelecek Sprint","-")</f>
        <v>-</v>
      </c>
      <c r="I1152" t="str">
        <f t="shared" si="33"/>
        <v>Ürün İş Listesi</v>
      </c>
      <c r="J1152"/>
    </row>
    <row r="1153" spans="1:10" x14ac:dyDescent="0.25">
      <c r="A1153" t="s">
        <v>14</v>
      </c>
      <c r="B1153" t="s">
        <v>2307</v>
      </c>
      <c r="C1153" t="s">
        <v>16</v>
      </c>
      <c r="D1153" t="s">
        <v>2531</v>
      </c>
      <c r="E1153" s="5" t="s">
        <v>56</v>
      </c>
      <c r="F1153" s="5" t="e">
        <f>VLOOKUP(B1153,'Türkkep Jira'!B:F,5,0)</f>
        <v>#N/A</v>
      </c>
      <c r="G1153" t="str">
        <f>IF(IFERROR(VLOOKUP(B1153,'Devam Eden Sprint'!B:B,1,0),"-")=B1153,"Devam Eden Sprint","-")</f>
        <v>-</v>
      </c>
      <c r="H1153" t="str">
        <f>IF(IFERROR(VLOOKUP(B1153,'Gelecek Sprint'!B:B,1,0),"-")=B1153,"Gelecek Sprint","-")</f>
        <v>-</v>
      </c>
      <c r="I1153" t="str">
        <f t="shared" si="33"/>
        <v>Ürün İş Listesi</v>
      </c>
      <c r="J1153"/>
    </row>
    <row r="1154" spans="1:10" x14ac:dyDescent="0.25">
      <c r="A1154" t="s">
        <v>14</v>
      </c>
      <c r="B1154" t="s">
        <v>2532</v>
      </c>
      <c r="C1154" t="s">
        <v>26</v>
      </c>
      <c r="D1154" t="s">
        <v>2460</v>
      </c>
      <c r="E1154" s="5" t="s">
        <v>47</v>
      </c>
      <c r="F1154" s="5" t="str">
        <f>VLOOKUP(B1154,'Türkkep Jira'!B:F,5,0)</f>
        <v>Development</v>
      </c>
      <c r="G1154" t="str">
        <f>IF(IFERROR(VLOOKUP(B1154,'Devam Eden Sprint'!B:B,1,0),"-")=B1154,"Devam Eden Sprint","-")</f>
        <v>Devam Eden Sprint</v>
      </c>
      <c r="H1154" t="str">
        <f>IF(IFERROR(VLOOKUP(B1154,'Gelecek Sprint'!B:B,1,0),"-")=B1154,"Gelecek Sprint","-")</f>
        <v>-</v>
      </c>
      <c r="I1154" t="str">
        <f t="shared" si="33"/>
        <v>Devam Eden Sprint</v>
      </c>
      <c r="J1154"/>
    </row>
    <row r="1155" spans="1:10" x14ac:dyDescent="0.25">
      <c r="A1155" t="s">
        <v>14</v>
      </c>
      <c r="B1155" t="s">
        <v>2383</v>
      </c>
      <c r="C1155" t="s">
        <v>16</v>
      </c>
      <c r="D1155" t="s">
        <v>2382</v>
      </c>
      <c r="E1155" s="5" t="s">
        <v>47</v>
      </c>
      <c r="F1155" s="5" t="e">
        <f>VLOOKUP(B1155,'Türkkep Jira'!B:F,5,0)</f>
        <v>#N/A</v>
      </c>
      <c r="G1155" t="str">
        <f>IF(IFERROR(VLOOKUP(B1155,'Devam Eden Sprint'!B:B,1,0),"-")=B1155,"Devam Eden Sprint","-")</f>
        <v>-</v>
      </c>
      <c r="H1155" t="str">
        <f>IF(IFERROR(VLOOKUP(B1155,'Gelecek Sprint'!B:B,1,0),"-")=B1155,"Gelecek Sprint","-")</f>
        <v>-</v>
      </c>
      <c r="I1155" t="str">
        <f t="shared" si="33"/>
        <v>Ürün İş Listesi</v>
      </c>
      <c r="J1155"/>
    </row>
    <row r="1156" spans="1:10" x14ac:dyDescent="0.25">
      <c r="A1156" t="s">
        <v>14</v>
      </c>
      <c r="B1156" t="s">
        <v>2386</v>
      </c>
      <c r="C1156" t="s">
        <v>16</v>
      </c>
      <c r="D1156" t="s">
        <v>2385</v>
      </c>
      <c r="E1156" s="5" t="s">
        <v>47</v>
      </c>
      <c r="F1156" s="5" t="e">
        <f>VLOOKUP(B1156,'Türkkep Jira'!B:F,5,0)</f>
        <v>#N/A</v>
      </c>
      <c r="G1156" t="str">
        <f>IF(IFERROR(VLOOKUP(B1156,'Devam Eden Sprint'!B:B,1,0),"-")=B1156,"Devam Eden Sprint","-")</f>
        <v>-</v>
      </c>
      <c r="H1156" t="str">
        <f>IF(IFERROR(VLOOKUP(B1156,'Gelecek Sprint'!B:B,1,0),"-")=B1156,"Gelecek Sprint","-")</f>
        <v>-</v>
      </c>
      <c r="I1156" t="str">
        <f t="shared" si="33"/>
        <v>Ürün İş Listesi</v>
      </c>
      <c r="J1156"/>
    </row>
    <row r="1157" spans="1:10" x14ac:dyDescent="0.25">
      <c r="A1157" t="s">
        <v>1379</v>
      </c>
      <c r="B1157" t="s">
        <v>2536</v>
      </c>
      <c r="C1157" t="s">
        <v>16</v>
      </c>
      <c r="D1157" t="s">
        <v>2535</v>
      </c>
      <c r="E1157" s="5" t="s">
        <v>50</v>
      </c>
      <c r="F1157" s="5" t="e">
        <f>VLOOKUP(B1157,'Türkkep Jira'!B:F,5,0)</f>
        <v>#N/A</v>
      </c>
      <c r="G1157" t="str">
        <f>IF(IFERROR(VLOOKUP(B1157,'Devam Eden Sprint'!B:B,1,0),"-")=B1157,"Devam Eden Sprint","-")</f>
        <v>-</v>
      </c>
      <c r="H1157" t="str">
        <f>IF(IFERROR(VLOOKUP(B1157,'Gelecek Sprint'!B:B,1,0),"-")=B1157,"Gelecek Sprint","-")</f>
        <v>-</v>
      </c>
      <c r="I1157" t="str">
        <f t="shared" si="33"/>
        <v>Ürün İş Listesi</v>
      </c>
      <c r="J1157"/>
    </row>
    <row r="1158" spans="1:10" x14ac:dyDescent="0.25">
      <c r="A1158" t="s">
        <v>14</v>
      </c>
      <c r="B1158" t="s">
        <v>2387</v>
      </c>
      <c r="C1158" t="s">
        <v>16</v>
      </c>
      <c r="D1158" t="s">
        <v>2340</v>
      </c>
      <c r="E1158" s="5" t="s">
        <v>50</v>
      </c>
      <c r="F1158" s="5" t="e">
        <f>VLOOKUP(B1158,'Türkkep Jira'!B:F,5,0)</f>
        <v>#N/A</v>
      </c>
      <c r="G1158" t="str">
        <f>IF(IFERROR(VLOOKUP(B1158,'Devam Eden Sprint'!B:B,1,0),"-")=B1158,"Devam Eden Sprint","-")</f>
        <v>-</v>
      </c>
      <c r="H1158" t="str">
        <f>IF(IFERROR(VLOOKUP(B1158,'Gelecek Sprint'!B:B,1,0),"-")=B1158,"Gelecek Sprint","-")</f>
        <v>-</v>
      </c>
      <c r="I1158" t="str">
        <f t="shared" si="33"/>
        <v>Ürün İş Listesi</v>
      </c>
      <c r="J1158"/>
    </row>
    <row r="1159" spans="1:10" x14ac:dyDescent="0.25">
      <c r="A1159" t="s">
        <v>14</v>
      </c>
      <c r="B1159" t="s">
        <v>2538</v>
      </c>
      <c r="C1159" t="s">
        <v>26</v>
      </c>
      <c r="D1159" t="s">
        <v>2460</v>
      </c>
      <c r="E1159" s="5" t="s">
        <v>41</v>
      </c>
      <c r="F1159" s="5" t="str">
        <f>VLOOKUP(B1159,'Türkkep Jira'!B:F,5,0)</f>
        <v>Development</v>
      </c>
      <c r="G1159" t="str">
        <f>IF(IFERROR(VLOOKUP(B1159,'Devam Eden Sprint'!B:B,1,0),"-")=B1159,"Devam Eden Sprint","-")</f>
        <v>Devam Eden Sprint</v>
      </c>
      <c r="H1159" t="str">
        <f>IF(IFERROR(VLOOKUP(B1159,'Gelecek Sprint'!B:B,1,0),"-")=B1159,"Gelecek Sprint","-")</f>
        <v>Gelecek Sprint</v>
      </c>
      <c r="I1159" t="str">
        <f t="shared" si="33"/>
        <v>Devam Eden ve Gelecek Sprint</v>
      </c>
      <c r="J1159"/>
    </row>
    <row r="1160" spans="1:10" x14ac:dyDescent="0.25">
      <c r="A1160" t="s">
        <v>14</v>
      </c>
      <c r="B1160" t="s">
        <v>2540</v>
      </c>
      <c r="C1160" t="s">
        <v>10</v>
      </c>
      <c r="D1160" t="s">
        <v>2460</v>
      </c>
      <c r="E1160" s="5" t="s">
        <v>38</v>
      </c>
      <c r="F1160" s="5" t="e">
        <f>VLOOKUP(B1160,'Türkkep Jira'!B:F,5,0)</f>
        <v>#N/A</v>
      </c>
      <c r="G1160" t="str">
        <f>IF(IFERROR(VLOOKUP(B1160,'Devam Eden Sprint'!B:B,1,0),"-")=B1160,"Devam Eden Sprint","-")</f>
        <v>-</v>
      </c>
      <c r="H1160" t="str">
        <f>IF(IFERROR(VLOOKUP(B1160,'Gelecek Sprint'!B:B,1,0),"-")=B1160,"Gelecek Sprint","-")</f>
        <v>-</v>
      </c>
      <c r="I1160" t="str">
        <f t="shared" si="33"/>
        <v>Ürün İş Listesi</v>
      </c>
      <c r="J1160"/>
    </row>
    <row r="1161" spans="1:10" x14ac:dyDescent="0.25">
      <c r="A1161" t="s">
        <v>14</v>
      </c>
      <c r="B1161" t="s">
        <v>2542</v>
      </c>
      <c r="C1161" t="s">
        <v>10</v>
      </c>
      <c r="D1161" t="s">
        <v>2541</v>
      </c>
      <c r="E1161" s="5" t="s">
        <v>12</v>
      </c>
      <c r="F1161" s="5" t="str">
        <f>VLOOKUP(B1161,'Türkkep Jira'!B:F,5,0)</f>
        <v>To Do</v>
      </c>
      <c r="G1161" t="str">
        <f>IF(IFERROR(VLOOKUP(B1161,'Devam Eden Sprint'!B:B,1,0),"-")=B1161,"Devam Eden Sprint","-")</f>
        <v>Devam Eden Sprint</v>
      </c>
      <c r="H1161" t="str">
        <f>IF(IFERROR(VLOOKUP(B1161,'Gelecek Sprint'!B:B,1,0),"-")=B1161,"Gelecek Sprint","-")</f>
        <v>Gelecek Sprint</v>
      </c>
      <c r="I1161" t="str">
        <f t="shared" si="33"/>
        <v>Devam Eden ve Gelecek Sprint</v>
      </c>
      <c r="J1161"/>
    </row>
    <row r="1162" spans="1:10" x14ac:dyDescent="0.25">
      <c r="A1162" t="s">
        <v>14</v>
      </c>
      <c r="B1162" t="s">
        <v>2544</v>
      </c>
      <c r="C1162" t="s">
        <v>16</v>
      </c>
      <c r="D1162" t="s">
        <v>2543</v>
      </c>
      <c r="E1162" s="5" t="s">
        <v>12</v>
      </c>
      <c r="F1162" s="5" t="e">
        <f>VLOOKUP(B1162,'Türkkep Jira'!B:F,5,0)</f>
        <v>#N/A</v>
      </c>
      <c r="G1162" t="str">
        <f>IF(IFERROR(VLOOKUP(B1162,'Devam Eden Sprint'!B:B,1,0),"-")=B1162,"Devam Eden Sprint","-")</f>
        <v>-</v>
      </c>
      <c r="H1162" t="str">
        <f>IF(IFERROR(VLOOKUP(B1162,'Gelecek Sprint'!B:B,1,0),"-")=B1162,"Gelecek Sprint","-")</f>
        <v>-</v>
      </c>
      <c r="I1162" t="str">
        <f t="shared" si="33"/>
        <v>Ürün İş Listesi</v>
      </c>
      <c r="J1162"/>
    </row>
    <row r="1163" spans="1:10" x14ac:dyDescent="0.25">
      <c r="A1163" t="s">
        <v>14</v>
      </c>
      <c r="B1163" t="s">
        <v>2424</v>
      </c>
      <c r="C1163" t="s">
        <v>16</v>
      </c>
      <c r="D1163" t="s">
        <v>2423</v>
      </c>
      <c r="E1163" s="5" t="s">
        <v>12</v>
      </c>
      <c r="F1163" s="5" t="e">
        <f>VLOOKUP(B1163,'Türkkep Jira'!B:F,5,0)</f>
        <v>#N/A</v>
      </c>
      <c r="G1163" t="str">
        <f>IF(IFERROR(VLOOKUP(B1163,'Devam Eden Sprint'!B:B,1,0),"-")=B1163,"Devam Eden Sprint","-")</f>
        <v>-</v>
      </c>
      <c r="H1163" t="str">
        <f>IF(IFERROR(VLOOKUP(B1163,'Gelecek Sprint'!B:B,1,0),"-")=B1163,"Gelecek Sprint","-")</f>
        <v>-</v>
      </c>
      <c r="I1163" t="str">
        <f t="shared" si="33"/>
        <v>Ürün İş Listesi</v>
      </c>
      <c r="J1163"/>
    </row>
    <row r="1164" spans="1:10" x14ac:dyDescent="0.25">
      <c r="A1164" t="s">
        <v>14</v>
      </c>
      <c r="B1164" t="s">
        <v>2546</v>
      </c>
      <c r="C1164" t="s">
        <v>16</v>
      </c>
      <c r="D1164" t="s">
        <v>2545</v>
      </c>
      <c r="E1164" s="5" t="s">
        <v>12</v>
      </c>
      <c r="F1164" s="5" t="e">
        <f>VLOOKUP(B1164,'Türkkep Jira'!B:F,5,0)</f>
        <v>#N/A</v>
      </c>
      <c r="G1164" t="str">
        <f>IF(IFERROR(VLOOKUP(B1164,'Devam Eden Sprint'!B:B,1,0),"-")=B1164,"Devam Eden Sprint","-")</f>
        <v>-</v>
      </c>
      <c r="H1164" t="str">
        <f>IF(IFERROR(VLOOKUP(B1164,'Gelecek Sprint'!B:B,1,0),"-")=B1164,"Gelecek Sprint","-")</f>
        <v>-</v>
      </c>
      <c r="I1164" t="str">
        <f t="shared" si="33"/>
        <v>Ürün İş Listesi</v>
      </c>
      <c r="J1164"/>
    </row>
    <row r="1165" spans="1:10" x14ac:dyDescent="0.25">
      <c r="A1165" t="s">
        <v>14</v>
      </c>
      <c r="B1165" t="s">
        <v>2548</v>
      </c>
      <c r="C1165" t="s">
        <v>27</v>
      </c>
      <c r="D1165" t="s">
        <v>2547</v>
      </c>
      <c r="E1165" s="5" t="s">
        <v>12</v>
      </c>
      <c r="F1165" s="5" t="str">
        <f>VLOOKUP(B1165,'Türkkep Jira'!B:F,5,0)</f>
        <v>TO TEST</v>
      </c>
      <c r="G1165" t="str">
        <f>IF(IFERROR(VLOOKUP(B1165,'Devam Eden Sprint'!B:B,1,0),"-")=B1165,"Devam Eden Sprint","-")</f>
        <v>Devam Eden Sprint</v>
      </c>
      <c r="H1165" t="str">
        <f>IF(IFERROR(VLOOKUP(B1165,'Gelecek Sprint'!B:B,1,0),"-")=B1165,"Gelecek Sprint","-")</f>
        <v>Gelecek Sprint</v>
      </c>
      <c r="I1165" t="str">
        <f t="shared" si="33"/>
        <v>Devam Eden ve Gelecek Sprint</v>
      </c>
      <c r="J1165"/>
    </row>
    <row r="1166" spans="1:10" x14ac:dyDescent="0.25">
      <c r="A1166" t="s">
        <v>14</v>
      </c>
      <c r="B1166" t="s">
        <v>2440</v>
      </c>
      <c r="C1166" t="s">
        <v>16</v>
      </c>
      <c r="D1166" t="s">
        <v>2439</v>
      </c>
      <c r="E1166" s="5" t="s">
        <v>12</v>
      </c>
      <c r="F1166" s="5" t="e">
        <f>VLOOKUP(B1166,'Türkkep Jira'!B:F,5,0)</f>
        <v>#N/A</v>
      </c>
      <c r="G1166" t="str">
        <f>IF(IFERROR(VLOOKUP(B1166,'Devam Eden Sprint'!B:B,1,0),"-")=B1166,"Devam Eden Sprint","-")</f>
        <v>-</v>
      </c>
      <c r="H1166" t="str">
        <f>IF(IFERROR(VLOOKUP(B1166,'Gelecek Sprint'!B:B,1,0),"-")=B1166,"Gelecek Sprint","-")</f>
        <v>-</v>
      </c>
      <c r="I1166" t="str">
        <f t="shared" si="33"/>
        <v>Ürün İş Listesi</v>
      </c>
      <c r="J1166"/>
    </row>
    <row r="1167" spans="1:10" x14ac:dyDescent="0.25">
      <c r="A1167" t="s">
        <v>14</v>
      </c>
      <c r="B1167" t="s">
        <v>2558</v>
      </c>
      <c r="C1167" t="s">
        <v>16</v>
      </c>
      <c r="D1167" t="s">
        <v>2559</v>
      </c>
      <c r="E1167" s="5" t="s">
        <v>12</v>
      </c>
      <c r="F1167" s="5" t="e">
        <f>VLOOKUP(B1167,'Türkkep Jira'!B:F,5,0)</f>
        <v>#N/A</v>
      </c>
      <c r="G1167" t="str">
        <f>IF(IFERROR(VLOOKUP(B1167,'Devam Eden Sprint'!B:B,1,0),"-")=B1167,"Devam Eden Sprint","-")</f>
        <v>-</v>
      </c>
      <c r="H1167" t="str">
        <f>IF(IFERROR(VLOOKUP(B1167,'Gelecek Sprint'!B:B,1,0),"-")=B1167,"Gelecek Sprint","-")</f>
        <v>-</v>
      </c>
      <c r="I1167" t="str">
        <f t="shared" ref="I1167:I1188" si="34">IFERROR(IF(AND(G1167="Devam Eden Sprint",H1167="Gelecek Sprint"),"Devam Eden ve Gelecek Sprint",IF(G1167="Devam Eden Sprint","Devam Eden Sprint",IF(H1167="Gelecek Sprint","Gelecek Sprint","Ürün İş Listesi"))),"Ürün İş Listesi")</f>
        <v>Ürün İş Listesi</v>
      </c>
      <c r="J1167">
        <v>1</v>
      </c>
    </row>
    <row r="1168" spans="1:10" x14ac:dyDescent="0.25">
      <c r="A1168" t="s">
        <v>14</v>
      </c>
      <c r="B1168" t="s">
        <v>2560</v>
      </c>
      <c r="C1168" t="s">
        <v>16</v>
      </c>
      <c r="D1168" t="s">
        <v>2561</v>
      </c>
      <c r="E1168" s="5" t="s">
        <v>12</v>
      </c>
      <c r="F1168" s="5" t="e">
        <f>VLOOKUP(B1168,'Türkkep Jira'!B:F,5,0)</f>
        <v>#N/A</v>
      </c>
      <c r="G1168" t="str">
        <f>IF(IFERROR(VLOOKUP(B1168,'Devam Eden Sprint'!B:B,1,0),"-")=B1168,"Devam Eden Sprint","-")</f>
        <v>-</v>
      </c>
      <c r="H1168" t="str">
        <f>IF(IFERROR(VLOOKUP(B1168,'Gelecek Sprint'!B:B,1,0),"-")=B1168,"Gelecek Sprint","-")</f>
        <v>-</v>
      </c>
      <c r="I1168" t="str">
        <f t="shared" si="34"/>
        <v>Ürün İş Listesi</v>
      </c>
      <c r="J1168">
        <v>1</v>
      </c>
    </row>
    <row r="1169" spans="1:10" x14ac:dyDescent="0.25">
      <c r="A1169" t="s">
        <v>14</v>
      </c>
      <c r="B1169" t="s">
        <v>2562</v>
      </c>
      <c r="C1169" t="s">
        <v>16</v>
      </c>
      <c r="D1169" t="s">
        <v>2563</v>
      </c>
      <c r="E1169" s="5" t="s">
        <v>12</v>
      </c>
      <c r="F1169" s="5" t="e">
        <f>VLOOKUP(B1169,'Türkkep Jira'!B:F,5,0)</f>
        <v>#N/A</v>
      </c>
      <c r="G1169" t="str">
        <f>IF(IFERROR(VLOOKUP(B1169,'Devam Eden Sprint'!B:B,1,0),"-")=B1169,"Devam Eden Sprint","-")</f>
        <v>-</v>
      </c>
      <c r="H1169" t="str">
        <f>IF(IFERROR(VLOOKUP(B1169,'Gelecek Sprint'!B:B,1,0),"-")=B1169,"Gelecek Sprint","-")</f>
        <v>-</v>
      </c>
      <c r="I1169" t="str">
        <f t="shared" si="34"/>
        <v>Ürün İş Listesi</v>
      </c>
      <c r="J1169">
        <v>2</v>
      </c>
    </row>
    <row r="1170" spans="1:10" x14ac:dyDescent="0.25">
      <c r="A1170" t="s">
        <v>14</v>
      </c>
      <c r="B1170" t="s">
        <v>2564</v>
      </c>
      <c r="C1170" t="s">
        <v>16</v>
      </c>
      <c r="D1170" t="s">
        <v>2565</v>
      </c>
      <c r="E1170" s="5" t="s">
        <v>12</v>
      </c>
      <c r="F1170" s="5" t="e">
        <f>VLOOKUP(B1170,'Türkkep Jira'!B:F,5,0)</f>
        <v>#N/A</v>
      </c>
      <c r="G1170" t="str">
        <f>IF(IFERROR(VLOOKUP(B1170,'Devam Eden Sprint'!B:B,1,0),"-")=B1170,"Devam Eden Sprint","-")</f>
        <v>-</v>
      </c>
      <c r="H1170" t="str">
        <f>IF(IFERROR(VLOOKUP(B1170,'Gelecek Sprint'!B:B,1,0),"-")=B1170,"Gelecek Sprint","-")</f>
        <v>-</v>
      </c>
      <c r="I1170" t="str">
        <f t="shared" si="34"/>
        <v>Ürün İş Listesi</v>
      </c>
      <c r="J1170">
        <v>3</v>
      </c>
    </row>
    <row r="1171" spans="1:10" x14ac:dyDescent="0.25">
      <c r="A1171" t="s">
        <v>14</v>
      </c>
      <c r="B1171" t="s">
        <v>2566</v>
      </c>
      <c r="C1171" t="s">
        <v>27</v>
      </c>
      <c r="D1171" t="s">
        <v>2567</v>
      </c>
      <c r="E1171" s="5" t="s">
        <v>12</v>
      </c>
      <c r="F1171" s="5" t="str">
        <f>VLOOKUP(B1171,'Türkkep Jira'!B:F,5,0)</f>
        <v>TO TEST</v>
      </c>
      <c r="G1171" t="str">
        <f>IF(IFERROR(VLOOKUP(B1171,'Devam Eden Sprint'!B:B,1,0),"-")=B1171,"Devam Eden Sprint","-")</f>
        <v>Devam Eden Sprint</v>
      </c>
      <c r="H1171" t="str">
        <f>IF(IFERROR(VLOOKUP(B1171,'Gelecek Sprint'!B:B,1,0),"-")=B1171,"Gelecek Sprint","-")</f>
        <v>Gelecek Sprint</v>
      </c>
      <c r="I1171" t="str">
        <f t="shared" si="34"/>
        <v>Devam Eden ve Gelecek Sprint</v>
      </c>
      <c r="J1171">
        <v>5</v>
      </c>
    </row>
    <row r="1172" spans="1:10" x14ac:dyDescent="0.25">
      <c r="A1172" t="s">
        <v>77</v>
      </c>
      <c r="B1172" t="s">
        <v>2578</v>
      </c>
      <c r="C1172" t="s">
        <v>16</v>
      </c>
      <c r="D1172" t="s">
        <v>2579</v>
      </c>
      <c r="E1172" s="5" t="s">
        <v>53</v>
      </c>
      <c r="F1172" s="5" t="e">
        <f>VLOOKUP(B1172,'Türkkep Jira'!B:F,5,0)</f>
        <v>#N/A</v>
      </c>
      <c r="G1172" t="str">
        <f>IF(IFERROR(VLOOKUP(B1172,'Devam Eden Sprint'!B:B,1,0),"-")=B1172,"Devam Eden Sprint","-")</f>
        <v>-</v>
      </c>
      <c r="H1172" t="str">
        <f>IF(IFERROR(VLOOKUP(B1172,'Gelecek Sprint'!B:B,1,0),"-")=B1172,"Gelecek Sprint","-")</f>
        <v>-</v>
      </c>
      <c r="I1172" t="str">
        <f t="shared" si="34"/>
        <v>Ürün İş Listesi</v>
      </c>
      <c r="J1172"/>
    </row>
    <row r="1173" spans="1:10" x14ac:dyDescent="0.25">
      <c r="A1173" t="s">
        <v>14</v>
      </c>
      <c r="B1173" t="s">
        <v>2580</v>
      </c>
      <c r="C1173" t="s">
        <v>10</v>
      </c>
      <c r="D1173" t="s">
        <v>2581</v>
      </c>
      <c r="E1173" s="5" t="s">
        <v>38</v>
      </c>
      <c r="F1173" s="5" t="e">
        <f>VLOOKUP(B1173,'Türkkep Jira'!B:F,5,0)</f>
        <v>#N/A</v>
      </c>
      <c r="G1173" t="str">
        <f>IF(IFERROR(VLOOKUP(B1173,'Devam Eden Sprint'!B:B,1,0),"-")=B1173,"Devam Eden Sprint","-")</f>
        <v>-</v>
      </c>
      <c r="H1173" t="str">
        <f>IF(IFERROR(VLOOKUP(B1173,'Gelecek Sprint'!B:B,1,0),"-")=B1173,"Gelecek Sprint","-")</f>
        <v>-</v>
      </c>
      <c r="I1173" t="str">
        <f t="shared" si="34"/>
        <v>Ürün İş Listesi</v>
      </c>
      <c r="J1173">
        <v>5</v>
      </c>
    </row>
    <row r="1174" spans="1:10" x14ac:dyDescent="0.25">
      <c r="A1174" t="s">
        <v>14</v>
      </c>
      <c r="B1174" t="s">
        <v>2582</v>
      </c>
      <c r="C1174" t="s">
        <v>94</v>
      </c>
      <c r="D1174" t="s">
        <v>2583</v>
      </c>
      <c r="E1174" s="5" t="s">
        <v>38</v>
      </c>
      <c r="F1174" s="5" t="e">
        <f>VLOOKUP(B1174,'Türkkep Jira'!B:F,5,0)</f>
        <v>#N/A</v>
      </c>
      <c r="G1174" t="str">
        <f>IF(IFERROR(VLOOKUP(B1174,'Devam Eden Sprint'!B:B,1,0),"-")=B1174,"Devam Eden Sprint","-")</f>
        <v>-</v>
      </c>
      <c r="H1174" t="str">
        <f>IF(IFERROR(VLOOKUP(B1174,'Gelecek Sprint'!B:B,1,0),"-")=B1174,"Gelecek Sprint","-")</f>
        <v>-</v>
      </c>
      <c r="I1174" t="str">
        <f t="shared" si="34"/>
        <v>Ürün İş Listesi</v>
      </c>
      <c r="J1174">
        <v>2</v>
      </c>
    </row>
    <row r="1175" spans="1:10" x14ac:dyDescent="0.25">
      <c r="A1175" t="s">
        <v>14</v>
      </c>
      <c r="B1175" t="s">
        <v>2584</v>
      </c>
      <c r="C1175" t="s">
        <v>26</v>
      </c>
      <c r="D1175" t="s">
        <v>2585</v>
      </c>
      <c r="E1175" s="5" t="s">
        <v>38</v>
      </c>
      <c r="F1175" s="5" t="str">
        <f>VLOOKUP(B1175,'Türkkep Jira'!B:F,5,0)</f>
        <v>Development</v>
      </c>
      <c r="G1175" t="str">
        <f>IF(IFERROR(VLOOKUP(B1175,'Devam Eden Sprint'!B:B,1,0),"-")=B1175,"Devam Eden Sprint","-")</f>
        <v>-</v>
      </c>
      <c r="H1175" t="str">
        <f>IF(IFERROR(VLOOKUP(B1175,'Gelecek Sprint'!B:B,1,0),"-")=B1175,"Gelecek Sprint","-")</f>
        <v>Gelecek Sprint</v>
      </c>
      <c r="I1175" t="str">
        <f t="shared" si="34"/>
        <v>Gelecek Sprint</v>
      </c>
      <c r="J1175">
        <v>13</v>
      </c>
    </row>
    <row r="1176" spans="1:10" x14ac:dyDescent="0.25">
      <c r="A1176" t="s">
        <v>77</v>
      </c>
      <c r="B1176" t="s">
        <v>2586</v>
      </c>
      <c r="C1176" t="s">
        <v>16</v>
      </c>
      <c r="D1176" t="s">
        <v>2587</v>
      </c>
      <c r="E1176" s="5" t="s">
        <v>38</v>
      </c>
      <c r="F1176" s="5" t="e">
        <f>VLOOKUP(B1176,'Türkkep Jira'!B:F,5,0)</f>
        <v>#N/A</v>
      </c>
      <c r="G1176" t="str">
        <f>IF(IFERROR(VLOOKUP(B1176,'Devam Eden Sprint'!B:B,1,0),"-")=B1176,"Devam Eden Sprint","-")</f>
        <v>-</v>
      </c>
      <c r="H1176" t="str">
        <f>IF(IFERROR(VLOOKUP(B1176,'Gelecek Sprint'!B:B,1,0),"-")=B1176,"Gelecek Sprint","-")</f>
        <v>-</v>
      </c>
      <c r="I1176" t="str">
        <f t="shared" si="34"/>
        <v>Ürün İş Listesi</v>
      </c>
      <c r="J1176">
        <v>3</v>
      </c>
    </row>
    <row r="1177" spans="1:10" x14ac:dyDescent="0.25">
      <c r="A1177" t="s">
        <v>77</v>
      </c>
      <c r="B1177" t="s">
        <v>2588</v>
      </c>
      <c r="C1177" t="s">
        <v>16</v>
      </c>
      <c r="D1177" t="s">
        <v>2589</v>
      </c>
      <c r="E1177" s="5" t="s">
        <v>41</v>
      </c>
      <c r="F1177" s="5" t="e">
        <f>VLOOKUP(B1177,'Türkkep Jira'!B:F,5,0)</f>
        <v>#N/A</v>
      </c>
      <c r="G1177" t="str">
        <f>IF(IFERROR(VLOOKUP(B1177,'Devam Eden Sprint'!B:B,1,0),"-")=B1177,"Devam Eden Sprint","-")</f>
        <v>-</v>
      </c>
      <c r="H1177" t="str">
        <f>IF(IFERROR(VLOOKUP(B1177,'Gelecek Sprint'!B:B,1,0),"-")=B1177,"Gelecek Sprint","-")</f>
        <v>-</v>
      </c>
      <c r="I1177" t="str">
        <f t="shared" si="34"/>
        <v>Ürün İş Listesi</v>
      </c>
      <c r="J1177">
        <v>1</v>
      </c>
    </row>
    <row r="1178" spans="1:10" x14ac:dyDescent="0.25">
      <c r="A1178" t="s">
        <v>14</v>
      </c>
      <c r="B1178" t="s">
        <v>2590</v>
      </c>
      <c r="C1178" t="s">
        <v>10</v>
      </c>
      <c r="D1178" t="s">
        <v>2591</v>
      </c>
      <c r="E1178" s="5" t="s">
        <v>41</v>
      </c>
      <c r="F1178" s="5" t="e">
        <f>VLOOKUP(B1178,'Türkkep Jira'!B:F,5,0)</f>
        <v>#N/A</v>
      </c>
      <c r="G1178" t="str">
        <f>IF(IFERROR(VLOOKUP(B1178,'Devam Eden Sprint'!B:B,1,0),"-")=B1178,"Devam Eden Sprint","-")</f>
        <v>-</v>
      </c>
      <c r="H1178" t="str">
        <f>IF(IFERROR(VLOOKUP(B1178,'Gelecek Sprint'!B:B,1,0),"-")=B1178,"Gelecek Sprint","-")</f>
        <v>-</v>
      </c>
      <c r="I1178" t="str">
        <f t="shared" si="34"/>
        <v>Ürün İş Listesi</v>
      </c>
      <c r="J1178">
        <v>1</v>
      </c>
    </row>
    <row r="1179" spans="1:10" x14ac:dyDescent="0.25">
      <c r="A1179" t="s">
        <v>14</v>
      </c>
      <c r="B1179" t="s">
        <v>2592</v>
      </c>
      <c r="C1179" t="s">
        <v>16</v>
      </c>
      <c r="D1179" t="s">
        <v>2593</v>
      </c>
      <c r="E1179" s="5" t="s">
        <v>41</v>
      </c>
      <c r="F1179" s="5" t="e">
        <f>VLOOKUP(B1179,'Türkkep Jira'!B:F,5,0)</f>
        <v>#N/A</v>
      </c>
      <c r="G1179" t="str">
        <f>IF(IFERROR(VLOOKUP(B1179,'Devam Eden Sprint'!B:B,1,0),"-")=B1179,"Devam Eden Sprint","-")</f>
        <v>-</v>
      </c>
      <c r="H1179" t="str">
        <f>IF(IFERROR(VLOOKUP(B1179,'Gelecek Sprint'!B:B,1,0),"-")=B1179,"Gelecek Sprint","-")</f>
        <v>-</v>
      </c>
      <c r="I1179" t="str">
        <f t="shared" si="34"/>
        <v>Ürün İş Listesi</v>
      </c>
      <c r="J1179">
        <v>2</v>
      </c>
    </row>
    <row r="1180" spans="1:10" x14ac:dyDescent="0.25">
      <c r="A1180" t="s">
        <v>14</v>
      </c>
      <c r="B1180" t="s">
        <v>2594</v>
      </c>
      <c r="C1180" t="s">
        <v>16</v>
      </c>
      <c r="D1180" t="s">
        <v>2595</v>
      </c>
      <c r="E1180" s="5" t="s">
        <v>41</v>
      </c>
      <c r="F1180" s="5" t="e">
        <f>VLOOKUP(B1180,'Türkkep Jira'!B:F,5,0)</f>
        <v>#N/A</v>
      </c>
      <c r="G1180" t="str">
        <f>IF(IFERROR(VLOOKUP(B1180,'Devam Eden Sprint'!B:B,1,0),"-")=B1180,"Devam Eden Sprint","-")</f>
        <v>-</v>
      </c>
      <c r="H1180" t="str">
        <f>IF(IFERROR(VLOOKUP(B1180,'Gelecek Sprint'!B:B,1,0),"-")=B1180,"Gelecek Sprint","-")</f>
        <v>-</v>
      </c>
      <c r="I1180" t="str">
        <f t="shared" si="34"/>
        <v>Ürün İş Listesi</v>
      </c>
      <c r="J1180">
        <v>3</v>
      </c>
    </row>
    <row r="1181" spans="1:10" x14ac:dyDescent="0.25">
      <c r="A1181" t="s">
        <v>14</v>
      </c>
      <c r="B1181" t="s">
        <v>2596</v>
      </c>
      <c r="C1181" t="s">
        <v>16</v>
      </c>
      <c r="D1181" t="s">
        <v>2597</v>
      </c>
      <c r="E1181" s="5" t="s">
        <v>41</v>
      </c>
      <c r="F1181" s="5" t="e">
        <f>VLOOKUP(B1181,'Türkkep Jira'!B:F,5,0)</f>
        <v>#N/A</v>
      </c>
      <c r="G1181" t="str">
        <f>IF(IFERROR(VLOOKUP(B1181,'Devam Eden Sprint'!B:B,1,0),"-")=B1181,"Devam Eden Sprint","-")</f>
        <v>-</v>
      </c>
      <c r="H1181" t="str">
        <f>IF(IFERROR(VLOOKUP(B1181,'Gelecek Sprint'!B:B,1,0),"-")=B1181,"Gelecek Sprint","-")</f>
        <v>-</v>
      </c>
      <c r="I1181" t="str">
        <f t="shared" si="34"/>
        <v>Ürün İş Listesi</v>
      </c>
      <c r="J1181">
        <v>1</v>
      </c>
    </row>
    <row r="1182" spans="1:10" x14ac:dyDescent="0.25">
      <c r="A1182" t="s">
        <v>14</v>
      </c>
      <c r="B1182" t="s">
        <v>2598</v>
      </c>
      <c r="C1182" t="s">
        <v>16</v>
      </c>
      <c r="D1182" t="s">
        <v>1826</v>
      </c>
      <c r="E1182" s="5" t="s">
        <v>41</v>
      </c>
      <c r="F1182" s="5" t="e">
        <f>VLOOKUP(B1182,'Türkkep Jira'!B:F,5,0)</f>
        <v>#N/A</v>
      </c>
      <c r="G1182" t="str">
        <f>IF(IFERROR(VLOOKUP(B1182,'Devam Eden Sprint'!B:B,1,0),"-")=B1182,"Devam Eden Sprint","-")</f>
        <v>-</v>
      </c>
      <c r="H1182" t="str">
        <f>IF(IFERROR(VLOOKUP(B1182,'Gelecek Sprint'!B:B,1,0),"-")=B1182,"Gelecek Sprint","-")</f>
        <v>-</v>
      </c>
      <c r="I1182" t="str">
        <f t="shared" si="34"/>
        <v>Ürün İş Listesi</v>
      </c>
      <c r="J1182">
        <v>2</v>
      </c>
    </row>
    <row r="1183" spans="1:10" x14ac:dyDescent="0.25">
      <c r="A1183" t="s">
        <v>14</v>
      </c>
      <c r="B1183" t="s">
        <v>2599</v>
      </c>
      <c r="C1183" t="s">
        <v>16</v>
      </c>
      <c r="D1183" t="s">
        <v>2600</v>
      </c>
      <c r="E1183" s="5" t="s">
        <v>41</v>
      </c>
      <c r="F1183" s="5" t="e">
        <f>VLOOKUP(B1183,'Türkkep Jira'!B:F,5,0)</f>
        <v>#N/A</v>
      </c>
      <c r="G1183" t="str">
        <f>IF(IFERROR(VLOOKUP(B1183,'Devam Eden Sprint'!B:B,1,0),"-")=B1183,"Devam Eden Sprint","-")</f>
        <v>-</v>
      </c>
      <c r="H1183" t="str">
        <f>IF(IFERROR(VLOOKUP(B1183,'Gelecek Sprint'!B:B,1,0),"-")=B1183,"Gelecek Sprint","-")</f>
        <v>-</v>
      </c>
      <c r="I1183" t="str">
        <f t="shared" si="34"/>
        <v>Ürün İş Listesi</v>
      </c>
      <c r="J1183">
        <v>2</v>
      </c>
    </row>
    <row r="1184" spans="1:10" x14ac:dyDescent="0.25">
      <c r="A1184" t="s">
        <v>14</v>
      </c>
      <c r="B1184" t="s">
        <v>2568</v>
      </c>
      <c r="C1184" t="s">
        <v>27</v>
      </c>
      <c r="D1184" t="s">
        <v>2569</v>
      </c>
      <c r="E1184" s="5" t="s">
        <v>12</v>
      </c>
      <c r="F1184" s="5" t="str">
        <f>VLOOKUP(B1184,'Türkkep Jira'!B:F,5,0)</f>
        <v>TO TEST</v>
      </c>
      <c r="G1184" t="str">
        <f>IF(IFERROR(VLOOKUP(B1184,'Devam Eden Sprint'!B:B,1,0),"-")=B1184,"Devam Eden Sprint","-")</f>
        <v>Devam Eden Sprint</v>
      </c>
      <c r="H1184" t="str">
        <f>IF(IFERROR(VLOOKUP(B1184,'Gelecek Sprint'!B:B,1,0),"-")=B1184,"Gelecek Sprint","-")</f>
        <v>Gelecek Sprint</v>
      </c>
      <c r="I1184" t="str">
        <f t="shared" si="34"/>
        <v>Devam Eden ve Gelecek Sprint</v>
      </c>
      <c r="J1184">
        <v>5</v>
      </c>
    </row>
    <row r="1185" spans="1:10" x14ac:dyDescent="0.25">
      <c r="A1185" t="s">
        <v>14</v>
      </c>
      <c r="B1185" t="s">
        <v>2570</v>
      </c>
      <c r="C1185" t="s">
        <v>10</v>
      </c>
      <c r="D1185" t="s">
        <v>2571</v>
      </c>
      <c r="E1185" s="5" t="s">
        <v>12</v>
      </c>
      <c r="F1185" s="5" t="e">
        <f>VLOOKUP(B1185,'Türkkep Jira'!B:F,5,0)</f>
        <v>#N/A</v>
      </c>
      <c r="G1185" t="str">
        <f>IF(IFERROR(VLOOKUP(B1185,'Devam Eden Sprint'!B:B,1,0),"-")=B1185,"Devam Eden Sprint","-")</f>
        <v>-</v>
      </c>
      <c r="H1185" t="str">
        <f>IF(IFERROR(VLOOKUP(B1185,'Gelecek Sprint'!B:B,1,0),"-")=B1185,"Gelecek Sprint","-")</f>
        <v>-</v>
      </c>
      <c r="I1185" t="str">
        <f t="shared" si="34"/>
        <v>Ürün İş Listesi</v>
      </c>
      <c r="J1185">
        <v>3</v>
      </c>
    </row>
    <row r="1186" spans="1:10" x14ac:dyDescent="0.25">
      <c r="A1186" t="s">
        <v>14</v>
      </c>
      <c r="B1186" t="s">
        <v>2572</v>
      </c>
      <c r="C1186" t="s">
        <v>10</v>
      </c>
      <c r="D1186" t="s">
        <v>2573</v>
      </c>
      <c r="E1186" s="5" t="s">
        <v>12</v>
      </c>
      <c r="F1186" s="5" t="e">
        <f>VLOOKUP(B1186,'Türkkep Jira'!B:F,5,0)</f>
        <v>#N/A</v>
      </c>
      <c r="G1186" t="str">
        <f>IF(IFERROR(VLOOKUP(B1186,'Devam Eden Sprint'!B:B,1,0),"-")=B1186,"Devam Eden Sprint","-")</f>
        <v>-</v>
      </c>
      <c r="H1186" t="str">
        <f>IF(IFERROR(VLOOKUP(B1186,'Gelecek Sprint'!B:B,1,0),"-")=B1186,"Gelecek Sprint","-")</f>
        <v>-</v>
      </c>
      <c r="I1186" t="str">
        <f t="shared" si="34"/>
        <v>Ürün İş Listesi</v>
      </c>
      <c r="J1186">
        <v>5</v>
      </c>
    </row>
    <row r="1187" spans="1:10" x14ac:dyDescent="0.25">
      <c r="A1187" t="s">
        <v>14</v>
      </c>
      <c r="B1187" t="s">
        <v>2574</v>
      </c>
      <c r="C1187" t="s">
        <v>16</v>
      </c>
      <c r="D1187" t="s">
        <v>2575</v>
      </c>
      <c r="E1187" s="5" t="s">
        <v>12</v>
      </c>
      <c r="F1187" s="5" t="e">
        <f>VLOOKUP(B1187,'Türkkep Jira'!B:F,5,0)</f>
        <v>#N/A</v>
      </c>
      <c r="G1187" t="str">
        <f>IF(IFERROR(VLOOKUP(B1187,'Devam Eden Sprint'!B:B,1,0),"-")=B1187,"Devam Eden Sprint","-")</f>
        <v>-</v>
      </c>
      <c r="H1187" t="str">
        <f>IF(IFERROR(VLOOKUP(B1187,'Gelecek Sprint'!B:B,1,0),"-")=B1187,"Gelecek Sprint","-")</f>
        <v>-</v>
      </c>
      <c r="I1187" t="str">
        <f t="shared" si="34"/>
        <v>Ürün İş Listesi</v>
      </c>
      <c r="J1187">
        <v>3</v>
      </c>
    </row>
    <row r="1188" spans="1:10" x14ac:dyDescent="0.25">
      <c r="A1188" t="s">
        <v>14</v>
      </c>
      <c r="B1188" t="s">
        <v>2576</v>
      </c>
      <c r="C1188" t="s">
        <v>16</v>
      </c>
      <c r="D1188" t="s">
        <v>2577</v>
      </c>
      <c r="E1188" s="5" t="s">
        <v>12</v>
      </c>
      <c r="F1188" s="5" t="e">
        <f>VLOOKUP(B1188,'Türkkep Jira'!B:F,5,0)</f>
        <v>#N/A</v>
      </c>
      <c r="G1188" t="str">
        <f>IF(IFERROR(VLOOKUP(B1188,'Devam Eden Sprint'!B:B,1,0),"-")=B1188,"Devam Eden Sprint","-")</f>
        <v>-</v>
      </c>
      <c r="H1188" t="str">
        <f>IF(IFERROR(VLOOKUP(B1188,'Gelecek Sprint'!B:B,1,0),"-")=B1188,"Gelecek Sprint","-")</f>
        <v>-</v>
      </c>
      <c r="I1188" t="str">
        <f t="shared" si="34"/>
        <v>Ürün İş Listesi</v>
      </c>
      <c r="J1188">
        <v>2</v>
      </c>
    </row>
    <row r="1189" spans="1:10" x14ac:dyDescent="0.25">
      <c r="A1189" t="s">
        <v>14</v>
      </c>
      <c r="B1189" t="s">
        <v>2613</v>
      </c>
      <c r="C1189" t="s">
        <v>16</v>
      </c>
      <c r="D1189" t="s">
        <v>2612</v>
      </c>
      <c r="E1189" s="5" t="s">
        <v>56</v>
      </c>
      <c r="F1189" s="5" t="e">
        <f>VLOOKUP(B1189,'Türkkep Jira'!B:F,5,0)</f>
        <v>#N/A</v>
      </c>
      <c r="G1189" t="str">
        <f>IF(IFERROR(VLOOKUP(B1189,'Devam Eden Sprint'!B:B,1,0),"-")=B1189,"Devam Eden Sprint","-")</f>
        <v>-</v>
      </c>
      <c r="H1189" t="str">
        <f>IF(IFERROR(VLOOKUP(B1189,'Gelecek Sprint'!B:B,1,0),"-")=B1189,"Gelecek Sprint","-")</f>
        <v>-</v>
      </c>
      <c r="I1189" t="str">
        <f t="shared" ref="I1189:I1205" si="35">IFERROR(IF(AND(G1189="Devam Eden Sprint",H1189="Gelecek Sprint"),"Devam Eden ve Gelecek Sprint",IF(G1189="Devam Eden Sprint","Devam Eden Sprint",IF(H1189="Gelecek Sprint","Gelecek Sprint","Ürün İş Listesi"))),"Ürün İş Listesi")</f>
        <v>Ürün İş Listesi</v>
      </c>
      <c r="J1189">
        <v>3</v>
      </c>
    </row>
    <row r="1190" spans="1:10" x14ac:dyDescent="0.25">
      <c r="A1190" t="s">
        <v>14</v>
      </c>
      <c r="B1190" t="s">
        <v>2611</v>
      </c>
      <c r="C1190" t="s">
        <v>16</v>
      </c>
      <c r="D1190" t="s">
        <v>2610</v>
      </c>
      <c r="E1190" s="5" t="s">
        <v>56</v>
      </c>
      <c r="F1190" s="5" t="e">
        <f>VLOOKUP(B1190,'Türkkep Jira'!B:F,5,0)</f>
        <v>#N/A</v>
      </c>
      <c r="G1190" t="str">
        <f>IF(IFERROR(VLOOKUP(B1190,'Devam Eden Sprint'!B:B,1,0),"-")=B1190,"Devam Eden Sprint","-")</f>
        <v>-</v>
      </c>
      <c r="H1190" t="str">
        <f>IF(IFERROR(VLOOKUP(B1190,'Gelecek Sprint'!B:B,1,0),"-")=B1190,"Gelecek Sprint","-")</f>
        <v>-</v>
      </c>
      <c r="I1190" t="str">
        <f t="shared" si="35"/>
        <v>Ürün İş Listesi</v>
      </c>
      <c r="J1190">
        <v>2</v>
      </c>
    </row>
    <row r="1191" spans="1:10" x14ac:dyDescent="0.25">
      <c r="A1191" t="s">
        <v>14</v>
      </c>
      <c r="B1191" t="s">
        <v>2609</v>
      </c>
      <c r="C1191" t="s">
        <v>16</v>
      </c>
      <c r="D1191" t="s">
        <v>2608</v>
      </c>
      <c r="E1191" s="5" t="s">
        <v>56</v>
      </c>
      <c r="F1191" s="5" t="e">
        <f>VLOOKUP(B1191,'Türkkep Jira'!B:F,5,0)</f>
        <v>#N/A</v>
      </c>
      <c r="G1191" t="str">
        <f>IF(IFERROR(VLOOKUP(B1191,'Devam Eden Sprint'!B:B,1,0),"-")=B1191,"Devam Eden Sprint","-")</f>
        <v>-</v>
      </c>
      <c r="H1191" t="str">
        <f>IF(IFERROR(VLOOKUP(B1191,'Gelecek Sprint'!B:B,1,0),"-")=B1191,"Gelecek Sprint","-")</f>
        <v>-</v>
      </c>
      <c r="I1191" t="str">
        <f t="shared" si="35"/>
        <v>Ürün İş Listesi</v>
      </c>
      <c r="J1191">
        <v>2</v>
      </c>
    </row>
    <row r="1192" spans="1:10" x14ac:dyDescent="0.25">
      <c r="A1192" t="s">
        <v>14</v>
      </c>
      <c r="B1192" t="s">
        <v>2607</v>
      </c>
      <c r="C1192" t="s">
        <v>16</v>
      </c>
      <c r="D1192" t="s">
        <v>2606</v>
      </c>
      <c r="E1192" s="5" t="s">
        <v>56</v>
      </c>
      <c r="F1192" s="5" t="e">
        <f>VLOOKUP(B1192,'Türkkep Jira'!B:F,5,0)</f>
        <v>#N/A</v>
      </c>
      <c r="G1192" t="str">
        <f>IF(IFERROR(VLOOKUP(B1192,'Devam Eden Sprint'!B:B,1,0),"-")=B1192,"Devam Eden Sprint","-")</f>
        <v>-</v>
      </c>
      <c r="H1192" t="str">
        <f>IF(IFERROR(VLOOKUP(B1192,'Gelecek Sprint'!B:B,1,0),"-")=B1192,"Gelecek Sprint","-")</f>
        <v>-</v>
      </c>
      <c r="I1192" t="str">
        <f t="shared" si="35"/>
        <v>Ürün İş Listesi</v>
      </c>
      <c r="J1192">
        <v>3</v>
      </c>
    </row>
    <row r="1193" spans="1:10" x14ac:dyDescent="0.25">
      <c r="A1193" t="s">
        <v>14</v>
      </c>
      <c r="B1193" t="s">
        <v>2605</v>
      </c>
      <c r="C1193" t="s">
        <v>16</v>
      </c>
      <c r="D1193" t="s">
        <v>2604</v>
      </c>
      <c r="E1193" s="5" t="s">
        <v>56</v>
      </c>
      <c r="F1193" s="5" t="str">
        <f>VLOOKUP(B1193,'Türkkep Jira'!B:F,5,0)</f>
        <v>Done</v>
      </c>
      <c r="G1193" t="str">
        <f>IF(IFERROR(VLOOKUP(B1193,'Devam Eden Sprint'!B:B,1,0),"-")=B1193,"Devam Eden Sprint","-")</f>
        <v>-</v>
      </c>
      <c r="H1193" t="str">
        <f>IF(IFERROR(VLOOKUP(B1193,'Gelecek Sprint'!B:B,1,0),"-")=B1193,"Gelecek Sprint","-")</f>
        <v>-</v>
      </c>
      <c r="I1193" t="str">
        <f t="shared" si="35"/>
        <v>Ürün İş Listesi</v>
      </c>
      <c r="J1193">
        <v>3</v>
      </c>
    </row>
    <row r="1194" spans="1:10" x14ac:dyDescent="0.25">
      <c r="A1194" t="s">
        <v>77</v>
      </c>
      <c r="B1194" t="s">
        <v>2632</v>
      </c>
      <c r="C1194" t="s">
        <v>16</v>
      </c>
      <c r="D1194" t="s">
        <v>2631</v>
      </c>
      <c r="E1194" s="5" t="s">
        <v>44</v>
      </c>
      <c r="F1194" s="5" t="e">
        <f>VLOOKUP(B1194,'Türkkep Jira'!B:F,5,0)</f>
        <v>#N/A</v>
      </c>
      <c r="G1194" t="str">
        <f>IF(IFERROR(VLOOKUP(B1194,'Devam Eden Sprint'!B:B,1,0),"-")=B1194,"Devam Eden Sprint","-")</f>
        <v>-</v>
      </c>
      <c r="H1194" t="str">
        <f>IF(IFERROR(VLOOKUP(B1194,'Gelecek Sprint'!B:B,1,0),"-")=B1194,"Gelecek Sprint","-")</f>
        <v>-</v>
      </c>
      <c r="I1194" t="str">
        <f t="shared" si="35"/>
        <v>Ürün İş Listesi</v>
      </c>
      <c r="J1194"/>
    </row>
    <row r="1195" spans="1:10" x14ac:dyDescent="0.25">
      <c r="A1195" t="s">
        <v>77</v>
      </c>
      <c r="B1195" t="s">
        <v>2634</v>
      </c>
      <c r="C1195" t="s">
        <v>16</v>
      </c>
      <c r="D1195" t="s">
        <v>2633</v>
      </c>
      <c r="E1195" s="5" t="s">
        <v>44</v>
      </c>
      <c r="F1195" s="5" t="e">
        <f>VLOOKUP(B1195,'Türkkep Jira'!B:F,5,0)</f>
        <v>#N/A</v>
      </c>
      <c r="G1195" t="str">
        <f>IF(IFERROR(VLOOKUP(B1195,'Devam Eden Sprint'!B:B,1,0),"-")=B1195,"Devam Eden Sprint","-")</f>
        <v>-</v>
      </c>
      <c r="H1195" t="str">
        <f>IF(IFERROR(VLOOKUP(B1195,'Gelecek Sprint'!B:B,1,0),"-")=B1195,"Gelecek Sprint","-")</f>
        <v>-</v>
      </c>
      <c r="I1195" t="str">
        <f t="shared" si="35"/>
        <v>Ürün İş Listesi</v>
      </c>
      <c r="J1195">
        <v>5</v>
      </c>
    </row>
    <row r="1196" spans="1:10" x14ac:dyDescent="0.25">
      <c r="A1196" t="s">
        <v>77</v>
      </c>
      <c r="B1196" t="s">
        <v>2628</v>
      </c>
      <c r="C1196" t="s">
        <v>16</v>
      </c>
      <c r="D1196" t="s">
        <v>2627</v>
      </c>
      <c r="E1196" s="5" t="s">
        <v>44</v>
      </c>
      <c r="F1196" s="5" t="e">
        <f>VLOOKUP(B1196,'Türkkep Jira'!B:F,5,0)</f>
        <v>#N/A</v>
      </c>
      <c r="G1196" t="str">
        <f>IF(IFERROR(VLOOKUP(B1196,'Devam Eden Sprint'!B:B,1,0),"-")=B1196,"Devam Eden Sprint","-")</f>
        <v>-</v>
      </c>
      <c r="H1196" t="str">
        <f>IF(IFERROR(VLOOKUP(B1196,'Gelecek Sprint'!B:B,1,0),"-")=B1196,"Gelecek Sprint","-")</f>
        <v>-</v>
      </c>
      <c r="I1196" t="str">
        <f t="shared" si="35"/>
        <v>Ürün İş Listesi</v>
      </c>
      <c r="J1196">
        <v>3</v>
      </c>
    </row>
    <row r="1197" spans="1:10" x14ac:dyDescent="0.25">
      <c r="A1197" t="s">
        <v>77</v>
      </c>
      <c r="B1197" t="s">
        <v>2630</v>
      </c>
      <c r="C1197" t="s">
        <v>16</v>
      </c>
      <c r="D1197" t="s">
        <v>2629</v>
      </c>
      <c r="E1197" s="5" t="s">
        <v>44</v>
      </c>
      <c r="F1197" s="5" t="e">
        <f>VLOOKUP(B1197,'Türkkep Jira'!B:F,5,0)</f>
        <v>#N/A</v>
      </c>
      <c r="G1197" t="str">
        <f>IF(IFERROR(VLOOKUP(B1197,'Devam Eden Sprint'!B:B,1,0),"-")=B1197,"Devam Eden Sprint","-")</f>
        <v>-</v>
      </c>
      <c r="H1197" t="str">
        <f>IF(IFERROR(VLOOKUP(B1197,'Gelecek Sprint'!B:B,1,0),"-")=B1197,"Gelecek Sprint","-")</f>
        <v>-</v>
      </c>
      <c r="I1197" t="str">
        <f t="shared" si="35"/>
        <v>Ürün İş Listesi</v>
      </c>
      <c r="J1197">
        <v>3</v>
      </c>
    </row>
    <row r="1198" spans="1:10" x14ac:dyDescent="0.25">
      <c r="A1198" t="s">
        <v>77</v>
      </c>
      <c r="B1198" t="s">
        <v>2626</v>
      </c>
      <c r="C1198" t="s">
        <v>10</v>
      </c>
      <c r="D1198" t="s">
        <v>2652</v>
      </c>
      <c r="E1198" s="5" t="s">
        <v>44</v>
      </c>
      <c r="F1198" s="5" t="e">
        <f>VLOOKUP(B1198,'Türkkep Jira'!B:F,5,0)</f>
        <v>#N/A</v>
      </c>
      <c r="G1198" t="str">
        <f>IF(IFERROR(VLOOKUP(B1198,'Devam Eden Sprint'!B:B,1,0),"-")=B1198,"Devam Eden Sprint","-")</f>
        <v>-</v>
      </c>
      <c r="H1198" t="str">
        <f>IF(IFERROR(VLOOKUP(B1198,'Gelecek Sprint'!B:B,1,0),"-")=B1198,"Gelecek Sprint","-")</f>
        <v>-</v>
      </c>
      <c r="I1198" t="str">
        <f t="shared" si="35"/>
        <v>Ürün İş Listesi</v>
      </c>
      <c r="J1198">
        <v>3</v>
      </c>
    </row>
    <row r="1199" spans="1:10" x14ac:dyDescent="0.25">
      <c r="A1199" t="s">
        <v>77</v>
      </c>
      <c r="B1199" t="s">
        <v>2621</v>
      </c>
      <c r="C1199" t="s">
        <v>10</v>
      </c>
      <c r="D1199" t="s">
        <v>2620</v>
      </c>
      <c r="E1199" s="5" t="s">
        <v>44</v>
      </c>
      <c r="F1199" s="5" t="e">
        <f>VLOOKUP(B1199,'Türkkep Jira'!B:F,5,0)</f>
        <v>#N/A</v>
      </c>
      <c r="G1199" t="str">
        <f>IF(IFERROR(VLOOKUP(B1199,'Devam Eden Sprint'!B:B,1,0),"-")=B1199,"Devam Eden Sprint","-")</f>
        <v>-</v>
      </c>
      <c r="H1199" t="str">
        <f>IF(IFERROR(VLOOKUP(B1199,'Gelecek Sprint'!B:B,1,0),"-")=B1199,"Gelecek Sprint","-")</f>
        <v>-</v>
      </c>
      <c r="I1199" t="str">
        <f t="shared" si="35"/>
        <v>Ürün İş Listesi</v>
      </c>
      <c r="J1199">
        <v>3</v>
      </c>
    </row>
    <row r="1200" spans="1:10" x14ac:dyDescent="0.25">
      <c r="A1200" t="s">
        <v>77</v>
      </c>
      <c r="B1200" t="s">
        <v>2625</v>
      </c>
      <c r="C1200" t="s">
        <v>16</v>
      </c>
      <c r="D1200" t="s">
        <v>2624</v>
      </c>
      <c r="E1200" s="5" t="s">
        <v>44</v>
      </c>
      <c r="F1200" s="5" t="e">
        <f>VLOOKUP(B1200,'Türkkep Jira'!B:F,5,0)</f>
        <v>#N/A</v>
      </c>
      <c r="G1200" t="str">
        <f>IF(IFERROR(VLOOKUP(B1200,'Devam Eden Sprint'!B:B,1,0),"-")=B1200,"Devam Eden Sprint","-")</f>
        <v>-</v>
      </c>
      <c r="H1200" t="str">
        <f>IF(IFERROR(VLOOKUP(B1200,'Gelecek Sprint'!B:B,1,0),"-")=B1200,"Gelecek Sprint","-")</f>
        <v>-</v>
      </c>
      <c r="I1200" t="str">
        <f t="shared" si="35"/>
        <v>Ürün İş Listesi</v>
      </c>
      <c r="J1200"/>
    </row>
    <row r="1201" spans="1:10" x14ac:dyDescent="0.25">
      <c r="A1201" t="s">
        <v>77</v>
      </c>
      <c r="B1201" t="s">
        <v>2623</v>
      </c>
      <c r="C1201" t="s">
        <v>16</v>
      </c>
      <c r="D1201" t="s">
        <v>2622</v>
      </c>
      <c r="E1201" s="5" t="s">
        <v>44</v>
      </c>
      <c r="F1201" s="5" t="e">
        <f>VLOOKUP(B1201,'Türkkep Jira'!B:F,5,0)</f>
        <v>#N/A</v>
      </c>
      <c r="G1201" t="str">
        <f>IF(IFERROR(VLOOKUP(B1201,'Devam Eden Sprint'!B:B,1,0),"-")=B1201,"Devam Eden Sprint","-")</f>
        <v>-</v>
      </c>
      <c r="H1201" t="str">
        <f>IF(IFERROR(VLOOKUP(B1201,'Gelecek Sprint'!B:B,1,0),"-")=B1201,"Gelecek Sprint","-")</f>
        <v>-</v>
      </c>
      <c r="I1201" t="str">
        <f t="shared" si="35"/>
        <v>Ürün İş Listesi</v>
      </c>
      <c r="J1201">
        <v>1</v>
      </c>
    </row>
    <row r="1202" spans="1:10" x14ac:dyDescent="0.25">
      <c r="A1202" t="s">
        <v>77</v>
      </c>
      <c r="B1202" t="s">
        <v>2618</v>
      </c>
      <c r="C1202" t="s">
        <v>16</v>
      </c>
      <c r="D1202" t="s">
        <v>2617</v>
      </c>
      <c r="E1202" s="5" t="s">
        <v>44</v>
      </c>
      <c r="F1202" s="5" t="e">
        <f>VLOOKUP(B1202,'Türkkep Jira'!B:F,5,0)</f>
        <v>#N/A</v>
      </c>
      <c r="G1202" t="str">
        <f>IF(IFERROR(VLOOKUP(B1202,'Devam Eden Sprint'!B:B,1,0),"-")=B1202,"Devam Eden Sprint","-")</f>
        <v>-</v>
      </c>
      <c r="H1202" t="str">
        <f>IF(IFERROR(VLOOKUP(B1202,'Gelecek Sprint'!B:B,1,0),"-")=B1202,"Gelecek Sprint","-")</f>
        <v>-</v>
      </c>
      <c r="I1202" t="str">
        <f t="shared" si="35"/>
        <v>Ürün İş Listesi</v>
      </c>
      <c r="J1202">
        <v>1</v>
      </c>
    </row>
    <row r="1203" spans="1:10" x14ac:dyDescent="0.25">
      <c r="A1203" t="s">
        <v>14</v>
      </c>
      <c r="B1203" t="s">
        <v>2603</v>
      </c>
      <c r="C1203" t="s">
        <v>16</v>
      </c>
      <c r="D1203" t="s">
        <v>2602</v>
      </c>
      <c r="E1203" s="5" t="s">
        <v>56</v>
      </c>
      <c r="F1203" s="5" t="str">
        <f>VLOOKUP(B1203,'Türkkep Jira'!B:F,5,0)</f>
        <v>Done</v>
      </c>
      <c r="G1203" t="str">
        <f>IF(IFERROR(VLOOKUP(B1203,'Devam Eden Sprint'!B:B,1,0),"-")=B1203,"Devam Eden Sprint","-")</f>
        <v>-</v>
      </c>
      <c r="H1203" t="str">
        <f>IF(IFERROR(VLOOKUP(B1203,'Gelecek Sprint'!B:B,1,0),"-")=B1203,"Gelecek Sprint","-")</f>
        <v>-</v>
      </c>
      <c r="I1203" t="str">
        <f t="shared" si="35"/>
        <v>Ürün İş Listesi</v>
      </c>
      <c r="J1203">
        <v>1</v>
      </c>
    </row>
    <row r="1204" spans="1:10" x14ac:dyDescent="0.25">
      <c r="A1204" t="s">
        <v>14</v>
      </c>
      <c r="B1204" t="s">
        <v>2651</v>
      </c>
      <c r="C1204" t="s">
        <v>16</v>
      </c>
      <c r="D1204" t="s">
        <v>2653</v>
      </c>
      <c r="E1204" s="5" t="s">
        <v>44</v>
      </c>
      <c r="F1204" s="5" t="e">
        <f>VLOOKUP(B1204,'Türkkep Jira'!B:F,5,0)</f>
        <v>#N/A</v>
      </c>
      <c r="G1204" t="str">
        <f>IF(IFERROR(VLOOKUP(B1204,'Devam Eden Sprint'!B:B,1,0),"-")=B1204,"Devam Eden Sprint","-")</f>
        <v>-</v>
      </c>
      <c r="H1204" t="str">
        <f>IF(IFERROR(VLOOKUP(B1204,'Gelecek Sprint'!B:B,1,0),"-")=B1204,"Gelecek Sprint","-")</f>
        <v>-</v>
      </c>
      <c r="I1204" t="str">
        <f t="shared" si="35"/>
        <v>Ürün İş Listesi</v>
      </c>
      <c r="J1204">
        <v>3</v>
      </c>
    </row>
    <row r="1205" spans="1:10" x14ac:dyDescent="0.25">
      <c r="A1205" t="s">
        <v>14</v>
      </c>
      <c r="B1205" t="s">
        <v>2651</v>
      </c>
      <c r="C1205" t="s">
        <v>16</v>
      </c>
      <c r="D1205" t="s">
        <v>2654</v>
      </c>
      <c r="E1205" s="5" t="s">
        <v>44</v>
      </c>
      <c r="F1205" s="5" t="e">
        <f>VLOOKUP(B1205,'Türkkep Jira'!B:F,5,0)</f>
        <v>#N/A</v>
      </c>
      <c r="G1205" t="str">
        <f>IF(IFERROR(VLOOKUP(B1205,'Devam Eden Sprint'!B:B,1,0),"-")=B1205,"Devam Eden Sprint","-")</f>
        <v>-</v>
      </c>
      <c r="H1205" t="str">
        <f>IF(IFERROR(VLOOKUP(B1205,'Gelecek Sprint'!B:B,1,0),"-")=B1205,"Gelecek Sprint","-")</f>
        <v>-</v>
      </c>
      <c r="I1205" t="str">
        <f t="shared" si="35"/>
        <v>Ürün İş Listesi</v>
      </c>
      <c r="J1205">
        <v>5</v>
      </c>
    </row>
    <row r="1206" spans="1:10" x14ac:dyDescent="0.25">
      <c r="A1206" t="s">
        <v>14</v>
      </c>
      <c r="B1206" t="s">
        <v>2657</v>
      </c>
      <c r="C1206" t="s">
        <v>16</v>
      </c>
      <c r="D1206" t="s">
        <v>2654</v>
      </c>
      <c r="E1206" s="5" t="s">
        <v>44</v>
      </c>
      <c r="F1206" s="5" t="e">
        <f>VLOOKUP(B1206,'Türkkep Jira'!B:F,5,0)</f>
        <v>#N/A</v>
      </c>
      <c r="G1206" t="str">
        <f>IF(IFERROR(VLOOKUP(B1206,'Devam Eden Sprint'!B:B,1,0),"-")=B1206,"Devam Eden Sprint","-")</f>
        <v>-</v>
      </c>
      <c r="H1206" t="str">
        <f>IF(IFERROR(VLOOKUP(B1206,'Gelecek Sprint'!B:B,1,0),"-")=B1206,"Gelecek Sprint","-")</f>
        <v>-</v>
      </c>
      <c r="I1206" t="str">
        <f t="shared" ref="I1206:I1247" si="36">IFERROR(IF(AND(G1206="Devam Eden Sprint",H1206="Gelecek Sprint"),"Devam Eden ve Gelecek Sprint",IF(G1206="Devam Eden Sprint","Devam Eden Sprint",IF(H1206="Gelecek Sprint","Gelecek Sprint","Ürün İş Listesi"))),"Ürün İş Listesi")</f>
        <v>Ürün İş Listesi</v>
      </c>
      <c r="J1206">
        <v>5</v>
      </c>
    </row>
    <row r="1207" spans="1:10" x14ac:dyDescent="0.25">
      <c r="A1207" t="s">
        <v>14</v>
      </c>
      <c r="B1207" t="s">
        <v>2658</v>
      </c>
      <c r="C1207" t="s">
        <v>16</v>
      </c>
      <c r="D1207" t="s">
        <v>2667</v>
      </c>
      <c r="E1207" s="5" t="s">
        <v>50</v>
      </c>
      <c r="F1207" s="5" t="e">
        <f>VLOOKUP(B1207,'Türkkep Jira'!B:F,5,0)</f>
        <v>#N/A</v>
      </c>
      <c r="G1207" t="str">
        <f>IF(IFERROR(VLOOKUP(B1207,'Devam Eden Sprint'!B:B,1,0),"-")=B1207,"Devam Eden Sprint","-")</f>
        <v>-</v>
      </c>
      <c r="H1207" t="str">
        <f>IF(IFERROR(VLOOKUP(B1207,'Gelecek Sprint'!B:B,1,0),"-")=B1207,"Gelecek Sprint","-")</f>
        <v>-</v>
      </c>
      <c r="I1207" t="str">
        <f t="shared" si="36"/>
        <v>Ürün İş Listesi</v>
      </c>
      <c r="J1207">
        <v>3</v>
      </c>
    </row>
    <row r="1208" spans="1:10" x14ac:dyDescent="0.25">
      <c r="A1208" t="s">
        <v>77</v>
      </c>
      <c r="B1208" t="s">
        <v>2616</v>
      </c>
      <c r="C1208" t="s">
        <v>16</v>
      </c>
      <c r="D1208" t="s">
        <v>2615</v>
      </c>
      <c r="E1208" s="5" t="s">
        <v>50</v>
      </c>
      <c r="F1208" s="5" t="e">
        <f>VLOOKUP(B1208,'Türkkep Jira'!B:F,5,0)</f>
        <v>#N/A</v>
      </c>
      <c r="G1208" t="str">
        <f>IF(IFERROR(VLOOKUP(B1208,'Devam Eden Sprint'!B:B,1,0),"-")=B1208,"Devam Eden Sprint","-")</f>
        <v>-</v>
      </c>
      <c r="H1208" t="str">
        <f>IF(IFERROR(VLOOKUP(B1208,'Gelecek Sprint'!B:B,1,0),"-")=B1208,"Gelecek Sprint","-")</f>
        <v>-</v>
      </c>
      <c r="I1208" t="str">
        <f t="shared" si="36"/>
        <v>Ürün İş Listesi</v>
      </c>
      <c r="J1208"/>
    </row>
    <row r="1209" spans="1:10" x14ac:dyDescent="0.25">
      <c r="A1209" t="s">
        <v>77</v>
      </c>
      <c r="B1209" t="s">
        <v>2659</v>
      </c>
      <c r="C1209" t="s">
        <v>16</v>
      </c>
      <c r="D1209" t="s">
        <v>2668</v>
      </c>
      <c r="E1209" s="5" t="s">
        <v>50</v>
      </c>
      <c r="F1209" s="5" t="e">
        <f>VLOOKUP(B1209,'Türkkep Jira'!B:F,5,0)</f>
        <v>#N/A</v>
      </c>
      <c r="G1209" t="str">
        <f>IF(IFERROR(VLOOKUP(B1209,'Devam Eden Sprint'!B:B,1,0),"-")=B1209,"Devam Eden Sprint","-")</f>
        <v>-</v>
      </c>
      <c r="H1209" t="str">
        <f>IF(IFERROR(VLOOKUP(B1209,'Gelecek Sprint'!B:B,1,0),"-")=B1209,"Gelecek Sprint","-")</f>
        <v>-</v>
      </c>
      <c r="I1209" t="str">
        <f t="shared" si="36"/>
        <v>Ürün İş Listesi</v>
      </c>
      <c r="J1209">
        <v>1</v>
      </c>
    </row>
    <row r="1210" spans="1:10" x14ac:dyDescent="0.25">
      <c r="A1210" t="s">
        <v>14</v>
      </c>
      <c r="B1210" t="s">
        <v>2655</v>
      </c>
      <c r="C1210" t="s">
        <v>16</v>
      </c>
      <c r="D1210" t="s">
        <v>2656</v>
      </c>
      <c r="E1210" s="5" t="s">
        <v>56</v>
      </c>
      <c r="F1210" s="5" t="str">
        <f>VLOOKUP(B1210,'Türkkep Jira'!B:F,5,0)</f>
        <v>Done</v>
      </c>
      <c r="G1210" t="str">
        <f>IF(IFERROR(VLOOKUP(B1210,'Devam Eden Sprint'!B:B,1,0),"-")=B1210,"Devam Eden Sprint","-")</f>
        <v>-</v>
      </c>
      <c r="H1210" t="str">
        <f>IF(IFERROR(VLOOKUP(B1210,'Gelecek Sprint'!B:B,1,0),"-")=B1210,"Gelecek Sprint","-")</f>
        <v>-</v>
      </c>
      <c r="I1210" t="str">
        <f t="shared" si="36"/>
        <v>Ürün İş Listesi</v>
      </c>
      <c r="J1210">
        <v>5</v>
      </c>
    </row>
    <row r="1211" spans="1:10" x14ac:dyDescent="0.25">
      <c r="A1211" t="s">
        <v>14</v>
      </c>
      <c r="B1211" t="s">
        <v>2660</v>
      </c>
      <c r="C1211" t="s">
        <v>16</v>
      </c>
      <c r="D1211" t="s">
        <v>2669</v>
      </c>
      <c r="E1211" s="5" t="s">
        <v>56</v>
      </c>
      <c r="F1211" s="5" t="str">
        <f>VLOOKUP(B1211,'Türkkep Jira'!B:F,5,0)</f>
        <v>Done</v>
      </c>
      <c r="G1211" t="str">
        <f>IF(IFERROR(VLOOKUP(B1211,'Devam Eden Sprint'!B:B,1,0),"-")=B1211,"Devam Eden Sprint","-")</f>
        <v>-</v>
      </c>
      <c r="H1211" t="str">
        <f>IF(IFERROR(VLOOKUP(B1211,'Gelecek Sprint'!B:B,1,0),"-")=B1211,"Gelecek Sprint","-")</f>
        <v>-</v>
      </c>
      <c r="I1211" t="str">
        <f t="shared" si="36"/>
        <v>Ürün İş Listesi</v>
      </c>
      <c r="J1211">
        <v>1</v>
      </c>
    </row>
    <row r="1212" spans="1:10" x14ac:dyDescent="0.25">
      <c r="A1212" t="s">
        <v>14</v>
      </c>
      <c r="B1212" t="s">
        <v>2661</v>
      </c>
      <c r="C1212" t="s">
        <v>16</v>
      </c>
      <c r="D1212" t="s">
        <v>2670</v>
      </c>
      <c r="E1212" s="5" t="s">
        <v>56</v>
      </c>
      <c r="F1212" s="5" t="str">
        <f>VLOOKUP(B1212,'Türkkep Jira'!B:F,5,0)</f>
        <v>Done</v>
      </c>
      <c r="G1212" t="str">
        <f>IF(IFERROR(VLOOKUP(B1212,'Devam Eden Sprint'!B:B,1,0),"-")=B1212,"Devam Eden Sprint","-")</f>
        <v>-</v>
      </c>
      <c r="H1212" t="str">
        <f>IF(IFERROR(VLOOKUP(B1212,'Gelecek Sprint'!B:B,1,0),"-")=B1212,"Gelecek Sprint","-")</f>
        <v>-</v>
      </c>
      <c r="I1212" t="str">
        <f t="shared" si="36"/>
        <v>Ürün İş Listesi</v>
      </c>
      <c r="J1212">
        <v>1</v>
      </c>
    </row>
    <row r="1213" spans="1:10" x14ac:dyDescent="0.25">
      <c r="A1213" t="s">
        <v>77</v>
      </c>
      <c r="B1213" t="s">
        <v>2662</v>
      </c>
      <c r="C1213" t="s">
        <v>16</v>
      </c>
      <c r="D1213" t="s">
        <v>2671</v>
      </c>
      <c r="E1213" s="5" t="s">
        <v>59</v>
      </c>
      <c r="F1213" s="5" t="e">
        <f>VLOOKUP(B1213,'Türkkep Jira'!B:F,5,0)</f>
        <v>#N/A</v>
      </c>
      <c r="G1213" t="str">
        <f>IF(IFERROR(VLOOKUP(B1213,'Devam Eden Sprint'!B:B,1,0),"-")=B1213,"Devam Eden Sprint","-")</f>
        <v>-</v>
      </c>
      <c r="H1213" t="str">
        <f>IF(IFERROR(VLOOKUP(B1213,'Gelecek Sprint'!B:B,1,0),"-")=B1213,"Gelecek Sprint","-")</f>
        <v>-</v>
      </c>
      <c r="I1213" t="str">
        <f t="shared" si="36"/>
        <v>Ürün İş Listesi</v>
      </c>
      <c r="J1213">
        <v>3</v>
      </c>
    </row>
    <row r="1214" spans="1:10" x14ac:dyDescent="0.25">
      <c r="A1214" t="s">
        <v>77</v>
      </c>
      <c r="B1214" t="s">
        <v>2663</v>
      </c>
      <c r="C1214" t="s">
        <v>10</v>
      </c>
      <c r="D1214" t="s">
        <v>2672</v>
      </c>
      <c r="E1214" s="5" t="s">
        <v>59</v>
      </c>
      <c r="F1214" s="5" t="e">
        <f>VLOOKUP(B1214,'Türkkep Jira'!B:F,5,0)</f>
        <v>#N/A</v>
      </c>
      <c r="G1214" t="str">
        <f>IF(IFERROR(VLOOKUP(B1214,'Devam Eden Sprint'!B:B,1,0),"-")=B1214,"Devam Eden Sprint","-")</f>
        <v>-</v>
      </c>
      <c r="H1214" t="str">
        <f>IF(IFERROR(VLOOKUP(B1214,'Gelecek Sprint'!B:B,1,0),"-")=B1214,"Gelecek Sprint","-")</f>
        <v>-</v>
      </c>
      <c r="I1214" t="str">
        <f t="shared" si="36"/>
        <v>Ürün İş Listesi</v>
      </c>
      <c r="J1214">
        <v>3</v>
      </c>
    </row>
    <row r="1215" spans="1:10" x14ac:dyDescent="0.25">
      <c r="A1215" t="s">
        <v>14</v>
      </c>
      <c r="B1215" t="s">
        <v>2664</v>
      </c>
      <c r="C1215" t="s">
        <v>16</v>
      </c>
      <c r="D1215" t="s">
        <v>2673</v>
      </c>
      <c r="E1215" s="5" t="s">
        <v>59</v>
      </c>
      <c r="F1215" s="5" t="e">
        <f>VLOOKUP(B1215,'Türkkep Jira'!B:F,5,0)</f>
        <v>#N/A</v>
      </c>
      <c r="G1215" t="str">
        <f>IF(IFERROR(VLOOKUP(B1215,'Devam Eden Sprint'!B:B,1,0),"-")=B1215,"Devam Eden Sprint","-")</f>
        <v>-</v>
      </c>
      <c r="H1215" t="str">
        <f>IF(IFERROR(VLOOKUP(B1215,'Gelecek Sprint'!B:B,1,0),"-")=B1215,"Gelecek Sprint","-")</f>
        <v>-</v>
      </c>
      <c r="I1215" t="str">
        <f t="shared" si="36"/>
        <v>Ürün İş Listesi</v>
      </c>
      <c r="J1215">
        <v>3</v>
      </c>
    </row>
    <row r="1216" spans="1:10" x14ac:dyDescent="0.25">
      <c r="A1216" t="s">
        <v>77</v>
      </c>
      <c r="B1216" t="s">
        <v>2665</v>
      </c>
      <c r="C1216" t="s">
        <v>10</v>
      </c>
      <c r="D1216" t="s">
        <v>2674</v>
      </c>
      <c r="E1216" s="5" t="s">
        <v>44</v>
      </c>
      <c r="F1216" s="5" t="e">
        <f>VLOOKUP(B1216,'Türkkep Jira'!B:F,5,0)</f>
        <v>#N/A</v>
      </c>
      <c r="G1216" t="str">
        <f>IF(IFERROR(VLOOKUP(B1216,'Devam Eden Sprint'!B:B,1,0),"-")=B1216,"Devam Eden Sprint","-")</f>
        <v>-</v>
      </c>
      <c r="H1216" t="str">
        <f>IF(IFERROR(VLOOKUP(B1216,'Gelecek Sprint'!B:B,1,0),"-")=B1216,"Gelecek Sprint","-")</f>
        <v>-</v>
      </c>
      <c r="I1216" t="str">
        <f t="shared" si="36"/>
        <v>Ürün İş Listesi</v>
      </c>
      <c r="J1216">
        <v>2</v>
      </c>
    </row>
    <row r="1217" spans="1:10" x14ac:dyDescent="0.25">
      <c r="A1217" t="s">
        <v>77</v>
      </c>
      <c r="B1217" t="s">
        <v>2666</v>
      </c>
      <c r="C1217" t="s">
        <v>16</v>
      </c>
      <c r="D1217" t="s">
        <v>2675</v>
      </c>
      <c r="E1217" s="5" t="s">
        <v>59</v>
      </c>
      <c r="F1217" s="5" t="e">
        <f>VLOOKUP(B1217,'Türkkep Jira'!B:F,5,0)</f>
        <v>#N/A</v>
      </c>
      <c r="G1217" t="str">
        <f>IF(IFERROR(VLOOKUP(B1217,'Devam Eden Sprint'!B:B,1,0),"-")=B1217,"Devam Eden Sprint","-")</f>
        <v>-</v>
      </c>
      <c r="H1217" t="str">
        <f>IF(IFERROR(VLOOKUP(B1217,'Gelecek Sprint'!B:B,1,0),"-")=B1217,"Gelecek Sprint","-")</f>
        <v>-</v>
      </c>
      <c r="I1217" t="str">
        <f t="shared" si="36"/>
        <v>Ürün İş Listesi</v>
      </c>
      <c r="J1217"/>
    </row>
    <row r="1218" spans="1:10" x14ac:dyDescent="0.25">
      <c r="A1218" t="s">
        <v>14</v>
      </c>
      <c r="B1218" t="s">
        <v>2686</v>
      </c>
      <c r="C1218" t="s">
        <v>16</v>
      </c>
      <c r="D1218" t="s">
        <v>2687</v>
      </c>
      <c r="E1218" s="5" t="s">
        <v>12</v>
      </c>
      <c r="F1218" s="5" t="str">
        <f>VLOOKUP(B1218,'Türkkep Jira'!B:F,5,0)</f>
        <v>Done</v>
      </c>
      <c r="G1218" t="str">
        <f>IF(IFERROR(VLOOKUP(B1218,'Devam Eden Sprint'!B:B,1,0),"-")=B1218,"Devam Eden Sprint","-")</f>
        <v>-</v>
      </c>
      <c r="H1218" t="str">
        <f>IF(IFERROR(VLOOKUP(B1218,'Gelecek Sprint'!B:B,1,0),"-")=B1218,"Gelecek Sprint","-")</f>
        <v>-</v>
      </c>
      <c r="I1218" t="str">
        <f t="shared" si="36"/>
        <v>Ürün İş Listesi</v>
      </c>
      <c r="J1218">
        <v>2</v>
      </c>
    </row>
    <row r="1219" spans="1:10" x14ac:dyDescent="0.25">
      <c r="A1219" t="s">
        <v>14</v>
      </c>
      <c r="B1219" t="s">
        <v>2725</v>
      </c>
      <c r="C1219" t="s">
        <v>16</v>
      </c>
      <c r="D1219" t="s">
        <v>2724</v>
      </c>
      <c r="E1219" s="5" t="s">
        <v>38</v>
      </c>
      <c r="F1219" s="5" t="e">
        <f>VLOOKUP(B1219,'Türkkep Jira'!B:F,5,0)</f>
        <v>#N/A</v>
      </c>
      <c r="G1219" t="str">
        <f>IF(IFERROR(VLOOKUP(B1219,'Devam Eden Sprint'!B:B,1,0),"-")=B1219,"Devam Eden Sprint","-")</f>
        <v>-</v>
      </c>
      <c r="H1219" t="str">
        <f>IF(IFERROR(VLOOKUP(B1219,'Gelecek Sprint'!B:B,1,0),"-")=B1219,"Gelecek Sprint","-")</f>
        <v>-</v>
      </c>
      <c r="I1219" t="str">
        <f t="shared" si="36"/>
        <v>Ürün İş Listesi</v>
      </c>
      <c r="J1219">
        <v>3</v>
      </c>
    </row>
    <row r="1220" spans="1:10" x14ac:dyDescent="0.25">
      <c r="A1220" t="s">
        <v>14</v>
      </c>
      <c r="B1220" t="s">
        <v>2720</v>
      </c>
      <c r="C1220" t="s">
        <v>27</v>
      </c>
      <c r="D1220" t="s">
        <v>2719</v>
      </c>
      <c r="E1220" s="5" t="s">
        <v>38</v>
      </c>
      <c r="F1220" s="5" t="str">
        <f>VLOOKUP(B1220,'Türkkep Jira'!B:F,5,0)</f>
        <v>TO TEST</v>
      </c>
      <c r="G1220" t="str">
        <f>IF(IFERROR(VLOOKUP(B1220,'Devam Eden Sprint'!B:B,1,0),"-")=B1220,"Devam Eden Sprint","-")</f>
        <v>Devam Eden Sprint</v>
      </c>
      <c r="H1220" t="str">
        <f>IF(IFERROR(VLOOKUP(B1220,'Gelecek Sprint'!B:B,1,0),"-")=B1220,"Gelecek Sprint","-")</f>
        <v>Gelecek Sprint</v>
      </c>
      <c r="I1220" t="str">
        <f t="shared" si="36"/>
        <v>Devam Eden ve Gelecek Sprint</v>
      </c>
      <c r="J1220">
        <v>3</v>
      </c>
    </row>
    <row r="1221" spans="1:10" x14ac:dyDescent="0.25">
      <c r="A1221" t="s">
        <v>77</v>
      </c>
      <c r="B1221" t="s">
        <v>2702</v>
      </c>
      <c r="C1221" t="s">
        <v>16</v>
      </c>
      <c r="D1221" t="s">
        <v>2701</v>
      </c>
      <c r="E1221" s="5" t="s">
        <v>53</v>
      </c>
      <c r="F1221" s="5" t="e">
        <f>VLOOKUP(B1221,'Türkkep Jira'!B:F,5,0)</f>
        <v>#N/A</v>
      </c>
      <c r="G1221" t="str">
        <f>IF(IFERROR(VLOOKUP(B1221,'Devam Eden Sprint'!B:B,1,0),"-")=B1221,"Devam Eden Sprint","-")</f>
        <v>-</v>
      </c>
      <c r="H1221" t="str">
        <f>IF(IFERROR(VLOOKUP(B1221,'Gelecek Sprint'!B:B,1,0),"-")=B1221,"Gelecek Sprint","-")</f>
        <v>-</v>
      </c>
      <c r="I1221" t="str">
        <f t="shared" si="36"/>
        <v>Ürün İş Listesi</v>
      </c>
      <c r="J1221">
        <v>1</v>
      </c>
    </row>
    <row r="1222" spans="1:10" x14ac:dyDescent="0.25">
      <c r="A1222" t="s">
        <v>77</v>
      </c>
      <c r="B1222" t="s">
        <v>2700</v>
      </c>
      <c r="C1222" t="s">
        <v>16</v>
      </c>
      <c r="D1222" t="s">
        <v>2699</v>
      </c>
      <c r="E1222" s="5" t="s">
        <v>53</v>
      </c>
      <c r="F1222" s="5" t="e">
        <f>VLOOKUP(B1222,'Türkkep Jira'!B:F,5,0)</f>
        <v>#N/A</v>
      </c>
      <c r="G1222" t="str">
        <f>IF(IFERROR(VLOOKUP(B1222,'Devam Eden Sprint'!B:B,1,0),"-")=B1222,"Devam Eden Sprint","-")</f>
        <v>-</v>
      </c>
      <c r="H1222" t="str">
        <f>IF(IFERROR(VLOOKUP(B1222,'Gelecek Sprint'!B:B,1,0),"-")=B1222,"Gelecek Sprint","-")</f>
        <v>-</v>
      </c>
      <c r="I1222" t="str">
        <f t="shared" si="36"/>
        <v>Ürün İş Listesi</v>
      </c>
      <c r="J1222">
        <v>1</v>
      </c>
    </row>
    <row r="1223" spans="1:10" x14ac:dyDescent="0.25">
      <c r="A1223" t="s">
        <v>77</v>
      </c>
      <c r="B1223" t="s">
        <v>2733</v>
      </c>
      <c r="C1223" t="s">
        <v>10</v>
      </c>
      <c r="D1223" t="s">
        <v>2734</v>
      </c>
      <c r="E1223" s="5" t="s">
        <v>53</v>
      </c>
      <c r="F1223" s="5" t="e">
        <f>VLOOKUP(B1223,'Türkkep Jira'!B:F,5,0)</f>
        <v>#N/A</v>
      </c>
      <c r="G1223" t="str">
        <f>IF(IFERROR(VLOOKUP(B1223,'Devam Eden Sprint'!B:B,1,0),"-")=B1223,"Devam Eden Sprint","-")</f>
        <v>-</v>
      </c>
      <c r="H1223" t="str">
        <f>IF(IFERROR(VLOOKUP(B1223,'Gelecek Sprint'!B:B,1,0),"-")=B1223,"Gelecek Sprint","-")</f>
        <v>-</v>
      </c>
      <c r="I1223" t="str">
        <f t="shared" si="36"/>
        <v>Ürün İş Listesi</v>
      </c>
      <c r="J1223">
        <v>1</v>
      </c>
    </row>
    <row r="1224" spans="1:10" x14ac:dyDescent="0.25">
      <c r="A1224" t="s">
        <v>14</v>
      </c>
      <c r="B1224" t="s">
        <v>2735</v>
      </c>
      <c r="C1224" t="s">
        <v>27</v>
      </c>
      <c r="D1224" t="s">
        <v>2736</v>
      </c>
      <c r="E1224" s="5" t="s">
        <v>53</v>
      </c>
      <c r="F1224" s="5" t="str">
        <f>VLOOKUP(B1224,'Türkkep Jira'!B:F,5,0)</f>
        <v>TO TEST</v>
      </c>
      <c r="G1224" t="str">
        <f>IF(IFERROR(VLOOKUP(B1224,'Devam Eden Sprint'!B:B,1,0),"-")=B1224,"Devam Eden Sprint","-")</f>
        <v>Devam Eden Sprint</v>
      </c>
      <c r="H1224" t="str">
        <f>IF(IFERROR(VLOOKUP(B1224,'Gelecek Sprint'!B:B,1,0),"-")=B1224,"Gelecek Sprint","-")</f>
        <v>-</v>
      </c>
      <c r="I1224" t="str">
        <f t="shared" si="36"/>
        <v>Devam Eden Sprint</v>
      </c>
      <c r="J1224">
        <v>3</v>
      </c>
    </row>
    <row r="1225" spans="1:10" x14ac:dyDescent="0.25">
      <c r="A1225" t="s">
        <v>14</v>
      </c>
      <c r="B1225" t="s">
        <v>2737</v>
      </c>
      <c r="C1225" t="s">
        <v>16</v>
      </c>
      <c r="D1225" t="s">
        <v>2738</v>
      </c>
      <c r="E1225" s="5" t="s">
        <v>127</v>
      </c>
      <c r="F1225" s="5" t="str">
        <f>VLOOKUP(B1225,'Türkkep Jira'!B:F,5,0)</f>
        <v>Done</v>
      </c>
      <c r="G1225" t="str">
        <f>IF(IFERROR(VLOOKUP(B1225,'Devam Eden Sprint'!B:B,1,0),"-")=B1225,"Devam Eden Sprint","-")</f>
        <v>-</v>
      </c>
      <c r="H1225" t="str">
        <f>IF(IFERROR(VLOOKUP(B1225,'Gelecek Sprint'!B:B,1,0),"-")=B1225,"Gelecek Sprint","-")</f>
        <v>-</v>
      </c>
      <c r="I1225" t="str">
        <f t="shared" si="36"/>
        <v>Ürün İş Listesi</v>
      </c>
      <c r="J1225">
        <v>5</v>
      </c>
    </row>
    <row r="1226" spans="1:10" x14ac:dyDescent="0.25">
      <c r="A1226" t="s">
        <v>77</v>
      </c>
      <c r="B1226" t="s">
        <v>2676</v>
      </c>
      <c r="C1226" t="s">
        <v>10</v>
      </c>
      <c r="D1226" t="s">
        <v>2681</v>
      </c>
      <c r="E1226" s="5" t="s">
        <v>44</v>
      </c>
      <c r="F1226" s="5" t="e">
        <f>VLOOKUP(B1226,'Türkkep Jira'!B:F,5,0)</f>
        <v>#N/A</v>
      </c>
      <c r="G1226" t="str">
        <f>IF(IFERROR(VLOOKUP(B1226,'Devam Eden Sprint'!B:B,1,0),"-")=B1226,"Devam Eden Sprint","-")</f>
        <v>-</v>
      </c>
      <c r="H1226" t="str">
        <f>IF(IFERROR(VLOOKUP(B1226,'Gelecek Sprint'!B:B,1,0),"-")=B1226,"Gelecek Sprint","-")</f>
        <v>-</v>
      </c>
      <c r="I1226" t="str">
        <f t="shared" si="36"/>
        <v>Ürün İş Listesi</v>
      </c>
      <c r="J1226">
        <v>5</v>
      </c>
    </row>
    <row r="1227" spans="1:10" x14ac:dyDescent="0.25">
      <c r="A1227" t="s">
        <v>77</v>
      </c>
      <c r="B1227" t="s">
        <v>2677</v>
      </c>
      <c r="C1227" t="s">
        <v>10</v>
      </c>
      <c r="D1227" t="s">
        <v>2682</v>
      </c>
      <c r="E1227" s="5" t="s">
        <v>44</v>
      </c>
      <c r="F1227" s="5" t="e">
        <f>VLOOKUP(B1227,'Türkkep Jira'!B:F,5,0)</f>
        <v>#N/A</v>
      </c>
      <c r="G1227" t="str">
        <f>IF(IFERROR(VLOOKUP(B1227,'Devam Eden Sprint'!B:B,1,0),"-")=B1227,"Devam Eden Sprint","-")</f>
        <v>-</v>
      </c>
      <c r="H1227" t="str">
        <f>IF(IFERROR(VLOOKUP(B1227,'Gelecek Sprint'!B:B,1,0),"-")=B1227,"Gelecek Sprint","-")</f>
        <v>-</v>
      </c>
      <c r="I1227" t="str">
        <f t="shared" si="36"/>
        <v>Ürün İş Listesi</v>
      </c>
      <c r="J1227">
        <v>5</v>
      </c>
    </row>
    <row r="1228" spans="1:10" x14ac:dyDescent="0.25">
      <c r="A1228" t="s">
        <v>77</v>
      </c>
      <c r="B1228" t="s">
        <v>2678</v>
      </c>
      <c r="C1228" t="s">
        <v>10</v>
      </c>
      <c r="D1228" t="s">
        <v>2683</v>
      </c>
      <c r="E1228" s="5" t="s">
        <v>44</v>
      </c>
      <c r="F1228" s="5" t="e">
        <f>VLOOKUP(B1228,'Türkkep Jira'!B:F,5,0)</f>
        <v>#N/A</v>
      </c>
      <c r="G1228" t="str">
        <f>IF(IFERROR(VLOOKUP(B1228,'Devam Eden Sprint'!B:B,1,0),"-")=B1228,"Devam Eden Sprint","-")</f>
        <v>-</v>
      </c>
      <c r="H1228" t="str">
        <f>IF(IFERROR(VLOOKUP(B1228,'Gelecek Sprint'!B:B,1,0),"-")=B1228,"Gelecek Sprint","-")</f>
        <v>-</v>
      </c>
      <c r="I1228" t="str">
        <f t="shared" si="36"/>
        <v>Ürün İş Listesi</v>
      </c>
      <c r="J1228">
        <v>5</v>
      </c>
    </row>
    <row r="1229" spans="1:10" x14ac:dyDescent="0.25">
      <c r="A1229" t="s">
        <v>14</v>
      </c>
      <c r="B1229" t="s">
        <v>2679</v>
      </c>
      <c r="C1229" t="s">
        <v>10</v>
      </c>
      <c r="D1229" t="s">
        <v>2684</v>
      </c>
      <c r="E1229" s="5" t="s">
        <v>44</v>
      </c>
      <c r="F1229" s="5" t="e">
        <f>VLOOKUP(B1229,'Türkkep Jira'!B:F,5,0)</f>
        <v>#N/A</v>
      </c>
      <c r="G1229" t="str">
        <f>IF(IFERROR(VLOOKUP(B1229,'Devam Eden Sprint'!B:B,1,0),"-")=B1229,"Devam Eden Sprint","-")</f>
        <v>Devam Eden Sprint</v>
      </c>
      <c r="H1229" t="str">
        <f>IF(IFERROR(VLOOKUP(B1229,'Gelecek Sprint'!B:B,1,0),"-")=B1229,"Gelecek Sprint","-")</f>
        <v>-</v>
      </c>
      <c r="I1229" t="str">
        <f t="shared" si="36"/>
        <v>Devam Eden Sprint</v>
      </c>
      <c r="J1229"/>
    </row>
    <row r="1230" spans="1:10" x14ac:dyDescent="0.25">
      <c r="A1230" t="s">
        <v>14</v>
      </c>
      <c r="B1230" t="s">
        <v>2680</v>
      </c>
      <c r="C1230" t="s">
        <v>26</v>
      </c>
      <c r="D1230" t="s">
        <v>2685</v>
      </c>
      <c r="E1230" s="5" t="s">
        <v>50</v>
      </c>
      <c r="F1230" s="5" t="str">
        <f>VLOOKUP(B1230,'Türkkep Jira'!B:F,5,0)</f>
        <v>Development</v>
      </c>
      <c r="G1230" t="str">
        <f>IF(IFERROR(VLOOKUP(B1230,'Devam Eden Sprint'!B:B,1,0),"-")=B1230,"Devam Eden Sprint","-")</f>
        <v>Devam Eden Sprint</v>
      </c>
      <c r="H1230" t="str">
        <f>IF(IFERROR(VLOOKUP(B1230,'Gelecek Sprint'!B:B,1,0),"-")=B1230,"Gelecek Sprint","-")</f>
        <v>Gelecek Sprint</v>
      </c>
      <c r="I1230" t="str">
        <f t="shared" si="36"/>
        <v>Devam Eden ve Gelecek Sprint</v>
      </c>
      <c r="J1230"/>
    </row>
    <row r="1231" spans="1:10" x14ac:dyDescent="0.25">
      <c r="A1231" t="s">
        <v>14</v>
      </c>
      <c r="B1231" t="s">
        <v>2688</v>
      </c>
      <c r="C1231" t="s">
        <v>16</v>
      </c>
      <c r="D1231" t="s">
        <v>2693</v>
      </c>
      <c r="E1231" s="5" t="s">
        <v>12</v>
      </c>
      <c r="F1231" s="5" t="e">
        <f>VLOOKUP(B1231,'Türkkep Jira'!B:F,5,0)</f>
        <v>#N/A</v>
      </c>
      <c r="G1231" t="str">
        <f>IF(IFERROR(VLOOKUP(B1231,'Devam Eden Sprint'!B:B,1,0),"-")=B1231,"Devam Eden Sprint","-")</f>
        <v>-</v>
      </c>
      <c r="H1231" t="str">
        <f>IF(IFERROR(VLOOKUP(B1231,'Gelecek Sprint'!B:B,1,0),"-")=B1231,"Gelecek Sprint","-")</f>
        <v>-</v>
      </c>
      <c r="I1231" t="str">
        <f t="shared" si="36"/>
        <v>Ürün İş Listesi</v>
      </c>
      <c r="J1231">
        <v>2</v>
      </c>
    </row>
    <row r="1232" spans="1:10" x14ac:dyDescent="0.25">
      <c r="A1232" t="s">
        <v>14</v>
      </c>
      <c r="B1232" t="s">
        <v>2689</v>
      </c>
      <c r="C1232" t="s">
        <v>10</v>
      </c>
      <c r="D1232" t="s">
        <v>2694</v>
      </c>
      <c r="E1232" s="5" t="s">
        <v>12</v>
      </c>
      <c r="F1232" s="5" t="e">
        <f>VLOOKUP(B1232,'Türkkep Jira'!B:F,5,0)</f>
        <v>#N/A</v>
      </c>
      <c r="G1232" t="str">
        <f>IF(IFERROR(VLOOKUP(B1232,'Devam Eden Sprint'!B:B,1,0),"-")=B1232,"Devam Eden Sprint","-")</f>
        <v>-</v>
      </c>
      <c r="H1232" t="str">
        <f>IF(IFERROR(VLOOKUP(B1232,'Gelecek Sprint'!B:B,1,0),"-")=B1232,"Gelecek Sprint","-")</f>
        <v>-</v>
      </c>
      <c r="I1232" t="str">
        <f t="shared" si="36"/>
        <v>Ürün İş Listesi</v>
      </c>
      <c r="J1232">
        <v>3</v>
      </c>
    </row>
    <row r="1233" spans="1:10" x14ac:dyDescent="0.25">
      <c r="A1233" t="s">
        <v>14</v>
      </c>
      <c r="B1233" t="s">
        <v>2690</v>
      </c>
      <c r="C1233" t="s">
        <v>10</v>
      </c>
      <c r="D1233" t="s">
        <v>2695</v>
      </c>
      <c r="E1233" s="5" t="s">
        <v>12</v>
      </c>
      <c r="F1233" s="5" t="e">
        <f>VLOOKUP(B1233,'Türkkep Jira'!B:F,5,0)</f>
        <v>#N/A</v>
      </c>
      <c r="G1233" t="str">
        <f>IF(IFERROR(VLOOKUP(B1233,'Devam Eden Sprint'!B:B,1,0),"-")=B1233,"Devam Eden Sprint","-")</f>
        <v>-</v>
      </c>
      <c r="H1233" t="str">
        <f>IF(IFERROR(VLOOKUP(B1233,'Gelecek Sprint'!B:B,1,0),"-")=B1233,"Gelecek Sprint","-")</f>
        <v>-</v>
      </c>
      <c r="I1233" t="str">
        <f t="shared" si="36"/>
        <v>Ürün İş Listesi</v>
      </c>
      <c r="J1233">
        <v>1</v>
      </c>
    </row>
    <row r="1234" spans="1:10" x14ac:dyDescent="0.25">
      <c r="A1234" t="s">
        <v>14</v>
      </c>
      <c r="B1234" t="s">
        <v>2691</v>
      </c>
      <c r="C1234" t="s">
        <v>16</v>
      </c>
      <c r="D1234" t="s">
        <v>2696</v>
      </c>
      <c r="E1234" s="5" t="s">
        <v>12</v>
      </c>
      <c r="F1234" s="5" t="str">
        <f>VLOOKUP(B1234,'Türkkep Jira'!B:F,5,0)</f>
        <v>Done</v>
      </c>
      <c r="G1234" t="str">
        <f>IF(IFERROR(VLOOKUP(B1234,'Devam Eden Sprint'!B:B,1,0),"-")=B1234,"Devam Eden Sprint","-")</f>
        <v>-</v>
      </c>
      <c r="H1234" t="str">
        <f>IF(IFERROR(VLOOKUP(B1234,'Gelecek Sprint'!B:B,1,0),"-")=B1234,"Gelecek Sprint","-")</f>
        <v>-</v>
      </c>
      <c r="I1234" t="str">
        <f t="shared" si="36"/>
        <v>Ürün İş Listesi</v>
      </c>
      <c r="J1234">
        <v>3</v>
      </c>
    </row>
    <row r="1235" spans="1:10" x14ac:dyDescent="0.25">
      <c r="A1235" t="s">
        <v>14</v>
      </c>
      <c r="B1235" t="s">
        <v>2692</v>
      </c>
      <c r="C1235" t="s">
        <v>27</v>
      </c>
      <c r="D1235" t="s">
        <v>2697</v>
      </c>
      <c r="E1235" s="5" t="s">
        <v>12</v>
      </c>
      <c r="F1235" s="5" t="str">
        <f>VLOOKUP(B1235,'Türkkep Jira'!B:F,5,0)</f>
        <v>TO TEST</v>
      </c>
      <c r="G1235" t="str">
        <f>IF(IFERROR(VLOOKUP(B1235,'Devam Eden Sprint'!B:B,1,0),"-")=B1235,"Devam Eden Sprint","-")</f>
        <v>Devam Eden Sprint</v>
      </c>
      <c r="H1235" t="str">
        <f>IF(IFERROR(VLOOKUP(B1235,'Gelecek Sprint'!B:B,1,0),"-")=B1235,"Gelecek Sprint","-")</f>
        <v>Gelecek Sprint</v>
      </c>
      <c r="I1235" t="str">
        <f t="shared" si="36"/>
        <v>Devam Eden ve Gelecek Sprint</v>
      </c>
      <c r="J1235">
        <v>2</v>
      </c>
    </row>
    <row r="1236" spans="1:10" x14ac:dyDescent="0.25">
      <c r="A1236" t="s">
        <v>14</v>
      </c>
      <c r="B1236" t="s">
        <v>2636</v>
      </c>
      <c r="C1236" t="s">
        <v>10</v>
      </c>
      <c r="D1236" t="s">
        <v>2635</v>
      </c>
      <c r="E1236" s="5" t="s">
        <v>12</v>
      </c>
      <c r="F1236" s="5" t="e">
        <f>VLOOKUP(B1236,'Türkkep Jira'!B:F,5,0)</f>
        <v>#N/A</v>
      </c>
      <c r="G1236" t="str">
        <f>IF(IFERROR(VLOOKUP(B1236,'Devam Eden Sprint'!B:B,1,0),"-")=B1236,"Devam Eden Sprint","-")</f>
        <v>-</v>
      </c>
      <c r="H1236" t="str">
        <f>IF(IFERROR(VLOOKUP(B1236,'Gelecek Sprint'!B:B,1,0),"-")=B1236,"Gelecek Sprint","-")</f>
        <v>-</v>
      </c>
      <c r="I1236" t="str">
        <f t="shared" si="36"/>
        <v>Ürün İş Listesi</v>
      </c>
      <c r="J1236">
        <v>2</v>
      </c>
    </row>
    <row r="1237" spans="1:10" x14ac:dyDescent="0.25">
      <c r="A1237" t="s">
        <v>14</v>
      </c>
      <c r="B1237" t="s">
        <v>2716</v>
      </c>
      <c r="C1237" t="s">
        <v>10</v>
      </c>
      <c r="D1237" t="s">
        <v>2715</v>
      </c>
      <c r="E1237" s="5" t="s">
        <v>38</v>
      </c>
      <c r="F1237" s="5" t="str">
        <f>VLOOKUP(B1237,'Türkkep Jira'!B:F,5,0)</f>
        <v>To Do</v>
      </c>
      <c r="G1237" t="str">
        <f>IF(IFERROR(VLOOKUP(B1237,'Devam Eden Sprint'!B:B,1,0),"-")=B1237,"Devam Eden Sprint","-")</f>
        <v>Devam Eden Sprint</v>
      </c>
      <c r="H1237" t="str">
        <f>IF(IFERROR(VLOOKUP(B1237,'Gelecek Sprint'!B:B,1,0),"-")=B1237,"Gelecek Sprint","-")</f>
        <v>-</v>
      </c>
      <c r="I1237" t="str">
        <f t="shared" si="36"/>
        <v>Devam Eden Sprint</v>
      </c>
      <c r="J1237">
        <v>5</v>
      </c>
    </row>
    <row r="1238" spans="1:10" x14ac:dyDescent="0.25">
      <c r="A1238" t="s">
        <v>77</v>
      </c>
      <c r="B1238" t="s">
        <v>2718</v>
      </c>
      <c r="C1238" t="s">
        <v>10</v>
      </c>
      <c r="D1238" t="s">
        <v>2717</v>
      </c>
      <c r="E1238" s="5" t="s">
        <v>38</v>
      </c>
      <c r="F1238" s="5" t="str">
        <f>VLOOKUP(B1238,'Türkkep Jira'!B:F,5,0)</f>
        <v>To Do</v>
      </c>
      <c r="G1238" t="str">
        <f>IF(IFERROR(VLOOKUP(B1238,'Devam Eden Sprint'!B:B,1,0),"-")=B1238,"Devam Eden Sprint","-")</f>
        <v>Devam Eden Sprint</v>
      </c>
      <c r="H1238" t="str">
        <f>IF(IFERROR(VLOOKUP(B1238,'Gelecek Sprint'!B:B,1,0),"-")=B1238,"Gelecek Sprint","-")</f>
        <v>Gelecek Sprint</v>
      </c>
      <c r="I1238" t="str">
        <f t="shared" si="36"/>
        <v>Devam Eden ve Gelecek Sprint</v>
      </c>
      <c r="J1238">
        <v>1</v>
      </c>
    </row>
    <row r="1239" spans="1:10" x14ac:dyDescent="0.25">
      <c r="A1239" t="s">
        <v>14</v>
      </c>
      <c r="B1239" t="s">
        <v>2722</v>
      </c>
      <c r="C1239" t="s">
        <v>10</v>
      </c>
      <c r="D1239" t="s">
        <v>2721</v>
      </c>
      <c r="E1239" s="5" t="s">
        <v>38</v>
      </c>
      <c r="F1239" s="5" t="str">
        <f>VLOOKUP(B1239,'Türkkep Jira'!B:F,5,0)</f>
        <v>To Do</v>
      </c>
      <c r="G1239" t="str">
        <f>IF(IFERROR(VLOOKUP(B1239,'Devam Eden Sprint'!B:B,1,0),"-")=B1239,"Devam Eden Sprint","-")</f>
        <v>-</v>
      </c>
      <c r="H1239" t="str">
        <f>IF(IFERROR(VLOOKUP(B1239,'Gelecek Sprint'!B:B,1,0),"-")=B1239,"Gelecek Sprint","-")</f>
        <v>Gelecek Sprint</v>
      </c>
      <c r="I1239" t="str">
        <f t="shared" si="36"/>
        <v>Gelecek Sprint</v>
      </c>
      <c r="J1239">
        <v>2</v>
      </c>
    </row>
    <row r="1240" spans="1:10" x14ac:dyDescent="0.25">
      <c r="A1240" t="s">
        <v>14</v>
      </c>
      <c r="B1240" t="s">
        <v>2727</v>
      </c>
      <c r="C1240" t="s">
        <v>10</v>
      </c>
      <c r="D1240" t="s">
        <v>2726</v>
      </c>
      <c r="E1240" s="5" t="s">
        <v>38</v>
      </c>
      <c r="F1240" s="5" t="e">
        <f>VLOOKUP(B1240,'Türkkep Jira'!B:F,5,0)</f>
        <v>#N/A</v>
      </c>
      <c r="G1240" t="str">
        <f>IF(IFERROR(VLOOKUP(B1240,'Devam Eden Sprint'!B:B,1,0),"-")=B1240,"Devam Eden Sprint","-")</f>
        <v>-</v>
      </c>
      <c r="H1240" t="str">
        <f>IF(IFERROR(VLOOKUP(B1240,'Gelecek Sprint'!B:B,1,0),"-")=B1240,"Gelecek Sprint","-")</f>
        <v>-</v>
      </c>
      <c r="I1240" t="str">
        <f t="shared" si="36"/>
        <v>Ürün İş Listesi</v>
      </c>
      <c r="J1240">
        <v>3</v>
      </c>
    </row>
    <row r="1241" spans="1:10" x14ac:dyDescent="0.25">
      <c r="A1241" t="s">
        <v>14</v>
      </c>
      <c r="B1241" t="s">
        <v>2723</v>
      </c>
      <c r="C1241" t="s">
        <v>10</v>
      </c>
      <c r="D1241" t="s">
        <v>2728</v>
      </c>
      <c r="E1241" s="5" t="s">
        <v>38</v>
      </c>
      <c r="F1241" s="5" t="str">
        <f>VLOOKUP(B1241,'Türkkep Jira'!B:F,5,0)</f>
        <v>To Do</v>
      </c>
      <c r="G1241" t="str">
        <f>IF(IFERROR(VLOOKUP(B1241,'Devam Eden Sprint'!B:B,1,0),"-")=B1241,"Devam Eden Sprint","-")</f>
        <v>-</v>
      </c>
      <c r="H1241" t="str">
        <f>IF(IFERROR(VLOOKUP(B1241,'Gelecek Sprint'!B:B,1,0),"-")=B1241,"Gelecek Sprint","-")</f>
        <v>Gelecek Sprint</v>
      </c>
      <c r="I1241" t="str">
        <f t="shared" si="36"/>
        <v>Gelecek Sprint</v>
      </c>
      <c r="J1241">
        <v>3</v>
      </c>
    </row>
    <row r="1242" spans="1:10" x14ac:dyDescent="0.25">
      <c r="A1242" t="s">
        <v>14</v>
      </c>
      <c r="B1242" t="s">
        <v>2729</v>
      </c>
      <c r="C1242" t="s">
        <v>16</v>
      </c>
      <c r="D1242" t="s">
        <v>2730</v>
      </c>
      <c r="E1242" s="5" t="s">
        <v>41</v>
      </c>
      <c r="F1242" s="5" t="e">
        <f>VLOOKUP(B1242,'Türkkep Jira'!B:F,5,0)</f>
        <v>#N/A</v>
      </c>
      <c r="G1242" t="str">
        <f>IF(IFERROR(VLOOKUP(B1242,'Devam Eden Sprint'!B:B,1,0),"-")=B1242,"Devam Eden Sprint","-")</f>
        <v>-</v>
      </c>
      <c r="H1242" t="str">
        <f>IF(IFERROR(VLOOKUP(B1242,'Gelecek Sprint'!B:B,1,0),"-")=B1242,"Gelecek Sprint","-")</f>
        <v>-</v>
      </c>
      <c r="I1242" t="str">
        <f t="shared" si="36"/>
        <v>Ürün İş Listesi</v>
      </c>
      <c r="J1242">
        <v>5</v>
      </c>
    </row>
    <row r="1243" spans="1:10" x14ac:dyDescent="0.25">
      <c r="A1243" t="s">
        <v>14</v>
      </c>
      <c r="B1243" t="s">
        <v>2731</v>
      </c>
      <c r="C1243" t="s">
        <v>16</v>
      </c>
      <c r="D1243" t="s">
        <v>2732</v>
      </c>
      <c r="E1243" s="5" t="s">
        <v>41</v>
      </c>
      <c r="F1243" s="5" t="e">
        <f>VLOOKUP(B1243,'Türkkep Jira'!B:F,5,0)</f>
        <v>#N/A</v>
      </c>
      <c r="G1243" t="str">
        <f>IF(IFERROR(VLOOKUP(B1243,'Devam Eden Sprint'!B:B,1,0),"-")=B1243,"Devam Eden Sprint","-")</f>
        <v>-</v>
      </c>
      <c r="H1243" t="str">
        <f>IF(IFERROR(VLOOKUP(B1243,'Gelecek Sprint'!B:B,1,0),"-")=B1243,"Gelecek Sprint","-")</f>
        <v>-</v>
      </c>
      <c r="I1243" t="str">
        <f t="shared" si="36"/>
        <v>Ürün İş Listesi</v>
      </c>
      <c r="J1243">
        <v>5</v>
      </c>
    </row>
    <row r="1244" spans="1:10" x14ac:dyDescent="0.25">
      <c r="A1244" t="s">
        <v>14</v>
      </c>
      <c r="B1244" t="s">
        <v>2739</v>
      </c>
      <c r="C1244" t="s">
        <v>1922</v>
      </c>
      <c r="D1244" t="s">
        <v>2740</v>
      </c>
      <c r="E1244" s="5" t="s">
        <v>127</v>
      </c>
      <c r="F1244" s="5" t="str">
        <f>VLOOKUP(B1244,'Türkkep Jira'!B:F,5,0)</f>
        <v>TEST</v>
      </c>
      <c r="G1244" t="str">
        <f>IF(IFERROR(VLOOKUP(B1244,'Devam Eden Sprint'!B:B,1,0),"-")=B1244,"Devam Eden Sprint","-")</f>
        <v>-</v>
      </c>
      <c r="H1244" t="str">
        <f>IF(IFERROR(VLOOKUP(B1244,'Gelecek Sprint'!B:B,1,0),"-")=B1244,"Gelecek Sprint","-")</f>
        <v>-</v>
      </c>
      <c r="I1244" t="str">
        <f t="shared" si="36"/>
        <v>Ürün İş Listesi</v>
      </c>
      <c r="J1244">
        <v>5</v>
      </c>
    </row>
    <row r="1245" spans="1:10" x14ac:dyDescent="0.25">
      <c r="A1245" t="s">
        <v>14</v>
      </c>
      <c r="B1245" t="s">
        <v>2741</v>
      </c>
      <c r="C1245" t="s">
        <v>10</v>
      </c>
      <c r="D1245" t="s">
        <v>2742</v>
      </c>
      <c r="E1245" s="5" t="s">
        <v>53</v>
      </c>
      <c r="F1245" s="5" t="e">
        <f>VLOOKUP(B1245,'Türkkep Jira'!B:F,5,0)</f>
        <v>#N/A</v>
      </c>
      <c r="G1245" t="str">
        <f>IF(IFERROR(VLOOKUP(B1245,'Devam Eden Sprint'!B:B,1,0),"-")=B1245,"Devam Eden Sprint","-")</f>
        <v>-</v>
      </c>
      <c r="H1245" t="str">
        <f>IF(IFERROR(VLOOKUP(B1245,'Gelecek Sprint'!B:B,1,0),"-")=B1245,"Gelecek Sprint","-")</f>
        <v>-</v>
      </c>
      <c r="I1245" t="str">
        <f t="shared" si="36"/>
        <v>Ürün İş Listesi</v>
      </c>
      <c r="J1245">
        <v>1</v>
      </c>
    </row>
    <row r="1246" spans="1:10" x14ac:dyDescent="0.25">
      <c r="A1246" t="s">
        <v>14</v>
      </c>
      <c r="B1246" t="s">
        <v>2743</v>
      </c>
      <c r="C1246" t="s">
        <v>10</v>
      </c>
      <c r="D1246" t="s">
        <v>2744</v>
      </c>
      <c r="E1246" s="5" t="s">
        <v>53</v>
      </c>
      <c r="F1246" s="5" t="e">
        <f>VLOOKUP(B1246,'Türkkep Jira'!B:F,5,0)</f>
        <v>#N/A</v>
      </c>
      <c r="G1246" t="str">
        <f>IF(IFERROR(VLOOKUP(B1246,'Devam Eden Sprint'!B:B,1,0),"-")=B1246,"Devam Eden Sprint","-")</f>
        <v>-</v>
      </c>
      <c r="H1246" t="str">
        <f>IF(IFERROR(VLOOKUP(B1246,'Gelecek Sprint'!B:B,1,0),"-")=B1246,"Gelecek Sprint","-")</f>
        <v>-</v>
      </c>
      <c r="I1246" t="str">
        <f t="shared" si="36"/>
        <v>Ürün İş Listesi</v>
      </c>
      <c r="J1246">
        <v>2</v>
      </c>
    </row>
    <row r="1247" spans="1:10" x14ac:dyDescent="0.25">
      <c r="A1247" t="s">
        <v>14</v>
      </c>
      <c r="B1247" t="s">
        <v>2745</v>
      </c>
      <c r="C1247" t="s">
        <v>26</v>
      </c>
      <c r="D1247" t="s">
        <v>2746</v>
      </c>
      <c r="E1247" s="5" t="s">
        <v>53</v>
      </c>
      <c r="F1247" s="5" t="str">
        <f>VLOOKUP(B1247,'Türkkep Jira'!B:F,5,0)</f>
        <v>Development</v>
      </c>
      <c r="G1247" t="str">
        <f>IF(IFERROR(VLOOKUP(B1247,'Devam Eden Sprint'!B:B,1,0),"-")=B1247,"Devam Eden Sprint","-")</f>
        <v>Devam Eden Sprint</v>
      </c>
      <c r="H1247" t="str">
        <f>IF(IFERROR(VLOOKUP(B1247,'Gelecek Sprint'!B:B,1,0),"-")=B1247,"Gelecek Sprint","-")</f>
        <v>-</v>
      </c>
      <c r="I1247" t="str">
        <f t="shared" si="36"/>
        <v>Devam Eden Sprint</v>
      </c>
      <c r="J1247">
        <v>3</v>
      </c>
    </row>
    <row r="1248" spans="1:10" x14ac:dyDescent="0.25">
      <c r="A1248" t="s">
        <v>14</v>
      </c>
      <c r="B1248" t="s">
        <v>2747</v>
      </c>
      <c r="C1248" t="s">
        <v>16</v>
      </c>
      <c r="D1248" t="s">
        <v>2749</v>
      </c>
      <c r="E1248" s="5" t="s">
        <v>56</v>
      </c>
      <c r="F1248" s="5" t="str">
        <f>VLOOKUP(B1248,'Türkkep Jira'!B:F,5,0)</f>
        <v>Done</v>
      </c>
      <c r="G1248" t="str">
        <f>IF(IFERROR(VLOOKUP(B1248,'Devam Eden Sprint'!B:B,1,0),"-")=B1248,"Devam Eden Sprint","-")</f>
        <v>-</v>
      </c>
      <c r="H1248" t="str">
        <f>IF(IFERROR(VLOOKUP(B1248,'Gelecek Sprint'!B:B,1,0),"-")=B1248,"Gelecek Sprint","-")</f>
        <v>-</v>
      </c>
      <c r="I1248" t="str">
        <f t="shared" ref="I1248:I1250" si="37">IFERROR(IF(AND(G1248="Devam Eden Sprint",H1248="Gelecek Sprint"),"Devam Eden ve Gelecek Sprint",IF(G1248="Devam Eden Sprint","Devam Eden Sprint",IF(H1248="Gelecek Sprint","Gelecek Sprint","Ürün İş Listesi"))),"Ürün İş Listesi")</f>
        <v>Ürün İş Listesi</v>
      </c>
      <c r="J1248">
        <v>3</v>
      </c>
    </row>
    <row r="1249" spans="1:10" x14ac:dyDescent="0.25">
      <c r="A1249" t="s">
        <v>14</v>
      </c>
      <c r="B1249" t="s">
        <v>2748</v>
      </c>
      <c r="C1249" t="s">
        <v>10</v>
      </c>
      <c r="D1249" t="s">
        <v>2750</v>
      </c>
      <c r="E1249" s="5" t="s">
        <v>50</v>
      </c>
      <c r="F1249" s="5" t="e">
        <f>VLOOKUP(B1249,'Türkkep Jira'!B:F,5,0)</f>
        <v>#N/A</v>
      </c>
      <c r="G1249" t="str">
        <f>IF(IFERROR(VLOOKUP(B1249,'Devam Eden Sprint'!B:B,1,0),"-")=B1249,"Devam Eden Sprint","-")</f>
        <v>-</v>
      </c>
      <c r="H1249" t="str">
        <f>IF(IFERROR(VLOOKUP(B1249,'Gelecek Sprint'!B:B,1,0),"-")=B1249,"Gelecek Sprint","-")</f>
        <v>-</v>
      </c>
      <c r="I1249" t="str">
        <f t="shared" si="37"/>
        <v>Ürün İş Listesi</v>
      </c>
      <c r="J1249">
        <v>1</v>
      </c>
    </row>
    <row r="1250" spans="1:10" x14ac:dyDescent="0.25">
      <c r="A1250" t="s">
        <v>14</v>
      </c>
      <c r="B1250" t="s">
        <v>2763</v>
      </c>
      <c r="C1250" t="s">
        <v>10</v>
      </c>
      <c r="D1250" t="s">
        <v>2764</v>
      </c>
      <c r="E1250" s="5" t="s">
        <v>12</v>
      </c>
      <c r="F1250" s="5" t="e">
        <f>VLOOKUP(B1250,'Türkkep Jira'!B:F,5,0)</f>
        <v>#N/A</v>
      </c>
      <c r="G1250" t="str">
        <f>IF(IFERROR(VLOOKUP(B1250,'Devam Eden Sprint'!B:B,1,0),"-")=B1250,"Devam Eden Sprint","-")</f>
        <v>-</v>
      </c>
      <c r="H1250" t="str">
        <f>IF(IFERROR(VLOOKUP(B1250,'Gelecek Sprint'!B:B,1,0),"-")=B1250,"Gelecek Sprint","-")</f>
        <v>-</v>
      </c>
      <c r="I1250" t="str">
        <f t="shared" si="37"/>
        <v>Ürün İş Listesi</v>
      </c>
      <c r="J1250">
        <v>5</v>
      </c>
    </row>
    <row r="1251" spans="1:10" x14ac:dyDescent="0.25">
      <c r="A1251" t="s">
        <v>77</v>
      </c>
      <c r="B1251" t="s">
        <v>2751</v>
      </c>
      <c r="C1251" t="s">
        <v>16</v>
      </c>
      <c r="D1251" t="s">
        <v>2757</v>
      </c>
      <c r="E1251" s="5" t="s">
        <v>56</v>
      </c>
      <c r="F1251" s="5" t="str">
        <f>VLOOKUP(B1251,'Türkkep Jira'!B:F,5,0)</f>
        <v>Done</v>
      </c>
      <c r="G1251" t="str">
        <f>IF(IFERROR(VLOOKUP(B1251,'Devam Eden Sprint'!B:B,1,0),"-")=B1251,"Devam Eden Sprint","-")</f>
        <v>-</v>
      </c>
      <c r="H1251" t="str">
        <f>IF(IFERROR(VLOOKUP(B1251,'Gelecek Sprint'!B:B,1,0),"-")=B1251,"Gelecek Sprint","-")</f>
        <v>-</v>
      </c>
      <c r="I1251" t="str">
        <f t="shared" ref="I1251:I1262" si="38">IFERROR(IF(AND(G1251="Devam Eden Sprint",H1251="Gelecek Sprint"),"Devam Eden ve Gelecek Sprint",IF(G1251="Devam Eden Sprint","Devam Eden Sprint",IF(H1251="Gelecek Sprint","Gelecek Sprint","Ürün İş Listesi"))),"Ürün İş Listesi")</f>
        <v>Ürün İş Listesi</v>
      </c>
      <c r="J1251">
        <v>3</v>
      </c>
    </row>
    <row r="1252" spans="1:10" x14ac:dyDescent="0.25">
      <c r="A1252" t="s">
        <v>77</v>
      </c>
      <c r="B1252" t="s">
        <v>2752</v>
      </c>
      <c r="C1252" t="s">
        <v>16</v>
      </c>
      <c r="D1252" t="s">
        <v>2758</v>
      </c>
      <c r="E1252" s="5" t="s">
        <v>56</v>
      </c>
      <c r="F1252" s="5" t="str">
        <f>VLOOKUP(B1252,'Türkkep Jira'!B:F,5,0)</f>
        <v>Done</v>
      </c>
      <c r="G1252" t="str">
        <f>IF(IFERROR(VLOOKUP(B1252,'Devam Eden Sprint'!B:B,1,0),"-")=B1252,"Devam Eden Sprint","-")</f>
        <v>-</v>
      </c>
      <c r="H1252" t="str">
        <f>IF(IFERROR(VLOOKUP(B1252,'Gelecek Sprint'!B:B,1,0),"-")=B1252,"Gelecek Sprint","-")</f>
        <v>-</v>
      </c>
      <c r="I1252" t="str">
        <f t="shared" si="38"/>
        <v>Ürün İş Listesi</v>
      </c>
      <c r="J1252">
        <v>3</v>
      </c>
    </row>
    <row r="1253" spans="1:10" x14ac:dyDescent="0.25">
      <c r="A1253" t="s">
        <v>77</v>
      </c>
      <c r="B1253" t="s">
        <v>2753</v>
      </c>
      <c r="C1253" t="s">
        <v>16</v>
      </c>
      <c r="D1253" t="s">
        <v>2759</v>
      </c>
      <c r="E1253" s="5" t="s">
        <v>56</v>
      </c>
      <c r="F1253" s="5" t="str">
        <f>VLOOKUP(B1253,'Türkkep Jira'!B:F,5,0)</f>
        <v>Done</v>
      </c>
      <c r="G1253" t="str">
        <f>IF(IFERROR(VLOOKUP(B1253,'Devam Eden Sprint'!B:B,1,0),"-")=B1253,"Devam Eden Sprint","-")</f>
        <v>-</v>
      </c>
      <c r="H1253" t="str">
        <f>IF(IFERROR(VLOOKUP(B1253,'Gelecek Sprint'!B:B,1,0),"-")=B1253,"Gelecek Sprint","-")</f>
        <v>-</v>
      </c>
      <c r="I1253" t="str">
        <f t="shared" si="38"/>
        <v>Ürün İş Listesi</v>
      </c>
      <c r="J1253">
        <v>3</v>
      </c>
    </row>
    <row r="1254" spans="1:10" x14ac:dyDescent="0.25">
      <c r="A1254" t="s">
        <v>14</v>
      </c>
      <c r="B1254" t="s">
        <v>2754</v>
      </c>
      <c r="C1254" t="s">
        <v>16</v>
      </c>
      <c r="D1254" t="s">
        <v>2760</v>
      </c>
      <c r="E1254" s="5" t="s">
        <v>44</v>
      </c>
      <c r="F1254" s="5" t="e">
        <f>VLOOKUP(B1254,'Türkkep Jira'!B:F,5,0)</f>
        <v>#N/A</v>
      </c>
      <c r="G1254" t="str">
        <f>IF(IFERROR(VLOOKUP(B1254,'Devam Eden Sprint'!B:B,1,0),"-")=B1254,"Devam Eden Sprint","-")</f>
        <v>-</v>
      </c>
      <c r="H1254" t="str">
        <f>IF(IFERROR(VLOOKUP(B1254,'Gelecek Sprint'!B:B,1,0),"-")=B1254,"Gelecek Sprint","-")</f>
        <v>-</v>
      </c>
      <c r="I1254" t="str">
        <f t="shared" si="38"/>
        <v>Ürün İş Listesi</v>
      </c>
      <c r="J1254">
        <v>5</v>
      </c>
    </row>
    <row r="1255" spans="1:10" x14ac:dyDescent="0.25">
      <c r="A1255" t="s">
        <v>14</v>
      </c>
      <c r="B1255" t="s">
        <v>2755</v>
      </c>
      <c r="C1255" t="s">
        <v>16</v>
      </c>
      <c r="D1255" t="s">
        <v>2761</v>
      </c>
      <c r="E1255" s="5" t="s">
        <v>50</v>
      </c>
      <c r="F1255" s="5" t="e">
        <f>VLOOKUP(B1255,'Türkkep Jira'!B:F,5,0)</f>
        <v>#N/A</v>
      </c>
      <c r="G1255" t="str">
        <f>IF(IFERROR(VLOOKUP(B1255,'Devam Eden Sprint'!B:B,1,0),"-")=B1255,"Devam Eden Sprint","-")</f>
        <v>-</v>
      </c>
      <c r="H1255" t="str">
        <f>IF(IFERROR(VLOOKUP(B1255,'Gelecek Sprint'!B:B,1,0),"-")=B1255,"Gelecek Sprint","-")</f>
        <v>-</v>
      </c>
      <c r="I1255" t="str">
        <f t="shared" si="38"/>
        <v>Ürün İş Listesi</v>
      </c>
      <c r="J1255">
        <v>2</v>
      </c>
    </row>
    <row r="1256" spans="1:10" x14ac:dyDescent="0.25">
      <c r="A1256" t="s">
        <v>14</v>
      </c>
      <c r="B1256" t="s">
        <v>2756</v>
      </c>
      <c r="C1256" t="s">
        <v>16</v>
      </c>
      <c r="D1256" t="s">
        <v>2762</v>
      </c>
      <c r="E1256" s="5" t="s">
        <v>50</v>
      </c>
      <c r="F1256" s="5" t="e">
        <f>VLOOKUP(B1256,'Türkkep Jira'!B:F,5,0)</f>
        <v>#N/A</v>
      </c>
      <c r="G1256" t="str">
        <f>IF(IFERROR(VLOOKUP(B1256,'Devam Eden Sprint'!B:B,1,0),"-")=B1256,"Devam Eden Sprint","-")</f>
        <v>-</v>
      </c>
      <c r="H1256" t="str">
        <f>IF(IFERROR(VLOOKUP(B1256,'Gelecek Sprint'!B:B,1,0),"-")=B1256,"Gelecek Sprint","-")</f>
        <v>-</v>
      </c>
      <c r="I1256" t="str">
        <f t="shared" si="38"/>
        <v>Ürün İş Listesi</v>
      </c>
      <c r="J1256">
        <v>2</v>
      </c>
    </row>
    <row r="1257" spans="1:10" x14ac:dyDescent="0.25">
      <c r="A1257" t="s">
        <v>14</v>
      </c>
      <c r="B1257" t="s">
        <v>2765</v>
      </c>
      <c r="C1257" t="s">
        <v>16</v>
      </c>
      <c r="D1257" t="s">
        <v>2771</v>
      </c>
      <c r="E1257" s="5" t="s">
        <v>12</v>
      </c>
      <c r="F1257" s="5" t="e">
        <f>VLOOKUP(B1257,'Türkkep Jira'!B:F,5,0)</f>
        <v>#N/A</v>
      </c>
      <c r="G1257" t="str">
        <f>IF(IFERROR(VLOOKUP(B1257,'Devam Eden Sprint'!B:B,1,0),"-")=B1257,"Devam Eden Sprint","-")</f>
        <v>Devam Eden Sprint</v>
      </c>
      <c r="H1257" t="str">
        <f>IF(IFERROR(VLOOKUP(B1257,'Gelecek Sprint'!B:B,1,0),"-")=B1257,"Gelecek Sprint","-")</f>
        <v>-</v>
      </c>
      <c r="I1257" t="str">
        <f t="shared" si="38"/>
        <v>Devam Eden Sprint</v>
      </c>
      <c r="J1257">
        <v>2</v>
      </c>
    </row>
    <row r="1258" spans="1:10" x14ac:dyDescent="0.25">
      <c r="A1258" t="s">
        <v>14</v>
      </c>
      <c r="B1258" t="s">
        <v>2766</v>
      </c>
      <c r="C1258" t="s">
        <v>16</v>
      </c>
      <c r="D1258" t="s">
        <v>2772</v>
      </c>
      <c r="E1258" s="5" t="s">
        <v>12</v>
      </c>
      <c r="F1258" s="5" t="str">
        <f>VLOOKUP(B1258,'Türkkep Jira'!B:F,5,0)</f>
        <v>Done</v>
      </c>
      <c r="G1258" t="str">
        <f>IF(IFERROR(VLOOKUP(B1258,'Devam Eden Sprint'!B:B,1,0),"-")=B1258,"Devam Eden Sprint","-")</f>
        <v>Devam Eden Sprint</v>
      </c>
      <c r="H1258" t="str">
        <f>IF(IFERROR(VLOOKUP(B1258,'Gelecek Sprint'!B:B,1,0),"-")=B1258,"Gelecek Sprint","-")</f>
        <v>-</v>
      </c>
      <c r="I1258" t="str">
        <f t="shared" si="38"/>
        <v>Devam Eden Sprint</v>
      </c>
      <c r="J1258">
        <v>5</v>
      </c>
    </row>
    <row r="1259" spans="1:10" x14ac:dyDescent="0.25">
      <c r="A1259" t="s">
        <v>14</v>
      </c>
      <c r="B1259" t="s">
        <v>2767</v>
      </c>
      <c r="C1259" t="s">
        <v>16</v>
      </c>
      <c r="D1259" t="s">
        <v>2773</v>
      </c>
      <c r="E1259" s="5" t="s">
        <v>12</v>
      </c>
      <c r="F1259" s="5" t="e">
        <f>VLOOKUP(B1259,'Türkkep Jira'!B:F,5,0)</f>
        <v>#N/A</v>
      </c>
      <c r="G1259" t="str">
        <f>IF(IFERROR(VLOOKUP(B1259,'Devam Eden Sprint'!B:B,1,0),"-")=B1259,"Devam Eden Sprint","-")</f>
        <v>Devam Eden Sprint</v>
      </c>
      <c r="H1259" t="str">
        <f>IF(IFERROR(VLOOKUP(B1259,'Gelecek Sprint'!B:B,1,0),"-")=B1259,"Gelecek Sprint","-")</f>
        <v>-</v>
      </c>
      <c r="I1259" t="str">
        <f t="shared" si="38"/>
        <v>Devam Eden Sprint</v>
      </c>
      <c r="J1259">
        <v>3</v>
      </c>
    </row>
    <row r="1260" spans="1:10" x14ac:dyDescent="0.25">
      <c r="A1260" t="s">
        <v>14</v>
      </c>
      <c r="B1260" t="s">
        <v>2768</v>
      </c>
      <c r="C1260" t="s">
        <v>16</v>
      </c>
      <c r="D1260" t="s">
        <v>2774</v>
      </c>
      <c r="E1260" s="5" t="s">
        <v>12</v>
      </c>
      <c r="F1260" s="5" t="str">
        <f>VLOOKUP(B1260,'Türkkep Jira'!B:F,5,0)</f>
        <v>Done</v>
      </c>
      <c r="G1260" t="str">
        <f>IF(IFERROR(VLOOKUP(B1260,'Devam Eden Sprint'!B:B,1,0),"-")=B1260,"Devam Eden Sprint","-")</f>
        <v>Devam Eden Sprint</v>
      </c>
      <c r="H1260" t="str">
        <f>IF(IFERROR(VLOOKUP(B1260,'Gelecek Sprint'!B:B,1,0),"-")=B1260,"Gelecek Sprint","-")</f>
        <v>-</v>
      </c>
      <c r="I1260" t="str">
        <f t="shared" si="38"/>
        <v>Devam Eden Sprint</v>
      </c>
      <c r="J1260">
        <v>5</v>
      </c>
    </row>
    <row r="1261" spans="1:10" x14ac:dyDescent="0.25">
      <c r="A1261" t="s">
        <v>14</v>
      </c>
      <c r="B1261" t="s">
        <v>2769</v>
      </c>
      <c r="C1261" t="s">
        <v>27</v>
      </c>
      <c r="D1261" t="s">
        <v>2775</v>
      </c>
      <c r="E1261" s="5" t="s">
        <v>12</v>
      </c>
      <c r="F1261" s="5" t="str">
        <f>VLOOKUP(B1261,'Türkkep Jira'!B:F,5,0)</f>
        <v>TO TEST</v>
      </c>
      <c r="G1261" t="str">
        <f>IF(IFERROR(VLOOKUP(B1261,'Devam Eden Sprint'!B:B,1,0),"-")=B1261,"Devam Eden Sprint","-")</f>
        <v>Devam Eden Sprint</v>
      </c>
      <c r="H1261" t="str">
        <f>IF(IFERROR(VLOOKUP(B1261,'Gelecek Sprint'!B:B,1,0),"-")=B1261,"Gelecek Sprint","-")</f>
        <v>Gelecek Sprint</v>
      </c>
      <c r="I1261" t="str">
        <f t="shared" si="38"/>
        <v>Devam Eden ve Gelecek Sprint</v>
      </c>
      <c r="J1261">
        <v>3</v>
      </c>
    </row>
    <row r="1262" spans="1:10" x14ac:dyDescent="0.25">
      <c r="A1262" t="s">
        <v>14</v>
      </c>
      <c r="B1262" t="s">
        <v>2770</v>
      </c>
      <c r="C1262" t="s">
        <v>27</v>
      </c>
      <c r="D1262" t="s">
        <v>2776</v>
      </c>
      <c r="E1262" s="5" t="s">
        <v>12</v>
      </c>
      <c r="F1262" s="5" t="str">
        <f>VLOOKUP(B1262,'Türkkep Jira'!B:F,5,0)</f>
        <v>TO TEST</v>
      </c>
      <c r="G1262" t="str">
        <f>IF(IFERROR(VLOOKUP(B1262,'Devam Eden Sprint'!B:B,1,0),"-")=B1262,"Devam Eden Sprint","-")</f>
        <v>Devam Eden Sprint</v>
      </c>
      <c r="H1262" t="str">
        <f>IF(IFERROR(VLOOKUP(B1262,'Gelecek Sprint'!B:B,1,0),"-")=B1262,"Gelecek Sprint","-")</f>
        <v>Gelecek Sprint</v>
      </c>
      <c r="I1262" t="str">
        <f t="shared" si="38"/>
        <v>Devam Eden ve Gelecek Sprint</v>
      </c>
      <c r="J1262">
        <v>3</v>
      </c>
    </row>
    <row r="1263" spans="1:10" x14ac:dyDescent="0.25">
      <c r="A1263" t="s">
        <v>14</v>
      </c>
      <c r="B1263" t="s">
        <v>2779</v>
      </c>
      <c r="C1263" t="s">
        <v>16</v>
      </c>
      <c r="D1263" t="s">
        <v>2789</v>
      </c>
      <c r="E1263" s="5" t="s">
        <v>1620</v>
      </c>
      <c r="F1263" s="5" t="str">
        <f>VLOOKUP(B1263,'Türkkep Jira'!B:F,5,0)</f>
        <v>Done</v>
      </c>
      <c r="G1263" t="str">
        <f>IF(IFERROR(VLOOKUP(B1263,'Devam Eden Sprint'!B:B,1,0),"-")=B1263,"Devam Eden Sprint","-")</f>
        <v>Devam Eden Sprint</v>
      </c>
      <c r="H1263" t="str">
        <f>IF(IFERROR(VLOOKUP(B1263,'Gelecek Sprint'!B:B,1,0),"-")=B1263,"Gelecek Sprint","-")</f>
        <v>-</v>
      </c>
      <c r="I1263" t="str">
        <f t="shared" ref="I1263:I1273" si="39">IFERROR(IF(AND(G1263="Devam Eden Sprint",H1263="Gelecek Sprint"),"Devam Eden ve Gelecek Sprint",IF(G1263="Devam Eden Sprint","Devam Eden Sprint",IF(H1263="Gelecek Sprint","Gelecek Sprint","Ürün İş Listesi"))),"Ürün İş Listesi")</f>
        <v>Devam Eden Sprint</v>
      </c>
      <c r="J1263">
        <v>1</v>
      </c>
    </row>
    <row r="1264" spans="1:10" x14ac:dyDescent="0.25">
      <c r="A1264" t="s">
        <v>14</v>
      </c>
      <c r="B1264" t="s">
        <v>2780</v>
      </c>
      <c r="C1264" t="s">
        <v>1922</v>
      </c>
      <c r="D1264" t="s">
        <v>2790</v>
      </c>
      <c r="E1264" s="5" t="s">
        <v>1620</v>
      </c>
      <c r="F1264" s="5" t="str">
        <f>VLOOKUP(B1264,'Türkkep Jira'!B:F,5,0)</f>
        <v>TEST</v>
      </c>
      <c r="G1264" t="str">
        <f>IF(IFERROR(VLOOKUP(B1264,'Devam Eden Sprint'!B:B,1,0),"-")=B1264,"Devam Eden Sprint","-")</f>
        <v>Devam Eden Sprint</v>
      </c>
      <c r="H1264" t="str">
        <f>IF(IFERROR(VLOOKUP(B1264,'Gelecek Sprint'!B:B,1,0),"-")=B1264,"Gelecek Sprint","-")</f>
        <v>-</v>
      </c>
      <c r="I1264" t="str">
        <f t="shared" si="39"/>
        <v>Devam Eden Sprint</v>
      </c>
      <c r="J1264">
        <v>3</v>
      </c>
    </row>
    <row r="1265" spans="1:10" x14ac:dyDescent="0.25">
      <c r="A1265" t="s">
        <v>14</v>
      </c>
      <c r="B1265" t="s">
        <v>2781</v>
      </c>
      <c r="C1265" t="s">
        <v>16</v>
      </c>
      <c r="D1265" t="s">
        <v>2791</v>
      </c>
      <c r="E1265" s="5" t="s">
        <v>1620</v>
      </c>
      <c r="F1265" s="5" t="str">
        <f>VLOOKUP(B1265,'Türkkep Jira'!B:F,5,0)</f>
        <v>Done</v>
      </c>
      <c r="G1265" t="str">
        <f>IF(IFERROR(VLOOKUP(B1265,'Devam Eden Sprint'!B:B,1,0),"-")=B1265,"Devam Eden Sprint","-")</f>
        <v>Devam Eden Sprint</v>
      </c>
      <c r="H1265" t="str">
        <f>IF(IFERROR(VLOOKUP(B1265,'Gelecek Sprint'!B:B,1,0),"-")=B1265,"Gelecek Sprint","-")</f>
        <v>-</v>
      </c>
      <c r="I1265" t="str">
        <f t="shared" si="39"/>
        <v>Devam Eden Sprint</v>
      </c>
      <c r="J1265">
        <v>2</v>
      </c>
    </row>
    <row r="1266" spans="1:10" x14ac:dyDescent="0.25">
      <c r="A1266" t="s">
        <v>14</v>
      </c>
      <c r="B1266" t="s">
        <v>2782</v>
      </c>
      <c r="C1266" t="s">
        <v>16</v>
      </c>
      <c r="D1266" t="s">
        <v>2792</v>
      </c>
      <c r="E1266" s="5" t="s">
        <v>1620</v>
      </c>
      <c r="F1266" s="5" t="str">
        <f>VLOOKUP(B1266,'Türkkep Jira'!B:F,5,0)</f>
        <v>Done</v>
      </c>
      <c r="G1266" t="str">
        <f>IF(IFERROR(VLOOKUP(B1266,'Devam Eden Sprint'!B:B,1,0),"-")=B1266,"Devam Eden Sprint","-")</f>
        <v>Devam Eden Sprint</v>
      </c>
      <c r="H1266" t="str">
        <f>IF(IFERROR(VLOOKUP(B1266,'Gelecek Sprint'!B:B,1,0),"-")=B1266,"Gelecek Sprint","-")</f>
        <v>-</v>
      </c>
      <c r="I1266" t="str">
        <f t="shared" si="39"/>
        <v>Devam Eden Sprint</v>
      </c>
      <c r="J1266">
        <v>1</v>
      </c>
    </row>
    <row r="1267" spans="1:10" x14ac:dyDescent="0.25">
      <c r="A1267" t="s">
        <v>14</v>
      </c>
      <c r="B1267" t="s">
        <v>2783</v>
      </c>
      <c r="C1267" t="s">
        <v>16</v>
      </c>
      <c r="D1267" t="s">
        <v>2793</v>
      </c>
      <c r="E1267" s="5" t="s">
        <v>1620</v>
      </c>
      <c r="F1267" s="5" t="str">
        <f>VLOOKUP(B1267,'Türkkep Jira'!B:F,5,0)</f>
        <v>Done</v>
      </c>
      <c r="G1267" t="str">
        <f>IF(IFERROR(VLOOKUP(B1267,'Devam Eden Sprint'!B:B,1,0),"-")=B1267,"Devam Eden Sprint","-")</f>
        <v>Devam Eden Sprint</v>
      </c>
      <c r="H1267" t="str">
        <f>IF(IFERROR(VLOOKUP(B1267,'Gelecek Sprint'!B:B,1,0),"-")=B1267,"Gelecek Sprint","-")</f>
        <v>-</v>
      </c>
      <c r="I1267" t="str">
        <f t="shared" si="39"/>
        <v>Devam Eden Sprint</v>
      </c>
      <c r="J1267">
        <v>1</v>
      </c>
    </row>
    <row r="1268" spans="1:10" x14ac:dyDescent="0.25">
      <c r="A1268" t="s">
        <v>77</v>
      </c>
      <c r="B1268" t="s">
        <v>2784</v>
      </c>
      <c r="C1268" t="s">
        <v>16</v>
      </c>
      <c r="D1268" t="s">
        <v>2794</v>
      </c>
      <c r="E1268" s="5" t="s">
        <v>53</v>
      </c>
      <c r="F1268" s="5" t="e">
        <f>VLOOKUP(B1268,'Türkkep Jira'!B:F,5,0)</f>
        <v>#N/A</v>
      </c>
      <c r="G1268" t="str">
        <f>IF(IFERROR(VLOOKUP(B1268,'Devam Eden Sprint'!B:B,1,0),"-")=B1268,"Devam Eden Sprint","-")</f>
        <v>-</v>
      </c>
      <c r="H1268" t="str">
        <f>IF(IFERROR(VLOOKUP(B1268,'Gelecek Sprint'!B:B,1,0),"-")=B1268,"Gelecek Sprint","-")</f>
        <v>-</v>
      </c>
      <c r="I1268" t="str">
        <f t="shared" si="39"/>
        <v>Ürün İş Listesi</v>
      </c>
      <c r="J1268">
        <v>2</v>
      </c>
    </row>
    <row r="1269" spans="1:10" x14ac:dyDescent="0.25">
      <c r="A1269" t="s">
        <v>14</v>
      </c>
      <c r="B1269" t="s">
        <v>2785</v>
      </c>
      <c r="C1269" t="s">
        <v>16</v>
      </c>
      <c r="D1269" t="s">
        <v>2795</v>
      </c>
      <c r="E1269" s="5" t="s">
        <v>53</v>
      </c>
      <c r="F1269" s="5" t="e">
        <f>VLOOKUP(B1269,'Türkkep Jira'!B:F,5,0)</f>
        <v>#N/A</v>
      </c>
      <c r="G1269" t="str">
        <f>IF(IFERROR(VLOOKUP(B1269,'Devam Eden Sprint'!B:B,1,0),"-")=B1269,"Devam Eden Sprint","-")</f>
        <v>-</v>
      </c>
      <c r="H1269" t="str">
        <f>IF(IFERROR(VLOOKUP(B1269,'Gelecek Sprint'!B:B,1,0),"-")=B1269,"Gelecek Sprint","-")</f>
        <v>-</v>
      </c>
      <c r="I1269" t="str">
        <f t="shared" si="39"/>
        <v>Ürün İş Listesi</v>
      </c>
      <c r="J1269">
        <v>1</v>
      </c>
    </row>
    <row r="1270" spans="1:10" x14ac:dyDescent="0.25">
      <c r="A1270" t="s">
        <v>14</v>
      </c>
      <c r="B1270" t="s">
        <v>2786</v>
      </c>
      <c r="C1270" t="s">
        <v>16</v>
      </c>
      <c r="D1270" t="s">
        <v>2796</v>
      </c>
      <c r="E1270" s="5" t="s">
        <v>53</v>
      </c>
      <c r="F1270" s="5" t="e">
        <f>VLOOKUP(B1270,'Türkkep Jira'!B:F,5,0)</f>
        <v>#N/A</v>
      </c>
      <c r="G1270" t="str">
        <f>IF(IFERROR(VLOOKUP(B1270,'Devam Eden Sprint'!B:B,1,0),"-")=B1270,"Devam Eden Sprint","-")</f>
        <v>-</v>
      </c>
      <c r="H1270" t="str">
        <f>IF(IFERROR(VLOOKUP(B1270,'Gelecek Sprint'!B:B,1,0),"-")=B1270,"Gelecek Sprint","-")</f>
        <v>-</v>
      </c>
      <c r="I1270" t="str">
        <f t="shared" si="39"/>
        <v>Ürün İş Listesi</v>
      </c>
      <c r="J1270">
        <v>2</v>
      </c>
    </row>
    <row r="1271" spans="1:10" x14ac:dyDescent="0.25">
      <c r="A1271" t="s">
        <v>77</v>
      </c>
      <c r="B1271" t="s">
        <v>2787</v>
      </c>
      <c r="C1271" t="s">
        <v>16</v>
      </c>
      <c r="D1271" t="s">
        <v>2797</v>
      </c>
      <c r="E1271" s="5" t="s">
        <v>47</v>
      </c>
      <c r="F1271" s="5" t="str">
        <f>VLOOKUP(B1271,'Türkkep Jira'!B:F,5,0)</f>
        <v>Done</v>
      </c>
      <c r="G1271" t="str">
        <f>IF(IFERROR(VLOOKUP(B1271,'Devam Eden Sprint'!B:B,1,0),"-")=B1271,"Devam Eden Sprint","-")</f>
        <v>-</v>
      </c>
      <c r="H1271" t="str">
        <f>IF(IFERROR(VLOOKUP(B1271,'Gelecek Sprint'!B:B,1,0),"-")=B1271,"Gelecek Sprint","-")</f>
        <v>-</v>
      </c>
      <c r="I1271" t="str">
        <f t="shared" si="39"/>
        <v>Ürün İş Listesi</v>
      </c>
      <c r="J1271">
        <v>2</v>
      </c>
    </row>
    <row r="1272" spans="1:10" x14ac:dyDescent="0.25">
      <c r="A1272" t="s">
        <v>14</v>
      </c>
      <c r="B1272" t="s">
        <v>2788</v>
      </c>
      <c r="C1272" t="s">
        <v>16</v>
      </c>
      <c r="D1272" t="s">
        <v>2798</v>
      </c>
      <c r="E1272" s="5" t="s">
        <v>47</v>
      </c>
      <c r="F1272" s="5" t="str">
        <f>VLOOKUP(B1272,'Türkkep Jira'!B:F,5,0)</f>
        <v>Done</v>
      </c>
      <c r="G1272" t="str">
        <f>IF(IFERROR(VLOOKUP(B1272,'Devam Eden Sprint'!B:B,1,0),"-")=B1272,"Devam Eden Sprint","-")</f>
        <v>Devam Eden Sprint</v>
      </c>
      <c r="H1272" t="str">
        <f>IF(IFERROR(VLOOKUP(B1272,'Gelecek Sprint'!B:B,1,0),"-")=B1272,"Gelecek Sprint","-")</f>
        <v>-</v>
      </c>
      <c r="I1272" t="str">
        <f t="shared" si="39"/>
        <v>Devam Eden Sprint</v>
      </c>
      <c r="J1272">
        <v>3</v>
      </c>
    </row>
    <row r="1273" spans="1:10" x14ac:dyDescent="0.25">
      <c r="A1273" t="s">
        <v>77</v>
      </c>
      <c r="B1273" t="s">
        <v>2777</v>
      </c>
      <c r="C1273" t="s">
        <v>16</v>
      </c>
      <c r="D1273" t="s">
        <v>2778</v>
      </c>
      <c r="E1273" s="5" t="s">
        <v>1620</v>
      </c>
      <c r="F1273" s="5" t="str">
        <f>VLOOKUP(B1273,'Türkkep Jira'!B:F,5,0)</f>
        <v>Done</v>
      </c>
      <c r="G1273" t="str">
        <f>IF(IFERROR(VLOOKUP(B1273,'Devam Eden Sprint'!B:B,1,0),"-")=B1273,"Devam Eden Sprint","-")</f>
        <v>-</v>
      </c>
      <c r="H1273" t="str">
        <f>IF(IFERROR(VLOOKUP(B1273,'Gelecek Sprint'!B:B,1,0),"-")=B1273,"Gelecek Sprint","-")</f>
        <v>-</v>
      </c>
      <c r="I1273" t="str">
        <f t="shared" si="39"/>
        <v>Ürün İş Listesi</v>
      </c>
      <c r="J1273">
        <v>1</v>
      </c>
    </row>
    <row r="1274" spans="1:10" x14ac:dyDescent="0.25">
      <c r="A1274" t="s">
        <v>77</v>
      </c>
      <c r="B1274" t="s">
        <v>2838</v>
      </c>
      <c r="C1274" t="s">
        <v>16</v>
      </c>
      <c r="D1274" t="s">
        <v>2839</v>
      </c>
      <c r="E1274" s="5" t="s">
        <v>41</v>
      </c>
      <c r="F1274" s="5" t="str">
        <f>VLOOKUP(B1274,'Türkkep Jira'!B:F,5,0)</f>
        <v>Done</v>
      </c>
      <c r="G1274" t="str">
        <f>IF(IFERROR(VLOOKUP(B1274,'Devam Eden Sprint'!B:B,1,0),"-")=B1274,"Devam Eden Sprint","-")</f>
        <v>-</v>
      </c>
      <c r="H1274" t="str">
        <f>IF(IFERROR(VLOOKUP(B1274,'Gelecek Sprint'!B:B,1,0),"-")=B1274,"Gelecek Sprint","-")</f>
        <v>-</v>
      </c>
      <c r="I1274" t="str">
        <f t="shared" ref="I1274:I1279" si="40">IFERROR(IF(AND(G1274="Devam Eden Sprint",H1274="Gelecek Sprint"),"Devam Eden ve Gelecek Sprint",IF(G1274="Devam Eden Sprint","Devam Eden Sprint",IF(H1274="Gelecek Sprint","Gelecek Sprint","Ürün İş Listesi"))),"Ürün İş Listesi")</f>
        <v>Ürün İş Listesi</v>
      </c>
      <c r="J1274"/>
    </row>
    <row r="1275" spans="1:10" x14ac:dyDescent="0.25">
      <c r="A1275" t="s">
        <v>14</v>
      </c>
      <c r="B1275" t="s">
        <v>2840</v>
      </c>
      <c r="C1275" t="s">
        <v>16</v>
      </c>
      <c r="D1275" t="s">
        <v>2841</v>
      </c>
      <c r="E1275" s="5" t="s">
        <v>41</v>
      </c>
      <c r="F1275" s="5" t="e">
        <f>VLOOKUP(B1275,'Türkkep Jira'!B:F,5,0)</f>
        <v>#N/A</v>
      </c>
      <c r="G1275" t="str">
        <f>IF(IFERROR(VLOOKUP(B1275,'Devam Eden Sprint'!B:B,1,0),"-")=B1275,"Devam Eden Sprint","-")</f>
        <v>-</v>
      </c>
      <c r="H1275" t="str">
        <f>IF(IFERROR(VLOOKUP(B1275,'Gelecek Sprint'!B:B,1,0),"-")=B1275,"Gelecek Sprint","-")</f>
        <v>-</v>
      </c>
      <c r="I1275" t="str">
        <f t="shared" si="40"/>
        <v>Ürün İş Listesi</v>
      </c>
      <c r="J1275"/>
    </row>
    <row r="1276" spans="1:10" x14ac:dyDescent="0.25">
      <c r="A1276" t="s">
        <v>77</v>
      </c>
      <c r="B1276" t="s">
        <v>2842</v>
      </c>
      <c r="C1276" t="s">
        <v>16</v>
      </c>
      <c r="D1276" t="s">
        <v>2843</v>
      </c>
      <c r="E1276" s="5" t="s">
        <v>41</v>
      </c>
      <c r="F1276" s="5" t="e">
        <f>VLOOKUP(B1276,'Türkkep Jira'!B:F,5,0)</f>
        <v>#N/A</v>
      </c>
      <c r="G1276" t="str">
        <f>IF(IFERROR(VLOOKUP(B1276,'Devam Eden Sprint'!B:B,1,0),"-")=B1276,"Devam Eden Sprint","-")</f>
        <v>-</v>
      </c>
      <c r="H1276" t="str">
        <f>IF(IFERROR(VLOOKUP(B1276,'Gelecek Sprint'!B:B,1,0),"-")=B1276,"Gelecek Sprint","-")</f>
        <v>-</v>
      </c>
      <c r="I1276" t="str">
        <f t="shared" si="40"/>
        <v>Ürün İş Listesi</v>
      </c>
      <c r="J1276"/>
    </row>
    <row r="1277" spans="1:10" x14ac:dyDescent="0.25">
      <c r="A1277" t="s">
        <v>77</v>
      </c>
      <c r="B1277" t="s">
        <v>2844</v>
      </c>
      <c r="C1277" t="s">
        <v>16</v>
      </c>
      <c r="D1277" t="s">
        <v>2845</v>
      </c>
      <c r="E1277" s="5" t="s">
        <v>41</v>
      </c>
      <c r="F1277" s="5" t="e">
        <f>VLOOKUP(B1277,'Türkkep Jira'!B:F,5,0)</f>
        <v>#N/A</v>
      </c>
      <c r="G1277" t="str">
        <f>IF(IFERROR(VLOOKUP(B1277,'Devam Eden Sprint'!B:B,1,0),"-")=B1277,"Devam Eden Sprint","-")</f>
        <v>-</v>
      </c>
      <c r="H1277" t="str">
        <f>IF(IFERROR(VLOOKUP(B1277,'Gelecek Sprint'!B:B,1,0),"-")=B1277,"Gelecek Sprint","-")</f>
        <v>-</v>
      </c>
      <c r="I1277" t="str">
        <f t="shared" si="40"/>
        <v>Ürün İş Listesi</v>
      </c>
      <c r="J1277"/>
    </row>
    <row r="1278" spans="1:10" x14ac:dyDescent="0.25">
      <c r="A1278" t="s">
        <v>77</v>
      </c>
      <c r="B1278" t="s">
        <v>2846</v>
      </c>
      <c r="C1278" t="s">
        <v>16</v>
      </c>
      <c r="D1278" t="s">
        <v>2847</v>
      </c>
      <c r="E1278" s="5" t="s">
        <v>41</v>
      </c>
      <c r="F1278" s="5" t="e">
        <f>VLOOKUP(B1278,'Türkkep Jira'!B:F,5,0)</f>
        <v>#N/A</v>
      </c>
      <c r="G1278" t="str">
        <f>IF(IFERROR(VLOOKUP(B1278,'Devam Eden Sprint'!B:B,1,0),"-")=B1278,"Devam Eden Sprint","-")</f>
        <v>-</v>
      </c>
      <c r="H1278" t="str">
        <f>IF(IFERROR(VLOOKUP(B1278,'Gelecek Sprint'!B:B,1,0),"-")=B1278,"Gelecek Sprint","-")</f>
        <v>-</v>
      </c>
      <c r="I1278" t="str">
        <f t="shared" si="40"/>
        <v>Ürün İş Listesi</v>
      </c>
      <c r="J1278"/>
    </row>
    <row r="1279" spans="1:10" x14ac:dyDescent="0.25">
      <c r="A1279" t="s">
        <v>77</v>
      </c>
      <c r="B1279" t="s">
        <v>2848</v>
      </c>
      <c r="C1279" t="s">
        <v>16</v>
      </c>
      <c r="D1279" t="s">
        <v>2849</v>
      </c>
      <c r="E1279" s="5" t="s">
        <v>41</v>
      </c>
      <c r="F1279" s="5" t="e">
        <f>VLOOKUP(B1279,'Türkkep Jira'!B:F,5,0)</f>
        <v>#N/A</v>
      </c>
      <c r="G1279" t="str">
        <f>IF(IFERROR(VLOOKUP(B1279,'Devam Eden Sprint'!B:B,1,0),"-")=B1279,"Devam Eden Sprint","-")</f>
        <v>-</v>
      </c>
      <c r="H1279" t="str">
        <f>IF(IFERROR(VLOOKUP(B1279,'Gelecek Sprint'!B:B,1,0),"-")=B1279,"Gelecek Sprint","-")</f>
        <v>-</v>
      </c>
      <c r="I1279" t="str">
        <f t="shared" si="40"/>
        <v>Ürün İş Listesi</v>
      </c>
      <c r="J1279"/>
    </row>
    <row r="1280" spans="1:10" x14ac:dyDescent="0.25">
      <c r="A1280" t="s">
        <v>14</v>
      </c>
      <c r="B1280" t="s">
        <v>2851</v>
      </c>
      <c r="C1280" t="s">
        <v>16</v>
      </c>
      <c r="D1280" t="s">
        <v>2852</v>
      </c>
      <c r="E1280" s="5" t="s">
        <v>50</v>
      </c>
      <c r="F1280" s="5" t="str">
        <f>VLOOKUP(B1280,'Türkkep Jira'!B:F,5,0)</f>
        <v>Done</v>
      </c>
      <c r="G1280" t="str">
        <f>IF(IFERROR(VLOOKUP(B1280,'Devam Eden Sprint'!B:B,1,0),"-")=B1280,"Devam Eden Sprint","-")</f>
        <v>Devam Eden Sprint</v>
      </c>
      <c r="H1280" t="str">
        <f>IF(IFERROR(VLOOKUP(B1280,'Gelecek Sprint'!B:B,1,0),"-")=B1280,"Gelecek Sprint","-")</f>
        <v>-</v>
      </c>
      <c r="I1280" t="str">
        <f t="shared" ref="I1280:I1303" si="41">IFERROR(IF(AND(G1280="Devam Eden Sprint",H1280="Gelecek Sprint"),"Devam Eden ve Gelecek Sprint",IF(G1280="Devam Eden Sprint","Devam Eden Sprint",IF(H1280="Gelecek Sprint","Gelecek Sprint","Ürün İş Listesi"))),"Ürün İş Listesi")</f>
        <v>Devam Eden Sprint</v>
      </c>
      <c r="J1280"/>
    </row>
    <row r="1281" spans="1:10" x14ac:dyDescent="0.25">
      <c r="A1281" t="s">
        <v>14</v>
      </c>
      <c r="B1281" t="s">
        <v>2853</v>
      </c>
      <c r="C1281" t="s">
        <v>10</v>
      </c>
      <c r="D1281" t="s">
        <v>1298</v>
      </c>
      <c r="E1281" s="5" t="s">
        <v>50</v>
      </c>
      <c r="F1281" s="5" t="str">
        <f>VLOOKUP(B1281,'Türkkep Jira'!B:F,5,0)</f>
        <v>To Do</v>
      </c>
      <c r="G1281" t="str">
        <f>IF(IFERROR(VLOOKUP(B1281,'Devam Eden Sprint'!B:B,1,0),"-")=B1281,"Devam Eden Sprint","-")</f>
        <v>Devam Eden Sprint</v>
      </c>
      <c r="H1281" t="str">
        <f>IF(IFERROR(VLOOKUP(B1281,'Gelecek Sprint'!B:B,1,0),"-")=B1281,"Gelecek Sprint","-")</f>
        <v>-</v>
      </c>
      <c r="I1281" t="str">
        <f t="shared" si="41"/>
        <v>Devam Eden Sprint</v>
      </c>
      <c r="J1281"/>
    </row>
    <row r="1282" spans="1:10" x14ac:dyDescent="0.25">
      <c r="A1282" t="s">
        <v>77</v>
      </c>
      <c r="B1282" t="s">
        <v>2854</v>
      </c>
      <c r="C1282" t="s">
        <v>16</v>
      </c>
      <c r="D1282" t="s">
        <v>2855</v>
      </c>
      <c r="E1282" s="5" t="s">
        <v>50</v>
      </c>
      <c r="F1282" s="5" t="e">
        <f>VLOOKUP(B1282,'Türkkep Jira'!B:F,5,0)</f>
        <v>#N/A</v>
      </c>
      <c r="G1282" t="str">
        <f>IF(IFERROR(VLOOKUP(B1282,'Devam Eden Sprint'!B:B,1,0),"-")=B1282,"Devam Eden Sprint","-")</f>
        <v>-</v>
      </c>
      <c r="H1282" t="str">
        <f>IF(IFERROR(VLOOKUP(B1282,'Gelecek Sprint'!B:B,1,0),"-")=B1282,"Gelecek Sprint","-")</f>
        <v>-</v>
      </c>
      <c r="I1282" t="str">
        <f t="shared" si="41"/>
        <v>Ürün İş Listesi</v>
      </c>
      <c r="J1282"/>
    </row>
    <row r="1283" spans="1:10" x14ac:dyDescent="0.25">
      <c r="A1283" t="s">
        <v>77</v>
      </c>
      <c r="B1283" t="s">
        <v>2856</v>
      </c>
      <c r="C1283" t="s">
        <v>16</v>
      </c>
      <c r="D1283" t="s">
        <v>2857</v>
      </c>
      <c r="E1283" s="5" t="s">
        <v>50</v>
      </c>
      <c r="F1283" s="5" t="e">
        <f>VLOOKUP(B1283,'Türkkep Jira'!B:F,5,0)</f>
        <v>#N/A</v>
      </c>
      <c r="G1283" t="str">
        <f>IF(IFERROR(VLOOKUP(B1283,'Devam Eden Sprint'!B:B,1,0),"-")=B1283,"Devam Eden Sprint","-")</f>
        <v>-</v>
      </c>
      <c r="H1283" t="str">
        <f>IF(IFERROR(VLOOKUP(B1283,'Gelecek Sprint'!B:B,1,0),"-")=B1283,"Gelecek Sprint","-")</f>
        <v>-</v>
      </c>
      <c r="I1283" t="str">
        <f t="shared" si="41"/>
        <v>Ürün İş Listesi</v>
      </c>
      <c r="J1283"/>
    </row>
    <row r="1284" spans="1:10" x14ac:dyDescent="0.25">
      <c r="A1284" t="s">
        <v>77</v>
      </c>
      <c r="B1284" t="s">
        <v>1884</v>
      </c>
      <c r="C1284" t="s">
        <v>16</v>
      </c>
      <c r="D1284" t="s">
        <v>1946</v>
      </c>
      <c r="E1284" s="5" t="s">
        <v>56</v>
      </c>
      <c r="F1284" s="5" t="str">
        <f>VLOOKUP(B1284,'Türkkep Jira'!B:F,5,0)</f>
        <v>Done</v>
      </c>
      <c r="G1284" t="str">
        <f>IF(IFERROR(VLOOKUP(B1284,'Devam Eden Sprint'!B:B,1,0),"-")=B1284,"Devam Eden Sprint","-")</f>
        <v>-</v>
      </c>
      <c r="H1284" t="str">
        <f>IF(IFERROR(VLOOKUP(B1284,'Gelecek Sprint'!B:B,1,0),"-")=B1284,"Gelecek Sprint","-")</f>
        <v>-</v>
      </c>
      <c r="I1284" t="str">
        <f t="shared" si="41"/>
        <v>Ürün İş Listesi</v>
      </c>
      <c r="J1284"/>
    </row>
    <row r="1285" spans="1:10" x14ac:dyDescent="0.25">
      <c r="A1285" t="s">
        <v>14</v>
      </c>
      <c r="B1285" t="s">
        <v>2863</v>
      </c>
      <c r="C1285" t="s">
        <v>16</v>
      </c>
      <c r="D1285" t="s">
        <v>2864</v>
      </c>
      <c r="E1285" s="5" t="s">
        <v>12</v>
      </c>
      <c r="F1285" s="5" t="str">
        <f>VLOOKUP(B1285,'Türkkep Jira'!B:F,5,0)</f>
        <v>Done</v>
      </c>
      <c r="G1285" t="str">
        <f>IF(IFERROR(VLOOKUP(B1285,'Devam Eden Sprint'!B:B,1,0),"-")=B1285,"Devam Eden Sprint","-")</f>
        <v>-</v>
      </c>
      <c r="H1285" t="str">
        <f>IF(IFERROR(VLOOKUP(B1285,'Gelecek Sprint'!B:B,1,0),"-")=B1285,"Gelecek Sprint","-")</f>
        <v>-</v>
      </c>
      <c r="I1285" t="str">
        <f t="shared" si="41"/>
        <v>Ürün İş Listesi</v>
      </c>
      <c r="J1285"/>
    </row>
    <row r="1286" spans="1:10" x14ac:dyDescent="0.25">
      <c r="A1286" t="s">
        <v>14</v>
      </c>
      <c r="B1286" t="s">
        <v>2865</v>
      </c>
      <c r="C1286" t="s">
        <v>16</v>
      </c>
      <c r="D1286" t="s">
        <v>2866</v>
      </c>
      <c r="E1286" s="5" t="s">
        <v>12</v>
      </c>
      <c r="F1286" s="5" t="e">
        <f>VLOOKUP(B1286,'Türkkep Jira'!B:F,5,0)</f>
        <v>#N/A</v>
      </c>
      <c r="G1286" t="str">
        <f>IF(IFERROR(VLOOKUP(B1286,'Devam Eden Sprint'!B:B,1,0),"-")=B1286,"Devam Eden Sprint","-")</f>
        <v>-</v>
      </c>
      <c r="H1286" t="str">
        <f>IF(IFERROR(VLOOKUP(B1286,'Gelecek Sprint'!B:B,1,0),"-")=B1286,"Gelecek Sprint","-")</f>
        <v>-</v>
      </c>
      <c r="I1286" t="str">
        <f t="shared" si="41"/>
        <v>Ürün İş Listesi</v>
      </c>
      <c r="J1286"/>
    </row>
    <row r="1287" spans="1:10" x14ac:dyDescent="0.25">
      <c r="A1287" t="s">
        <v>14</v>
      </c>
      <c r="B1287" t="s">
        <v>2872</v>
      </c>
      <c r="C1287" t="s">
        <v>26</v>
      </c>
      <c r="D1287" t="s">
        <v>2874</v>
      </c>
      <c r="E1287" s="5" t="s">
        <v>1386</v>
      </c>
      <c r="F1287" s="5" t="str">
        <f>VLOOKUP(B1287,'Türkkep Jira'!B:F,5,0)</f>
        <v>Development</v>
      </c>
      <c r="G1287" t="str">
        <f>IF(IFERROR(VLOOKUP(B1287,'Devam Eden Sprint'!B:B,1,0),"-")=B1287,"Devam Eden Sprint","-")</f>
        <v>Devam Eden Sprint</v>
      </c>
      <c r="H1287" t="str">
        <f>IF(IFERROR(VLOOKUP(B1287,'Gelecek Sprint'!B:B,1,0),"-")=B1287,"Gelecek Sprint","-")</f>
        <v>-</v>
      </c>
      <c r="I1287" t="str">
        <f t="shared" si="41"/>
        <v>Devam Eden Sprint</v>
      </c>
      <c r="J1287"/>
    </row>
    <row r="1288" spans="1:10" x14ac:dyDescent="0.25">
      <c r="A1288" t="s">
        <v>14</v>
      </c>
      <c r="B1288" t="s">
        <v>2875</v>
      </c>
      <c r="C1288" t="s">
        <v>26</v>
      </c>
      <c r="D1288" t="s">
        <v>2876</v>
      </c>
      <c r="E1288" s="5" t="s">
        <v>38</v>
      </c>
      <c r="F1288" s="5" t="str">
        <f>VLOOKUP(B1288,'Türkkep Jira'!B:F,5,0)</f>
        <v>Development</v>
      </c>
      <c r="G1288" t="str">
        <f>IF(IFERROR(VLOOKUP(B1288,'Devam Eden Sprint'!B:B,1,0),"-")=B1288,"Devam Eden Sprint","-")</f>
        <v>Devam Eden Sprint</v>
      </c>
      <c r="H1288" t="str">
        <f>IF(IFERROR(VLOOKUP(B1288,'Gelecek Sprint'!B:B,1,0),"-")=B1288,"Gelecek Sprint","-")</f>
        <v>Gelecek Sprint</v>
      </c>
      <c r="I1288" t="str">
        <f t="shared" si="41"/>
        <v>Devam Eden ve Gelecek Sprint</v>
      </c>
      <c r="J1288"/>
    </row>
    <row r="1289" spans="1:10" x14ac:dyDescent="0.25">
      <c r="A1289" t="s">
        <v>14</v>
      </c>
      <c r="B1289" t="s">
        <v>2877</v>
      </c>
      <c r="C1289" t="s">
        <v>16</v>
      </c>
      <c r="D1289" t="s">
        <v>2878</v>
      </c>
      <c r="E1289" s="5" t="s">
        <v>1386</v>
      </c>
      <c r="F1289" s="5" t="str">
        <f>VLOOKUP(B1289,'Türkkep Jira'!B:F,5,0)</f>
        <v>Done</v>
      </c>
      <c r="G1289" t="str">
        <f>IF(IFERROR(VLOOKUP(B1289,'Devam Eden Sprint'!B:B,1,0),"-")=B1289,"Devam Eden Sprint","-")</f>
        <v>Devam Eden Sprint</v>
      </c>
      <c r="H1289" t="str">
        <f>IF(IFERROR(VLOOKUP(B1289,'Gelecek Sprint'!B:B,1,0),"-")=B1289,"Gelecek Sprint","-")</f>
        <v>-</v>
      </c>
      <c r="I1289" t="str">
        <f t="shared" si="41"/>
        <v>Devam Eden Sprint</v>
      </c>
      <c r="J1289"/>
    </row>
    <row r="1290" spans="1:10" x14ac:dyDescent="0.25">
      <c r="A1290" t="s">
        <v>14</v>
      </c>
      <c r="B1290" t="s">
        <v>2879</v>
      </c>
      <c r="C1290" t="s">
        <v>16</v>
      </c>
      <c r="D1290" t="s">
        <v>2880</v>
      </c>
      <c r="E1290" s="5" t="s">
        <v>38</v>
      </c>
      <c r="F1290" s="5" t="str">
        <f>VLOOKUP(B1290,'Türkkep Jira'!B:F,5,0)</f>
        <v>Done</v>
      </c>
      <c r="G1290" t="str">
        <f>IF(IFERROR(VLOOKUP(B1290,'Devam Eden Sprint'!B:B,1,0),"-")=B1290,"Devam Eden Sprint","-")</f>
        <v>Devam Eden Sprint</v>
      </c>
      <c r="H1290" t="str">
        <f>IF(IFERROR(VLOOKUP(B1290,'Gelecek Sprint'!B:B,1,0),"-")=B1290,"Gelecek Sprint","-")</f>
        <v>-</v>
      </c>
      <c r="I1290" t="str">
        <f t="shared" si="41"/>
        <v>Devam Eden Sprint</v>
      </c>
      <c r="J1290"/>
    </row>
    <row r="1291" spans="1:10" x14ac:dyDescent="0.25">
      <c r="A1291" t="s">
        <v>14</v>
      </c>
      <c r="B1291" t="s">
        <v>2881</v>
      </c>
      <c r="C1291" s="20" t="s">
        <v>16</v>
      </c>
      <c r="D1291" t="s">
        <v>2882</v>
      </c>
      <c r="E1291" s="5" t="s">
        <v>38</v>
      </c>
      <c r="F1291" s="5" t="e">
        <f>VLOOKUP(B1291,'Türkkep Jira'!B:F,5,0)</f>
        <v>#N/A</v>
      </c>
      <c r="G1291" t="str">
        <f>IF(IFERROR(VLOOKUP(B1291,'Devam Eden Sprint'!B:B,1,0),"-")=B1291,"Devam Eden Sprint","-")</f>
        <v>-</v>
      </c>
      <c r="H1291" t="str">
        <f>IF(IFERROR(VLOOKUP(B1291,'Gelecek Sprint'!B:B,1,0),"-")=B1291,"Gelecek Sprint","-")</f>
        <v>-</v>
      </c>
      <c r="I1291" t="str">
        <f t="shared" si="41"/>
        <v>Ürün İş Listesi</v>
      </c>
      <c r="J1291"/>
    </row>
    <row r="1292" spans="1:10" x14ac:dyDescent="0.25">
      <c r="A1292" t="s">
        <v>77</v>
      </c>
      <c r="B1292" t="s">
        <v>2858</v>
      </c>
      <c r="C1292" t="s">
        <v>16</v>
      </c>
      <c r="D1292" t="s">
        <v>2859</v>
      </c>
      <c r="E1292" s="5" t="s">
        <v>2860</v>
      </c>
      <c r="F1292" s="5" t="str">
        <f>VLOOKUP(B1292,'Türkkep Jira'!B:F,5,0)</f>
        <v>Done</v>
      </c>
      <c r="G1292" t="str">
        <f>IF(IFERROR(VLOOKUP(B1292,'Devam Eden Sprint'!B:B,1,0),"-")=B1292,"Devam Eden Sprint","-")</f>
        <v>Devam Eden Sprint</v>
      </c>
      <c r="H1292" t="str">
        <f>IF(IFERROR(VLOOKUP(B1292,'Gelecek Sprint'!B:B,1,0),"-")=B1292,"Gelecek Sprint","-")</f>
        <v>-</v>
      </c>
      <c r="I1292" t="str">
        <f t="shared" si="41"/>
        <v>Devam Eden Sprint</v>
      </c>
      <c r="J1292"/>
    </row>
    <row r="1293" spans="1:10" x14ac:dyDescent="0.25">
      <c r="A1293" t="s">
        <v>14</v>
      </c>
      <c r="B1293" t="s">
        <v>2871</v>
      </c>
      <c r="C1293" t="s">
        <v>16</v>
      </c>
      <c r="D1293" t="s">
        <v>2861</v>
      </c>
      <c r="E1293" s="5" t="s">
        <v>56</v>
      </c>
      <c r="F1293" s="5" t="str">
        <f>VLOOKUP(B1293,'Türkkep Jira'!B:F,5,0)</f>
        <v>Done</v>
      </c>
      <c r="G1293" t="str">
        <f>IF(IFERROR(VLOOKUP(B1293,'Devam Eden Sprint'!B:B,1,0),"-")=B1293,"Devam Eden Sprint","-")</f>
        <v>Devam Eden Sprint</v>
      </c>
      <c r="H1293" t="str">
        <f>IF(IFERROR(VLOOKUP(B1293,'Gelecek Sprint'!B:B,1,0),"-")=B1293,"Gelecek Sprint","-")</f>
        <v>-</v>
      </c>
      <c r="I1293" t="str">
        <f t="shared" si="41"/>
        <v>Devam Eden Sprint</v>
      </c>
      <c r="J1293"/>
    </row>
    <row r="1294" spans="1:10" x14ac:dyDescent="0.25">
      <c r="A1294" t="s">
        <v>14</v>
      </c>
      <c r="B1294" t="s">
        <v>1818</v>
      </c>
      <c r="C1294" t="s">
        <v>10</v>
      </c>
      <c r="D1294" t="s">
        <v>2862</v>
      </c>
      <c r="E1294" s="5" t="s">
        <v>50</v>
      </c>
      <c r="F1294" s="5" t="e">
        <f>VLOOKUP(B1294,'Türkkep Jira'!B:F,5,0)</f>
        <v>#N/A</v>
      </c>
      <c r="G1294" t="str">
        <f>IF(IFERROR(VLOOKUP(B1294,'Devam Eden Sprint'!B:B,1,0),"-")=B1294,"Devam Eden Sprint","-")</f>
        <v>-</v>
      </c>
      <c r="H1294" t="str">
        <f>IF(IFERROR(VLOOKUP(B1294,'Gelecek Sprint'!B:B,1,0),"-")=B1294,"Gelecek Sprint","-")</f>
        <v>-</v>
      </c>
      <c r="I1294" t="str">
        <f t="shared" si="41"/>
        <v>Ürün İş Listesi</v>
      </c>
      <c r="J1294"/>
    </row>
    <row r="1295" spans="1:10" x14ac:dyDescent="0.25">
      <c r="A1295" t="s">
        <v>14</v>
      </c>
      <c r="B1295" t="s">
        <v>2891</v>
      </c>
      <c r="C1295" t="s">
        <v>10</v>
      </c>
      <c r="D1295" t="s">
        <v>2862</v>
      </c>
      <c r="E1295" s="5" t="s">
        <v>59</v>
      </c>
      <c r="F1295" s="5" t="e">
        <f>VLOOKUP(B1295,'Türkkep Jira'!B:F,5,0)</f>
        <v>#N/A</v>
      </c>
      <c r="G1295" t="str">
        <f>IF(IFERROR(VLOOKUP(B1295,'Devam Eden Sprint'!B:B,1,0),"-")=B1295,"Devam Eden Sprint","-")</f>
        <v>-</v>
      </c>
      <c r="H1295" t="str">
        <f>IF(IFERROR(VLOOKUP(B1295,'Gelecek Sprint'!B:B,1,0),"-")=B1295,"Gelecek Sprint","-")</f>
        <v>-</v>
      </c>
      <c r="I1295" t="str">
        <f t="shared" si="41"/>
        <v>Ürün İş Listesi</v>
      </c>
      <c r="J1295"/>
    </row>
    <row r="1296" spans="1:10" x14ac:dyDescent="0.25">
      <c r="A1296" t="s">
        <v>14</v>
      </c>
      <c r="B1296" t="s">
        <v>2829</v>
      </c>
      <c r="C1296" t="s">
        <v>10</v>
      </c>
      <c r="D1296" t="s">
        <v>2828</v>
      </c>
      <c r="E1296" s="5" t="s">
        <v>12</v>
      </c>
      <c r="F1296" s="5" t="str">
        <f>VLOOKUP(B1296,'Türkkep Jira'!B:F,5,0)</f>
        <v>To Do</v>
      </c>
      <c r="G1296" t="str">
        <f>IF(IFERROR(VLOOKUP(B1296,'Devam Eden Sprint'!B:B,1,0),"-")=B1296,"Devam Eden Sprint","-")</f>
        <v>Devam Eden Sprint</v>
      </c>
      <c r="H1296" t="str">
        <f>IF(IFERROR(VLOOKUP(B1296,'Gelecek Sprint'!B:B,1,0),"-")=B1296,"Gelecek Sprint","-")</f>
        <v>Gelecek Sprint</v>
      </c>
      <c r="I1296" t="str">
        <f t="shared" si="41"/>
        <v>Devam Eden ve Gelecek Sprint</v>
      </c>
      <c r="J1296"/>
    </row>
    <row r="1297" spans="1:10" x14ac:dyDescent="0.25">
      <c r="A1297" t="s">
        <v>14</v>
      </c>
      <c r="B1297" t="s">
        <v>2867</v>
      </c>
      <c r="C1297" t="s">
        <v>26</v>
      </c>
      <c r="D1297" t="s">
        <v>2868</v>
      </c>
      <c r="E1297" s="5" t="s">
        <v>12</v>
      </c>
      <c r="F1297" s="5" t="str">
        <f>VLOOKUP(B1297,'Türkkep Jira'!B:F,5,0)</f>
        <v>In Progress</v>
      </c>
      <c r="G1297" t="str">
        <f>IF(IFERROR(VLOOKUP(B1297,'Devam Eden Sprint'!B:B,1,0),"-")=B1297,"Devam Eden Sprint","-")</f>
        <v>Devam Eden Sprint</v>
      </c>
      <c r="H1297" t="str">
        <f>IF(IFERROR(VLOOKUP(B1297,'Gelecek Sprint'!B:B,1,0),"-")=B1297,"Gelecek Sprint","-")</f>
        <v>Gelecek Sprint</v>
      </c>
      <c r="I1297" t="str">
        <f t="shared" si="41"/>
        <v>Devam Eden ve Gelecek Sprint</v>
      </c>
      <c r="J1297"/>
    </row>
    <row r="1298" spans="1:10" x14ac:dyDescent="0.25">
      <c r="A1298" t="s">
        <v>14</v>
      </c>
      <c r="B1298" t="s">
        <v>2834</v>
      </c>
      <c r="C1298" t="s">
        <v>27</v>
      </c>
      <c r="D1298" t="s">
        <v>2833</v>
      </c>
      <c r="E1298" s="5" t="s">
        <v>12</v>
      </c>
      <c r="F1298" s="5" t="str">
        <f>VLOOKUP(B1298,'Türkkep Jira'!B:F,5,0)</f>
        <v>TO TEST</v>
      </c>
      <c r="G1298" t="str">
        <f>IF(IFERROR(VLOOKUP(B1298,'Devam Eden Sprint'!B:B,1,0),"-")=B1298,"Devam Eden Sprint","-")</f>
        <v>Devam Eden Sprint</v>
      </c>
      <c r="H1298" t="str">
        <f>IF(IFERROR(VLOOKUP(B1298,'Gelecek Sprint'!B:B,1,0),"-")=B1298,"Gelecek Sprint","-")</f>
        <v>Gelecek Sprint</v>
      </c>
      <c r="I1298" t="str">
        <f t="shared" si="41"/>
        <v>Devam Eden ve Gelecek Sprint</v>
      </c>
      <c r="J1298"/>
    </row>
    <row r="1299" spans="1:10" x14ac:dyDescent="0.25">
      <c r="A1299" t="s">
        <v>14</v>
      </c>
      <c r="B1299" t="s">
        <v>2869</v>
      </c>
      <c r="C1299" t="s">
        <v>26</v>
      </c>
      <c r="D1299" t="s">
        <v>2870</v>
      </c>
      <c r="E1299" s="5" t="s">
        <v>12</v>
      </c>
      <c r="F1299" s="5" t="str">
        <f>VLOOKUP(B1299,'Türkkep Jira'!B:F,5,0)</f>
        <v>In Progress</v>
      </c>
      <c r="G1299" t="str">
        <f>IF(IFERROR(VLOOKUP(B1299,'Devam Eden Sprint'!B:B,1,0),"-")=B1299,"Devam Eden Sprint","-")</f>
        <v>Devam Eden Sprint</v>
      </c>
      <c r="H1299" t="str">
        <f>IF(IFERROR(VLOOKUP(B1299,'Gelecek Sprint'!B:B,1,0),"-")=B1299,"Gelecek Sprint","-")</f>
        <v>Gelecek Sprint</v>
      </c>
      <c r="I1299" t="str">
        <f t="shared" si="41"/>
        <v>Devam Eden ve Gelecek Sprint</v>
      </c>
      <c r="J1299"/>
    </row>
    <row r="1300" spans="1:10" x14ac:dyDescent="0.25">
      <c r="A1300" t="s">
        <v>14</v>
      </c>
      <c r="B1300" t="s">
        <v>2831</v>
      </c>
      <c r="C1300" t="s">
        <v>27</v>
      </c>
      <c r="D1300" t="s">
        <v>2830</v>
      </c>
      <c r="E1300" s="5" t="s">
        <v>12</v>
      </c>
      <c r="F1300" s="5" t="str">
        <f>VLOOKUP(B1300,'Türkkep Jira'!B:F,5,0)</f>
        <v>TO TEST</v>
      </c>
      <c r="G1300" t="str">
        <f>IF(IFERROR(VLOOKUP(B1300,'Devam Eden Sprint'!B:B,1,0),"-")=B1300,"Devam Eden Sprint","-")</f>
        <v>Devam Eden Sprint</v>
      </c>
      <c r="H1300" t="str">
        <f>IF(IFERROR(VLOOKUP(B1300,'Gelecek Sprint'!B:B,1,0),"-")=B1300,"Gelecek Sprint","-")</f>
        <v>Gelecek Sprint</v>
      </c>
      <c r="I1300" t="str">
        <f t="shared" si="41"/>
        <v>Devam Eden ve Gelecek Sprint</v>
      </c>
      <c r="J1300"/>
    </row>
    <row r="1301" spans="1:10" x14ac:dyDescent="0.25">
      <c r="A1301" t="s">
        <v>14</v>
      </c>
      <c r="B1301" t="s">
        <v>2884</v>
      </c>
      <c r="C1301" t="s">
        <v>16</v>
      </c>
      <c r="D1301" t="s">
        <v>2885</v>
      </c>
      <c r="E1301" s="5" t="s">
        <v>41</v>
      </c>
      <c r="F1301" s="5" t="str">
        <f>VLOOKUP(B1301,'Türkkep Jira'!B:F,5,0)</f>
        <v>Done</v>
      </c>
      <c r="G1301" t="str">
        <f>IF(IFERROR(VLOOKUP(B1301,'Devam Eden Sprint'!B:B,1,0),"-")=B1301,"Devam Eden Sprint","-")</f>
        <v>Devam Eden Sprint</v>
      </c>
      <c r="H1301" t="str">
        <f>IF(IFERROR(VLOOKUP(B1301,'Gelecek Sprint'!B:B,1,0),"-")=B1301,"Gelecek Sprint","-")</f>
        <v>-</v>
      </c>
      <c r="I1301" t="str">
        <f t="shared" si="41"/>
        <v>Devam Eden Sprint</v>
      </c>
      <c r="J1301"/>
    </row>
    <row r="1302" spans="1:10" x14ac:dyDescent="0.25">
      <c r="A1302" t="s">
        <v>2886</v>
      </c>
      <c r="B1302" t="s">
        <v>2887</v>
      </c>
      <c r="C1302" t="s">
        <v>16</v>
      </c>
      <c r="D1302" t="s">
        <v>2888</v>
      </c>
      <c r="E1302" s="5" t="s">
        <v>41</v>
      </c>
      <c r="F1302" s="5" t="str">
        <f>VLOOKUP(B1302,'Türkkep Jira'!B:F,5,0)</f>
        <v>Done</v>
      </c>
      <c r="G1302" t="str">
        <f>IF(IFERROR(VLOOKUP(B1302,'Devam Eden Sprint'!B:B,1,0),"-")=B1302,"Devam Eden Sprint","-")</f>
        <v>-</v>
      </c>
      <c r="H1302" t="str">
        <f>IF(IFERROR(VLOOKUP(B1302,'Gelecek Sprint'!B:B,1,0),"-")=B1302,"Gelecek Sprint","-")</f>
        <v>-</v>
      </c>
      <c r="I1302" t="str">
        <f t="shared" si="41"/>
        <v>Ürün İş Listesi</v>
      </c>
      <c r="J1302"/>
    </row>
    <row r="1303" spans="1:10" x14ac:dyDescent="0.25">
      <c r="A1303" t="s">
        <v>14</v>
      </c>
      <c r="B1303" t="s">
        <v>2889</v>
      </c>
      <c r="C1303" t="s">
        <v>26</v>
      </c>
      <c r="D1303" t="s">
        <v>2890</v>
      </c>
      <c r="E1303" s="5" t="s">
        <v>41</v>
      </c>
      <c r="F1303" s="5" t="str">
        <f>VLOOKUP(B1303,'Türkkep Jira'!B:F,5,0)</f>
        <v>Development</v>
      </c>
      <c r="G1303" t="str">
        <f>IF(IFERROR(VLOOKUP(B1303,'Devam Eden Sprint'!B:B,1,0),"-")=B1303,"Devam Eden Sprint","-")</f>
        <v>Devam Eden Sprint</v>
      </c>
      <c r="H1303" t="str">
        <f>IF(IFERROR(VLOOKUP(B1303,'Gelecek Sprint'!B:B,1,0),"-")=B1303,"Gelecek Sprint","-")</f>
        <v>Gelecek Sprint</v>
      </c>
      <c r="I1303" t="str">
        <f t="shared" si="41"/>
        <v>Devam Eden ve Gelecek Sprint</v>
      </c>
      <c r="J1303"/>
    </row>
    <row r="1304" spans="1:10" x14ac:dyDescent="0.25">
      <c r="A1304" t="s">
        <v>14</v>
      </c>
      <c r="B1304" t="s">
        <v>3165</v>
      </c>
      <c r="C1304" t="s">
        <v>26</v>
      </c>
      <c r="D1304" t="s">
        <v>3168</v>
      </c>
      <c r="E1304" s="5" t="s">
        <v>41</v>
      </c>
      <c r="F1304" s="5" t="str">
        <f>VLOOKUP(B1304,'Türkkep Jira'!B:F,5,0)</f>
        <v>Development</v>
      </c>
      <c r="G1304" t="str">
        <f>IF(IFERROR(VLOOKUP(B1304,'Devam Eden Sprint'!B:B,1,0),"-")=B1304,"Devam Eden Sprint","-")</f>
        <v>Devam Eden Sprint</v>
      </c>
      <c r="H1304" t="str">
        <f>IF(IFERROR(VLOOKUP(B1304,'Gelecek Sprint'!B:B,1,0),"-")=B1304,"Gelecek Sprint","-")</f>
        <v>Gelecek Sprint</v>
      </c>
      <c r="I1304" t="str">
        <f t="shared" ref="I1304:I1325" si="42">IFERROR(IF(AND(G1304="Devam Eden Sprint",H1304="Gelecek Sprint"),"Devam Eden ve Gelecek Sprint",IF(G1304="Devam Eden Sprint","Devam Eden Sprint",IF(H1304="Gelecek Sprint","Gelecek Sprint","Ürün İş Listesi"))),"Ürün İş Listesi")</f>
        <v>Devam Eden ve Gelecek Sprint</v>
      </c>
      <c r="J1304"/>
    </row>
    <row r="1305" spans="1:10" x14ac:dyDescent="0.25">
      <c r="A1305" t="s">
        <v>77</v>
      </c>
      <c r="B1305" t="s">
        <v>3166</v>
      </c>
      <c r="C1305" t="s">
        <v>27</v>
      </c>
      <c r="D1305" t="s">
        <v>3169</v>
      </c>
      <c r="E1305" s="5" t="s">
        <v>41</v>
      </c>
      <c r="F1305" s="5" t="str">
        <f>VLOOKUP(B1305,'Türkkep Jira'!B:F,5,0)</f>
        <v>TO TEST</v>
      </c>
      <c r="G1305" t="str">
        <f>IF(IFERROR(VLOOKUP(B1305,'Devam Eden Sprint'!B:B,1,0),"-")=B1305,"Devam Eden Sprint","-")</f>
        <v>Devam Eden Sprint</v>
      </c>
      <c r="H1305" t="str">
        <f>IF(IFERROR(VLOOKUP(B1305,'Gelecek Sprint'!B:B,1,0),"-")=B1305,"Gelecek Sprint","-")</f>
        <v>Gelecek Sprint</v>
      </c>
      <c r="I1305" t="str">
        <f t="shared" si="42"/>
        <v>Devam Eden ve Gelecek Sprint</v>
      </c>
      <c r="J1305"/>
    </row>
    <row r="1306" spans="1:10" x14ac:dyDescent="0.25">
      <c r="A1306" t="s">
        <v>14</v>
      </c>
      <c r="B1306" t="s">
        <v>3167</v>
      </c>
      <c r="C1306" t="s">
        <v>1922</v>
      </c>
      <c r="D1306" t="s">
        <v>3170</v>
      </c>
      <c r="E1306" s="5" t="s">
        <v>35</v>
      </c>
      <c r="F1306" s="5" t="str">
        <f>VLOOKUP(B1306,'Türkkep Jira'!B:F,5,0)</f>
        <v>TEST</v>
      </c>
      <c r="G1306" t="str">
        <f>IF(IFERROR(VLOOKUP(B1306,'Devam Eden Sprint'!B:B,1,0),"-")=B1306,"Devam Eden Sprint","-")</f>
        <v>Devam Eden Sprint</v>
      </c>
      <c r="H1306" t="str">
        <f>IF(IFERROR(VLOOKUP(B1306,'Gelecek Sprint'!B:B,1,0),"-")=B1306,"Gelecek Sprint","-")</f>
        <v>Gelecek Sprint</v>
      </c>
      <c r="I1306" t="str">
        <f t="shared" si="42"/>
        <v>Devam Eden ve Gelecek Sprint</v>
      </c>
      <c r="J1306">
        <v>2</v>
      </c>
    </row>
    <row r="1307" spans="1:10" x14ac:dyDescent="0.25">
      <c r="A1307" t="s">
        <v>14</v>
      </c>
      <c r="B1307" t="s">
        <v>3181</v>
      </c>
      <c r="C1307" t="s">
        <v>16</v>
      </c>
      <c r="D1307" t="s">
        <v>3182</v>
      </c>
      <c r="E1307" s="5" t="s">
        <v>12</v>
      </c>
      <c r="F1307" s="5" t="str">
        <f>VLOOKUP(B1307,'Türkkep Jira'!B:F,5,0)</f>
        <v>Done</v>
      </c>
      <c r="G1307" t="str">
        <f>IF(IFERROR(VLOOKUP(B1307,'Devam Eden Sprint'!B:B,1,0),"-")=B1307,"Devam Eden Sprint","-")</f>
        <v>Devam Eden Sprint</v>
      </c>
      <c r="H1307" t="str">
        <f>IF(IFERROR(VLOOKUP(B1307,'Gelecek Sprint'!B:B,1,0),"-")=B1307,"Gelecek Sprint","-")</f>
        <v>-</v>
      </c>
      <c r="I1307" t="str">
        <f t="shared" si="42"/>
        <v>Devam Eden Sprint</v>
      </c>
      <c r="J1307">
        <v>1</v>
      </c>
    </row>
    <row r="1308" spans="1:10" x14ac:dyDescent="0.25">
      <c r="A1308" t="s">
        <v>14</v>
      </c>
      <c r="B1308" t="s">
        <v>3183</v>
      </c>
      <c r="C1308" t="s">
        <v>27</v>
      </c>
      <c r="D1308" t="s">
        <v>3184</v>
      </c>
      <c r="E1308" s="5" t="s">
        <v>12</v>
      </c>
      <c r="F1308" s="5" t="str">
        <f>VLOOKUP(B1308,'Türkkep Jira'!B:F,5,0)</f>
        <v>TO TEST</v>
      </c>
      <c r="G1308" t="str">
        <f>IF(IFERROR(VLOOKUP(B1308,'Devam Eden Sprint'!B:B,1,0),"-")=B1308,"Devam Eden Sprint","-")</f>
        <v>Devam Eden Sprint</v>
      </c>
      <c r="H1308" t="str">
        <f>IF(IFERROR(VLOOKUP(B1308,'Gelecek Sprint'!B:B,1,0),"-")=B1308,"Gelecek Sprint","-")</f>
        <v>Gelecek Sprint</v>
      </c>
      <c r="I1308" t="str">
        <f t="shared" si="42"/>
        <v>Devam Eden ve Gelecek Sprint</v>
      </c>
      <c r="J1308">
        <v>1</v>
      </c>
    </row>
    <row r="1309" spans="1:10" x14ac:dyDescent="0.25">
      <c r="A1309" t="s">
        <v>14</v>
      </c>
      <c r="B1309" t="s">
        <v>3171</v>
      </c>
      <c r="C1309" t="s">
        <v>10</v>
      </c>
      <c r="D1309" t="s">
        <v>3172</v>
      </c>
      <c r="E1309" s="5" t="s">
        <v>41</v>
      </c>
      <c r="F1309" s="5" t="str">
        <f>VLOOKUP(B1309,'Türkkep Jira'!B:F,5,0)</f>
        <v>To Do</v>
      </c>
      <c r="G1309" t="str">
        <f>IF(IFERROR(VLOOKUP(B1309,'Devam Eden Sprint'!B:B,1,0),"-")=B1309,"Devam Eden Sprint","-")</f>
        <v>-</v>
      </c>
      <c r="H1309" t="str">
        <f>IF(IFERROR(VLOOKUP(B1309,'Gelecek Sprint'!B:B,1,0),"-")=B1309,"Gelecek Sprint","-")</f>
        <v>Gelecek Sprint</v>
      </c>
      <c r="I1309" t="str">
        <f t="shared" si="42"/>
        <v>Gelecek Sprint</v>
      </c>
      <c r="J1309">
        <v>1</v>
      </c>
    </row>
    <row r="1310" spans="1:10" x14ac:dyDescent="0.25">
      <c r="A1310" t="s">
        <v>14</v>
      </c>
      <c r="B1310" t="s">
        <v>3173</v>
      </c>
      <c r="C1310" t="s">
        <v>10</v>
      </c>
      <c r="D1310" t="s">
        <v>3174</v>
      </c>
      <c r="E1310" s="5" t="s">
        <v>41</v>
      </c>
      <c r="F1310" s="5" t="str">
        <f>VLOOKUP(B1310,'Türkkep Jira'!B:F,5,0)</f>
        <v>To Do</v>
      </c>
      <c r="G1310" t="str">
        <f>IF(IFERROR(VLOOKUP(B1310,'Devam Eden Sprint'!B:B,1,0),"-")=B1310,"Devam Eden Sprint","-")</f>
        <v>-</v>
      </c>
      <c r="H1310" t="str">
        <f>IF(IFERROR(VLOOKUP(B1310,'Gelecek Sprint'!B:B,1,0),"-")=B1310,"Gelecek Sprint","-")</f>
        <v>Gelecek Sprint</v>
      </c>
      <c r="I1310" t="str">
        <f t="shared" si="42"/>
        <v>Gelecek Sprint</v>
      </c>
      <c r="J1310"/>
    </row>
    <row r="1311" spans="1:10" x14ac:dyDescent="0.25">
      <c r="A1311" t="s">
        <v>14</v>
      </c>
      <c r="B1311" t="s">
        <v>3175</v>
      </c>
      <c r="C1311" t="s">
        <v>10</v>
      </c>
      <c r="D1311" t="s">
        <v>3176</v>
      </c>
      <c r="E1311" s="5" t="s">
        <v>41</v>
      </c>
      <c r="F1311" s="5" t="str">
        <f>VLOOKUP(B1311,'Türkkep Jira'!B:F,5,0)</f>
        <v>To Do</v>
      </c>
      <c r="G1311" t="str">
        <f>IF(IFERROR(VLOOKUP(B1311,'Devam Eden Sprint'!B:B,1,0),"-")=B1311,"Devam Eden Sprint","-")</f>
        <v>-</v>
      </c>
      <c r="H1311" t="str">
        <f>IF(IFERROR(VLOOKUP(B1311,'Gelecek Sprint'!B:B,1,0),"-")=B1311,"Gelecek Sprint","-")</f>
        <v>Gelecek Sprint</v>
      </c>
      <c r="I1311" t="str">
        <f t="shared" si="42"/>
        <v>Gelecek Sprint</v>
      </c>
      <c r="J1311"/>
    </row>
    <row r="1312" spans="1:10" x14ac:dyDescent="0.25">
      <c r="A1312" t="s">
        <v>14</v>
      </c>
      <c r="B1312" t="s">
        <v>3177</v>
      </c>
      <c r="C1312" t="s">
        <v>26</v>
      </c>
      <c r="D1312" t="s">
        <v>3178</v>
      </c>
      <c r="E1312" s="5" t="s">
        <v>41</v>
      </c>
      <c r="F1312" s="5" t="str">
        <f>VLOOKUP(B1312,'Türkkep Jira'!B:F,5,0)</f>
        <v>Development</v>
      </c>
      <c r="G1312" t="str">
        <f>IF(IFERROR(VLOOKUP(B1312,'Devam Eden Sprint'!B:B,1,0),"-")=B1312,"Devam Eden Sprint","-")</f>
        <v>-</v>
      </c>
      <c r="H1312" t="str">
        <f>IF(IFERROR(VLOOKUP(B1312,'Gelecek Sprint'!B:B,1,0),"-")=B1312,"Gelecek Sprint","-")</f>
        <v>Gelecek Sprint</v>
      </c>
      <c r="I1312" t="str">
        <f t="shared" si="42"/>
        <v>Gelecek Sprint</v>
      </c>
      <c r="J1312">
        <v>3</v>
      </c>
    </row>
    <row r="1313" spans="1:10" x14ac:dyDescent="0.25">
      <c r="A1313" t="s">
        <v>14</v>
      </c>
      <c r="B1313" t="s">
        <v>3179</v>
      </c>
      <c r="C1313" t="s">
        <v>10</v>
      </c>
      <c r="D1313" t="s">
        <v>3180</v>
      </c>
      <c r="E1313" s="5" t="s">
        <v>41</v>
      </c>
      <c r="F1313" s="5" t="str">
        <f>VLOOKUP(B1313,'Türkkep Jira'!B:F,5,0)</f>
        <v>To Do</v>
      </c>
      <c r="G1313" t="str">
        <f>IF(IFERROR(VLOOKUP(B1313,'Devam Eden Sprint'!B:B,1,0),"-")=B1313,"Devam Eden Sprint","-")</f>
        <v>-</v>
      </c>
      <c r="H1313" t="str">
        <f>IF(IFERROR(VLOOKUP(B1313,'Gelecek Sprint'!B:B,1,0),"-")=B1313,"Gelecek Sprint","-")</f>
        <v>Gelecek Sprint</v>
      </c>
      <c r="I1313" t="str">
        <f t="shared" si="42"/>
        <v>Gelecek Sprint</v>
      </c>
      <c r="J1313"/>
    </row>
    <row r="1314" spans="1:10" x14ac:dyDescent="0.25">
      <c r="A1314" t="s">
        <v>14</v>
      </c>
      <c r="B1314" t="s">
        <v>3185</v>
      </c>
      <c r="C1314" t="s">
        <v>10</v>
      </c>
      <c r="D1314" t="s">
        <v>3187</v>
      </c>
      <c r="E1314" s="5" t="s">
        <v>12</v>
      </c>
      <c r="F1314" s="5" t="str">
        <f>VLOOKUP(B1314,'Türkkep Jira'!B:F,5,0)</f>
        <v>To Do</v>
      </c>
      <c r="G1314" t="str">
        <f>IF(IFERROR(VLOOKUP(B1314,'Devam Eden Sprint'!B:B,1,0),"-")=B1314,"Devam Eden Sprint","-")</f>
        <v>-</v>
      </c>
      <c r="H1314" t="str">
        <f>IF(IFERROR(VLOOKUP(B1314,'Gelecek Sprint'!B:B,1,0),"-")=B1314,"Gelecek Sprint","-")</f>
        <v>Gelecek Sprint</v>
      </c>
      <c r="I1314" t="str">
        <f t="shared" si="42"/>
        <v>Gelecek Sprint</v>
      </c>
      <c r="J1314">
        <v>2</v>
      </c>
    </row>
    <row r="1315" spans="1:10" x14ac:dyDescent="0.25">
      <c r="A1315" t="s">
        <v>14</v>
      </c>
      <c r="B1315" t="s">
        <v>3186</v>
      </c>
      <c r="C1315" t="s">
        <v>10</v>
      </c>
      <c r="D1315" t="s">
        <v>3188</v>
      </c>
      <c r="E1315" s="5" t="s">
        <v>12</v>
      </c>
      <c r="F1315" s="5" t="str">
        <f>VLOOKUP(B1315,'Türkkep Jira'!B:F,5,0)</f>
        <v>To Do</v>
      </c>
      <c r="G1315" t="str">
        <f>IF(IFERROR(VLOOKUP(B1315,'Devam Eden Sprint'!B:B,1,0),"-")=B1315,"Devam Eden Sprint","-")</f>
        <v>-</v>
      </c>
      <c r="H1315" t="str">
        <f>IF(IFERROR(VLOOKUP(B1315,'Gelecek Sprint'!B:B,1,0),"-")=B1315,"Gelecek Sprint","-")</f>
        <v>Gelecek Sprint</v>
      </c>
      <c r="I1315" t="str">
        <f t="shared" si="42"/>
        <v>Gelecek Sprint</v>
      </c>
      <c r="J1315">
        <v>2</v>
      </c>
    </row>
    <row r="1316" spans="1:10" x14ac:dyDescent="0.25">
      <c r="A1316" t="s">
        <v>77</v>
      </c>
      <c r="B1316" t="s">
        <v>3204</v>
      </c>
      <c r="C1316" t="s">
        <v>10</v>
      </c>
      <c r="D1316" t="s">
        <v>3205</v>
      </c>
      <c r="E1316" s="5" t="s">
        <v>53</v>
      </c>
      <c r="F1316" s="5" t="str">
        <f>VLOOKUP(B1316,'Türkkep Jira'!B:F,5,0)</f>
        <v>To Do</v>
      </c>
      <c r="G1316" t="str">
        <f>IF(IFERROR(VLOOKUP(B1316,'Devam Eden Sprint'!B:B,1,0),"-")=B1316,"Devam Eden Sprint","-")</f>
        <v>-</v>
      </c>
      <c r="H1316" t="str">
        <f>IF(IFERROR(VLOOKUP(B1316,'Gelecek Sprint'!B:B,1,0),"-")=B1316,"Gelecek Sprint","-")</f>
        <v>Gelecek Sprint</v>
      </c>
      <c r="I1316" t="str">
        <f t="shared" si="42"/>
        <v>Gelecek Sprint</v>
      </c>
      <c r="J1316">
        <v>2</v>
      </c>
    </row>
    <row r="1317" spans="1:10" x14ac:dyDescent="0.25">
      <c r="A1317" t="s">
        <v>77</v>
      </c>
      <c r="B1317" t="s">
        <v>3206</v>
      </c>
      <c r="C1317" t="s">
        <v>10</v>
      </c>
      <c r="D1317" t="s">
        <v>3207</v>
      </c>
      <c r="E1317" s="5" t="s">
        <v>53</v>
      </c>
      <c r="F1317" s="5" t="str">
        <f>VLOOKUP(B1317,'Türkkep Jira'!B:F,5,0)</f>
        <v>To Do</v>
      </c>
      <c r="G1317" t="str">
        <f>IF(IFERROR(VLOOKUP(B1317,'Devam Eden Sprint'!B:B,1,0),"-")=B1317,"Devam Eden Sprint","-")</f>
        <v>-</v>
      </c>
      <c r="H1317" t="str">
        <f>IF(IFERROR(VLOOKUP(B1317,'Gelecek Sprint'!B:B,1,0),"-")=B1317,"Gelecek Sprint","-")</f>
        <v>Gelecek Sprint</v>
      </c>
      <c r="I1317" t="str">
        <f t="shared" si="42"/>
        <v>Gelecek Sprint</v>
      </c>
      <c r="J1317">
        <v>1</v>
      </c>
    </row>
    <row r="1318" spans="1:10" x14ac:dyDescent="0.25">
      <c r="A1318" t="s">
        <v>77</v>
      </c>
      <c r="B1318" t="s">
        <v>3208</v>
      </c>
      <c r="C1318" t="s">
        <v>10</v>
      </c>
      <c r="D1318" t="s">
        <v>3209</v>
      </c>
      <c r="E1318" s="5" t="s">
        <v>53</v>
      </c>
      <c r="F1318" s="5" t="str">
        <f>VLOOKUP(B1318,'Türkkep Jira'!B:F,5,0)</f>
        <v>To Do</v>
      </c>
      <c r="G1318" t="str">
        <f>IF(IFERROR(VLOOKUP(B1318,'Devam Eden Sprint'!B:B,1,0),"-")=B1318,"Devam Eden Sprint","-")</f>
        <v>-</v>
      </c>
      <c r="H1318" t="str">
        <f>IF(IFERROR(VLOOKUP(B1318,'Gelecek Sprint'!B:B,1,0),"-")=B1318,"Gelecek Sprint","-")</f>
        <v>Gelecek Sprint</v>
      </c>
      <c r="I1318" t="str">
        <f t="shared" si="42"/>
        <v>Gelecek Sprint</v>
      </c>
      <c r="J1318">
        <v>1</v>
      </c>
    </row>
    <row r="1319" spans="1:10" x14ac:dyDescent="0.25">
      <c r="A1319" t="s">
        <v>77</v>
      </c>
      <c r="B1319" t="s">
        <v>3210</v>
      </c>
      <c r="C1319" t="s">
        <v>10</v>
      </c>
      <c r="D1319" t="s">
        <v>3211</v>
      </c>
      <c r="E1319" s="5" t="s">
        <v>1620</v>
      </c>
      <c r="F1319" s="5" t="str">
        <f>VLOOKUP(B1319,'Türkkep Jira'!B:F,5,0)</f>
        <v>To Do</v>
      </c>
      <c r="G1319" t="str">
        <f>IF(IFERROR(VLOOKUP(B1319,'Devam Eden Sprint'!B:B,1,0),"-")=B1319,"Devam Eden Sprint","-")</f>
        <v>-</v>
      </c>
      <c r="H1319" t="str">
        <f>IF(IFERROR(VLOOKUP(B1319,'Gelecek Sprint'!B:B,1,0),"-")=B1319,"Gelecek Sprint","-")</f>
        <v>Gelecek Sprint</v>
      </c>
      <c r="I1319" t="str">
        <f t="shared" si="42"/>
        <v>Gelecek Sprint</v>
      </c>
      <c r="J1319">
        <v>2</v>
      </c>
    </row>
    <row r="1320" spans="1:10" x14ac:dyDescent="0.25">
      <c r="A1320" t="s">
        <v>14</v>
      </c>
      <c r="B1320" t="s">
        <v>3212</v>
      </c>
      <c r="C1320" t="s">
        <v>10</v>
      </c>
      <c r="D1320" t="s">
        <v>3213</v>
      </c>
      <c r="E1320" s="5" t="s">
        <v>1620</v>
      </c>
      <c r="F1320" s="5" t="str">
        <f>VLOOKUP(B1320,'Türkkep Jira'!B:F,5,0)</f>
        <v>To Do</v>
      </c>
      <c r="G1320" t="str">
        <f>IF(IFERROR(VLOOKUP(B1320,'Devam Eden Sprint'!B:B,1,0),"-")=B1320,"Devam Eden Sprint","-")</f>
        <v>-</v>
      </c>
      <c r="H1320" t="str">
        <f>IF(IFERROR(VLOOKUP(B1320,'Gelecek Sprint'!B:B,1,0),"-")=B1320,"Gelecek Sprint","-")</f>
        <v>Gelecek Sprint</v>
      </c>
      <c r="I1320" t="str">
        <f t="shared" si="42"/>
        <v>Gelecek Sprint</v>
      </c>
      <c r="J1320">
        <v>3</v>
      </c>
    </row>
    <row r="1321" spans="1:10" x14ac:dyDescent="0.25">
      <c r="A1321" t="s">
        <v>14</v>
      </c>
      <c r="B1321" t="s">
        <v>2703</v>
      </c>
      <c r="C1321" t="s">
        <v>10</v>
      </c>
      <c r="D1321" t="s">
        <v>2925</v>
      </c>
      <c r="E1321" s="5" t="s">
        <v>599</v>
      </c>
      <c r="F1321" s="5" t="str">
        <f>VLOOKUP(B1321,'Türkkep Jira'!B:F,5,0)</f>
        <v>To Do</v>
      </c>
      <c r="G1321" t="str">
        <f>IF(IFERROR(VLOOKUP(B1321,'Devam Eden Sprint'!B:B,1,0),"-")=B1321,"Devam Eden Sprint","-")</f>
        <v>Devam Eden Sprint</v>
      </c>
      <c r="H1321" t="str">
        <f>IF(IFERROR(VLOOKUP(B1321,'Gelecek Sprint'!B:B,1,0),"-")=B1321,"Gelecek Sprint","-")</f>
        <v>-</v>
      </c>
      <c r="I1321" t="str">
        <f t="shared" si="42"/>
        <v>Devam Eden Sprint</v>
      </c>
      <c r="J1321">
        <v>2</v>
      </c>
    </row>
    <row r="1322" spans="1:10" x14ac:dyDescent="0.25">
      <c r="A1322" t="s">
        <v>77</v>
      </c>
      <c r="B1322" t="s">
        <v>3192</v>
      </c>
      <c r="C1322" t="s">
        <v>94</v>
      </c>
      <c r="D1322" t="s">
        <v>3193</v>
      </c>
      <c r="E1322" s="5" t="s">
        <v>599</v>
      </c>
      <c r="F1322" s="5" t="str">
        <f>VLOOKUP(B1322,'Türkkep Jira'!B:F,5,0)</f>
        <v>Publish</v>
      </c>
      <c r="G1322" t="str">
        <f>IF(IFERROR(VLOOKUP(B1322,'Devam Eden Sprint'!B:B,1,0),"-")=B1322,"Devam Eden Sprint","-")</f>
        <v>Devam Eden Sprint</v>
      </c>
      <c r="H1322" t="str">
        <f>IF(IFERROR(VLOOKUP(B1322,'Gelecek Sprint'!B:B,1,0),"-")=B1322,"Gelecek Sprint","-")</f>
        <v>-</v>
      </c>
      <c r="I1322" t="str">
        <f t="shared" si="42"/>
        <v>Devam Eden Sprint</v>
      </c>
      <c r="J1322">
        <v>2</v>
      </c>
    </row>
    <row r="1323" spans="1:10" x14ac:dyDescent="0.25">
      <c r="A1323" t="s">
        <v>77</v>
      </c>
      <c r="B1323" t="s">
        <v>3195</v>
      </c>
      <c r="D1323" t="s">
        <v>3196</v>
      </c>
      <c r="E1323" s="5" t="s">
        <v>599</v>
      </c>
      <c r="F1323" s="5" t="e">
        <f>VLOOKUP(B1323,'Türkkep Jira'!B:F,5,0)</f>
        <v>#N/A</v>
      </c>
      <c r="G1323" t="str">
        <f>IF(IFERROR(VLOOKUP(B1323,'Devam Eden Sprint'!B:B,1,0),"-")=B1323,"Devam Eden Sprint","-")</f>
        <v>Devam Eden Sprint</v>
      </c>
      <c r="H1323" t="str">
        <f>IF(IFERROR(VLOOKUP(B1323,'Gelecek Sprint'!B:B,1,0),"-")=B1323,"Gelecek Sprint","-")</f>
        <v>-</v>
      </c>
      <c r="I1323" t="str">
        <f t="shared" si="42"/>
        <v>Devam Eden Sprint</v>
      </c>
      <c r="J1323">
        <v>3</v>
      </c>
    </row>
    <row r="1324" spans="1:10" x14ac:dyDescent="0.25">
      <c r="A1324" t="s">
        <v>77</v>
      </c>
      <c r="B1324" t="s">
        <v>3197</v>
      </c>
      <c r="C1324" t="s">
        <v>27</v>
      </c>
      <c r="D1324" t="s">
        <v>3198</v>
      </c>
      <c r="E1324" s="5" t="s">
        <v>599</v>
      </c>
      <c r="F1324" s="5" t="str">
        <f>VLOOKUP(B1324,'Türkkep Jira'!B:F,5,0)</f>
        <v>TO TEST</v>
      </c>
      <c r="G1324" t="str">
        <f>IF(IFERROR(VLOOKUP(B1324,'Devam Eden Sprint'!B:B,1,0),"-")=B1324,"Devam Eden Sprint","-")</f>
        <v>Devam Eden Sprint</v>
      </c>
      <c r="H1324" t="str">
        <f>IF(IFERROR(VLOOKUP(B1324,'Gelecek Sprint'!B:B,1,0),"-")=B1324,"Gelecek Sprint","-")</f>
        <v>-</v>
      </c>
      <c r="I1324" t="str">
        <f t="shared" si="42"/>
        <v>Devam Eden Sprint</v>
      </c>
      <c r="J1324">
        <v>3</v>
      </c>
    </row>
    <row r="1325" spans="1:10" x14ac:dyDescent="0.25">
      <c r="A1325" t="s">
        <v>14</v>
      </c>
      <c r="B1325" t="s">
        <v>3203</v>
      </c>
      <c r="C1325" t="s">
        <v>26</v>
      </c>
      <c r="D1325" t="s">
        <v>2988</v>
      </c>
      <c r="E1325" s="5" t="s">
        <v>428</v>
      </c>
      <c r="F1325" s="5" t="str">
        <f>VLOOKUP(B1325,'Türkkep Jira'!B:F,5,0)</f>
        <v>Development</v>
      </c>
      <c r="G1325" t="str">
        <f>IF(IFERROR(VLOOKUP(B1325,'Devam Eden Sprint'!B:B,1,0),"-")=B1325,"Devam Eden Sprint","-")</f>
        <v>Devam Eden Sprint</v>
      </c>
      <c r="H1325" t="str">
        <f>IF(IFERROR(VLOOKUP(B1325,'Gelecek Sprint'!B:B,1,0),"-")=B1325,"Gelecek Sprint","-")</f>
        <v>-</v>
      </c>
      <c r="I1325" t="str">
        <f t="shared" si="42"/>
        <v>Devam Eden Sprint</v>
      </c>
      <c r="J1325"/>
    </row>
    <row r="1326" spans="1:10" x14ac:dyDescent="0.25">
      <c r="A1326" t="s">
        <v>14</v>
      </c>
      <c r="B1326" t="s">
        <v>3231</v>
      </c>
      <c r="C1326" t="s">
        <v>10</v>
      </c>
      <c r="D1326" t="s">
        <v>3237</v>
      </c>
      <c r="E1326" s="5" t="s">
        <v>44</v>
      </c>
      <c r="F1326" s="5" t="str">
        <f>VLOOKUP(B1326,'Türkkep Jira'!B:F,5,0)</f>
        <v>To Do</v>
      </c>
      <c r="G1326" t="str">
        <f>IF(IFERROR(VLOOKUP(B1326,'Devam Eden Sprint'!B:B,1,0),"-")=B1326,"Devam Eden Sprint","-")</f>
        <v>-</v>
      </c>
      <c r="H1326" t="str">
        <f>IF(IFERROR(VLOOKUP(B1326,'Gelecek Sprint'!B:B,1,0),"-")=B1326,"Gelecek Sprint","-")</f>
        <v>Gelecek Sprint</v>
      </c>
      <c r="I1326" t="str">
        <f t="shared" ref="I1326:I1334" si="43">IFERROR(IF(AND(G1326="Devam Eden Sprint",H1326="Gelecek Sprint"),"Devam Eden ve Gelecek Sprint",IF(G1326="Devam Eden Sprint","Devam Eden Sprint",IF(H1326="Gelecek Sprint","Gelecek Sprint","Ürün İş Listesi"))),"Ürün İş Listesi")</f>
        <v>Gelecek Sprint</v>
      </c>
      <c r="J1326">
        <v>2</v>
      </c>
    </row>
    <row r="1327" spans="1:10" x14ac:dyDescent="0.25">
      <c r="A1327" t="s">
        <v>14</v>
      </c>
      <c r="B1327" t="s">
        <v>3232</v>
      </c>
      <c r="C1327" t="s">
        <v>10</v>
      </c>
      <c r="D1327" t="s">
        <v>3238</v>
      </c>
      <c r="E1327" s="5" t="s">
        <v>44</v>
      </c>
      <c r="F1327" s="5" t="str">
        <f>VLOOKUP(B1327,'Türkkep Jira'!B:F,5,0)</f>
        <v>To Do</v>
      </c>
      <c r="G1327" t="str">
        <f>IF(IFERROR(VLOOKUP(B1327,'Devam Eden Sprint'!B:B,1,0),"-")=B1327,"Devam Eden Sprint","-")</f>
        <v>-</v>
      </c>
      <c r="H1327" t="str">
        <f>IF(IFERROR(VLOOKUP(B1327,'Gelecek Sprint'!B:B,1,0),"-")=B1327,"Gelecek Sprint","-")</f>
        <v>Gelecek Sprint</v>
      </c>
      <c r="I1327" t="str">
        <f t="shared" si="43"/>
        <v>Gelecek Sprint</v>
      </c>
      <c r="J1327">
        <v>5</v>
      </c>
    </row>
    <row r="1328" spans="1:10" x14ac:dyDescent="0.25">
      <c r="A1328" t="s">
        <v>14</v>
      </c>
      <c r="B1328" t="s">
        <v>3223</v>
      </c>
      <c r="C1328" t="s">
        <v>26</v>
      </c>
      <c r="D1328" t="s">
        <v>3168</v>
      </c>
      <c r="E1328" s="5" t="s">
        <v>50</v>
      </c>
      <c r="F1328" s="5" t="str">
        <f>VLOOKUP(B1328,'Türkkep Jira'!B:F,5,0)</f>
        <v>Development</v>
      </c>
      <c r="G1328" t="str">
        <f>IF(IFERROR(VLOOKUP(B1328,'Devam Eden Sprint'!B:B,1,0),"-")=B1328,"Devam Eden Sprint","-")</f>
        <v>Devam Eden Sprint</v>
      </c>
      <c r="H1328" t="str">
        <f>IF(IFERROR(VLOOKUP(B1328,'Gelecek Sprint'!B:B,1,0),"-")=B1328,"Gelecek Sprint","-")</f>
        <v>Gelecek Sprint</v>
      </c>
      <c r="I1328" t="str">
        <f t="shared" si="43"/>
        <v>Devam Eden ve Gelecek Sprint</v>
      </c>
      <c r="J1328">
        <v>3</v>
      </c>
    </row>
    <row r="1329" spans="1:10" x14ac:dyDescent="0.25">
      <c r="A1329" t="s">
        <v>14</v>
      </c>
      <c r="B1329" t="s">
        <v>2996</v>
      </c>
      <c r="C1329" t="s">
        <v>10</v>
      </c>
      <c r="D1329" t="s">
        <v>2878</v>
      </c>
      <c r="E1329" s="5" t="s">
        <v>50</v>
      </c>
      <c r="F1329" s="5" t="str">
        <f>VLOOKUP(B1329,'Türkkep Jira'!B:F,5,0)</f>
        <v>To Do</v>
      </c>
      <c r="G1329" t="str">
        <f>IF(IFERROR(VLOOKUP(B1329,'Devam Eden Sprint'!B:B,1,0),"-")=B1329,"Devam Eden Sprint","-")</f>
        <v>-</v>
      </c>
      <c r="H1329" t="str">
        <f>IF(IFERROR(VLOOKUP(B1329,'Gelecek Sprint'!B:B,1,0),"-")=B1329,"Gelecek Sprint","-")</f>
        <v>Gelecek Sprint</v>
      </c>
      <c r="I1329" t="str">
        <f t="shared" si="43"/>
        <v>Gelecek Sprint</v>
      </c>
      <c r="J1329">
        <v>5</v>
      </c>
    </row>
    <row r="1330" spans="1:10" x14ac:dyDescent="0.25">
      <c r="A1330" t="s">
        <v>14</v>
      </c>
      <c r="B1330" t="s">
        <v>3222</v>
      </c>
      <c r="C1330" t="s">
        <v>10</v>
      </c>
      <c r="D1330" t="s">
        <v>2878</v>
      </c>
      <c r="E1330" s="5" t="s">
        <v>59</v>
      </c>
      <c r="F1330" s="5" t="str">
        <f>VLOOKUP(B1330,'Türkkep Jira'!B:F,5,0)</f>
        <v>To Do</v>
      </c>
      <c r="G1330" t="str">
        <f>IF(IFERROR(VLOOKUP(B1330,'Devam Eden Sprint'!B:B,1,0),"-")=B1330,"Devam Eden Sprint","-")</f>
        <v>Devam Eden Sprint</v>
      </c>
      <c r="H1330" t="str">
        <f>IF(IFERROR(VLOOKUP(B1330,'Gelecek Sprint'!B:B,1,0),"-")=B1330,"Gelecek Sprint","-")</f>
        <v>Gelecek Sprint</v>
      </c>
      <c r="I1330" t="str">
        <f t="shared" si="43"/>
        <v>Devam Eden ve Gelecek Sprint</v>
      </c>
      <c r="J1330">
        <v>8</v>
      </c>
    </row>
    <row r="1331" spans="1:10" x14ac:dyDescent="0.25">
      <c r="A1331" t="s">
        <v>14</v>
      </c>
      <c r="B1331" t="s">
        <v>3233</v>
      </c>
      <c r="C1331" t="s">
        <v>10</v>
      </c>
      <c r="D1331" t="s">
        <v>3239</v>
      </c>
      <c r="E1331" s="5" t="s">
        <v>56</v>
      </c>
      <c r="F1331" s="5" t="str">
        <f>VLOOKUP(B1331,'Türkkep Jira'!B:F,5,0)</f>
        <v>To Do</v>
      </c>
      <c r="G1331" t="str">
        <f>IF(IFERROR(VLOOKUP(B1331,'Devam Eden Sprint'!B:B,1,0),"-")=B1331,"Devam Eden Sprint","-")</f>
        <v>-</v>
      </c>
      <c r="H1331" t="str">
        <f>IF(IFERROR(VLOOKUP(B1331,'Gelecek Sprint'!B:B,1,0),"-")=B1331,"Gelecek Sprint","-")</f>
        <v>Gelecek Sprint</v>
      </c>
      <c r="I1331" t="str">
        <f t="shared" si="43"/>
        <v>Gelecek Sprint</v>
      </c>
      <c r="J1331">
        <v>13</v>
      </c>
    </row>
    <row r="1332" spans="1:10" x14ac:dyDescent="0.25">
      <c r="A1332" t="s">
        <v>14</v>
      </c>
      <c r="B1332" t="s">
        <v>3234</v>
      </c>
      <c r="C1332" t="s">
        <v>10</v>
      </c>
      <c r="D1332" t="s">
        <v>3241</v>
      </c>
      <c r="E1332" s="5" t="s">
        <v>56</v>
      </c>
      <c r="F1332" s="5" t="str">
        <f>VLOOKUP(B1332,'Türkkep Jira'!B:F,5,0)</f>
        <v>To Do</v>
      </c>
      <c r="G1332" t="str">
        <f>IF(IFERROR(VLOOKUP(B1332,'Devam Eden Sprint'!B:B,1,0),"-")=B1332,"Devam Eden Sprint","-")</f>
        <v>-</v>
      </c>
      <c r="H1332" t="str">
        <f>IF(IFERROR(VLOOKUP(B1332,'Gelecek Sprint'!B:B,1,0),"-")=B1332,"Gelecek Sprint","-")</f>
        <v>Gelecek Sprint</v>
      </c>
      <c r="I1332" t="str">
        <f t="shared" si="43"/>
        <v>Gelecek Sprint</v>
      </c>
      <c r="J1332">
        <v>3</v>
      </c>
    </row>
    <row r="1333" spans="1:10" x14ac:dyDescent="0.25">
      <c r="A1333" t="s">
        <v>14</v>
      </c>
      <c r="B1333" t="s">
        <v>3235</v>
      </c>
      <c r="C1333" t="s">
        <v>10</v>
      </c>
      <c r="D1333" t="s">
        <v>3242</v>
      </c>
      <c r="E1333" s="5" t="s">
        <v>56</v>
      </c>
      <c r="F1333" s="5" t="str">
        <f>VLOOKUP(B1333,'Türkkep Jira'!B:F,5,0)</f>
        <v>To Do</v>
      </c>
      <c r="G1333" t="str">
        <f>IF(IFERROR(VLOOKUP(B1333,'Devam Eden Sprint'!B:B,1,0),"-")=B1333,"Devam Eden Sprint","-")</f>
        <v>-</v>
      </c>
      <c r="H1333" t="str">
        <f>IF(IFERROR(VLOOKUP(B1333,'Gelecek Sprint'!B:B,1,0),"-")=B1333,"Gelecek Sprint","-")</f>
        <v>Gelecek Sprint</v>
      </c>
      <c r="I1333" t="str">
        <f t="shared" si="43"/>
        <v>Gelecek Sprint</v>
      </c>
      <c r="J1333">
        <v>5</v>
      </c>
    </row>
    <row r="1334" spans="1:10" x14ac:dyDescent="0.25">
      <c r="A1334" t="s">
        <v>14</v>
      </c>
      <c r="B1334" t="s">
        <v>3236</v>
      </c>
      <c r="C1334" t="s">
        <v>10</v>
      </c>
      <c r="D1334" t="s">
        <v>3244</v>
      </c>
      <c r="E1334" s="5" t="s">
        <v>56</v>
      </c>
      <c r="F1334" s="5" t="str">
        <f>VLOOKUP(B1334,'Türkkep Jira'!B:F,5,0)</f>
        <v>To Do</v>
      </c>
      <c r="G1334" t="str">
        <f>IF(IFERROR(VLOOKUP(B1334,'Devam Eden Sprint'!B:B,1,0),"-")=B1334,"Devam Eden Sprint","-")</f>
        <v>-</v>
      </c>
      <c r="H1334" t="str">
        <f>IF(IFERROR(VLOOKUP(B1334,'Gelecek Sprint'!B:B,1,0),"-")=B1334,"Gelecek Sprint","-")</f>
        <v>Gelecek Sprint</v>
      </c>
      <c r="I1334" t="str">
        <f t="shared" si="43"/>
        <v>Gelecek Sprint</v>
      </c>
      <c r="J1334"/>
    </row>
    <row r="1335" spans="1:10" x14ac:dyDescent="0.25">
      <c r="A1335" t="s">
        <v>14</v>
      </c>
      <c r="B1335" t="s">
        <v>3215</v>
      </c>
      <c r="C1335" t="s">
        <v>16</v>
      </c>
      <c r="D1335" t="s">
        <v>3225</v>
      </c>
      <c r="E1335" s="5" t="s">
        <v>50</v>
      </c>
      <c r="F1335" s="5" t="str">
        <f>VLOOKUP(B1335,'Türkkep Jira'!B:F,5,0)</f>
        <v>Done</v>
      </c>
      <c r="G1335" t="str">
        <f>IF(IFERROR(VLOOKUP(B1335,'Devam Eden Sprint'!B:B,1,0),"-")=B1335,"Devam Eden Sprint","-")</f>
        <v>Devam Eden Sprint</v>
      </c>
      <c r="H1335" t="str">
        <f>IF(IFERROR(VLOOKUP(B1335,'Gelecek Sprint'!B:B,1,0),"-")=B1335,"Gelecek Sprint","-")</f>
        <v>-</v>
      </c>
      <c r="I1335" t="str">
        <f t="shared" ref="I1335:I1341" si="44">IFERROR(IF(AND(G1335="Devam Eden Sprint",H1335="Gelecek Sprint"),"Devam Eden ve Gelecek Sprint",IF(G1335="Devam Eden Sprint","Devam Eden Sprint",IF(H1335="Gelecek Sprint","Gelecek Sprint","Ürün İş Listesi"))),"Ürün İş Listesi")</f>
        <v>Devam Eden Sprint</v>
      </c>
      <c r="J1335">
        <v>3</v>
      </c>
    </row>
    <row r="1336" spans="1:10" x14ac:dyDescent="0.25">
      <c r="A1336" t="s">
        <v>14</v>
      </c>
      <c r="B1336" t="s">
        <v>3216</v>
      </c>
      <c r="C1336" t="s">
        <v>16</v>
      </c>
      <c r="D1336" t="s">
        <v>3225</v>
      </c>
      <c r="E1336" s="5" t="s">
        <v>59</v>
      </c>
      <c r="F1336" s="5" t="str">
        <f>VLOOKUP(B1336,'Türkkep Jira'!B:F,5,0)</f>
        <v>Done</v>
      </c>
      <c r="G1336" t="str">
        <f>IF(IFERROR(VLOOKUP(B1336,'Devam Eden Sprint'!B:B,1,0),"-")=B1336,"Devam Eden Sprint","-")</f>
        <v>Devam Eden Sprint</v>
      </c>
      <c r="H1336" t="str">
        <f>IF(IFERROR(VLOOKUP(B1336,'Gelecek Sprint'!B:B,1,0),"-")=B1336,"Gelecek Sprint","-")</f>
        <v>-</v>
      </c>
      <c r="I1336" t="str">
        <f t="shared" si="44"/>
        <v>Devam Eden Sprint</v>
      </c>
      <c r="J1336">
        <v>3</v>
      </c>
    </row>
    <row r="1337" spans="1:10" x14ac:dyDescent="0.25">
      <c r="A1337" t="s">
        <v>77</v>
      </c>
      <c r="B1337" t="s">
        <v>3217</v>
      </c>
      <c r="C1337" t="s">
        <v>16</v>
      </c>
      <c r="D1337" t="s">
        <v>3226</v>
      </c>
      <c r="E1337" s="5" t="s">
        <v>50</v>
      </c>
      <c r="F1337" s="5" t="str">
        <f>VLOOKUP(B1337,'Türkkep Jira'!B:F,5,0)</f>
        <v>Done</v>
      </c>
      <c r="G1337" t="str">
        <f>IF(IFERROR(VLOOKUP(B1337,'Devam Eden Sprint'!B:B,1,0),"-")=B1337,"Devam Eden Sprint","-")</f>
        <v>Devam Eden Sprint</v>
      </c>
      <c r="H1337" t="str">
        <f>IF(IFERROR(VLOOKUP(B1337,'Gelecek Sprint'!B:B,1,0),"-")=B1337,"Gelecek Sprint","-")</f>
        <v>-</v>
      </c>
      <c r="I1337" t="str">
        <f t="shared" si="44"/>
        <v>Devam Eden Sprint</v>
      </c>
      <c r="J1337">
        <v>2</v>
      </c>
    </row>
    <row r="1338" spans="1:10" x14ac:dyDescent="0.25">
      <c r="A1338" t="s">
        <v>77</v>
      </c>
      <c r="B1338" t="s">
        <v>3218</v>
      </c>
      <c r="C1338" t="s">
        <v>16</v>
      </c>
      <c r="D1338" t="s">
        <v>3227</v>
      </c>
      <c r="E1338" s="5" t="s">
        <v>56</v>
      </c>
      <c r="F1338" s="5" t="str">
        <f>VLOOKUP(B1338,'Türkkep Jira'!B:F,5,0)</f>
        <v>Done</v>
      </c>
      <c r="G1338" t="str">
        <f>IF(IFERROR(VLOOKUP(B1338,'Devam Eden Sprint'!B:B,1,0),"-")=B1338,"Devam Eden Sprint","-")</f>
        <v>Devam Eden Sprint</v>
      </c>
      <c r="H1338" t="str">
        <f>IF(IFERROR(VLOOKUP(B1338,'Gelecek Sprint'!B:B,1,0),"-")=B1338,"Gelecek Sprint","-")</f>
        <v>-</v>
      </c>
      <c r="I1338" t="str">
        <f t="shared" si="44"/>
        <v>Devam Eden Sprint</v>
      </c>
      <c r="J1338">
        <v>3</v>
      </c>
    </row>
    <row r="1339" spans="1:10" x14ac:dyDescent="0.25">
      <c r="A1339" t="s">
        <v>14</v>
      </c>
      <c r="B1339" t="s">
        <v>3219</v>
      </c>
      <c r="C1339" t="s">
        <v>16</v>
      </c>
      <c r="D1339" t="s">
        <v>3228</v>
      </c>
      <c r="E1339" s="5" t="s">
        <v>56</v>
      </c>
      <c r="F1339" s="5" t="str">
        <f>VLOOKUP(B1339,'Türkkep Jira'!B:F,5,0)</f>
        <v>Done</v>
      </c>
      <c r="G1339" t="str">
        <f>IF(IFERROR(VLOOKUP(B1339,'Devam Eden Sprint'!B:B,1,0),"-")=B1339,"Devam Eden Sprint","-")</f>
        <v>Devam Eden Sprint</v>
      </c>
      <c r="H1339" t="str">
        <f>IF(IFERROR(VLOOKUP(B1339,'Gelecek Sprint'!B:B,1,0),"-")=B1339,"Gelecek Sprint","-")</f>
        <v>-</v>
      </c>
      <c r="I1339" t="str">
        <f t="shared" si="44"/>
        <v>Devam Eden Sprint</v>
      </c>
      <c r="J1339">
        <v>5</v>
      </c>
    </row>
    <row r="1340" spans="1:10" x14ac:dyDescent="0.25">
      <c r="A1340" t="s">
        <v>77</v>
      </c>
      <c r="B1340" t="s">
        <v>3220</v>
      </c>
      <c r="C1340" t="s">
        <v>16</v>
      </c>
      <c r="D1340" t="s">
        <v>3229</v>
      </c>
      <c r="E1340" s="5" t="s">
        <v>56</v>
      </c>
      <c r="F1340" s="5" t="str">
        <f>VLOOKUP(B1340,'Türkkep Jira'!B:F,5,0)</f>
        <v>Done</v>
      </c>
      <c r="G1340" t="str">
        <f>IF(IFERROR(VLOOKUP(B1340,'Devam Eden Sprint'!B:B,1,0),"-")=B1340,"Devam Eden Sprint","-")</f>
        <v>Devam Eden Sprint</v>
      </c>
      <c r="H1340" t="str">
        <f>IF(IFERROR(VLOOKUP(B1340,'Gelecek Sprint'!B:B,1,0),"-")=B1340,"Gelecek Sprint","-")</f>
        <v>-</v>
      </c>
      <c r="I1340" t="str">
        <f t="shared" si="44"/>
        <v>Devam Eden Sprint</v>
      </c>
      <c r="J1340">
        <v>3</v>
      </c>
    </row>
    <row r="1341" spans="1:10" x14ac:dyDescent="0.25">
      <c r="A1341" t="s">
        <v>77</v>
      </c>
      <c r="B1341" t="s">
        <v>3221</v>
      </c>
      <c r="C1341" t="s">
        <v>16</v>
      </c>
      <c r="D1341" t="s">
        <v>3230</v>
      </c>
      <c r="E1341" s="5" t="s">
        <v>2860</v>
      </c>
      <c r="F1341" s="5" t="str">
        <f>VLOOKUP(B1341,'Türkkep Jira'!B:F,5,0)</f>
        <v>Done</v>
      </c>
      <c r="G1341" t="str">
        <f>IF(IFERROR(VLOOKUP(B1341,'Devam Eden Sprint'!B:B,1,0),"-")=B1341,"Devam Eden Sprint","-")</f>
        <v>Devam Eden Sprint</v>
      </c>
      <c r="H1341" t="str">
        <f>IF(IFERROR(VLOOKUP(B1341,'Gelecek Sprint'!B:B,1,0),"-")=B1341,"Gelecek Sprint","-")</f>
        <v>-</v>
      </c>
      <c r="I1341" t="str">
        <f t="shared" si="44"/>
        <v>Devam Eden Sprint</v>
      </c>
      <c r="J1341">
        <v>3</v>
      </c>
    </row>
  </sheetData>
  <autoFilter ref="A1:K1341" xr:uid="{427990BA-613E-4568-8830-70CDFB113D33}"/>
  <mergeCells count="1">
    <mergeCell ref="AJ30:AK30"/>
  </mergeCells>
  <conditionalFormatting sqref="B9:B77">
    <cfRule type="duplicateValues" dxfId="21" priority="46"/>
  </conditionalFormatting>
  <conditionalFormatting sqref="B367:B369">
    <cfRule type="duplicateValues" dxfId="20" priority="40"/>
  </conditionalFormatting>
  <conditionalFormatting sqref="B386:B388">
    <cfRule type="duplicateValues" dxfId="19" priority="37"/>
  </conditionalFormatting>
  <conditionalFormatting sqref="B527:B528">
    <cfRule type="duplicateValues" dxfId="18" priority="35"/>
  </conditionalFormatting>
  <conditionalFormatting sqref="B560:B562">
    <cfRule type="duplicateValues" dxfId="17" priority="34"/>
  </conditionalFormatting>
  <conditionalFormatting sqref="B624:B626">
    <cfRule type="duplicateValues" dxfId="16" priority="31"/>
  </conditionalFormatting>
  <conditionalFormatting sqref="B631:B632">
    <cfRule type="duplicateValues" dxfId="15" priority="30"/>
  </conditionalFormatting>
  <conditionalFormatting sqref="B648:B650">
    <cfRule type="duplicateValues" dxfId="14" priority="28"/>
  </conditionalFormatting>
  <conditionalFormatting sqref="B740:B741">
    <cfRule type="duplicateValues" dxfId="13" priority="25"/>
  </conditionalFormatting>
  <conditionalFormatting sqref="B742:B743">
    <cfRule type="duplicateValues" dxfId="12" priority="24"/>
  </conditionalFormatting>
  <conditionalFormatting sqref="B747:B748">
    <cfRule type="duplicateValues" dxfId="11" priority="23"/>
  </conditionalFormatting>
  <conditionalFormatting sqref="B755:B756">
    <cfRule type="duplicateValues" dxfId="10" priority="21"/>
  </conditionalFormatting>
  <conditionalFormatting sqref="B879:B885">
    <cfRule type="duplicateValues" dxfId="9" priority="27"/>
  </conditionalFormatting>
  <conditionalFormatting sqref="B888">
    <cfRule type="duplicateValues" dxfId="8" priority="26"/>
  </conditionalFormatting>
  <conditionalFormatting sqref="D9:D78">
    <cfRule type="duplicateValues" dxfId="7" priority="47"/>
    <cfRule type="duplicateValues" dxfId="6" priority="48"/>
  </conditionalFormatting>
  <conditionalFormatting sqref="D77">
    <cfRule type="duplicateValues" dxfId="5" priority="43"/>
    <cfRule type="duplicateValues" dxfId="4" priority="44"/>
  </conditionalFormatting>
  <conditionalFormatting sqref="D287 D282:D284 D280 D278 D273 D271 D264 D261 D254:D256 D241 D235 D227 D172 D166 D156:D157 D150 D146:D147 D128 D97:D103 D89:D94">
    <cfRule type="duplicateValues" dxfId="3" priority="41"/>
    <cfRule type="duplicateValues" dxfId="2" priority="42"/>
  </conditionalFormatting>
  <hyperlinks>
    <hyperlink ref="D200" r:id="rId7" display="http://192.168.124.186:8080/browse/MUL-204" xr:uid="{2A0BF134-42C5-40FD-BC7C-88BFCD250652}"/>
    <hyperlink ref="D201" r:id="rId8" display="http://192.168.124.186:8080/browse/MUL-205" xr:uid="{C774FCA7-4453-4EB2-B9A7-D4B121AFE410}"/>
    <hyperlink ref="D202" r:id="rId9" display="http://192.168.124.186:8080/browse/MUL-206" xr:uid="{B2566D71-C9CF-4B93-97B3-833082CAFE01}"/>
    <hyperlink ref="B990" r:id="rId10" tooltip="View this issue" display="http://192.168.124.186:8080/browse/UKDS-198" xr:uid="{D7C65CA6-685C-4B3B-8150-4F65F1A92A77}"/>
    <hyperlink ref="B991" r:id="rId11" tooltip="View this issue" display="http://192.168.124.186:8080/browse/UKDS-189" xr:uid="{B2ED5973-6EEE-4D02-AEA5-3818F5DC9443}"/>
    <hyperlink ref="B992" r:id="rId12" tooltip="View this issue" display="http://192.168.124.186:8080/browse/UKDS-191" xr:uid="{6EFC240D-807D-4B2C-B507-EEC5A7AEED04}"/>
    <hyperlink ref="B993" r:id="rId13" tooltip="View this issue" display="http://192.168.124.186:8080/browse/UKDS-194" xr:uid="{5060B58B-4EAE-4497-B0D1-79738FC52CE8}"/>
    <hyperlink ref="B994" r:id="rId14" tooltip="View this issue" display="http://192.168.124.186:8080/browse/UKDS-195" xr:uid="{2CB13B70-F860-4876-906B-E7F6F1A3A954}"/>
    <hyperlink ref="B995" r:id="rId15" tooltip="View this issue" display="http://192.168.124.186:8080/browse/UKDS-197" xr:uid="{6DCA99A4-CA15-482F-B2A3-F2CE29A468DD}"/>
    <hyperlink ref="B996" r:id="rId16" tooltip="View this issue" display="http://192.168.124.186:8080/browse/UKDS-196" xr:uid="{B5B1E464-B6FF-4F4E-A32C-2E1BB98BF67D}"/>
    <hyperlink ref="B997" r:id="rId17" tooltip="View this issue" display="http://192.168.124.186:8080/browse/UKDS-193" xr:uid="{1F813187-9BC4-4ECE-9061-43E2E2634229}"/>
    <hyperlink ref="B998" r:id="rId18" tooltip="View this issue" display="http://192.168.124.186:8080/browse/UKDS-192" xr:uid="{17DD39F0-2726-4468-ADF5-36A316EB098B}"/>
    <hyperlink ref="B1017" r:id="rId19" tooltip="View this issue" display="http://192.168.124.186:8080/browse/UKDS-201" xr:uid="{9B632313-5BB7-4055-A433-1118E298A1DA}"/>
    <hyperlink ref="B1018" r:id="rId20" tooltip="View this issue" display="http://192.168.124.186:8080/browse/WIK-741" xr:uid="{71E07F54-BD6A-42D5-9311-BEBC2CB33233}"/>
    <hyperlink ref="B1019" r:id="rId21" tooltip="View this issue" display="http://192.168.124.186:8080/browse/WIK-743" xr:uid="{9475C8D2-0BC7-47ED-90E3-436BA9E972CE}"/>
    <hyperlink ref="B1037" r:id="rId22" tooltip="View this issue" display="http://192.168.124.186:8080/browse/WIK-749" xr:uid="{9D05E964-8303-4169-AB16-E5F21B302613}"/>
    <hyperlink ref="B1038" r:id="rId23" tooltip="View this issue" display="http://192.168.124.186:8080/browse/WIK-748" xr:uid="{821D940A-0942-448F-9C97-FB1A9BC8FD69}"/>
    <hyperlink ref="B1039" r:id="rId24" tooltip="View this issue" display="http://192.168.124.186:8080/browse/WIK-747" xr:uid="{E3B70F1B-8287-4CE3-8422-891C68FB9880}"/>
    <hyperlink ref="B1040" r:id="rId25" tooltip="View this issue" display="http://192.168.124.186:8080/browse/WIK-754" xr:uid="{482BD6F5-09C4-4CC2-971F-BC0D19AFBD8B}"/>
    <hyperlink ref="B1041" r:id="rId26" tooltip="View this issue" display="http://192.168.124.186:8080/browse/WIK-751" xr:uid="{FF284B95-6719-46FF-A340-96179C9FF779}"/>
    <hyperlink ref="B1042" r:id="rId27" tooltip="View this issue" display="http://192.168.124.186:8080/browse/WIK-753" xr:uid="{64CAAFCC-9F0C-4595-837F-21FBAE2C86A0}"/>
    <hyperlink ref="B1043" r:id="rId28" tooltip="View this issue" display="http://192.168.124.186:8080/browse/UKDS-203" xr:uid="{1C5847BE-A6A3-43D6-8C8D-C88A97C4E634}"/>
    <hyperlink ref="B1054" r:id="rId29" tooltip="View this issue" display="http://192.168.124.186:8080/browse/UKDS-179" xr:uid="{26F80EF9-D566-471F-A3E3-F84C23D46FF2}"/>
    <hyperlink ref="B1083" r:id="rId30" tooltip="View this issue" display="http://192.168.124.186:8080/browse/WIK-760" xr:uid="{57D1495C-05AE-4288-BC36-6D510BE91F79}"/>
    <hyperlink ref="B1084" r:id="rId31" tooltip="View this issue" display="http://192.168.124.186:8080/browse/WIK-759" xr:uid="{DA03345A-B064-41FA-833A-603B0BC2167B}"/>
    <hyperlink ref="B1085" r:id="rId32" tooltip="View this issue" display="http://192.168.124.186:8080/browse/WIK-761" xr:uid="{5CA27156-0D37-4B96-93E8-6E533C5B3055}"/>
    <hyperlink ref="B1086" r:id="rId33" tooltip="View this issue" display="http://192.168.124.186:8080/browse/WIK-763" xr:uid="{6401E059-8284-4C43-8D2D-A19A4C7A8773}"/>
    <hyperlink ref="B1087" r:id="rId34" tooltip="View this issue" display="http://192.168.124.186:8080/browse/WIK-765" xr:uid="{71E6FC45-EE88-4A41-91F4-AC58C947681E}"/>
    <hyperlink ref="B1088" r:id="rId35" tooltip="View this issue" display="http://192.168.124.186:8080/browse/WIK-767" xr:uid="{B2019ADD-326C-4213-9612-B97E07B8ABDA}"/>
    <hyperlink ref="B1089" r:id="rId36" tooltip="View this issue" display="http://192.168.124.186:8080/browse/WIK-768" xr:uid="{051F803B-1B3B-4575-8F5A-D527DA482750}"/>
    <hyperlink ref="B1090" r:id="rId37" tooltip="View this issue" display="http://192.168.124.186:8080/browse/UKDS-205" xr:uid="{1E35844D-562A-41D2-8756-2758217AA80A}"/>
    <hyperlink ref="B1221" r:id="rId38" tooltip="View this issue" display="http://192.168.124.186:8080/browse/WIK-794" xr:uid="{FA5C4E87-224B-4AC6-9672-57D46441519B}"/>
    <hyperlink ref="B1222" r:id="rId39" tooltip="View this issue" display="http://192.168.124.186:8080/browse/WIK-795" xr:uid="{1FCE0359-18FD-4533-A519-443AB3BD877D}"/>
    <hyperlink ref="B1223" r:id="rId40" tooltip="View this issue" display="http://192.168.124.186:8080/browse/WIK-796" xr:uid="{E2B771AE-7693-4B9F-9561-82ECD8B8C465}"/>
    <hyperlink ref="B1224" r:id="rId41" tooltip="View this issue" display="http://192.168.124.186:8080/browse/WIK-793" xr:uid="{15456BA5-587C-4C48-BDDA-76BBFB5E98A2}"/>
    <hyperlink ref="B1225" r:id="rId42" tooltip="View this issue" display="http://192.168.124.186:8080/browse/UKDS-214" xr:uid="{38835868-17BC-4FE8-8CCB-9D8E6F9E7186}"/>
    <hyperlink ref="B1244" r:id="rId43" tooltip="View this issue" display="http://192.168.124.186:8080/browse/UKDS-215" xr:uid="{6BD6C754-27AC-4C81-95D8-DC80560395EC}"/>
    <hyperlink ref="B1245" r:id="rId44" tooltip="View this issue" display="http://192.168.124.186:8080/browse/WIK-803" xr:uid="{2B4B2597-57C1-4209-91CB-731B9BFD2632}"/>
    <hyperlink ref="B1246" r:id="rId45" tooltip="View this issue" display="http://192.168.124.186:8080/browse/WIK-800" xr:uid="{CAE4B855-3D99-42B1-B54F-4F4A2B1679A6}"/>
    <hyperlink ref="B1247" r:id="rId46" tooltip="View this issue" display="http://192.168.124.186:8080/browse/WIK-791" xr:uid="{4DFDE4C4-F030-4EDC-9A1C-6ED357F42648}"/>
    <hyperlink ref="B1263" r:id="rId47" tooltip="View this issue" display="http://192.168.124.186:8080/browse/UKDS-223" xr:uid="{41E03719-D982-4B2C-AA65-BCE636E79B31}"/>
    <hyperlink ref="B1264" r:id="rId48" tooltip="View this issue" display="http://192.168.124.186:8080/browse/UKDS-219" xr:uid="{E11F1B9B-9A63-4BAE-9FF3-E85A4794FB2D}"/>
    <hyperlink ref="B1265" r:id="rId49" tooltip="View this issue" display="http://192.168.124.186:8080/browse/UKDS-221" xr:uid="{7238F1B7-553C-4555-BBED-5D465B4ED39E}"/>
    <hyperlink ref="B1266" r:id="rId50" tooltip="View this issue" display="http://192.168.124.186:8080/browse/UKDS-220" xr:uid="{9AAC5BEB-07C8-4C7F-9592-601C68F0BF46}"/>
    <hyperlink ref="B1267" r:id="rId51" tooltip="View this issue" display="http://192.168.124.186:8080/browse/UKDS-222" xr:uid="{9258DE8A-31D6-4898-B026-165132847A71}"/>
    <hyperlink ref="B1268" r:id="rId52" tooltip="View this issue" display="http://192.168.124.186:8080/browse/WIK-815" xr:uid="{8740032C-9011-4346-B6B3-8438AB9D5566}"/>
    <hyperlink ref="B1269" r:id="rId53" tooltip="View this issue" display="http://192.168.124.186:8080/browse/WIK-810" xr:uid="{88C19B9E-149A-4000-A66F-EA8A3A68F6BF}"/>
    <hyperlink ref="B1270" r:id="rId54" tooltip="View this issue" display="http://192.168.124.186:8080/browse/WIK-812" xr:uid="{ABB1AA09-8C66-4506-923C-3868E239E1F6}"/>
    <hyperlink ref="B1271" r:id="rId55" tooltip="View this issue" display="http://192.168.124.186:8080/browse/KEP-317" xr:uid="{03EEF35A-CE5B-4A3E-A7BF-20EA8D3A062E}"/>
    <hyperlink ref="B1272" r:id="rId56" tooltip="View this issue" display="http://192.168.124.186:8080/browse/KEP-318" xr:uid="{1598A709-350E-4A4F-B0BF-C6AD749ABB5E}"/>
    <hyperlink ref="B1273" r:id="rId57" tooltip="View this issue" display="http://192.168.124.186:8080/browse/UKDS-217" xr:uid="{26B078FC-2876-4471-9174-58A5F747B0DF}"/>
    <hyperlink ref="B1293" r:id="rId58" display="http://192.168.124.186:8080/browse/MU-223" xr:uid="{0736FD30-280A-4C9F-BD66-7754E73DDC5E}"/>
    <hyperlink ref="B1322" r:id="rId59" tooltip="View this issue" display="http://192.168.124.186:8080/browse/WIK-823" xr:uid="{BF3CAB0C-8016-419F-A90B-B6BCBC856080}"/>
    <hyperlink ref="B1323" r:id="rId60" tooltip="View this issue" display="http://192.168.124.186:8080/browse/WIK-824" xr:uid="{33018951-3DF2-4EF9-9CAA-A0D5FBD10F95}"/>
    <hyperlink ref="B1324" r:id="rId61" tooltip="View this issue" display="http://192.168.124.186:8080/browse/WIK-825" xr:uid="{FAD3033F-FBF5-4D22-A7E5-2B2AA4FF7B7D}"/>
  </hyperlinks>
  <pageMargins left="0.7" right="0.7" top="0.75" bottom="0.75" header="0.3" footer="0.3"/>
  <drawing r:id="rId62"/>
  <legacyDrawing r:id="rId6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05D3-A126-42FB-832D-FB3DC1399509}">
  <dimension ref="A1:H77"/>
  <sheetViews>
    <sheetView topLeftCell="A34" zoomScale="85" zoomScaleNormal="85" workbookViewId="0">
      <selection activeCell="D9" sqref="D9"/>
    </sheetView>
  </sheetViews>
  <sheetFormatPr defaultRowHeight="15" x14ac:dyDescent="0.25"/>
  <cols>
    <col min="4" max="4" width="102.140625" bestFit="1" customWidth="1"/>
    <col min="5" max="5" width="24.7109375" bestFit="1" customWidth="1"/>
    <col min="6" max="6" width="15.28515625" customWidth="1"/>
  </cols>
  <sheetData>
    <row r="1" spans="1:8" x14ac:dyDescent="0.25">
      <c r="A1" t="s">
        <v>0</v>
      </c>
      <c r="B1" t="s">
        <v>1</v>
      </c>
      <c r="C1" t="s">
        <v>2</v>
      </c>
      <c r="D1" t="s">
        <v>3</v>
      </c>
      <c r="E1" t="s">
        <v>1815</v>
      </c>
      <c r="F1" t="s">
        <v>1816</v>
      </c>
      <c r="G1" t="s">
        <v>1817</v>
      </c>
    </row>
    <row r="2" spans="1:8" x14ac:dyDescent="0.25">
      <c r="A2" s="23" t="s">
        <v>14</v>
      </c>
      <c r="B2" s="20" t="s">
        <v>2538</v>
      </c>
      <c r="C2" s="20" t="s">
        <v>1820</v>
      </c>
      <c r="D2" s="20" t="s">
        <v>2460</v>
      </c>
      <c r="E2" s="20" t="s">
        <v>41</v>
      </c>
      <c r="G2" s="20">
        <v>13</v>
      </c>
      <c r="H2" t="str">
        <f>VLOOKUP(B2,'Ürün İş Listesi'!B:B,1,0)</f>
        <v>EFT-2351</v>
      </c>
    </row>
    <row r="3" spans="1:8" x14ac:dyDescent="0.25">
      <c r="A3" s="22" t="s">
        <v>14</v>
      </c>
      <c r="B3" s="21" t="s">
        <v>2884</v>
      </c>
      <c r="C3" s="21" t="s">
        <v>16</v>
      </c>
      <c r="D3" s="21" t="s">
        <v>2885</v>
      </c>
      <c r="E3" s="21" t="s">
        <v>41</v>
      </c>
      <c r="G3" s="21">
        <v>8</v>
      </c>
      <c r="H3" t="str">
        <f>VLOOKUP(B3,'Ürün İş Listesi'!B:B,1,0)</f>
        <v>EFT-2389</v>
      </c>
    </row>
    <row r="4" spans="1:8" x14ac:dyDescent="0.25">
      <c r="A4" s="23" t="s">
        <v>14</v>
      </c>
      <c r="B4" s="20" t="s">
        <v>3165</v>
      </c>
      <c r="C4" s="20" t="s">
        <v>1820</v>
      </c>
      <c r="D4" s="20" t="s">
        <v>3168</v>
      </c>
      <c r="E4" s="20" t="s">
        <v>41</v>
      </c>
      <c r="G4" s="25"/>
      <c r="H4" t="str">
        <f>VLOOKUP(B4,'Ürün İş Listesi'!B:B,1,0)</f>
        <v>EFT-2395</v>
      </c>
    </row>
    <row r="5" spans="1:8" x14ac:dyDescent="0.25">
      <c r="A5" s="22" t="s">
        <v>14</v>
      </c>
      <c r="B5" s="21" t="s">
        <v>2889</v>
      </c>
      <c r="C5" s="21" t="s">
        <v>1820</v>
      </c>
      <c r="D5" s="21" t="s">
        <v>2890</v>
      </c>
      <c r="E5" s="21" t="s">
        <v>41</v>
      </c>
      <c r="G5" s="21">
        <v>5</v>
      </c>
      <c r="H5" t="str">
        <f>VLOOKUP(B5,'Ürün İş Listesi'!B:B,1,0)</f>
        <v>EFT-2390</v>
      </c>
    </row>
    <row r="6" spans="1:8" x14ac:dyDescent="0.25">
      <c r="A6" s="23" t="s">
        <v>77</v>
      </c>
      <c r="B6" s="20" t="s">
        <v>3166</v>
      </c>
      <c r="C6" s="20" t="s">
        <v>27</v>
      </c>
      <c r="D6" s="20" t="s">
        <v>3169</v>
      </c>
      <c r="E6" s="20" t="s">
        <v>41</v>
      </c>
      <c r="G6" s="20"/>
      <c r="H6" t="str">
        <f>VLOOKUP(B6,'Ürün İş Listesi'!B:B,1,0)</f>
        <v>EFT-2396</v>
      </c>
    </row>
    <row r="7" spans="1:8" x14ac:dyDescent="0.25">
      <c r="A7" s="22" t="s">
        <v>14</v>
      </c>
      <c r="B7" s="21" t="s">
        <v>2720</v>
      </c>
      <c r="C7" s="21" t="s">
        <v>94</v>
      </c>
      <c r="D7" s="21" t="s">
        <v>2719</v>
      </c>
      <c r="E7" s="21" t="s">
        <v>38</v>
      </c>
      <c r="G7" s="26">
        <v>3</v>
      </c>
      <c r="H7" t="str">
        <f>VLOOKUP(B7,'Ürün İş Listesi'!B:B,1,0)</f>
        <v>EDF-813</v>
      </c>
    </row>
    <row r="8" spans="1:8" x14ac:dyDescent="0.25">
      <c r="A8" s="23" t="s">
        <v>77</v>
      </c>
      <c r="B8" s="23" t="s">
        <v>2718</v>
      </c>
      <c r="C8" s="23" t="s">
        <v>10</v>
      </c>
      <c r="D8" s="23" t="s">
        <v>2717</v>
      </c>
      <c r="E8" s="23" t="s">
        <v>38</v>
      </c>
      <c r="G8" s="23">
        <v>1</v>
      </c>
      <c r="H8" t="str">
        <f>VLOOKUP(B8,'Ürün İş Listesi'!B:B,1,0)</f>
        <v>EDF-814</v>
      </c>
    </row>
    <row r="9" spans="1:8" x14ac:dyDescent="0.25">
      <c r="A9" s="22" t="s">
        <v>14</v>
      </c>
      <c r="B9" s="21" t="s">
        <v>2716</v>
      </c>
      <c r="C9" s="21" t="s">
        <v>10</v>
      </c>
      <c r="D9" s="21" t="s">
        <v>2715</v>
      </c>
      <c r="E9" s="21" t="s">
        <v>38</v>
      </c>
      <c r="G9" s="21">
        <v>5</v>
      </c>
      <c r="H9" t="str">
        <f>VLOOKUP(B9,'Ürün İş Listesi'!B:B,1,0)</f>
        <v>EDF-815</v>
      </c>
    </row>
    <row r="10" spans="1:8" x14ac:dyDescent="0.25">
      <c r="A10" s="23" t="s">
        <v>14</v>
      </c>
      <c r="B10" s="20" t="s">
        <v>2879</v>
      </c>
      <c r="C10" s="20" t="s">
        <v>16</v>
      </c>
      <c r="D10" s="20" t="s">
        <v>2880</v>
      </c>
      <c r="E10" s="20" t="s">
        <v>38</v>
      </c>
      <c r="G10" s="25">
        <v>5</v>
      </c>
      <c r="H10" t="str">
        <f>VLOOKUP(B10,'Ürün İş Listesi'!B:B,1,0)</f>
        <v>EDF-822</v>
      </c>
    </row>
    <row r="11" spans="1:8" x14ac:dyDescent="0.25">
      <c r="A11" s="22" t="s">
        <v>14</v>
      </c>
      <c r="B11" s="21" t="s">
        <v>2875</v>
      </c>
      <c r="C11" s="21" t="s">
        <v>1820</v>
      </c>
      <c r="D11" s="21" t="s">
        <v>2876</v>
      </c>
      <c r="E11" s="21" t="s">
        <v>38</v>
      </c>
      <c r="G11" s="26">
        <v>13</v>
      </c>
      <c r="H11" t="str">
        <f>VLOOKUP(B11,'Ürün İş Listesi'!B:B,1,0)</f>
        <v>EDF-824</v>
      </c>
    </row>
    <row r="12" spans="1:8" x14ac:dyDescent="0.25">
      <c r="A12" s="23" t="s">
        <v>14</v>
      </c>
      <c r="B12" s="23" t="s">
        <v>2872</v>
      </c>
      <c r="C12" s="23" t="s">
        <v>2873</v>
      </c>
      <c r="D12" s="23" t="s">
        <v>2874</v>
      </c>
      <c r="E12" s="23" t="s">
        <v>1386</v>
      </c>
      <c r="G12" s="23">
        <v>13</v>
      </c>
      <c r="H12" t="str">
        <f>VLOOKUP(B12,'Ürün İş Listesi'!B:B,1,0)</f>
        <v>ES-306</v>
      </c>
    </row>
    <row r="13" spans="1:8" x14ac:dyDescent="0.25">
      <c r="A13" s="22" t="s">
        <v>14</v>
      </c>
      <c r="B13" s="21" t="s">
        <v>2877</v>
      </c>
      <c r="C13" s="21" t="s">
        <v>16</v>
      </c>
      <c r="D13" s="21" t="s">
        <v>2878</v>
      </c>
      <c r="E13" s="21" t="s">
        <v>1386</v>
      </c>
      <c r="G13" s="21">
        <v>5</v>
      </c>
      <c r="H13" t="str">
        <f>VLOOKUP(B13,'Ürün İş Listesi'!B:B,1,0)</f>
        <v>ES-305</v>
      </c>
    </row>
    <row r="14" spans="1:8" x14ac:dyDescent="0.25">
      <c r="A14" s="23" t="s">
        <v>14</v>
      </c>
      <c r="B14" s="20" t="s">
        <v>3167</v>
      </c>
      <c r="C14" s="20" t="s">
        <v>1922</v>
      </c>
      <c r="D14" s="20" t="s">
        <v>3170</v>
      </c>
      <c r="E14" s="20" t="s">
        <v>35</v>
      </c>
      <c r="G14" s="20">
        <v>2</v>
      </c>
      <c r="H14" t="str">
        <f>VLOOKUP(B14,'Ürün İş Listesi'!B:B,1,0)</f>
        <v>DP-292</v>
      </c>
    </row>
    <row r="15" spans="1:8" x14ac:dyDescent="0.25">
      <c r="A15" s="23" t="s">
        <v>14</v>
      </c>
      <c r="B15" s="20" t="s">
        <v>1004</v>
      </c>
      <c r="D15" s="20" t="s">
        <v>1987</v>
      </c>
      <c r="E15" s="20" t="s">
        <v>12</v>
      </c>
      <c r="G15" s="20">
        <v>5</v>
      </c>
      <c r="H15" t="str">
        <f>VLOOKUP(B15,'Ürün İş Listesi'!B:B,1,0)</f>
        <v>CRM-639</v>
      </c>
    </row>
    <row r="16" spans="1:8" x14ac:dyDescent="0.25">
      <c r="A16" s="22" t="s">
        <v>14</v>
      </c>
      <c r="B16" s="21" t="s">
        <v>1095</v>
      </c>
      <c r="D16" s="21" t="s">
        <v>1096</v>
      </c>
      <c r="E16" s="21" t="s">
        <v>12</v>
      </c>
      <c r="G16" s="21">
        <v>3</v>
      </c>
      <c r="H16" t="str">
        <f>VLOOKUP(B16,'Ürün İş Listesi'!B:B,1,0)</f>
        <v>CRM-649</v>
      </c>
    </row>
    <row r="17" spans="1:8" x14ac:dyDescent="0.25">
      <c r="A17" s="23" t="s">
        <v>14</v>
      </c>
      <c r="B17" s="20" t="s">
        <v>1807</v>
      </c>
      <c r="D17" s="20" t="s">
        <v>1808</v>
      </c>
      <c r="E17" s="20" t="s">
        <v>12</v>
      </c>
      <c r="G17" s="20">
        <v>2</v>
      </c>
      <c r="H17" t="str">
        <f>VLOOKUP(B17,'Ürün İş Listesi'!B:B,1,0)</f>
        <v>CRM-682</v>
      </c>
    </row>
    <row r="18" spans="1:8" x14ac:dyDescent="0.25">
      <c r="A18" s="22" t="s">
        <v>14</v>
      </c>
      <c r="B18" s="21" t="s">
        <v>2209</v>
      </c>
      <c r="D18" s="21" t="s">
        <v>2208</v>
      </c>
      <c r="E18" s="21" t="s">
        <v>12</v>
      </c>
      <c r="G18" s="21">
        <v>2</v>
      </c>
      <c r="H18" t="str">
        <f>VLOOKUP(B18,'Ürün İş Listesi'!B:B,1,0)</f>
        <v>CRM-737</v>
      </c>
    </row>
    <row r="19" spans="1:8" x14ac:dyDescent="0.25">
      <c r="A19" s="23" t="s">
        <v>14</v>
      </c>
      <c r="B19" s="20" t="s">
        <v>2296</v>
      </c>
      <c r="D19" s="20" t="s">
        <v>2297</v>
      </c>
      <c r="E19" s="20" t="s">
        <v>12</v>
      </c>
      <c r="G19" s="20">
        <v>1</v>
      </c>
      <c r="H19" t="str">
        <f>VLOOKUP(B19,'Ürün İş Listesi'!B:B,1,0)</f>
        <v>CRM-754</v>
      </c>
    </row>
    <row r="20" spans="1:8" x14ac:dyDescent="0.25">
      <c r="A20" s="22" t="s">
        <v>14</v>
      </c>
      <c r="B20" s="21" t="s">
        <v>2432</v>
      </c>
      <c r="D20" s="21" t="s">
        <v>2431</v>
      </c>
      <c r="E20" s="21" t="s">
        <v>12</v>
      </c>
      <c r="G20" s="21">
        <v>5</v>
      </c>
      <c r="H20" t="str">
        <f>VLOOKUP(B20,'Ürün İş Listesi'!B:B,1,0)</f>
        <v>CRM-763</v>
      </c>
    </row>
    <row r="21" spans="1:8" x14ac:dyDescent="0.25">
      <c r="A21" s="23" t="s">
        <v>14</v>
      </c>
      <c r="B21" s="20" t="s">
        <v>2427</v>
      </c>
      <c r="D21" s="20" t="s">
        <v>2426</v>
      </c>
      <c r="E21" s="20" t="s">
        <v>12</v>
      </c>
      <c r="G21" s="20">
        <v>3</v>
      </c>
      <c r="H21" t="str">
        <f>VLOOKUP(B21,'Ürün İş Listesi'!B:B,1,0)</f>
        <v>CRM-766</v>
      </c>
    </row>
    <row r="22" spans="1:8" x14ac:dyDescent="0.25">
      <c r="A22" s="22" t="s">
        <v>14</v>
      </c>
      <c r="B22" s="21" t="s">
        <v>2207</v>
      </c>
      <c r="D22" s="21" t="s">
        <v>2206</v>
      </c>
      <c r="E22" s="21" t="s">
        <v>12</v>
      </c>
      <c r="G22" s="21">
        <v>3</v>
      </c>
      <c r="H22" t="str">
        <f>VLOOKUP(B22,'Ürün İş Listesi'!B:B,1,0)</f>
        <v>CRM-738</v>
      </c>
    </row>
    <row r="23" spans="1:8" x14ac:dyDescent="0.25">
      <c r="A23" s="23" t="s">
        <v>14</v>
      </c>
      <c r="B23" s="20" t="s">
        <v>2430</v>
      </c>
      <c r="D23" s="20" t="s">
        <v>2471</v>
      </c>
      <c r="E23" s="20" t="s">
        <v>12</v>
      </c>
      <c r="G23" s="20">
        <v>3</v>
      </c>
      <c r="H23" t="str">
        <f>VLOOKUP(B23,'Ürün İş Listesi'!B:B,1,0)</f>
        <v>CRM-764</v>
      </c>
    </row>
    <row r="24" spans="1:8" x14ac:dyDescent="0.25">
      <c r="A24" s="22" t="s">
        <v>14</v>
      </c>
      <c r="B24" s="21" t="s">
        <v>2566</v>
      </c>
      <c r="D24" s="21" t="s">
        <v>2567</v>
      </c>
      <c r="E24" s="21" t="s">
        <v>12</v>
      </c>
      <c r="G24" s="21">
        <v>5</v>
      </c>
      <c r="H24" t="str">
        <f>VLOOKUP(B24,'Ürün İş Listesi'!B:B,1,0)</f>
        <v>CRM-780</v>
      </c>
    </row>
    <row r="25" spans="1:8" x14ac:dyDescent="0.25">
      <c r="A25" s="23" t="s">
        <v>14</v>
      </c>
      <c r="B25" s="20" t="s">
        <v>2568</v>
      </c>
      <c r="D25" s="20" t="s">
        <v>2569</v>
      </c>
      <c r="E25" s="20" t="s">
        <v>12</v>
      </c>
      <c r="G25" s="20">
        <v>5</v>
      </c>
      <c r="H25" t="str">
        <f>VLOOKUP(B25,'Ürün İş Listesi'!B:B,1,0)</f>
        <v>CRM-789</v>
      </c>
    </row>
    <row r="26" spans="1:8" x14ac:dyDescent="0.25">
      <c r="A26" s="22" t="s">
        <v>14</v>
      </c>
      <c r="B26" s="21" t="s">
        <v>2692</v>
      </c>
      <c r="D26" s="21" t="s">
        <v>2697</v>
      </c>
      <c r="E26" s="21" t="s">
        <v>12</v>
      </c>
      <c r="G26" s="21">
        <v>2</v>
      </c>
      <c r="H26" t="str">
        <f>VLOOKUP(B26,'Ürün İş Listesi'!B:B,1,0)</f>
        <v>CRM-762</v>
      </c>
    </row>
    <row r="27" spans="1:8" x14ac:dyDescent="0.25">
      <c r="A27" s="23" t="s">
        <v>14</v>
      </c>
      <c r="B27" s="20" t="s">
        <v>2548</v>
      </c>
      <c r="D27" s="20" t="s">
        <v>2547</v>
      </c>
      <c r="E27" s="20" t="s">
        <v>12</v>
      </c>
      <c r="G27" s="20">
        <v>3</v>
      </c>
      <c r="H27" t="str">
        <f>VLOOKUP(B27,'Ürün İş Listesi'!B:B,1,0)</f>
        <v>CRM-758</v>
      </c>
    </row>
    <row r="28" spans="1:8" x14ac:dyDescent="0.25">
      <c r="A28" s="22" t="s">
        <v>14</v>
      </c>
      <c r="B28" s="21" t="s">
        <v>2765</v>
      </c>
      <c r="D28" s="21" t="s">
        <v>2771</v>
      </c>
      <c r="E28" s="21" t="s">
        <v>12</v>
      </c>
      <c r="G28" s="21">
        <v>2</v>
      </c>
      <c r="H28" t="str">
        <f>VLOOKUP(B28,'Ürün İş Listesi'!B:B,1,0)</f>
        <v>CRM-806</v>
      </c>
    </row>
    <row r="29" spans="1:8" x14ac:dyDescent="0.25">
      <c r="A29" s="23" t="s">
        <v>14</v>
      </c>
      <c r="B29" s="20" t="s">
        <v>2766</v>
      </c>
      <c r="D29" s="20" t="s">
        <v>2772</v>
      </c>
      <c r="E29" s="20" t="s">
        <v>12</v>
      </c>
      <c r="G29" s="20">
        <v>5</v>
      </c>
      <c r="H29" t="str">
        <f>VLOOKUP(B29,'Ürün İş Listesi'!B:B,1,0)</f>
        <v>CRM-810</v>
      </c>
    </row>
    <row r="30" spans="1:8" x14ac:dyDescent="0.25">
      <c r="A30" s="22" t="s">
        <v>14</v>
      </c>
      <c r="B30" s="21" t="s">
        <v>2767</v>
      </c>
      <c r="D30" s="21" t="s">
        <v>2773</v>
      </c>
      <c r="E30" s="21" t="s">
        <v>12</v>
      </c>
      <c r="G30" s="21">
        <v>3</v>
      </c>
      <c r="H30" t="str">
        <f>VLOOKUP(B30,'Ürün İş Listesi'!B:B,1,0)</f>
        <v>CRM-813</v>
      </c>
    </row>
    <row r="31" spans="1:8" x14ac:dyDescent="0.25">
      <c r="A31" s="23" t="s">
        <v>14</v>
      </c>
      <c r="B31" s="20" t="s">
        <v>2768</v>
      </c>
      <c r="D31" s="20" t="s">
        <v>2774</v>
      </c>
      <c r="E31" s="20" t="s">
        <v>12</v>
      </c>
      <c r="G31" s="20">
        <v>5</v>
      </c>
      <c r="H31" t="str">
        <f>VLOOKUP(B31,'Ürün İş Listesi'!B:B,1,0)</f>
        <v>CRM-815</v>
      </c>
    </row>
    <row r="32" spans="1:8" x14ac:dyDescent="0.25">
      <c r="A32" s="22" t="s">
        <v>14</v>
      </c>
      <c r="B32" s="21" t="s">
        <v>2769</v>
      </c>
      <c r="D32" s="21" t="s">
        <v>2775</v>
      </c>
      <c r="E32" s="21" t="s">
        <v>12</v>
      </c>
      <c r="G32" s="21">
        <v>3</v>
      </c>
      <c r="H32" t="str">
        <f>VLOOKUP(B32,'Ürün İş Listesi'!B:B,1,0)</f>
        <v>CRM-774</v>
      </c>
    </row>
    <row r="33" spans="1:8" x14ac:dyDescent="0.25">
      <c r="A33" s="23" t="s">
        <v>14</v>
      </c>
      <c r="B33" s="20" t="s">
        <v>2770</v>
      </c>
      <c r="D33" s="20" t="s">
        <v>2776</v>
      </c>
      <c r="E33" s="20" t="s">
        <v>12</v>
      </c>
      <c r="G33" s="20">
        <v>3</v>
      </c>
      <c r="H33" t="str">
        <f>VLOOKUP(B33,'Ürün İş Listesi'!B:B,1,0)</f>
        <v>CRM-812</v>
      </c>
    </row>
    <row r="34" spans="1:8" x14ac:dyDescent="0.25">
      <c r="A34" s="22" t="s">
        <v>14</v>
      </c>
      <c r="B34" s="21" t="s">
        <v>2542</v>
      </c>
      <c r="D34" s="21" t="s">
        <v>2541</v>
      </c>
      <c r="E34" s="21" t="s">
        <v>12</v>
      </c>
      <c r="G34" s="21">
        <v>5</v>
      </c>
      <c r="H34" t="str">
        <f>VLOOKUP(B34,'Ürün İş Listesi'!B:B,1,0)</f>
        <v>CRM-777</v>
      </c>
    </row>
    <row r="35" spans="1:8" x14ac:dyDescent="0.25">
      <c r="A35" s="23" t="s">
        <v>14</v>
      </c>
      <c r="B35" s="20" t="s">
        <v>3181</v>
      </c>
      <c r="D35" s="20" t="s">
        <v>3182</v>
      </c>
      <c r="E35" s="20" t="s">
        <v>12</v>
      </c>
      <c r="G35" s="20">
        <v>1</v>
      </c>
      <c r="H35" t="str">
        <f>VLOOKUP(B35,'Ürün İş Listesi'!B:B,1,0)</f>
        <v>CRM-825</v>
      </c>
    </row>
    <row r="36" spans="1:8" x14ac:dyDescent="0.25">
      <c r="A36" s="22" t="s">
        <v>14</v>
      </c>
      <c r="B36" s="21" t="s">
        <v>2829</v>
      </c>
      <c r="D36" s="21" t="s">
        <v>2828</v>
      </c>
      <c r="E36" s="21" t="s">
        <v>12</v>
      </c>
      <c r="G36" s="21">
        <v>3</v>
      </c>
      <c r="H36" t="str">
        <f>VLOOKUP(B36,'Ürün İş Listesi'!B:B,1,0)</f>
        <v>CRM-817</v>
      </c>
    </row>
    <row r="37" spans="1:8" x14ac:dyDescent="0.25">
      <c r="A37" s="23" t="s">
        <v>14</v>
      </c>
      <c r="B37" s="20" t="s">
        <v>2867</v>
      </c>
      <c r="D37" s="20" t="s">
        <v>2868</v>
      </c>
      <c r="E37" s="20" t="s">
        <v>12</v>
      </c>
      <c r="G37" s="20">
        <v>5</v>
      </c>
      <c r="H37" t="str">
        <f>VLOOKUP(B37,'Ürün İş Listesi'!B:B,1,0)</f>
        <v>CRM-811</v>
      </c>
    </row>
    <row r="38" spans="1:8" x14ac:dyDescent="0.25">
      <c r="A38" s="22" t="s">
        <v>14</v>
      </c>
      <c r="B38" s="21" t="s">
        <v>2834</v>
      </c>
      <c r="D38" s="21" t="s">
        <v>2833</v>
      </c>
      <c r="E38" s="21" t="s">
        <v>12</v>
      </c>
      <c r="G38" s="21">
        <v>3</v>
      </c>
      <c r="H38" t="str">
        <f>VLOOKUP(B38,'Ürün İş Listesi'!B:B,1,0)</f>
        <v>CRM-805</v>
      </c>
    </row>
    <row r="39" spans="1:8" x14ac:dyDescent="0.25">
      <c r="A39" s="23" t="s">
        <v>14</v>
      </c>
      <c r="B39" s="20" t="s">
        <v>2869</v>
      </c>
      <c r="D39" s="20" t="s">
        <v>2870</v>
      </c>
      <c r="E39" s="20" t="s">
        <v>12</v>
      </c>
      <c r="G39" s="20">
        <v>5</v>
      </c>
      <c r="H39" t="str">
        <f>VLOOKUP(B39,'Ürün İş Listesi'!B:B,1,0)</f>
        <v>CRM-822</v>
      </c>
    </row>
    <row r="40" spans="1:8" x14ac:dyDescent="0.25">
      <c r="A40" s="22" t="s">
        <v>14</v>
      </c>
      <c r="B40" s="21" t="s">
        <v>2831</v>
      </c>
      <c r="D40" s="21" t="s">
        <v>2830</v>
      </c>
      <c r="E40" s="21" t="s">
        <v>12</v>
      </c>
      <c r="G40" s="21">
        <v>2</v>
      </c>
      <c r="H40" t="str">
        <f>VLOOKUP(B40,'Ürün İş Listesi'!B:B,1,0)</f>
        <v>CRM-814</v>
      </c>
    </row>
    <row r="41" spans="1:8" x14ac:dyDescent="0.25">
      <c r="A41" s="23" t="s">
        <v>14</v>
      </c>
      <c r="B41" s="20" t="s">
        <v>3183</v>
      </c>
      <c r="D41" s="20" t="s">
        <v>3184</v>
      </c>
      <c r="E41" s="20" t="s">
        <v>12</v>
      </c>
      <c r="G41" s="20">
        <v>1</v>
      </c>
      <c r="H41" t="str">
        <f>VLOOKUP(B41,'Ürün İş Listesi'!B:B,1,0)</f>
        <v>CRM-828</v>
      </c>
    </row>
    <row r="42" spans="1:8" x14ac:dyDescent="0.25">
      <c r="A42" s="31" t="s">
        <v>14</v>
      </c>
      <c r="B42" s="32" t="s">
        <v>1813</v>
      </c>
      <c r="D42" s="30" t="s">
        <v>1814</v>
      </c>
      <c r="E42" s="31" t="s">
        <v>47</v>
      </c>
      <c r="F42" s="32" t="s">
        <v>3189</v>
      </c>
      <c r="G42" s="30">
        <v>8</v>
      </c>
      <c r="H42" t="str">
        <f>VLOOKUP(B42,'Ürün İş Listesi'!B:B,1,0)</f>
        <v>KEP-302</v>
      </c>
    </row>
    <row r="43" spans="1:8" x14ac:dyDescent="0.25">
      <c r="A43" s="33" t="s">
        <v>14</v>
      </c>
      <c r="B43" s="33" t="s">
        <v>2532</v>
      </c>
      <c r="D43" s="33" t="s">
        <v>2460</v>
      </c>
      <c r="E43" s="33" t="s">
        <v>47</v>
      </c>
      <c r="F43" s="33" t="s">
        <v>3189</v>
      </c>
      <c r="G43" s="33"/>
      <c r="H43" t="str">
        <f>VLOOKUP(B43,'Ürün İş Listesi'!B:B,1,0)</f>
        <v>KEP-315</v>
      </c>
    </row>
    <row r="44" spans="1:8" x14ac:dyDescent="0.25">
      <c r="A44" s="31" t="s">
        <v>14</v>
      </c>
      <c r="B44" s="32" t="s">
        <v>2788</v>
      </c>
      <c r="D44" s="30" t="s">
        <v>2798</v>
      </c>
      <c r="E44" s="31" t="s">
        <v>47</v>
      </c>
      <c r="F44" s="32" t="s">
        <v>2850</v>
      </c>
      <c r="G44" s="30">
        <v>3</v>
      </c>
      <c r="H44" t="str">
        <f>VLOOKUP(B44,'Ürün İş Listesi'!B:B,1,0)</f>
        <v>KEP-318</v>
      </c>
    </row>
    <row r="45" spans="1:8" x14ac:dyDescent="0.25">
      <c r="A45" s="33" t="s">
        <v>14</v>
      </c>
      <c r="B45" s="33" t="s">
        <v>2482</v>
      </c>
      <c r="D45" s="33" t="s">
        <v>2460</v>
      </c>
      <c r="E45" s="33" t="s">
        <v>53</v>
      </c>
      <c r="F45" s="33" t="s">
        <v>3189</v>
      </c>
      <c r="G45" s="33"/>
      <c r="H45" t="str">
        <f>VLOOKUP(B45,'Ürün İş Listesi'!B:B,1,0)</f>
        <v>WIK-783</v>
      </c>
    </row>
    <row r="46" spans="1:8" x14ac:dyDescent="0.25">
      <c r="A46" s="31" t="s">
        <v>14</v>
      </c>
      <c r="B46" s="32" t="s">
        <v>2735</v>
      </c>
      <c r="D46" s="30" t="s">
        <v>2736</v>
      </c>
      <c r="E46" s="31" t="s">
        <v>53</v>
      </c>
      <c r="F46" s="32" t="s">
        <v>3190</v>
      </c>
      <c r="G46" s="30">
        <v>3</v>
      </c>
      <c r="H46" t="str">
        <f>VLOOKUP(B46,'Ürün İş Listesi'!B:B,1,0)</f>
        <v>WIK-793</v>
      </c>
    </row>
    <row r="47" spans="1:8" x14ac:dyDescent="0.25">
      <c r="A47" s="33" t="s">
        <v>14</v>
      </c>
      <c r="B47" s="33" t="s">
        <v>2745</v>
      </c>
      <c r="D47" s="33" t="s">
        <v>2746</v>
      </c>
      <c r="E47" s="33" t="s">
        <v>53</v>
      </c>
      <c r="F47" s="33" t="s">
        <v>3189</v>
      </c>
      <c r="G47" s="33">
        <v>3</v>
      </c>
      <c r="H47" t="str">
        <f>VLOOKUP(B47,'Ürün İş Listesi'!B:B,1,0)</f>
        <v>WIK-791</v>
      </c>
    </row>
    <row r="48" spans="1:8" x14ac:dyDescent="0.25">
      <c r="A48" s="31" t="s">
        <v>14</v>
      </c>
      <c r="B48" s="32" t="s">
        <v>2703</v>
      </c>
      <c r="D48" s="30" t="s">
        <v>2925</v>
      </c>
      <c r="E48" s="31" t="s">
        <v>599</v>
      </c>
      <c r="F48" s="32" t="s">
        <v>3191</v>
      </c>
      <c r="G48" s="30"/>
      <c r="H48" t="str">
        <f>VLOOKUP(B48,'Ürün İş Listesi'!B:B,1,0)</f>
        <v>WIK-792</v>
      </c>
    </row>
    <row r="49" spans="1:8" x14ac:dyDescent="0.25">
      <c r="A49" s="33" t="s">
        <v>77</v>
      </c>
      <c r="B49" s="33" t="s">
        <v>3192</v>
      </c>
      <c r="D49" s="33" t="s">
        <v>3193</v>
      </c>
      <c r="E49" s="33" t="s">
        <v>599</v>
      </c>
      <c r="F49" s="33" t="s">
        <v>3194</v>
      </c>
      <c r="G49" s="33">
        <v>2</v>
      </c>
      <c r="H49" t="str">
        <f>VLOOKUP(B49,'Ürün İş Listesi'!B:B,1,0)</f>
        <v>WIK-823</v>
      </c>
    </row>
    <row r="50" spans="1:8" x14ac:dyDescent="0.25">
      <c r="A50" s="31" t="s">
        <v>77</v>
      </c>
      <c r="B50" s="32" t="s">
        <v>3195</v>
      </c>
      <c r="D50" s="30" t="s">
        <v>3196</v>
      </c>
      <c r="E50" s="31" t="s">
        <v>599</v>
      </c>
      <c r="F50" s="32" t="s">
        <v>3189</v>
      </c>
      <c r="G50" s="30">
        <v>2</v>
      </c>
      <c r="H50" t="str">
        <f>VLOOKUP(B50,'Ürün İş Listesi'!B:B,1,0)</f>
        <v>WIK-824</v>
      </c>
    </row>
    <row r="51" spans="1:8" x14ac:dyDescent="0.25">
      <c r="A51" s="33" t="s">
        <v>77</v>
      </c>
      <c r="B51" s="33" t="s">
        <v>3197</v>
      </c>
      <c r="D51" s="33" t="s">
        <v>3198</v>
      </c>
      <c r="E51" s="33" t="s">
        <v>599</v>
      </c>
      <c r="F51" s="33" t="s">
        <v>3190</v>
      </c>
      <c r="G51" s="33">
        <v>3</v>
      </c>
      <c r="H51" t="str">
        <f>VLOOKUP(B51,'Ürün İş Listesi'!B:B,1,0)</f>
        <v>WIK-825</v>
      </c>
    </row>
    <row r="52" spans="1:8" x14ac:dyDescent="0.25">
      <c r="A52" s="31" t="s">
        <v>14</v>
      </c>
      <c r="B52" s="32" t="s">
        <v>3199</v>
      </c>
      <c r="D52" s="30" t="s">
        <v>3200</v>
      </c>
      <c r="E52" s="31" t="s">
        <v>599</v>
      </c>
      <c r="F52" s="32" t="s">
        <v>2850</v>
      </c>
      <c r="G52" s="30">
        <v>2</v>
      </c>
      <c r="H52" t="e">
        <f>VLOOKUP(B52,'Ürün İş Listesi'!B:B,1,0)</f>
        <v>#N/A</v>
      </c>
    </row>
    <row r="53" spans="1:8" x14ac:dyDescent="0.25">
      <c r="A53" s="33" t="s">
        <v>14</v>
      </c>
      <c r="B53" s="33" t="s">
        <v>3201</v>
      </c>
      <c r="D53" s="33" t="s">
        <v>3202</v>
      </c>
      <c r="E53" s="33" t="s">
        <v>599</v>
      </c>
      <c r="F53" s="33" t="s">
        <v>2850</v>
      </c>
      <c r="G53" s="33"/>
      <c r="H53" t="e">
        <f>VLOOKUP(B53,'Ürün İş Listesi'!B:B,1,0)</f>
        <v>#N/A</v>
      </c>
    </row>
    <row r="54" spans="1:8" x14ac:dyDescent="0.25">
      <c r="A54" s="31" t="s">
        <v>14</v>
      </c>
      <c r="B54" s="32" t="s">
        <v>3203</v>
      </c>
      <c r="D54" s="30" t="s">
        <v>2988</v>
      </c>
      <c r="E54" s="31" t="s">
        <v>428</v>
      </c>
      <c r="F54" s="32" t="s">
        <v>3189</v>
      </c>
      <c r="G54" s="30">
        <v>3</v>
      </c>
      <c r="H54" t="str">
        <f>VLOOKUP(B54,'Ürün İş Listesi'!B:B,1,0)</f>
        <v>MUL-215</v>
      </c>
    </row>
    <row r="55" spans="1:8" x14ac:dyDescent="0.25">
      <c r="A55" s="33" t="s">
        <v>14</v>
      </c>
      <c r="B55" s="33" t="s">
        <v>2516</v>
      </c>
      <c r="D55" s="33" t="s">
        <v>2460</v>
      </c>
      <c r="E55" s="33" t="s">
        <v>62</v>
      </c>
      <c r="F55" s="33" t="s">
        <v>3189</v>
      </c>
      <c r="G55" s="33"/>
      <c r="H55" t="str">
        <f>VLOOKUP(B55,'Ürün İş Listesi'!B:B,1,0)</f>
        <v>TIM-456</v>
      </c>
    </row>
    <row r="56" spans="1:8" x14ac:dyDescent="0.25">
      <c r="A56" s="31" t="s">
        <v>14</v>
      </c>
      <c r="B56" s="32" t="s">
        <v>2779</v>
      </c>
      <c r="D56" s="30" t="s">
        <v>2789</v>
      </c>
      <c r="E56" s="31" t="s">
        <v>1620</v>
      </c>
      <c r="F56" s="32" t="s">
        <v>2850</v>
      </c>
      <c r="G56" s="30">
        <v>1</v>
      </c>
      <c r="H56" t="str">
        <f>VLOOKUP(B56,'Ürün İş Listesi'!B:B,1,0)</f>
        <v>UKDS-223</v>
      </c>
    </row>
    <row r="57" spans="1:8" x14ac:dyDescent="0.25">
      <c r="A57" s="33" t="s">
        <v>14</v>
      </c>
      <c r="B57" s="33" t="s">
        <v>2780</v>
      </c>
      <c r="D57" s="33" t="s">
        <v>2790</v>
      </c>
      <c r="E57" s="33" t="s">
        <v>1620</v>
      </c>
      <c r="F57" s="33" t="s">
        <v>3190</v>
      </c>
      <c r="G57" s="33">
        <v>3</v>
      </c>
      <c r="H57" t="str">
        <f>VLOOKUP(B57,'Ürün İş Listesi'!B:B,1,0)</f>
        <v>UKDS-219</v>
      </c>
    </row>
    <row r="58" spans="1:8" x14ac:dyDescent="0.25">
      <c r="A58" s="31" t="s">
        <v>14</v>
      </c>
      <c r="B58" s="32" t="s">
        <v>2781</v>
      </c>
      <c r="D58" s="30" t="s">
        <v>2791</v>
      </c>
      <c r="E58" s="31" t="s">
        <v>1620</v>
      </c>
      <c r="F58" s="32" t="s">
        <v>2850</v>
      </c>
      <c r="G58" s="30">
        <v>2</v>
      </c>
      <c r="H58" t="str">
        <f>VLOOKUP(B58,'Ürün İş Listesi'!B:B,1,0)</f>
        <v>UKDS-221</v>
      </c>
    </row>
    <row r="59" spans="1:8" x14ac:dyDescent="0.25">
      <c r="A59" s="33" t="s">
        <v>14</v>
      </c>
      <c r="B59" s="33" t="s">
        <v>2782</v>
      </c>
      <c r="D59" s="33" t="s">
        <v>2792</v>
      </c>
      <c r="E59" s="33" t="s">
        <v>1620</v>
      </c>
      <c r="F59" s="33" t="s">
        <v>2850</v>
      </c>
      <c r="G59" s="33">
        <v>1</v>
      </c>
      <c r="H59" t="str">
        <f>VLOOKUP(B59,'Ürün İş Listesi'!B:B,1,0)</f>
        <v>UKDS-220</v>
      </c>
    </row>
    <row r="60" spans="1:8" x14ac:dyDescent="0.25">
      <c r="A60" s="31" t="s">
        <v>14</v>
      </c>
      <c r="B60" s="32" t="s">
        <v>2783</v>
      </c>
      <c r="D60" s="30" t="s">
        <v>2793</v>
      </c>
      <c r="E60" s="31" t="s">
        <v>1620</v>
      </c>
      <c r="F60" s="32" t="s">
        <v>2850</v>
      </c>
      <c r="G60" s="30">
        <v>1</v>
      </c>
      <c r="H60" t="str">
        <f>VLOOKUP(B60,'Ürün İş Listesi'!B:B,1,0)</f>
        <v>UKDS-222</v>
      </c>
    </row>
    <row r="61" spans="1:8" x14ac:dyDescent="0.25">
      <c r="A61" s="34" t="s">
        <v>14</v>
      </c>
      <c r="B61" s="34" t="s">
        <v>1755</v>
      </c>
      <c r="D61" s="34" t="s">
        <v>1756</v>
      </c>
      <c r="E61" s="34" t="s">
        <v>44</v>
      </c>
      <c r="G61" s="35"/>
      <c r="H61" t="str">
        <f>VLOOKUP(B61,'Ürün İş Listesi'!B:B,1,0)</f>
        <v>IEU-264</v>
      </c>
    </row>
    <row r="62" spans="1:8" x14ac:dyDescent="0.25">
      <c r="A62" s="34" t="s">
        <v>14</v>
      </c>
      <c r="B62" s="34" t="s">
        <v>2679</v>
      </c>
      <c r="D62" s="34" t="s">
        <v>3224</v>
      </c>
      <c r="E62" s="34" t="s">
        <v>44</v>
      </c>
      <c r="G62" s="35">
        <v>5</v>
      </c>
      <c r="H62" t="str">
        <f>VLOOKUP(B62,'Ürün İş Listesi'!B:B,1,0)</f>
        <v>IEU-324</v>
      </c>
    </row>
    <row r="63" spans="1:8" x14ac:dyDescent="0.25">
      <c r="A63" s="34" t="s">
        <v>14</v>
      </c>
      <c r="B63" s="34" t="s">
        <v>2680</v>
      </c>
      <c r="D63" s="34" t="s">
        <v>2685</v>
      </c>
      <c r="E63" s="34" t="s">
        <v>50</v>
      </c>
      <c r="G63" s="35"/>
      <c r="H63" t="str">
        <f>VLOOKUP(B63,'Ürün İş Listesi'!B:B,1,0)</f>
        <v>KA-1588</v>
      </c>
    </row>
    <row r="64" spans="1:8" x14ac:dyDescent="0.25">
      <c r="A64" s="34" t="s">
        <v>14</v>
      </c>
      <c r="B64" s="34" t="s">
        <v>2378</v>
      </c>
      <c r="D64" s="34" t="s">
        <v>2377</v>
      </c>
      <c r="E64" s="34" t="s">
        <v>56</v>
      </c>
      <c r="G64" s="35">
        <v>5</v>
      </c>
      <c r="H64" t="str">
        <f>VLOOKUP(B64,'Ürün İş Listesi'!B:B,1,0)</f>
        <v>MU-188</v>
      </c>
    </row>
    <row r="65" spans="1:8" x14ac:dyDescent="0.25">
      <c r="A65" s="34" t="s">
        <v>14</v>
      </c>
      <c r="B65" s="34" t="s">
        <v>2851</v>
      </c>
      <c r="D65" s="34" t="s">
        <v>2852</v>
      </c>
      <c r="E65" s="34" t="s">
        <v>50</v>
      </c>
      <c r="G65" s="35">
        <v>5</v>
      </c>
      <c r="H65" t="str">
        <f>VLOOKUP(B65,'Ürün İş Listesi'!B:B,1,0)</f>
        <v>KA-1596</v>
      </c>
    </row>
    <row r="66" spans="1:8" x14ac:dyDescent="0.25">
      <c r="A66" s="34" t="s">
        <v>14</v>
      </c>
      <c r="B66" s="34" t="s">
        <v>2853</v>
      </c>
      <c r="D66" s="34" t="s">
        <v>1298</v>
      </c>
      <c r="E66" s="34" t="s">
        <v>50</v>
      </c>
      <c r="G66" s="35">
        <v>3</v>
      </c>
      <c r="H66" t="str">
        <f>VLOOKUP(B66,'Ürün İş Listesi'!B:B,1,0)</f>
        <v>KA-1597</v>
      </c>
    </row>
    <row r="67" spans="1:8" x14ac:dyDescent="0.25">
      <c r="A67" s="34" t="s">
        <v>77</v>
      </c>
      <c r="B67" s="34" t="s">
        <v>2858</v>
      </c>
      <c r="D67" s="34" t="s">
        <v>2859</v>
      </c>
      <c r="E67" s="34" t="s">
        <v>2860</v>
      </c>
      <c r="G67" s="35">
        <v>2</v>
      </c>
      <c r="H67" t="str">
        <f>VLOOKUP(B67,'Ürün İş Listesi'!B:B,1,0)</f>
        <v>IMC-1</v>
      </c>
    </row>
    <row r="68" spans="1:8" x14ac:dyDescent="0.25">
      <c r="A68" s="34" t="s">
        <v>14</v>
      </c>
      <c r="B68" s="34" t="s">
        <v>2871</v>
      </c>
      <c r="D68" s="34" t="s">
        <v>2861</v>
      </c>
      <c r="E68" s="34" t="s">
        <v>56</v>
      </c>
      <c r="G68" s="35">
        <v>8</v>
      </c>
      <c r="H68" t="str">
        <f>VLOOKUP(B68,'Ürün İş Listesi'!B:B,1,0)</f>
        <v>MU-223</v>
      </c>
    </row>
    <row r="69" spans="1:8" x14ac:dyDescent="0.25">
      <c r="A69" s="34" t="s">
        <v>14</v>
      </c>
      <c r="B69" s="34" t="s">
        <v>3215</v>
      </c>
      <c r="D69" s="34" t="s">
        <v>3225</v>
      </c>
      <c r="E69" s="34" t="s">
        <v>50</v>
      </c>
      <c r="G69" s="35">
        <v>3</v>
      </c>
      <c r="H69" t="str">
        <f>VLOOKUP(B69,'Ürün İş Listesi'!B:B,1,0)</f>
        <v>KA-1604</v>
      </c>
    </row>
    <row r="70" spans="1:8" x14ac:dyDescent="0.25">
      <c r="A70" s="34" t="s">
        <v>14</v>
      </c>
      <c r="B70" s="34" t="s">
        <v>3216</v>
      </c>
      <c r="D70" s="34" t="s">
        <v>3225</v>
      </c>
      <c r="E70" s="34" t="s">
        <v>59</v>
      </c>
      <c r="G70" s="35">
        <v>3</v>
      </c>
      <c r="H70" t="str">
        <f>VLOOKUP(B70,'Ürün İş Listesi'!B:B,1,0)</f>
        <v>MYS-856</v>
      </c>
    </row>
    <row r="71" spans="1:8" x14ac:dyDescent="0.25">
      <c r="A71" s="34" t="s">
        <v>77</v>
      </c>
      <c r="B71" s="34" t="s">
        <v>3217</v>
      </c>
      <c r="D71" s="34" t="s">
        <v>3226</v>
      </c>
      <c r="E71" s="34" t="s">
        <v>50</v>
      </c>
      <c r="G71" s="35">
        <v>2</v>
      </c>
      <c r="H71" t="str">
        <f>VLOOKUP(B71,'Ürün İş Listesi'!B:B,1,0)</f>
        <v>KA-1605</v>
      </c>
    </row>
    <row r="72" spans="1:8" x14ac:dyDescent="0.25">
      <c r="A72" s="34" t="s">
        <v>77</v>
      </c>
      <c r="B72" s="34" t="s">
        <v>3218</v>
      </c>
      <c r="D72" s="34" t="s">
        <v>3227</v>
      </c>
      <c r="E72" s="34" t="s">
        <v>56</v>
      </c>
      <c r="G72" s="35">
        <v>3</v>
      </c>
      <c r="H72" t="str">
        <f>VLOOKUP(B72,'Ürün İş Listesi'!B:B,1,0)</f>
        <v>MU-224</v>
      </c>
    </row>
    <row r="73" spans="1:8" x14ac:dyDescent="0.25">
      <c r="A73" s="34" t="s">
        <v>14</v>
      </c>
      <c r="B73" s="34" t="s">
        <v>3219</v>
      </c>
      <c r="D73" s="34" t="s">
        <v>3228</v>
      </c>
      <c r="E73" s="34" t="s">
        <v>56</v>
      </c>
      <c r="G73" s="35">
        <v>5</v>
      </c>
      <c r="H73" t="str">
        <f>VLOOKUP(B73,'Ürün İş Listesi'!B:B,1,0)</f>
        <v>MU-225</v>
      </c>
    </row>
    <row r="74" spans="1:8" x14ac:dyDescent="0.25">
      <c r="A74" s="34" t="s">
        <v>77</v>
      </c>
      <c r="B74" s="34" t="s">
        <v>3220</v>
      </c>
      <c r="D74" s="34" t="s">
        <v>3229</v>
      </c>
      <c r="E74" s="34" t="s">
        <v>56</v>
      </c>
      <c r="G74" s="35">
        <v>3</v>
      </c>
      <c r="H74" t="str">
        <f>VLOOKUP(B74,'Ürün İş Listesi'!B:B,1,0)</f>
        <v>MU-226</v>
      </c>
    </row>
    <row r="75" spans="1:8" x14ac:dyDescent="0.25">
      <c r="A75" s="34" t="s">
        <v>77</v>
      </c>
      <c r="B75" s="34" t="s">
        <v>3221</v>
      </c>
      <c r="D75" s="34" t="s">
        <v>3230</v>
      </c>
      <c r="E75" s="34" t="s">
        <v>2860</v>
      </c>
      <c r="G75" s="35">
        <v>3</v>
      </c>
      <c r="H75" t="str">
        <f>VLOOKUP(B75,'Ürün İş Listesi'!B:B,1,0)</f>
        <v>IMC-2</v>
      </c>
    </row>
    <row r="76" spans="1:8" x14ac:dyDescent="0.25">
      <c r="A76" s="34" t="s">
        <v>14</v>
      </c>
      <c r="B76" s="34" t="s">
        <v>3222</v>
      </c>
      <c r="D76" t="s">
        <v>3168</v>
      </c>
      <c r="E76" s="34" t="s">
        <v>59</v>
      </c>
      <c r="G76" s="35">
        <v>2</v>
      </c>
      <c r="H76" t="str">
        <f>VLOOKUP(B76,'Ürün İş Listesi'!B:B,1,0)</f>
        <v>MYS-853</v>
      </c>
    </row>
    <row r="77" spans="1:8" x14ac:dyDescent="0.25">
      <c r="A77" s="34" t="s">
        <v>14</v>
      </c>
      <c r="B77" t="s">
        <v>3223</v>
      </c>
      <c r="D77" t="s">
        <v>3168</v>
      </c>
      <c r="E77" t="s">
        <v>50</v>
      </c>
      <c r="G77" s="36">
        <v>3</v>
      </c>
      <c r="H77" t="str">
        <f>VLOOKUP(B77,'Ürün İş Listesi'!B:B,1,0)</f>
        <v>KA-1608</v>
      </c>
    </row>
  </sheetData>
  <autoFilter ref="A1:H77" xr:uid="{873505D3-A126-42FB-832D-FB3DC1399509}"/>
  <conditionalFormatting sqref="B16">
    <cfRule type="duplicateValues" dxfId="1" priority="1"/>
  </conditionalFormatting>
  <hyperlinks>
    <hyperlink ref="B42" r:id="rId1" tooltip="View this issue" display="http://192.168.124.186:8080/browse/KEP-302" xr:uid="{22748644-69DC-4A44-8011-290815E9E5FE}"/>
    <hyperlink ref="B46" r:id="rId2" tooltip="View this issue" display="http://192.168.124.186:8080/browse/WIK-793" xr:uid="{673AEC9F-9373-4A34-B456-AA934D191024}"/>
    <hyperlink ref="B47" r:id="rId3" tooltip="View this issue" display="http://192.168.124.186:8080/browse/WIK-791" xr:uid="{1182C099-87E9-4845-9524-7D1E1AAE44A3}"/>
    <hyperlink ref="B56" r:id="rId4" tooltip="View this issue" display="http://192.168.124.186:8080/browse/UKDS-223" xr:uid="{BB03DCA8-14CE-4F95-9A4B-F449B2872883}"/>
    <hyperlink ref="B57" r:id="rId5" tooltip="View this issue" display="http://192.168.124.186:8080/browse/UKDS-219" xr:uid="{F1A5EC1F-ED15-4F4E-9D91-2E6248FA7646}"/>
    <hyperlink ref="B58" r:id="rId6" tooltip="View this issue" display="http://192.168.124.186:8080/browse/UKDS-221" xr:uid="{D09641C5-68A5-4694-947A-8DB5D4871BF0}"/>
    <hyperlink ref="B59" r:id="rId7" tooltip="View this issue" display="http://192.168.124.186:8080/browse/UKDS-220" xr:uid="{9F135EFB-CC7E-413E-8E0B-17EA3443F50F}"/>
    <hyperlink ref="B60" r:id="rId8" tooltip="View this issue" display="http://192.168.124.186:8080/browse/UKDS-222" xr:uid="{34FF37DE-8FAC-403D-BAA7-22F57F534C2F}"/>
    <hyperlink ref="B44" r:id="rId9" tooltip="View this issue" display="http://192.168.124.186:8080/browse/KEP-318" xr:uid="{D4B30046-796A-482F-A8F5-55B405AD4601}"/>
    <hyperlink ref="B55" r:id="rId10" tooltip="View this issue" display="http://192.168.124.186:8080/browse/TIM-456" xr:uid="{898109C8-52FC-48AE-A8F5-23B63DA7192F}"/>
    <hyperlink ref="B49" r:id="rId11" tooltip="View this issue" display="http://192.168.124.186:8080/browse/WIK-823" xr:uid="{FF8F9024-953F-4F88-BC8C-1D9BA8DEE91A}"/>
    <hyperlink ref="B50" r:id="rId12" tooltip="View this issue" display="http://192.168.124.186:8080/browse/WIK-824" xr:uid="{B6C576C5-3842-476C-BC47-9666B567CA55}"/>
    <hyperlink ref="B51" r:id="rId13" tooltip="View this issue" display="http://192.168.124.186:8080/browse/WIK-825" xr:uid="{C37BAA52-C991-4823-85BE-CACF25F1ED30}"/>
    <hyperlink ref="B52" r:id="rId14" tooltip="View this issue" display="http://192.168.124.186:8080/browse/WIK-826" xr:uid="{738D1F79-4D25-4E9D-AA52-8AA4B036002B}"/>
    <hyperlink ref="B53" r:id="rId15" tooltip="View this issue" display="http://192.168.124.186:8080/browse/WIK-827" xr:uid="{89476FCF-79E8-4470-BE85-3CF51D533EE5}"/>
  </hyperlinks>
  <pageMargins left="0.7" right="0.7" top="0.75" bottom="0.75" header="0.3" footer="0.3"/>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FD6D-6ED0-47E8-9E8A-080B6BFDB26F}">
  <dimension ref="A1:H61"/>
  <sheetViews>
    <sheetView zoomScale="85" zoomScaleNormal="85" workbookViewId="0">
      <selection activeCell="D26" sqref="D26"/>
    </sheetView>
  </sheetViews>
  <sheetFormatPr defaultRowHeight="15" x14ac:dyDescent="0.25"/>
  <cols>
    <col min="4" max="4" width="109.5703125" bestFit="1" customWidth="1"/>
    <col min="5" max="5" width="14.28515625" bestFit="1" customWidth="1"/>
    <col min="7" max="7" width="15.140625" style="5" bestFit="1" customWidth="1"/>
  </cols>
  <sheetData>
    <row r="1" spans="1:8" x14ac:dyDescent="0.25">
      <c r="A1" t="s">
        <v>0</v>
      </c>
      <c r="B1" t="s">
        <v>1</v>
      </c>
      <c r="C1" t="s">
        <v>2</v>
      </c>
      <c r="D1" t="s">
        <v>3</v>
      </c>
      <c r="E1" t="s">
        <v>1815</v>
      </c>
      <c r="F1" t="s">
        <v>1816</v>
      </c>
      <c r="G1" s="5" t="s">
        <v>1817</v>
      </c>
    </row>
    <row r="2" spans="1:8" x14ac:dyDescent="0.25">
      <c r="A2" s="23" t="s">
        <v>14</v>
      </c>
      <c r="B2" s="20" t="s">
        <v>3167</v>
      </c>
      <c r="C2" s="20" t="s">
        <v>27</v>
      </c>
      <c r="D2" s="20" t="s">
        <v>3170</v>
      </c>
      <c r="E2" s="20" t="s">
        <v>35</v>
      </c>
      <c r="F2" s="25"/>
      <c r="G2" s="25">
        <v>3</v>
      </c>
      <c r="H2" t="str">
        <f>VLOOKUP(B2,'Ürün İş Listesi'!B:B,1,0)</f>
        <v>DP-292</v>
      </c>
    </row>
    <row r="3" spans="1:8" x14ac:dyDescent="0.25">
      <c r="A3" s="22" t="s">
        <v>14</v>
      </c>
      <c r="B3" s="21" t="s">
        <v>2584</v>
      </c>
      <c r="C3" s="21" t="s">
        <v>1820</v>
      </c>
      <c r="D3" s="21" t="s">
        <v>2585</v>
      </c>
      <c r="E3" s="21" t="s">
        <v>38</v>
      </c>
      <c r="F3" s="26"/>
      <c r="G3" s="26">
        <v>13</v>
      </c>
      <c r="H3" t="str">
        <f>VLOOKUP(B3,'Ürün İş Listesi'!B:B,1,0)</f>
        <v>EDF-801</v>
      </c>
    </row>
    <row r="4" spans="1:8" x14ac:dyDescent="0.25">
      <c r="A4" s="23" t="s">
        <v>14</v>
      </c>
      <c r="B4" s="20" t="s">
        <v>2723</v>
      </c>
      <c r="C4" s="20" t="s">
        <v>10</v>
      </c>
      <c r="D4" s="20" t="s">
        <v>2728</v>
      </c>
      <c r="E4" s="20" t="s">
        <v>38</v>
      </c>
      <c r="F4" s="20"/>
      <c r="G4" s="20">
        <v>3</v>
      </c>
      <c r="H4" t="str">
        <f>VLOOKUP(B4,'Ürün İş Listesi'!B:B,1,0)</f>
        <v>EDF-808</v>
      </c>
    </row>
    <row r="5" spans="1:8" x14ac:dyDescent="0.25">
      <c r="A5" s="22" t="s">
        <v>14</v>
      </c>
      <c r="B5" s="21" t="s">
        <v>2722</v>
      </c>
      <c r="C5" s="21" t="s">
        <v>10</v>
      </c>
      <c r="D5" s="21" t="s">
        <v>2721</v>
      </c>
      <c r="E5" s="21" t="s">
        <v>38</v>
      </c>
      <c r="F5" s="26"/>
      <c r="G5" s="26">
        <v>2</v>
      </c>
      <c r="H5" t="str">
        <f>VLOOKUP(B5,'Ürün İş Listesi'!B:B,1,0)</f>
        <v>EDF-812</v>
      </c>
    </row>
    <row r="6" spans="1:8" x14ac:dyDescent="0.25">
      <c r="A6" s="23" t="s">
        <v>14</v>
      </c>
      <c r="B6" s="20" t="s">
        <v>2720</v>
      </c>
      <c r="C6" s="20" t="s">
        <v>94</v>
      </c>
      <c r="D6" s="20" t="s">
        <v>2719</v>
      </c>
      <c r="E6" s="20" t="s">
        <v>38</v>
      </c>
      <c r="F6" s="25"/>
      <c r="G6" s="25">
        <v>3</v>
      </c>
      <c r="H6" t="str">
        <f>VLOOKUP(B6,'Ürün İş Listesi'!B:B,1,0)</f>
        <v>EDF-813</v>
      </c>
    </row>
    <row r="7" spans="1:8" x14ac:dyDescent="0.25">
      <c r="A7" s="22" t="s">
        <v>77</v>
      </c>
      <c r="B7" s="21" t="s">
        <v>2718</v>
      </c>
      <c r="C7" s="21" t="s">
        <v>10</v>
      </c>
      <c r="D7" s="21" t="s">
        <v>2717</v>
      </c>
      <c r="E7" s="21" t="s">
        <v>38</v>
      </c>
      <c r="F7" s="26"/>
      <c r="G7" s="26">
        <v>1</v>
      </c>
      <c r="H7" t="str">
        <f>VLOOKUP(B7,'Ürün İş Listesi'!B:B,1,0)</f>
        <v>EDF-814</v>
      </c>
    </row>
    <row r="8" spans="1:8" x14ac:dyDescent="0.25">
      <c r="A8" s="23" t="s">
        <v>14</v>
      </c>
      <c r="B8" s="23" t="s">
        <v>2875</v>
      </c>
      <c r="C8" s="23" t="s">
        <v>1820</v>
      </c>
      <c r="D8" s="23" t="s">
        <v>2876</v>
      </c>
      <c r="E8" s="23" t="s">
        <v>38</v>
      </c>
      <c r="F8" s="23"/>
      <c r="G8" s="23">
        <v>13</v>
      </c>
      <c r="H8" t="str">
        <f>VLOOKUP(B8,'Ürün İş Listesi'!B:B,1,0)</f>
        <v>EDF-824</v>
      </c>
    </row>
    <row r="9" spans="1:8" x14ac:dyDescent="0.25">
      <c r="A9" t="s">
        <v>14</v>
      </c>
      <c r="B9" t="s">
        <v>2275</v>
      </c>
      <c r="C9" t="s">
        <v>10</v>
      </c>
      <c r="D9" t="s">
        <v>2276</v>
      </c>
      <c r="E9" t="s">
        <v>41</v>
      </c>
      <c r="G9">
        <v>13</v>
      </c>
      <c r="H9" t="str">
        <f>VLOOKUP(B9,'Ürün İş Listesi'!B:B,1,0)</f>
        <v>EFT-2322</v>
      </c>
    </row>
    <row r="10" spans="1:8" x14ac:dyDescent="0.25">
      <c r="A10" s="23" t="s">
        <v>14</v>
      </c>
      <c r="B10" s="20" t="s">
        <v>2273</v>
      </c>
      <c r="C10" s="20" t="s">
        <v>10</v>
      </c>
      <c r="D10" s="20" t="s">
        <v>2274</v>
      </c>
      <c r="E10" s="20" t="s">
        <v>41</v>
      </c>
      <c r="F10" s="25"/>
      <c r="G10" s="25">
        <v>8</v>
      </c>
      <c r="H10" t="str">
        <f>VLOOKUP(B10,'Ürün İş Listesi'!B:B,1,0)</f>
        <v>EFT-2325</v>
      </c>
    </row>
    <row r="11" spans="1:8" x14ac:dyDescent="0.25">
      <c r="A11" s="22" t="s">
        <v>14</v>
      </c>
      <c r="B11" s="21" t="s">
        <v>2538</v>
      </c>
      <c r="C11" s="21" t="s">
        <v>1820</v>
      </c>
      <c r="D11" s="21" t="s">
        <v>2460</v>
      </c>
      <c r="E11" s="21" t="s">
        <v>41</v>
      </c>
      <c r="F11" s="26"/>
      <c r="G11" s="26">
        <v>13</v>
      </c>
      <c r="H11" t="str">
        <f>VLOOKUP(B11,'Ürün İş Listesi'!B:B,1,0)</f>
        <v>EFT-2351</v>
      </c>
    </row>
    <row r="12" spans="1:8" x14ac:dyDescent="0.25">
      <c r="A12" s="23" t="s">
        <v>14</v>
      </c>
      <c r="B12" s="20" t="s">
        <v>2889</v>
      </c>
      <c r="C12" s="20" t="s">
        <v>1820</v>
      </c>
      <c r="D12" s="20" t="s">
        <v>2890</v>
      </c>
      <c r="E12" s="20" t="s">
        <v>41</v>
      </c>
      <c r="F12" s="25"/>
      <c r="G12" s="25">
        <v>5</v>
      </c>
      <c r="H12" t="str">
        <f>VLOOKUP(B12,'Ürün İş Listesi'!B:B,1,0)</f>
        <v>EFT-2390</v>
      </c>
    </row>
    <row r="13" spans="1:8" x14ac:dyDescent="0.25">
      <c r="A13" s="22" t="s">
        <v>14</v>
      </c>
      <c r="B13" s="21" t="s">
        <v>3165</v>
      </c>
      <c r="C13" s="21" t="s">
        <v>1820</v>
      </c>
      <c r="D13" s="21" t="s">
        <v>3168</v>
      </c>
      <c r="E13" s="21" t="s">
        <v>41</v>
      </c>
      <c r="F13" s="26"/>
      <c r="G13" s="26"/>
      <c r="H13" t="str">
        <f>VLOOKUP(B13,'Ürün İş Listesi'!B:B,1,0)</f>
        <v>EFT-2395</v>
      </c>
    </row>
    <row r="14" spans="1:8" x14ac:dyDescent="0.25">
      <c r="A14" s="23" t="s">
        <v>77</v>
      </c>
      <c r="B14" s="20" t="s">
        <v>3166</v>
      </c>
      <c r="C14" s="20" t="s">
        <v>27</v>
      </c>
      <c r="D14" s="20" t="s">
        <v>3169</v>
      </c>
      <c r="E14" s="20" t="s">
        <v>41</v>
      </c>
      <c r="F14" s="25"/>
      <c r="G14" s="25"/>
      <c r="H14" t="str">
        <f>VLOOKUP(B14,'Ürün İş Listesi'!B:B,1,0)</f>
        <v>EFT-2396</v>
      </c>
    </row>
    <row r="15" spans="1:8" x14ac:dyDescent="0.25">
      <c r="A15" s="22" t="s">
        <v>14</v>
      </c>
      <c r="B15" s="21" t="s">
        <v>3171</v>
      </c>
      <c r="C15" s="21" t="s">
        <v>10</v>
      </c>
      <c r="D15" s="21" t="s">
        <v>3172</v>
      </c>
      <c r="E15" s="21" t="s">
        <v>41</v>
      </c>
      <c r="F15" s="26"/>
      <c r="G15" s="26">
        <v>1</v>
      </c>
      <c r="H15" t="str">
        <f>VLOOKUP(B15,'Ürün İş Listesi'!B:B,1,0)</f>
        <v>EFT-2397</v>
      </c>
    </row>
    <row r="16" spans="1:8" x14ac:dyDescent="0.25">
      <c r="A16" s="23" t="s">
        <v>14</v>
      </c>
      <c r="B16" s="20" t="s">
        <v>3173</v>
      </c>
      <c r="C16" s="20" t="s">
        <v>10</v>
      </c>
      <c r="D16" s="20" t="s">
        <v>3174</v>
      </c>
      <c r="E16" s="20" t="s">
        <v>41</v>
      </c>
      <c r="F16" s="25"/>
      <c r="G16" s="25"/>
      <c r="H16" t="str">
        <f>VLOOKUP(B16,'Ürün İş Listesi'!B:B,1,0)</f>
        <v>EFT-2398</v>
      </c>
    </row>
    <row r="17" spans="1:8" x14ac:dyDescent="0.25">
      <c r="A17" s="22" t="s">
        <v>14</v>
      </c>
      <c r="B17" s="21" t="s">
        <v>3175</v>
      </c>
      <c r="C17" s="21" t="s">
        <v>10</v>
      </c>
      <c r="D17" s="21" t="s">
        <v>3176</v>
      </c>
      <c r="E17" s="21" t="s">
        <v>41</v>
      </c>
      <c r="F17" s="27"/>
      <c r="G17" s="27"/>
      <c r="H17" t="str">
        <f>VLOOKUP(B17,'Ürün İş Listesi'!B:B,1,0)</f>
        <v>EFT-2399</v>
      </c>
    </row>
    <row r="18" spans="1:8" x14ac:dyDescent="0.25">
      <c r="A18" s="23" t="s">
        <v>14</v>
      </c>
      <c r="B18" s="20" t="s">
        <v>3177</v>
      </c>
      <c r="C18" s="20" t="s">
        <v>1820</v>
      </c>
      <c r="D18" s="20" t="s">
        <v>3178</v>
      </c>
      <c r="E18" s="20" t="s">
        <v>41</v>
      </c>
      <c r="F18" s="28"/>
      <c r="G18" s="28">
        <v>3</v>
      </c>
      <c r="H18" t="str">
        <f>VLOOKUP(B18,'Ürün İş Listesi'!B:B,1,0)</f>
        <v>EFT-2400</v>
      </c>
    </row>
    <row r="19" spans="1:8" x14ac:dyDescent="0.25">
      <c r="A19" s="22" t="s">
        <v>14</v>
      </c>
      <c r="B19" s="21" t="s">
        <v>3179</v>
      </c>
      <c r="C19" s="21" t="s">
        <v>10</v>
      </c>
      <c r="D19" s="21" t="s">
        <v>3180</v>
      </c>
      <c r="E19" s="21" t="s">
        <v>41</v>
      </c>
      <c r="F19" s="29"/>
      <c r="G19" s="22"/>
      <c r="H19" t="str">
        <f>VLOOKUP(B19,'Ürün İş Listesi'!B:B,1,0)</f>
        <v>EFT-2401</v>
      </c>
    </row>
    <row r="20" spans="1:8" x14ac:dyDescent="0.25">
      <c r="A20" s="22" t="s">
        <v>14</v>
      </c>
      <c r="B20" s="21" t="s">
        <v>1004</v>
      </c>
      <c r="C20" s="21" t="s">
        <v>27</v>
      </c>
      <c r="D20" s="21" t="s">
        <v>1987</v>
      </c>
      <c r="E20" s="21" t="s">
        <v>12</v>
      </c>
      <c r="G20" s="21">
        <v>5</v>
      </c>
      <c r="H20" t="str">
        <f>VLOOKUP(B20,'Ürün İş Listesi'!B:B,1,0)</f>
        <v>CRM-639</v>
      </c>
    </row>
    <row r="21" spans="1:8" x14ac:dyDescent="0.25">
      <c r="A21" s="23" t="s">
        <v>14</v>
      </c>
      <c r="B21" s="20" t="s">
        <v>1095</v>
      </c>
      <c r="C21" s="20" t="s">
        <v>27</v>
      </c>
      <c r="D21" s="20" t="s">
        <v>1096</v>
      </c>
      <c r="E21" s="20" t="s">
        <v>12</v>
      </c>
      <c r="G21" s="20">
        <v>3</v>
      </c>
      <c r="H21" t="str">
        <f>VLOOKUP(B21,'Ürün İş Listesi'!B:B,1,0)</f>
        <v>CRM-649</v>
      </c>
    </row>
    <row r="22" spans="1:8" x14ac:dyDescent="0.25">
      <c r="A22" s="22" t="s">
        <v>14</v>
      </c>
      <c r="B22" s="21" t="s">
        <v>1807</v>
      </c>
      <c r="C22" s="21" t="s">
        <v>27</v>
      </c>
      <c r="D22" s="21" t="s">
        <v>1808</v>
      </c>
      <c r="E22" s="21" t="s">
        <v>12</v>
      </c>
      <c r="G22" s="21">
        <v>2</v>
      </c>
      <c r="H22" t="str">
        <f>VLOOKUP(B22,'Ürün İş Listesi'!B:B,1,0)</f>
        <v>CRM-682</v>
      </c>
    </row>
    <row r="23" spans="1:8" x14ac:dyDescent="0.25">
      <c r="A23" s="22" t="s">
        <v>14</v>
      </c>
      <c r="B23" s="21" t="s">
        <v>2296</v>
      </c>
      <c r="C23" s="21" t="s">
        <v>27</v>
      </c>
      <c r="D23" s="21" t="s">
        <v>2297</v>
      </c>
      <c r="E23" s="21" t="s">
        <v>12</v>
      </c>
      <c r="G23" s="21">
        <v>1</v>
      </c>
      <c r="H23" t="str">
        <f>VLOOKUP(B23,'Ürün İş Listesi'!B:B,1,0)</f>
        <v>CRM-754</v>
      </c>
    </row>
    <row r="24" spans="1:8" x14ac:dyDescent="0.25">
      <c r="A24" s="22" t="s">
        <v>14</v>
      </c>
      <c r="B24" s="21" t="s">
        <v>2432</v>
      </c>
      <c r="C24" s="21" t="s">
        <v>27</v>
      </c>
      <c r="D24" s="21" t="s">
        <v>2431</v>
      </c>
      <c r="E24" s="21" t="s">
        <v>12</v>
      </c>
      <c r="G24" s="21">
        <v>5</v>
      </c>
      <c r="H24" t="str">
        <f>VLOOKUP(B24,'Ürün İş Listesi'!B:B,1,0)</f>
        <v>CRM-763</v>
      </c>
    </row>
    <row r="25" spans="1:8" x14ac:dyDescent="0.25">
      <c r="A25" s="24" t="s">
        <v>14</v>
      </c>
      <c r="B25" t="s">
        <v>2427</v>
      </c>
      <c r="C25" t="s">
        <v>27</v>
      </c>
      <c r="D25" t="s">
        <v>2426</v>
      </c>
      <c r="E25" t="s">
        <v>12</v>
      </c>
      <c r="G25">
        <v>3</v>
      </c>
      <c r="H25" t="str">
        <f>VLOOKUP(B25,'Ürün İş Listesi'!B:B,1,0)</f>
        <v>CRM-766</v>
      </c>
    </row>
    <row r="26" spans="1:8" x14ac:dyDescent="0.25">
      <c r="A26" s="22" t="s">
        <v>14</v>
      </c>
      <c r="B26" s="21" t="s">
        <v>2209</v>
      </c>
      <c r="C26" s="21" t="s">
        <v>27</v>
      </c>
      <c r="D26" s="21" t="s">
        <v>2208</v>
      </c>
      <c r="E26" s="21" t="s">
        <v>12</v>
      </c>
      <c r="G26" s="21">
        <v>2</v>
      </c>
      <c r="H26" t="str">
        <f>VLOOKUP(B26,'Ürün İş Listesi'!B:B,1,0)</f>
        <v>CRM-737</v>
      </c>
    </row>
    <row r="27" spans="1:8" x14ac:dyDescent="0.25">
      <c r="A27" s="24" t="s">
        <v>14</v>
      </c>
      <c r="B27" t="s">
        <v>2207</v>
      </c>
      <c r="C27" t="s">
        <v>27</v>
      </c>
      <c r="D27" t="s">
        <v>2206</v>
      </c>
      <c r="E27" t="s">
        <v>12</v>
      </c>
      <c r="G27">
        <v>3</v>
      </c>
      <c r="H27" t="str">
        <f>VLOOKUP(B27,'Ürün İş Listesi'!B:B,1,0)</f>
        <v>CRM-738</v>
      </c>
    </row>
    <row r="28" spans="1:8" x14ac:dyDescent="0.25">
      <c r="A28" s="24" t="s">
        <v>14</v>
      </c>
      <c r="B28" t="s">
        <v>2430</v>
      </c>
      <c r="C28" t="s">
        <v>27</v>
      </c>
      <c r="D28" t="s">
        <v>2471</v>
      </c>
      <c r="E28" t="s">
        <v>12</v>
      </c>
      <c r="G28">
        <v>3</v>
      </c>
      <c r="H28" t="str">
        <f>VLOOKUP(B28,'Ürün İş Listesi'!B:B,1,0)</f>
        <v>CRM-764</v>
      </c>
    </row>
    <row r="29" spans="1:8" x14ac:dyDescent="0.25">
      <c r="A29" s="22" t="s">
        <v>14</v>
      </c>
      <c r="B29" s="21" t="s">
        <v>2566</v>
      </c>
      <c r="C29" s="21" t="s">
        <v>27</v>
      </c>
      <c r="D29" s="21" t="s">
        <v>2567</v>
      </c>
      <c r="E29" s="21" t="s">
        <v>12</v>
      </c>
      <c r="G29" s="21">
        <v>5</v>
      </c>
      <c r="H29" t="str">
        <f>VLOOKUP(B29,'Ürün İş Listesi'!B:B,1,0)</f>
        <v>CRM-780</v>
      </c>
    </row>
    <row r="30" spans="1:8" x14ac:dyDescent="0.25">
      <c r="A30" s="22" t="s">
        <v>14</v>
      </c>
      <c r="B30" t="s">
        <v>2568</v>
      </c>
      <c r="C30" s="21" t="s">
        <v>27</v>
      </c>
      <c r="D30" s="21" t="s">
        <v>2569</v>
      </c>
      <c r="E30" s="21" t="s">
        <v>12</v>
      </c>
      <c r="G30" s="21">
        <v>5</v>
      </c>
      <c r="H30" t="str">
        <f>VLOOKUP(B30,'Ürün İş Listesi'!B:B,1,0)</f>
        <v>CRM-789</v>
      </c>
    </row>
    <row r="31" spans="1:8" x14ac:dyDescent="0.25">
      <c r="A31" s="22" t="s">
        <v>14</v>
      </c>
      <c r="B31" s="21" t="s">
        <v>2692</v>
      </c>
      <c r="C31" s="21" t="s">
        <v>27</v>
      </c>
      <c r="D31" s="21" t="s">
        <v>2697</v>
      </c>
      <c r="E31" s="21" t="s">
        <v>12</v>
      </c>
      <c r="G31" s="21">
        <v>2</v>
      </c>
      <c r="H31" t="str">
        <f>VLOOKUP(B31,'Ürün İş Listesi'!B:B,1,0)</f>
        <v>CRM-762</v>
      </c>
    </row>
    <row r="32" spans="1:8" x14ac:dyDescent="0.25">
      <c r="A32" s="22" t="s">
        <v>14</v>
      </c>
      <c r="B32" t="s">
        <v>2769</v>
      </c>
      <c r="C32" t="s">
        <v>27</v>
      </c>
      <c r="D32" t="s">
        <v>2775</v>
      </c>
      <c r="E32" t="s">
        <v>12</v>
      </c>
      <c r="G32">
        <v>3</v>
      </c>
      <c r="H32" t="str">
        <f>VLOOKUP(B32,'Ürün İş Listesi'!B:B,1,0)</f>
        <v>CRM-774</v>
      </c>
    </row>
    <row r="33" spans="1:8" x14ac:dyDescent="0.25">
      <c r="A33" s="22" t="s">
        <v>14</v>
      </c>
      <c r="B33" t="s">
        <v>2770</v>
      </c>
      <c r="C33" t="s">
        <v>27</v>
      </c>
      <c r="D33" t="s">
        <v>2776</v>
      </c>
      <c r="E33" t="s">
        <v>12</v>
      </c>
      <c r="G33">
        <v>3</v>
      </c>
      <c r="H33" t="str">
        <f>VLOOKUP(B33,'Ürün İş Listesi'!B:B,1,0)</f>
        <v>CRM-812</v>
      </c>
    </row>
    <row r="34" spans="1:8" x14ac:dyDescent="0.25">
      <c r="A34" s="24" t="s">
        <v>14</v>
      </c>
      <c r="B34" t="s">
        <v>2831</v>
      </c>
      <c r="C34" t="s">
        <v>27</v>
      </c>
      <c r="D34" t="s">
        <v>2830</v>
      </c>
      <c r="E34" t="s">
        <v>12</v>
      </c>
      <c r="G34">
        <v>2</v>
      </c>
      <c r="H34" t="str">
        <f>VLOOKUP(B34,'Ürün İş Listesi'!B:B,1,0)</f>
        <v>CRM-814</v>
      </c>
    </row>
    <row r="35" spans="1:8" x14ac:dyDescent="0.25">
      <c r="A35" s="24" t="s">
        <v>14</v>
      </c>
      <c r="B35" t="s">
        <v>2548</v>
      </c>
      <c r="C35" t="s">
        <v>27</v>
      </c>
      <c r="D35" t="s">
        <v>2547</v>
      </c>
      <c r="E35" t="s">
        <v>12</v>
      </c>
      <c r="G35">
        <v>3</v>
      </c>
      <c r="H35" t="str">
        <f>VLOOKUP(B35,'Ürün İş Listesi'!B:B,1,0)</f>
        <v>CRM-758</v>
      </c>
    </row>
    <row r="36" spans="1:8" x14ac:dyDescent="0.25">
      <c r="A36" s="24" t="s">
        <v>14</v>
      </c>
      <c r="B36" t="s">
        <v>2867</v>
      </c>
      <c r="C36" t="s">
        <v>27</v>
      </c>
      <c r="D36" t="s">
        <v>2868</v>
      </c>
      <c r="E36" t="s">
        <v>12</v>
      </c>
      <c r="G36">
        <v>5</v>
      </c>
      <c r="H36" t="str">
        <f>VLOOKUP(B36,'Ürün İş Listesi'!B:B,1,0)</f>
        <v>CRM-811</v>
      </c>
    </row>
    <row r="37" spans="1:8" x14ac:dyDescent="0.25">
      <c r="A37" s="24" t="s">
        <v>14</v>
      </c>
      <c r="B37" t="s">
        <v>2834</v>
      </c>
      <c r="C37" t="s">
        <v>27</v>
      </c>
      <c r="D37" t="s">
        <v>2833</v>
      </c>
      <c r="E37" t="s">
        <v>12</v>
      </c>
      <c r="G37">
        <v>3</v>
      </c>
      <c r="H37" t="str">
        <f>VLOOKUP(B37,'Ürün İş Listesi'!B:B,1,0)</f>
        <v>CRM-805</v>
      </c>
    </row>
    <row r="38" spans="1:8" x14ac:dyDescent="0.25">
      <c r="A38" s="24" t="s">
        <v>14</v>
      </c>
      <c r="B38" t="s">
        <v>3183</v>
      </c>
      <c r="C38" t="s">
        <v>27</v>
      </c>
      <c r="D38" t="s">
        <v>3184</v>
      </c>
      <c r="E38" t="s">
        <v>12</v>
      </c>
      <c r="G38">
        <v>1</v>
      </c>
      <c r="H38" t="str">
        <f>VLOOKUP(B38,'Ürün İş Listesi'!B:B,1,0)</f>
        <v>CRM-828</v>
      </c>
    </row>
    <row r="39" spans="1:8" x14ac:dyDescent="0.25">
      <c r="A39" s="24" t="s">
        <v>14</v>
      </c>
      <c r="B39" t="s">
        <v>2542</v>
      </c>
      <c r="C39" t="s">
        <v>10</v>
      </c>
      <c r="D39" t="s">
        <v>2541</v>
      </c>
      <c r="E39" t="s">
        <v>12</v>
      </c>
      <c r="G39">
        <v>5</v>
      </c>
      <c r="H39" t="str">
        <f>VLOOKUP(B39,'Ürün İş Listesi'!B:B,1,0)</f>
        <v>CRM-777</v>
      </c>
    </row>
    <row r="40" spans="1:8" x14ac:dyDescent="0.25">
      <c r="A40" s="24" t="s">
        <v>14</v>
      </c>
      <c r="B40" t="s">
        <v>2869</v>
      </c>
      <c r="C40" t="s">
        <v>10</v>
      </c>
      <c r="D40" t="s">
        <v>2870</v>
      </c>
      <c r="E40" t="s">
        <v>12</v>
      </c>
      <c r="G40">
        <v>5</v>
      </c>
      <c r="H40" t="str">
        <f>VLOOKUP(B40,'Ürün İş Listesi'!B:B,1,0)</f>
        <v>CRM-822</v>
      </c>
    </row>
    <row r="41" spans="1:8" x14ac:dyDescent="0.25">
      <c r="A41" s="24" t="s">
        <v>14</v>
      </c>
      <c r="B41" t="s">
        <v>2829</v>
      </c>
      <c r="C41" t="s">
        <v>10</v>
      </c>
      <c r="D41" t="s">
        <v>2828</v>
      </c>
      <c r="E41" t="s">
        <v>12</v>
      </c>
      <c r="G41">
        <v>3</v>
      </c>
      <c r="H41" t="str">
        <f>VLOOKUP(B41,'Ürün İş Listesi'!B:B,1,0)</f>
        <v>CRM-817</v>
      </c>
    </row>
    <row r="42" spans="1:8" x14ac:dyDescent="0.25">
      <c r="A42" s="24" t="s">
        <v>14</v>
      </c>
      <c r="B42" t="s">
        <v>3185</v>
      </c>
      <c r="C42" t="s">
        <v>10</v>
      </c>
      <c r="D42" t="s">
        <v>3187</v>
      </c>
      <c r="E42" t="s">
        <v>12</v>
      </c>
      <c r="G42">
        <v>2</v>
      </c>
      <c r="H42" t="str">
        <f>VLOOKUP(B42,'Ürün İş Listesi'!B:B,1,0)</f>
        <v>CRM-826</v>
      </c>
    </row>
    <row r="43" spans="1:8" x14ac:dyDescent="0.25">
      <c r="A43" s="24" t="s">
        <v>14</v>
      </c>
      <c r="B43" t="s">
        <v>3186</v>
      </c>
      <c r="C43" t="s">
        <v>10</v>
      </c>
      <c r="D43" t="s">
        <v>3188</v>
      </c>
      <c r="E43" t="s">
        <v>12</v>
      </c>
      <c r="G43">
        <v>2</v>
      </c>
      <c r="H43" t="str">
        <f>VLOOKUP(B43,'Ürün İş Listesi'!B:B,1,0)</f>
        <v>CRM-827</v>
      </c>
    </row>
    <row r="44" spans="1:8" x14ac:dyDescent="0.25">
      <c r="A44" s="33" t="s">
        <v>77</v>
      </c>
      <c r="B44" s="33" t="s">
        <v>3204</v>
      </c>
      <c r="D44" s="33" t="s">
        <v>3205</v>
      </c>
      <c r="E44" s="33" t="s">
        <v>53</v>
      </c>
      <c r="G44" s="33">
        <v>2</v>
      </c>
      <c r="H44" t="str">
        <f>VLOOKUP(B44,'Ürün İş Listesi'!B:B,1,0)</f>
        <v>WIK-832</v>
      </c>
    </row>
    <row r="45" spans="1:8" x14ac:dyDescent="0.25">
      <c r="A45" s="31" t="s">
        <v>77</v>
      </c>
      <c r="B45" s="32" t="s">
        <v>3206</v>
      </c>
      <c r="D45" s="30" t="s">
        <v>3207</v>
      </c>
      <c r="E45" s="31" t="s">
        <v>53</v>
      </c>
      <c r="G45" s="32">
        <v>1</v>
      </c>
      <c r="H45" t="str">
        <f>VLOOKUP(B45,'Ürün İş Listesi'!B:B,1,0)</f>
        <v>WIK-834</v>
      </c>
    </row>
    <row r="46" spans="1:8" x14ac:dyDescent="0.25">
      <c r="A46" s="33" t="s">
        <v>77</v>
      </c>
      <c r="B46" s="33" t="s">
        <v>3208</v>
      </c>
      <c r="D46" s="33" t="s">
        <v>3209</v>
      </c>
      <c r="E46" s="33" t="s">
        <v>53</v>
      </c>
      <c r="G46" s="33">
        <v>1</v>
      </c>
      <c r="H46" t="str">
        <f>VLOOKUP(B46,'Ürün İş Listesi'!B:B,1,0)</f>
        <v>WIK-833</v>
      </c>
    </row>
    <row r="47" spans="1:8" x14ac:dyDescent="0.25">
      <c r="A47" s="31" t="s">
        <v>77</v>
      </c>
      <c r="B47" s="32" t="s">
        <v>3210</v>
      </c>
      <c r="D47" s="30" t="s">
        <v>3211</v>
      </c>
      <c r="E47" s="31" t="s">
        <v>1620</v>
      </c>
      <c r="G47" s="32">
        <v>2</v>
      </c>
      <c r="H47" t="str">
        <f>VLOOKUP(B47,'Ürün İş Listesi'!B:B,1,0)</f>
        <v>UKDS-228</v>
      </c>
    </row>
    <row r="48" spans="1:8" x14ac:dyDescent="0.25">
      <c r="A48" s="33" t="s">
        <v>14</v>
      </c>
      <c r="B48" s="33" t="s">
        <v>3212</v>
      </c>
      <c r="D48" s="33" t="s">
        <v>3213</v>
      </c>
      <c r="E48" s="33" t="s">
        <v>1620</v>
      </c>
      <c r="G48" s="33">
        <v>3</v>
      </c>
      <c r="H48" t="str">
        <f>VLOOKUP(B48,'Ürün İş Listesi'!B:B,1,0)</f>
        <v>UKDS-229</v>
      </c>
    </row>
    <row r="49" spans="1:8" x14ac:dyDescent="0.25">
      <c r="A49" s="34" t="s">
        <v>14</v>
      </c>
      <c r="B49" s="34" t="s">
        <v>1755</v>
      </c>
      <c r="D49" s="34" t="s">
        <v>1756</v>
      </c>
      <c r="E49" s="34" t="s">
        <v>44</v>
      </c>
      <c r="G49" s="35"/>
      <c r="H49" t="str">
        <f>VLOOKUP(B49,'Ürün İş Listesi'!B:B,1,0)</f>
        <v>IEU-264</v>
      </c>
    </row>
    <row r="50" spans="1:8" x14ac:dyDescent="0.25">
      <c r="A50" s="34" t="s">
        <v>14</v>
      </c>
      <c r="B50" s="34" t="s">
        <v>2680</v>
      </c>
      <c r="D50" s="34" t="s">
        <v>2685</v>
      </c>
      <c r="E50" s="34" t="s">
        <v>50</v>
      </c>
      <c r="G50" s="35"/>
      <c r="H50" t="str">
        <f>VLOOKUP(B50,'Ürün İş Listesi'!B:B,1,0)</f>
        <v>KA-1588</v>
      </c>
    </row>
    <row r="51" spans="1:8" x14ac:dyDescent="0.25">
      <c r="A51" s="34" t="s">
        <v>14</v>
      </c>
      <c r="B51" s="34" t="s">
        <v>3231</v>
      </c>
      <c r="D51" s="34" t="s">
        <v>3237</v>
      </c>
      <c r="E51" s="34" t="s">
        <v>44</v>
      </c>
      <c r="G51" s="35">
        <v>2</v>
      </c>
      <c r="H51" t="str">
        <f>VLOOKUP(B51,'Ürün İş Listesi'!B:B,1,0)</f>
        <v>IEU-342</v>
      </c>
    </row>
    <row r="52" spans="1:8" x14ac:dyDescent="0.25">
      <c r="A52" s="34" t="s">
        <v>14</v>
      </c>
      <c r="B52" s="34" t="s">
        <v>3232</v>
      </c>
      <c r="D52" s="34" t="s">
        <v>3238</v>
      </c>
      <c r="E52" s="34" t="s">
        <v>44</v>
      </c>
      <c r="G52" s="35">
        <v>5</v>
      </c>
      <c r="H52" t="str">
        <f>VLOOKUP(B52,'Ürün İş Listesi'!B:B,1,0)</f>
        <v>IEU-343</v>
      </c>
    </row>
    <row r="53" spans="1:8" x14ac:dyDescent="0.25">
      <c r="A53" s="34" t="s">
        <v>14</v>
      </c>
      <c r="B53" s="34" t="s">
        <v>3223</v>
      </c>
      <c r="D53" s="34" t="s">
        <v>3168</v>
      </c>
      <c r="E53" s="34" t="s">
        <v>50</v>
      </c>
      <c r="G53" s="35">
        <v>3</v>
      </c>
      <c r="H53" t="str">
        <f>VLOOKUP(B53,'Ürün İş Listesi'!B:B,1,0)</f>
        <v>KA-1608</v>
      </c>
    </row>
    <row r="54" spans="1:8" x14ac:dyDescent="0.25">
      <c r="A54" s="34" t="s">
        <v>14</v>
      </c>
      <c r="B54" s="34" t="s">
        <v>2996</v>
      </c>
      <c r="D54" s="34" t="s">
        <v>2878</v>
      </c>
      <c r="E54" s="34" t="s">
        <v>50</v>
      </c>
      <c r="G54" s="35">
        <v>5</v>
      </c>
      <c r="H54" t="str">
        <f>VLOOKUP(B54,'Ürün İş Listesi'!B:B,1,0)</f>
        <v>KA-1599</v>
      </c>
    </row>
    <row r="55" spans="1:8" x14ac:dyDescent="0.25">
      <c r="A55" s="34" t="s">
        <v>14</v>
      </c>
      <c r="B55" s="34" t="s">
        <v>3222</v>
      </c>
      <c r="D55" s="34" t="s">
        <v>2878</v>
      </c>
      <c r="E55" s="34" t="s">
        <v>59</v>
      </c>
      <c r="G55" s="35">
        <v>8</v>
      </c>
      <c r="H55" t="str">
        <f>VLOOKUP(B55,'Ürün İş Listesi'!B:B,1,0)</f>
        <v>MYS-853</v>
      </c>
    </row>
    <row r="56" spans="1:8" x14ac:dyDescent="0.25">
      <c r="A56" s="34" t="s">
        <v>14</v>
      </c>
      <c r="B56" s="34" t="s">
        <v>3233</v>
      </c>
      <c r="D56" s="34" t="s">
        <v>3239</v>
      </c>
      <c r="E56" s="34" t="s">
        <v>56</v>
      </c>
      <c r="G56" s="35">
        <v>13</v>
      </c>
      <c r="H56" t="str">
        <f>VLOOKUP(B56,'Ürün İş Listesi'!B:B,1,0)</f>
        <v>MU-230</v>
      </c>
    </row>
    <row r="57" spans="1:8" x14ac:dyDescent="0.25">
      <c r="A57" s="34" t="s">
        <v>14</v>
      </c>
      <c r="B57" s="34" t="s">
        <v>1045</v>
      </c>
      <c r="D57" s="34" t="s">
        <v>3240</v>
      </c>
      <c r="E57" s="34" t="s">
        <v>56</v>
      </c>
      <c r="G57" s="35">
        <v>3</v>
      </c>
      <c r="H57" t="str">
        <f>VLOOKUP(B57,'Ürün İş Listesi'!B:B,1,0)</f>
        <v>MU-89</v>
      </c>
    </row>
    <row r="58" spans="1:8" x14ac:dyDescent="0.25">
      <c r="A58" s="34" t="s">
        <v>14</v>
      </c>
      <c r="B58" s="34" t="s">
        <v>3234</v>
      </c>
      <c r="D58" s="34" t="s">
        <v>3241</v>
      </c>
      <c r="E58" s="34" t="s">
        <v>56</v>
      </c>
      <c r="G58" s="35">
        <v>3</v>
      </c>
      <c r="H58" t="str">
        <f>VLOOKUP(B58,'Ürün İş Listesi'!B:B,1,0)</f>
        <v>MU-229</v>
      </c>
    </row>
    <row r="59" spans="1:8" x14ac:dyDescent="0.25">
      <c r="A59" s="34" t="s">
        <v>14</v>
      </c>
      <c r="B59" s="34" t="s">
        <v>3235</v>
      </c>
      <c r="D59" s="34" t="s">
        <v>3242</v>
      </c>
      <c r="E59" s="34" t="s">
        <v>56</v>
      </c>
      <c r="G59" s="35">
        <v>5</v>
      </c>
      <c r="H59" t="str">
        <f>VLOOKUP(B59,'Ürün İş Listesi'!B:B,1,0)</f>
        <v>MU-228</v>
      </c>
    </row>
    <row r="60" spans="1:8" x14ac:dyDescent="0.25">
      <c r="A60" s="34" t="s">
        <v>14</v>
      </c>
      <c r="B60" s="34" t="s">
        <v>1023</v>
      </c>
      <c r="D60" s="34" t="s">
        <v>3243</v>
      </c>
      <c r="E60" s="34" t="s">
        <v>56</v>
      </c>
      <c r="G60" s="35">
        <v>5</v>
      </c>
      <c r="H60" t="str">
        <f>VLOOKUP(B60,'Ürün İş Listesi'!B:B,1,0)</f>
        <v>MU-100</v>
      </c>
    </row>
    <row r="61" spans="1:8" x14ac:dyDescent="0.25">
      <c r="A61" s="34" t="s">
        <v>14</v>
      </c>
      <c r="B61" s="34" t="s">
        <v>3236</v>
      </c>
      <c r="D61" s="34" t="s">
        <v>3244</v>
      </c>
      <c r="E61" s="34" t="s">
        <v>56</v>
      </c>
      <c r="H61" t="str">
        <f>VLOOKUP(B61,'Ürün İş Listesi'!B:B,1,0)</f>
        <v>MU-227</v>
      </c>
    </row>
  </sheetData>
  <autoFilter ref="A1:H61" xr:uid="{F3FCFD6D-6ED0-47E8-9E8A-080B6BFDB26F}"/>
  <conditionalFormatting sqref="B21">
    <cfRule type="duplicateValues" dxfId="0" priority="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3DB1-56EB-49C7-BF95-DC71A947667F}">
  <dimension ref="A1:EH255"/>
  <sheetViews>
    <sheetView topLeftCell="A2" workbookViewId="0">
      <selection activeCell="C16" sqref="C16"/>
    </sheetView>
  </sheetViews>
  <sheetFormatPr defaultRowHeight="15" x14ac:dyDescent="0.25"/>
  <cols>
    <col min="1" max="1" width="80.85546875" bestFit="1" customWidth="1"/>
    <col min="2" max="2" width="10.7109375" bestFit="1" customWidth="1"/>
    <col min="3" max="3" width="9.5703125" bestFit="1" customWidth="1"/>
    <col min="4" max="4" width="10.7109375" bestFit="1" customWidth="1"/>
    <col min="5" max="5" width="11.7109375" bestFit="1" customWidth="1"/>
    <col min="6" max="6" width="11.5703125" bestFit="1" customWidth="1"/>
    <col min="7" max="7" width="12.42578125" bestFit="1" customWidth="1"/>
    <col min="8" max="8" width="30.140625" bestFit="1" customWidth="1"/>
    <col min="9" max="10" width="13.28515625" bestFit="1" customWidth="1"/>
    <col min="11" max="11" width="73.42578125" bestFit="1" customWidth="1"/>
    <col min="12" max="12" width="28" bestFit="1" customWidth="1"/>
    <col min="13" max="13" width="9.28515625" bestFit="1" customWidth="1"/>
    <col min="14" max="14" width="12" bestFit="1" customWidth="1"/>
    <col min="15" max="15" width="15.7109375" bestFit="1" customWidth="1"/>
    <col min="16" max="17" width="13.140625" bestFit="1" customWidth="1"/>
    <col min="18" max="21" width="15.140625" bestFit="1" customWidth="1"/>
    <col min="22" max="22" width="13.7109375" bestFit="1" customWidth="1"/>
    <col min="23" max="23" width="14.42578125" bestFit="1" customWidth="1"/>
    <col min="24" max="24" width="10.7109375" bestFit="1" customWidth="1"/>
    <col min="25" max="25" width="7.85546875" bestFit="1" customWidth="1"/>
    <col min="26" max="26" width="10.42578125" bestFit="1" customWidth="1"/>
    <col min="27" max="27" width="80.85546875" bestFit="1" customWidth="1"/>
    <col min="28" max="28" width="13.7109375" bestFit="1" customWidth="1"/>
    <col min="29" max="30" width="13.140625" bestFit="1" customWidth="1"/>
    <col min="31" max="33" width="12.85546875" bestFit="1" customWidth="1"/>
    <col min="34" max="67" width="80.85546875" bestFit="1" customWidth="1"/>
    <col min="68" max="68" width="17.7109375" bestFit="1" customWidth="1"/>
    <col min="69" max="69" width="20" bestFit="1" customWidth="1"/>
    <col min="70" max="70" width="12.5703125" bestFit="1" customWidth="1"/>
    <col min="71" max="71" width="12.28515625" bestFit="1" customWidth="1"/>
    <col min="72" max="72" width="18.85546875" bestFit="1" customWidth="1"/>
    <col min="73" max="73" width="21.28515625" bestFit="1" customWidth="1"/>
    <col min="74" max="74" width="13.7109375" bestFit="1" customWidth="1"/>
    <col min="75" max="75" width="14.7109375" bestFit="1" customWidth="1"/>
    <col min="76" max="77" width="26.7109375" bestFit="1" customWidth="1"/>
    <col min="78" max="87" width="80.85546875" bestFit="1" customWidth="1"/>
    <col min="88" max="88" width="21.7109375" bestFit="1" customWidth="1"/>
    <col min="89" max="89" width="28.140625" bestFit="1" customWidth="1"/>
    <col min="90" max="90" width="24.28515625" bestFit="1" customWidth="1"/>
    <col min="91" max="91" width="23.140625" bestFit="1" customWidth="1"/>
    <col min="92" max="92" width="60.28515625" bestFit="1" customWidth="1"/>
    <col min="93" max="93" width="25.140625" bestFit="1" customWidth="1"/>
    <col min="94" max="94" width="33.28515625" bestFit="1" customWidth="1"/>
    <col min="95" max="95" width="31" bestFit="1" customWidth="1"/>
    <col min="96" max="96" width="28.85546875" bestFit="1" customWidth="1"/>
    <col min="97" max="98" width="28.140625" bestFit="1" customWidth="1"/>
    <col min="99" max="101" width="20.28515625" bestFit="1" customWidth="1"/>
    <col min="102" max="103" width="19.28515625" bestFit="1" customWidth="1"/>
    <col min="104" max="107" width="19" bestFit="1" customWidth="1"/>
    <col min="108" max="108" width="17.5703125" bestFit="1" customWidth="1"/>
    <col min="109" max="110" width="16.5703125" bestFit="1" customWidth="1"/>
    <col min="111" max="111" width="17.7109375" bestFit="1" customWidth="1"/>
    <col min="112" max="112" width="18.7109375" bestFit="1" customWidth="1"/>
    <col min="113" max="113" width="25.7109375" bestFit="1" customWidth="1"/>
    <col min="114" max="114" width="31.28515625" bestFit="1" customWidth="1"/>
    <col min="115" max="115" width="20.7109375" bestFit="1" customWidth="1"/>
    <col min="116" max="136" width="80.85546875" bestFit="1" customWidth="1"/>
    <col min="137" max="137" width="75.7109375" bestFit="1" customWidth="1"/>
    <col min="138" max="138" width="80.85546875" bestFit="1" customWidth="1"/>
  </cols>
  <sheetData>
    <row r="1" spans="1:138" x14ac:dyDescent="0.25">
      <c r="A1" t="s">
        <v>3</v>
      </c>
      <c r="B1" t="s">
        <v>1</v>
      </c>
      <c r="C1" t="s">
        <v>2061</v>
      </c>
      <c r="D1" t="s">
        <v>2062</v>
      </c>
      <c r="E1" t="s">
        <v>0</v>
      </c>
      <c r="F1" t="s">
        <v>2</v>
      </c>
      <c r="G1" t="s">
        <v>2063</v>
      </c>
      <c r="H1" t="s">
        <v>4</v>
      </c>
      <c r="I1" t="s">
        <v>2064</v>
      </c>
      <c r="J1" t="s">
        <v>2065</v>
      </c>
      <c r="K1" t="s">
        <v>2066</v>
      </c>
      <c r="L1" t="s">
        <v>2067</v>
      </c>
      <c r="M1" t="s">
        <v>2068</v>
      </c>
      <c r="N1" t="s">
        <v>2069</v>
      </c>
      <c r="O1" t="s">
        <v>2070</v>
      </c>
      <c r="P1" t="s">
        <v>2071</v>
      </c>
      <c r="Q1" t="s">
        <v>2072</v>
      </c>
      <c r="R1" t="s">
        <v>2073</v>
      </c>
      <c r="S1" t="s">
        <v>2074</v>
      </c>
      <c r="T1" t="s">
        <v>2075</v>
      </c>
      <c r="U1" t="s">
        <v>2076</v>
      </c>
      <c r="V1" t="s">
        <v>2077</v>
      </c>
      <c r="W1" t="s">
        <v>2892</v>
      </c>
      <c r="X1" t="s">
        <v>2078</v>
      </c>
      <c r="Y1" t="s">
        <v>2079</v>
      </c>
      <c r="Z1" t="s">
        <v>2080</v>
      </c>
      <c r="AA1" t="s">
        <v>2081</v>
      </c>
      <c r="AB1" t="s">
        <v>2082</v>
      </c>
      <c r="AC1" t="s">
        <v>2083</v>
      </c>
      <c r="AD1" t="s">
        <v>3245</v>
      </c>
      <c r="AE1" t="s">
        <v>2084</v>
      </c>
      <c r="AF1" t="s">
        <v>2085</v>
      </c>
      <c r="AG1" t="s">
        <v>2370</v>
      </c>
      <c r="AH1" t="s">
        <v>2086</v>
      </c>
      <c r="AI1" t="s">
        <v>3246</v>
      </c>
      <c r="AJ1" t="s">
        <v>2475</v>
      </c>
      <c r="AK1" t="s">
        <v>2087</v>
      </c>
      <c r="AL1" t="s">
        <v>2088</v>
      </c>
      <c r="AM1" t="s">
        <v>2089</v>
      </c>
      <c r="AN1" t="s">
        <v>2090</v>
      </c>
      <c r="AO1" t="s">
        <v>2091</v>
      </c>
      <c r="AP1" t="s">
        <v>2092</v>
      </c>
      <c r="AQ1" t="s">
        <v>2093</v>
      </c>
      <c r="AR1" t="s">
        <v>2094</v>
      </c>
      <c r="AS1" t="s">
        <v>2095</v>
      </c>
      <c r="AT1" t="s">
        <v>2096</v>
      </c>
      <c r="AU1" t="s">
        <v>2097</v>
      </c>
      <c r="AV1" t="s">
        <v>2302</v>
      </c>
      <c r="AW1" t="s">
        <v>3247</v>
      </c>
      <c r="AX1" t="s">
        <v>3248</v>
      </c>
      <c r="AY1" t="s">
        <v>3249</v>
      </c>
      <c r="AZ1" t="s">
        <v>3250</v>
      </c>
      <c r="BA1" t="s">
        <v>3251</v>
      </c>
      <c r="BB1" t="s">
        <v>3252</v>
      </c>
      <c r="BC1" t="s">
        <v>3253</v>
      </c>
      <c r="BD1" t="s">
        <v>3254</v>
      </c>
      <c r="BE1" t="s">
        <v>3255</v>
      </c>
      <c r="BF1" t="s">
        <v>3256</v>
      </c>
      <c r="BG1" t="s">
        <v>3257</v>
      </c>
      <c r="BH1" t="s">
        <v>3258</v>
      </c>
      <c r="BI1" t="s">
        <v>3259</v>
      </c>
      <c r="BJ1" t="s">
        <v>3260</v>
      </c>
      <c r="BK1" t="s">
        <v>3261</v>
      </c>
      <c r="BL1" t="s">
        <v>3262</v>
      </c>
      <c r="BM1" t="s">
        <v>3263</v>
      </c>
      <c r="BN1" t="s">
        <v>3264</v>
      </c>
      <c r="BO1" t="s">
        <v>3265</v>
      </c>
      <c r="BP1" t="s">
        <v>2098</v>
      </c>
      <c r="BQ1" t="s">
        <v>2099</v>
      </c>
      <c r="BR1" t="s">
        <v>2100</v>
      </c>
      <c r="BS1" t="s">
        <v>2101</v>
      </c>
      <c r="BT1" t="s">
        <v>2102</v>
      </c>
      <c r="BU1" t="s">
        <v>2103</v>
      </c>
      <c r="BV1" t="s">
        <v>2104</v>
      </c>
      <c r="BW1" t="s">
        <v>2105</v>
      </c>
      <c r="BX1" t="s">
        <v>2303</v>
      </c>
      <c r="BY1" t="s">
        <v>2106</v>
      </c>
      <c r="BZ1" t="s">
        <v>2107</v>
      </c>
      <c r="CA1" t="s">
        <v>3266</v>
      </c>
      <c r="CB1" t="s">
        <v>3267</v>
      </c>
      <c r="CC1" t="s">
        <v>3268</v>
      </c>
      <c r="CD1" t="s">
        <v>3269</v>
      </c>
      <c r="CE1" t="s">
        <v>3270</v>
      </c>
      <c r="CF1" t="s">
        <v>3271</v>
      </c>
      <c r="CG1" t="s">
        <v>3272</v>
      </c>
      <c r="CH1" t="s">
        <v>3273</v>
      </c>
      <c r="CI1" t="s">
        <v>3274</v>
      </c>
      <c r="CJ1" t="s">
        <v>2108</v>
      </c>
      <c r="CK1" t="s">
        <v>2109</v>
      </c>
      <c r="CL1" t="s">
        <v>2110</v>
      </c>
      <c r="CM1" t="s">
        <v>2111</v>
      </c>
      <c r="CN1" t="s">
        <v>2112</v>
      </c>
      <c r="CO1" t="s">
        <v>2113</v>
      </c>
      <c r="CP1" t="s">
        <v>2114</v>
      </c>
      <c r="CQ1" t="s">
        <v>2115</v>
      </c>
      <c r="CR1" t="s">
        <v>2116</v>
      </c>
      <c r="CS1" t="s">
        <v>2117</v>
      </c>
      <c r="CT1" t="s">
        <v>2118</v>
      </c>
      <c r="CU1" t="s">
        <v>2119</v>
      </c>
      <c r="CV1" t="s">
        <v>3275</v>
      </c>
      <c r="CW1" t="s">
        <v>3276</v>
      </c>
      <c r="CX1" t="s">
        <v>3277</v>
      </c>
      <c r="CY1" t="s">
        <v>3278</v>
      </c>
      <c r="CZ1" t="s">
        <v>3279</v>
      </c>
      <c r="DA1" t="s">
        <v>3280</v>
      </c>
      <c r="DB1" t="s">
        <v>3281</v>
      </c>
      <c r="DC1" t="s">
        <v>3282</v>
      </c>
      <c r="DD1" t="s">
        <v>3283</v>
      </c>
      <c r="DE1" t="s">
        <v>3284</v>
      </c>
      <c r="DF1" t="s">
        <v>3285</v>
      </c>
      <c r="DG1" t="s">
        <v>3286</v>
      </c>
      <c r="DH1" t="s">
        <v>3287</v>
      </c>
      <c r="DI1" t="s">
        <v>2120</v>
      </c>
      <c r="DJ1" t="s">
        <v>2121</v>
      </c>
      <c r="DK1" t="s">
        <v>2122</v>
      </c>
      <c r="DL1" t="s">
        <v>2123</v>
      </c>
      <c r="DM1" t="s">
        <v>2893</v>
      </c>
      <c r="DN1" t="s">
        <v>2894</v>
      </c>
      <c r="DO1" t="s">
        <v>2895</v>
      </c>
      <c r="DP1" t="s">
        <v>2896</v>
      </c>
      <c r="DQ1" t="s">
        <v>3288</v>
      </c>
      <c r="DR1" t="s">
        <v>3289</v>
      </c>
      <c r="DS1" t="s">
        <v>3290</v>
      </c>
      <c r="DT1" t="s">
        <v>3291</v>
      </c>
      <c r="DU1" t="s">
        <v>3292</v>
      </c>
      <c r="DV1" t="s">
        <v>3293</v>
      </c>
      <c r="DW1" t="s">
        <v>3294</v>
      </c>
      <c r="DX1" t="s">
        <v>3295</v>
      </c>
      <c r="DY1" t="s">
        <v>3296</v>
      </c>
      <c r="DZ1" t="s">
        <v>3297</v>
      </c>
      <c r="EA1" t="s">
        <v>3298</v>
      </c>
      <c r="EB1" t="s">
        <v>3299</v>
      </c>
      <c r="EC1" t="s">
        <v>3300</v>
      </c>
      <c r="ED1" t="s">
        <v>3301</v>
      </c>
      <c r="EE1" t="s">
        <v>3302</v>
      </c>
      <c r="EF1" t="s">
        <v>3303</v>
      </c>
      <c r="EG1" t="s">
        <v>3304</v>
      </c>
      <c r="EH1" t="s">
        <v>3305</v>
      </c>
    </row>
    <row r="2" spans="1:138" x14ac:dyDescent="0.25">
      <c r="A2" t="s">
        <v>3306</v>
      </c>
      <c r="B2" t="s">
        <v>3307</v>
      </c>
      <c r="C2">
        <v>23133</v>
      </c>
      <c r="E2" t="s">
        <v>2886</v>
      </c>
      <c r="F2" t="s">
        <v>16</v>
      </c>
      <c r="G2" t="s">
        <v>2126</v>
      </c>
      <c r="H2" t="s">
        <v>1844</v>
      </c>
      <c r="I2" t="s">
        <v>2127</v>
      </c>
      <c r="J2" t="s">
        <v>2128</v>
      </c>
      <c r="K2" t="s">
        <v>2129</v>
      </c>
      <c r="L2" t="s">
        <v>2129</v>
      </c>
      <c r="M2" t="s">
        <v>2130</v>
      </c>
      <c r="N2" t="s">
        <v>16</v>
      </c>
      <c r="O2" t="s">
        <v>2134</v>
      </c>
      <c r="P2" t="s">
        <v>2128</v>
      </c>
      <c r="Q2" t="s">
        <v>2128</v>
      </c>
      <c r="R2" s="37">
        <v>46090.470138888886</v>
      </c>
      <c r="S2" s="37">
        <v>46097.688194444447</v>
      </c>
      <c r="T2" s="37">
        <v>46100.368750000001</v>
      </c>
      <c r="U2" s="37">
        <v>46097.688194444447</v>
      </c>
      <c r="V2" t="s">
        <v>2129</v>
      </c>
      <c r="W2" t="s">
        <v>2129</v>
      </c>
      <c r="X2" t="s">
        <v>2129</v>
      </c>
      <c r="Y2">
        <v>0</v>
      </c>
      <c r="Z2" t="s">
        <v>2129</v>
      </c>
      <c r="AA2" t="s">
        <v>3308</v>
      </c>
      <c r="AB2" t="s">
        <v>2129</v>
      </c>
      <c r="AC2" t="s">
        <v>2128</v>
      </c>
      <c r="AD2" t="s">
        <v>2129</v>
      </c>
      <c r="AE2" t="s">
        <v>2129</v>
      </c>
      <c r="AF2" t="s">
        <v>2129</v>
      </c>
      <c r="AG2" t="s">
        <v>2129</v>
      </c>
      <c r="AH2" t="s">
        <v>3309</v>
      </c>
      <c r="AI2" t="s">
        <v>3310</v>
      </c>
      <c r="AJ2" t="s">
        <v>2129</v>
      </c>
      <c r="AK2" t="s">
        <v>2129</v>
      </c>
      <c r="AL2" t="s">
        <v>2129</v>
      </c>
      <c r="AM2" t="s">
        <v>2129</v>
      </c>
      <c r="AN2" t="s">
        <v>2129</v>
      </c>
      <c r="AO2" t="s">
        <v>2129</v>
      </c>
      <c r="AP2" t="s">
        <v>2129</v>
      </c>
      <c r="AQ2" t="s">
        <v>2129</v>
      </c>
      <c r="AR2" t="s">
        <v>2129</v>
      </c>
      <c r="AS2" t="s">
        <v>2129</v>
      </c>
      <c r="AT2" t="s">
        <v>2129</v>
      </c>
      <c r="AU2" t="s">
        <v>2129</v>
      </c>
      <c r="AV2" t="s">
        <v>2129</v>
      </c>
      <c r="AW2" t="s">
        <v>2129</v>
      </c>
      <c r="AX2" t="s">
        <v>2129</v>
      </c>
      <c r="AY2" t="s">
        <v>2129</v>
      </c>
      <c r="AZ2" t="s">
        <v>2129</v>
      </c>
      <c r="BA2" t="s">
        <v>2129</v>
      </c>
      <c r="BB2" t="s">
        <v>2129</v>
      </c>
      <c r="BC2" t="s">
        <v>2129</v>
      </c>
      <c r="BD2" t="s">
        <v>2129</v>
      </c>
      <c r="BE2" t="s">
        <v>2129</v>
      </c>
      <c r="BF2" t="s">
        <v>2129</v>
      </c>
      <c r="BG2" t="s">
        <v>2129</v>
      </c>
      <c r="BH2" t="s">
        <v>2129</v>
      </c>
      <c r="BI2" t="s">
        <v>2129</v>
      </c>
      <c r="BJ2" t="s">
        <v>2129</v>
      </c>
      <c r="BK2" t="s">
        <v>2129</v>
      </c>
      <c r="BL2" t="s">
        <v>2129</v>
      </c>
      <c r="BM2" t="s">
        <v>2129</v>
      </c>
      <c r="BN2" t="s">
        <v>2129</v>
      </c>
      <c r="BO2" t="s">
        <v>2129</v>
      </c>
      <c r="BP2" t="s">
        <v>2129</v>
      </c>
      <c r="BQ2">
        <v>0</v>
      </c>
      <c r="BR2">
        <v>43200</v>
      </c>
      <c r="BS2" t="s">
        <v>2129</v>
      </c>
      <c r="BT2" t="s">
        <v>2129</v>
      </c>
      <c r="BU2">
        <v>0</v>
      </c>
      <c r="BV2">
        <v>43200</v>
      </c>
      <c r="BW2" t="s">
        <v>2129</v>
      </c>
      <c r="BX2" t="s">
        <v>2129</v>
      </c>
      <c r="BY2" t="s">
        <v>2129</v>
      </c>
      <c r="BZ2" t="s">
        <v>3311</v>
      </c>
      <c r="CA2" t="s">
        <v>3312</v>
      </c>
      <c r="CB2" t="s">
        <v>2129</v>
      </c>
      <c r="CC2" t="s">
        <v>2129</v>
      </c>
      <c r="CD2" t="s">
        <v>2129</v>
      </c>
      <c r="CE2" t="s">
        <v>2129</v>
      </c>
      <c r="CF2" t="s">
        <v>2129</v>
      </c>
      <c r="CG2" t="s">
        <v>2129</v>
      </c>
      <c r="CH2" t="s">
        <v>2129</v>
      </c>
      <c r="CI2" t="s">
        <v>2129</v>
      </c>
      <c r="CJ2" t="s">
        <v>2129</v>
      </c>
      <c r="CK2" t="s">
        <v>2129</v>
      </c>
      <c r="CL2" t="s">
        <v>2129</v>
      </c>
      <c r="CM2" t="s">
        <v>2129</v>
      </c>
      <c r="CN2" t="s">
        <v>2129</v>
      </c>
      <c r="CO2" t="s">
        <v>2129</v>
      </c>
      <c r="CP2" t="s">
        <v>2129</v>
      </c>
      <c r="CQ2" t="s">
        <v>2129</v>
      </c>
      <c r="CR2" t="s">
        <v>2129</v>
      </c>
      <c r="CS2" t="s">
        <v>2129</v>
      </c>
      <c r="CT2" t="s">
        <v>3313</v>
      </c>
      <c r="CU2" t="s">
        <v>2901</v>
      </c>
      <c r="CV2" t="s">
        <v>2129</v>
      </c>
      <c r="CW2" t="s">
        <v>2129</v>
      </c>
      <c r="CX2" t="s">
        <v>2129</v>
      </c>
      <c r="CY2" t="s">
        <v>2129</v>
      </c>
      <c r="CZ2" t="s">
        <v>2129</v>
      </c>
      <c r="DA2" t="s">
        <v>2129</v>
      </c>
      <c r="DB2" t="s">
        <v>2129</v>
      </c>
      <c r="DC2" t="s">
        <v>2129</v>
      </c>
      <c r="DD2" t="s">
        <v>2129</v>
      </c>
      <c r="DE2" t="s">
        <v>2129</v>
      </c>
      <c r="DF2" t="s">
        <v>2129</v>
      </c>
      <c r="DG2" t="s">
        <v>2129</v>
      </c>
      <c r="DH2" t="s">
        <v>2129</v>
      </c>
      <c r="DJ2" t="s">
        <v>2129</v>
      </c>
      <c r="DK2" t="s">
        <v>2129</v>
      </c>
      <c r="DL2" t="s">
        <v>2129</v>
      </c>
      <c r="DM2" t="s">
        <v>2129</v>
      </c>
      <c r="DN2" t="s">
        <v>2129</v>
      </c>
      <c r="DO2" t="s">
        <v>2129</v>
      </c>
      <c r="DP2" t="s">
        <v>2129</v>
      </c>
      <c r="DQ2" t="s">
        <v>2129</v>
      </c>
      <c r="DR2" t="s">
        <v>2129</v>
      </c>
      <c r="DS2" t="s">
        <v>2129</v>
      </c>
      <c r="DT2" t="s">
        <v>2129</v>
      </c>
      <c r="DU2" t="s">
        <v>2129</v>
      </c>
      <c r="DV2" t="s">
        <v>2129</v>
      </c>
      <c r="DW2" t="s">
        <v>2129</v>
      </c>
      <c r="DX2" t="s">
        <v>2129</v>
      </c>
      <c r="DY2" t="s">
        <v>2129</v>
      </c>
      <c r="DZ2" t="s">
        <v>2129</v>
      </c>
      <c r="EA2" t="s">
        <v>2129</v>
      </c>
      <c r="EB2" t="s">
        <v>2129</v>
      </c>
      <c r="EC2" t="s">
        <v>2129</v>
      </c>
      <c r="ED2" t="s">
        <v>2129</v>
      </c>
      <c r="EE2" t="s">
        <v>2129</v>
      </c>
      <c r="EF2" t="s">
        <v>2129</v>
      </c>
      <c r="EG2" t="s">
        <v>2129</v>
      </c>
      <c r="EH2" t="s">
        <v>2129</v>
      </c>
    </row>
    <row r="3" spans="1:138" x14ac:dyDescent="0.25">
      <c r="A3" t="s">
        <v>3314</v>
      </c>
      <c r="B3" t="s">
        <v>3315</v>
      </c>
      <c r="C3">
        <v>23112</v>
      </c>
      <c r="E3" t="s">
        <v>77</v>
      </c>
      <c r="F3" t="s">
        <v>16</v>
      </c>
      <c r="G3" t="s">
        <v>2126</v>
      </c>
      <c r="H3" t="s">
        <v>1844</v>
      </c>
      <c r="I3" t="s">
        <v>2127</v>
      </c>
      <c r="J3" t="s">
        <v>2128</v>
      </c>
      <c r="K3" t="s">
        <v>2129</v>
      </c>
      <c r="L3" t="s">
        <v>2129</v>
      </c>
      <c r="M3" t="s">
        <v>2130</v>
      </c>
      <c r="N3" t="s">
        <v>16</v>
      </c>
      <c r="O3" t="s">
        <v>2139</v>
      </c>
      <c r="P3" t="s">
        <v>2128</v>
      </c>
      <c r="Q3" t="s">
        <v>2128</v>
      </c>
      <c r="R3" s="37">
        <v>46087.565972222219</v>
      </c>
      <c r="S3" s="37">
        <v>46091.646527777775</v>
      </c>
      <c r="T3" s="37">
        <v>46100.368750000001</v>
      </c>
      <c r="U3" s="37">
        <v>46091.646527777775</v>
      </c>
      <c r="V3" t="s">
        <v>2129</v>
      </c>
      <c r="W3" t="s">
        <v>2129</v>
      </c>
      <c r="X3" t="s">
        <v>2129</v>
      </c>
      <c r="Y3">
        <v>0</v>
      </c>
      <c r="Z3" t="s">
        <v>2129</v>
      </c>
      <c r="AA3" t="s">
        <v>3316</v>
      </c>
      <c r="AB3" t="s">
        <v>2129</v>
      </c>
      <c r="AC3" t="s">
        <v>2128</v>
      </c>
      <c r="AD3" t="s">
        <v>2129</v>
      </c>
      <c r="AE3" t="s">
        <v>2129</v>
      </c>
      <c r="AF3" t="s">
        <v>2129</v>
      </c>
      <c r="AG3" t="s">
        <v>2129</v>
      </c>
      <c r="AH3" t="s">
        <v>3317</v>
      </c>
      <c r="AI3" t="s">
        <v>3318</v>
      </c>
      <c r="AJ3" t="s">
        <v>3319</v>
      </c>
      <c r="AK3" t="s">
        <v>2129</v>
      </c>
      <c r="AL3" t="s">
        <v>2129</v>
      </c>
      <c r="AM3" t="s">
        <v>2129</v>
      </c>
      <c r="AN3" t="s">
        <v>2129</v>
      </c>
      <c r="AO3" t="s">
        <v>2129</v>
      </c>
      <c r="AP3" t="s">
        <v>2129</v>
      </c>
      <c r="AQ3" t="s">
        <v>2129</v>
      </c>
      <c r="AR3" t="s">
        <v>2129</v>
      </c>
      <c r="AS3" t="s">
        <v>2129</v>
      </c>
      <c r="AT3" t="s">
        <v>2129</v>
      </c>
      <c r="AU3" t="s">
        <v>2129</v>
      </c>
      <c r="AV3" t="s">
        <v>2129</v>
      </c>
      <c r="AW3" t="s">
        <v>2129</v>
      </c>
      <c r="AX3" t="s">
        <v>2129</v>
      </c>
      <c r="AY3" t="s">
        <v>2129</v>
      </c>
      <c r="AZ3" t="s">
        <v>2129</v>
      </c>
      <c r="BA3" t="s">
        <v>2129</v>
      </c>
      <c r="BB3" t="s">
        <v>2129</v>
      </c>
      <c r="BC3" t="s">
        <v>2129</v>
      </c>
      <c r="BD3" t="s">
        <v>2129</v>
      </c>
      <c r="BE3" t="s">
        <v>2129</v>
      </c>
      <c r="BF3" t="s">
        <v>2129</v>
      </c>
      <c r="BG3" t="s">
        <v>2129</v>
      </c>
      <c r="BH3" t="s">
        <v>2129</v>
      </c>
      <c r="BI3" t="s">
        <v>2129</v>
      </c>
      <c r="BJ3" t="s">
        <v>2129</v>
      </c>
      <c r="BK3" t="s">
        <v>2129</v>
      </c>
      <c r="BL3" t="s">
        <v>2129</v>
      </c>
      <c r="BM3" t="s">
        <v>2129</v>
      </c>
      <c r="BN3" t="s">
        <v>2129</v>
      </c>
      <c r="BO3" t="s">
        <v>2129</v>
      </c>
      <c r="BP3" t="s">
        <v>2129</v>
      </c>
      <c r="BQ3">
        <v>0</v>
      </c>
      <c r="BR3">
        <v>32400</v>
      </c>
      <c r="BS3" t="s">
        <v>2129</v>
      </c>
      <c r="BT3" t="s">
        <v>2129</v>
      </c>
      <c r="BU3">
        <v>0</v>
      </c>
      <c r="BV3">
        <v>32400</v>
      </c>
      <c r="BW3" t="s">
        <v>2129</v>
      </c>
      <c r="BX3" t="s">
        <v>2129</v>
      </c>
      <c r="BY3" t="s">
        <v>2129</v>
      </c>
      <c r="BZ3" t="s">
        <v>2129</v>
      </c>
      <c r="CA3" t="s">
        <v>2129</v>
      </c>
      <c r="CB3" t="s">
        <v>2129</v>
      </c>
      <c r="CC3" t="s">
        <v>2129</v>
      </c>
      <c r="CD3" t="s">
        <v>2129</v>
      </c>
      <c r="CE3" t="s">
        <v>2129</v>
      </c>
      <c r="CF3" t="s">
        <v>2129</v>
      </c>
      <c r="CG3" t="s">
        <v>2129</v>
      </c>
      <c r="CH3" t="s">
        <v>2129</v>
      </c>
      <c r="CI3" t="s">
        <v>2129</v>
      </c>
      <c r="CJ3" t="s">
        <v>2129</v>
      </c>
      <c r="CK3" t="s">
        <v>2129</v>
      </c>
      <c r="CL3" t="s">
        <v>2129</v>
      </c>
      <c r="CM3" t="s">
        <v>2129</v>
      </c>
      <c r="CN3" t="s">
        <v>2129</v>
      </c>
      <c r="CO3" t="s">
        <v>2129</v>
      </c>
      <c r="CP3" t="s">
        <v>2129</v>
      </c>
      <c r="CQ3" t="s">
        <v>2129</v>
      </c>
      <c r="CR3" t="s">
        <v>2129</v>
      </c>
      <c r="CS3" t="s">
        <v>2129</v>
      </c>
      <c r="CT3" t="s">
        <v>3320</v>
      </c>
      <c r="CU3" t="s">
        <v>2901</v>
      </c>
      <c r="CV3" t="s">
        <v>2129</v>
      </c>
      <c r="CW3" t="s">
        <v>2129</v>
      </c>
      <c r="CX3" t="s">
        <v>2129</v>
      </c>
      <c r="CY3" t="s">
        <v>2129</v>
      </c>
      <c r="CZ3" t="s">
        <v>2129</v>
      </c>
      <c r="DA3" t="s">
        <v>2129</v>
      </c>
      <c r="DB3" t="s">
        <v>2129</v>
      </c>
      <c r="DC3" t="s">
        <v>2129</v>
      </c>
      <c r="DD3" t="s">
        <v>2129</v>
      </c>
      <c r="DE3" t="s">
        <v>2129</v>
      </c>
      <c r="DF3" t="s">
        <v>2129</v>
      </c>
      <c r="DG3" t="s">
        <v>2129</v>
      </c>
      <c r="DH3" t="s">
        <v>2129</v>
      </c>
      <c r="DJ3" t="s">
        <v>2129</v>
      </c>
      <c r="DK3" t="s">
        <v>2129</v>
      </c>
      <c r="DL3" t="s">
        <v>2129</v>
      </c>
      <c r="DM3" t="s">
        <v>2129</v>
      </c>
      <c r="DN3" t="s">
        <v>2129</v>
      </c>
      <c r="DO3" t="s">
        <v>2129</v>
      </c>
      <c r="DP3" t="s">
        <v>2129</v>
      </c>
      <c r="DQ3" t="s">
        <v>2129</v>
      </c>
      <c r="DR3" t="s">
        <v>2129</v>
      </c>
      <c r="DS3" t="s">
        <v>2129</v>
      </c>
      <c r="DT3" t="s">
        <v>2129</v>
      </c>
      <c r="DU3" t="s">
        <v>2129</v>
      </c>
      <c r="DV3" t="s">
        <v>2129</v>
      </c>
      <c r="DW3" t="s">
        <v>2129</v>
      </c>
      <c r="DX3" t="s">
        <v>2129</v>
      </c>
      <c r="DY3" t="s">
        <v>2129</v>
      </c>
      <c r="DZ3" t="s">
        <v>2129</v>
      </c>
      <c r="EA3" t="s">
        <v>2129</v>
      </c>
      <c r="EB3" t="s">
        <v>2129</v>
      </c>
      <c r="EC3" t="s">
        <v>2129</v>
      </c>
      <c r="ED3" t="s">
        <v>2129</v>
      </c>
      <c r="EE3" t="s">
        <v>2129</v>
      </c>
      <c r="EF3" t="s">
        <v>2129</v>
      </c>
      <c r="EG3" t="s">
        <v>2129</v>
      </c>
      <c r="EH3" t="s">
        <v>2129</v>
      </c>
    </row>
    <row r="4" spans="1:138" x14ac:dyDescent="0.25">
      <c r="A4" t="s">
        <v>3321</v>
      </c>
      <c r="B4" t="s">
        <v>3322</v>
      </c>
      <c r="C4">
        <v>23111</v>
      </c>
      <c r="E4" t="s">
        <v>14</v>
      </c>
      <c r="F4" t="s">
        <v>16</v>
      </c>
      <c r="G4" t="s">
        <v>2126</v>
      </c>
      <c r="H4" t="s">
        <v>1844</v>
      </c>
      <c r="I4" t="s">
        <v>2127</v>
      </c>
      <c r="J4" t="s">
        <v>2128</v>
      </c>
      <c r="K4" t="s">
        <v>2129</v>
      </c>
      <c r="L4" t="s">
        <v>2129</v>
      </c>
      <c r="M4" t="s">
        <v>2130</v>
      </c>
      <c r="N4" t="s">
        <v>16</v>
      </c>
      <c r="O4" t="s">
        <v>2134</v>
      </c>
      <c r="P4" t="s">
        <v>2128</v>
      </c>
      <c r="Q4" t="s">
        <v>2128</v>
      </c>
      <c r="R4" s="37">
        <v>46087.556944444441</v>
      </c>
      <c r="S4" s="37">
        <v>46090.370833333334</v>
      </c>
      <c r="T4" s="37">
        <v>46100.368750000001</v>
      </c>
      <c r="U4" s="37">
        <v>46090.370833333334</v>
      </c>
      <c r="V4" t="s">
        <v>2129</v>
      </c>
      <c r="W4" t="s">
        <v>2129</v>
      </c>
      <c r="X4" t="s">
        <v>2129</v>
      </c>
      <c r="Y4">
        <v>0</v>
      </c>
      <c r="Z4" t="s">
        <v>2129</v>
      </c>
      <c r="AA4" t="s">
        <v>3323</v>
      </c>
      <c r="AB4" t="s">
        <v>2129</v>
      </c>
      <c r="AC4" t="s">
        <v>2134</v>
      </c>
      <c r="AD4" t="s">
        <v>2128</v>
      </c>
      <c r="AE4" t="s">
        <v>2129</v>
      </c>
      <c r="AF4" t="s">
        <v>2129</v>
      </c>
      <c r="AG4" t="s">
        <v>2129</v>
      </c>
      <c r="AH4" t="s">
        <v>3324</v>
      </c>
      <c r="AI4" t="s">
        <v>3325</v>
      </c>
      <c r="AJ4" t="s">
        <v>3326</v>
      </c>
      <c r="AK4" t="s">
        <v>2129</v>
      </c>
      <c r="AL4" t="s">
        <v>2129</v>
      </c>
      <c r="AM4" t="s">
        <v>2129</v>
      </c>
      <c r="AN4" t="s">
        <v>2129</v>
      </c>
      <c r="AO4" t="s">
        <v>2129</v>
      </c>
      <c r="AP4" t="s">
        <v>2129</v>
      </c>
      <c r="AQ4" t="s">
        <v>2129</v>
      </c>
      <c r="AR4" t="s">
        <v>2129</v>
      </c>
      <c r="AS4" t="s">
        <v>2129</v>
      </c>
      <c r="AT4" t="s">
        <v>2129</v>
      </c>
      <c r="AU4" t="s">
        <v>2129</v>
      </c>
      <c r="AV4" t="s">
        <v>2129</v>
      </c>
      <c r="AW4" t="s">
        <v>2129</v>
      </c>
      <c r="AX4" t="s">
        <v>2129</v>
      </c>
      <c r="AY4" t="s">
        <v>2129</v>
      </c>
      <c r="AZ4" t="s">
        <v>2129</v>
      </c>
      <c r="BA4" t="s">
        <v>2129</v>
      </c>
      <c r="BB4" t="s">
        <v>2129</v>
      </c>
      <c r="BC4" t="s">
        <v>2129</v>
      </c>
      <c r="BD4" t="s">
        <v>2129</v>
      </c>
      <c r="BE4" t="s">
        <v>2129</v>
      </c>
      <c r="BF4" t="s">
        <v>2129</v>
      </c>
      <c r="BG4" t="s">
        <v>2129</v>
      </c>
      <c r="BH4" t="s">
        <v>2129</v>
      </c>
      <c r="BI4" t="s">
        <v>2129</v>
      </c>
      <c r="BJ4" t="s">
        <v>2129</v>
      </c>
      <c r="BK4" t="s">
        <v>2129</v>
      </c>
      <c r="BL4" t="s">
        <v>2129</v>
      </c>
      <c r="BM4" t="s">
        <v>2129</v>
      </c>
      <c r="BN4" t="s">
        <v>2129</v>
      </c>
      <c r="BO4" t="s">
        <v>2129</v>
      </c>
      <c r="BP4" t="s">
        <v>2129</v>
      </c>
      <c r="BQ4">
        <v>0</v>
      </c>
      <c r="BR4">
        <v>21600</v>
      </c>
      <c r="BS4" t="s">
        <v>2129</v>
      </c>
      <c r="BT4" t="s">
        <v>2129</v>
      </c>
      <c r="BU4">
        <v>0</v>
      </c>
      <c r="BV4">
        <v>21600</v>
      </c>
      <c r="BW4" t="s">
        <v>2129</v>
      </c>
      <c r="BX4" t="s">
        <v>2129</v>
      </c>
      <c r="BY4" t="s">
        <v>2129</v>
      </c>
      <c r="BZ4" t="s">
        <v>3327</v>
      </c>
      <c r="CA4" t="s">
        <v>2129</v>
      </c>
      <c r="CB4" t="s">
        <v>2129</v>
      </c>
      <c r="CC4" t="s">
        <v>2129</v>
      </c>
      <c r="CD4" t="s">
        <v>2129</v>
      </c>
      <c r="CE4" t="s">
        <v>2129</v>
      </c>
      <c r="CF4" t="s">
        <v>2129</v>
      </c>
      <c r="CG4" t="s">
        <v>2129</v>
      </c>
      <c r="CH4" t="s">
        <v>2129</v>
      </c>
      <c r="CI4" t="s">
        <v>2129</v>
      </c>
      <c r="CJ4" t="s">
        <v>2129</v>
      </c>
      <c r="CK4" t="s">
        <v>2129</v>
      </c>
      <c r="CL4" t="s">
        <v>2129</v>
      </c>
      <c r="CM4" t="s">
        <v>2129</v>
      </c>
      <c r="CN4" t="s">
        <v>2129</v>
      </c>
      <c r="CO4" t="s">
        <v>2129</v>
      </c>
      <c r="CP4" t="s">
        <v>2129</v>
      </c>
      <c r="CQ4" t="s">
        <v>2129</v>
      </c>
      <c r="CR4" t="s">
        <v>2129</v>
      </c>
      <c r="CS4" t="s">
        <v>2129</v>
      </c>
      <c r="CT4" t="s">
        <v>3328</v>
      </c>
      <c r="CU4" t="s">
        <v>2901</v>
      </c>
      <c r="CV4" t="s">
        <v>2129</v>
      </c>
      <c r="CW4" t="s">
        <v>2129</v>
      </c>
      <c r="CX4" t="s">
        <v>2129</v>
      </c>
      <c r="CY4" t="s">
        <v>2129</v>
      </c>
      <c r="CZ4" t="s">
        <v>2129</v>
      </c>
      <c r="DA4" t="s">
        <v>2129</v>
      </c>
      <c r="DB4" t="s">
        <v>2129</v>
      </c>
      <c r="DC4" t="s">
        <v>2129</v>
      </c>
      <c r="DD4" t="s">
        <v>2129</v>
      </c>
      <c r="DE4" t="s">
        <v>2129</v>
      </c>
      <c r="DF4" t="s">
        <v>2129</v>
      </c>
      <c r="DG4" t="s">
        <v>2129</v>
      </c>
      <c r="DH4" t="s">
        <v>2129</v>
      </c>
      <c r="DJ4" t="s">
        <v>2129</v>
      </c>
      <c r="DK4" t="s">
        <v>2129</v>
      </c>
      <c r="DL4" t="s">
        <v>3329</v>
      </c>
      <c r="DM4" t="s">
        <v>2129</v>
      </c>
      <c r="DN4" t="s">
        <v>2129</v>
      </c>
      <c r="DO4" t="s">
        <v>2129</v>
      </c>
      <c r="DP4" t="s">
        <v>2129</v>
      </c>
      <c r="DQ4" t="s">
        <v>2129</v>
      </c>
      <c r="DR4" t="s">
        <v>2129</v>
      </c>
      <c r="DS4" t="s">
        <v>2129</v>
      </c>
      <c r="DT4" t="s">
        <v>2129</v>
      </c>
      <c r="DU4" t="s">
        <v>2129</v>
      </c>
      <c r="DV4" t="s">
        <v>2129</v>
      </c>
      <c r="DW4" t="s">
        <v>2129</v>
      </c>
      <c r="DX4" t="s">
        <v>2129</v>
      </c>
      <c r="DY4" t="s">
        <v>2129</v>
      </c>
      <c r="DZ4" t="s">
        <v>2129</v>
      </c>
      <c r="EA4" t="s">
        <v>2129</v>
      </c>
      <c r="EB4" t="s">
        <v>2129</v>
      </c>
      <c r="EC4" t="s">
        <v>2129</v>
      </c>
      <c r="ED4" t="s">
        <v>2129</v>
      </c>
      <c r="EE4" t="s">
        <v>2129</v>
      </c>
      <c r="EF4" t="s">
        <v>2129</v>
      </c>
      <c r="EG4" t="s">
        <v>2129</v>
      </c>
      <c r="EH4" t="s">
        <v>2129</v>
      </c>
    </row>
    <row r="5" spans="1:138" x14ac:dyDescent="0.25">
      <c r="A5" t="s">
        <v>3330</v>
      </c>
      <c r="B5" t="s">
        <v>3331</v>
      </c>
      <c r="C5">
        <v>23077</v>
      </c>
      <c r="E5" t="s">
        <v>14</v>
      </c>
      <c r="F5" t="s">
        <v>26</v>
      </c>
      <c r="G5" t="s">
        <v>2126</v>
      </c>
      <c r="H5" t="s">
        <v>1844</v>
      </c>
      <c r="I5" t="s">
        <v>2127</v>
      </c>
      <c r="J5" t="s">
        <v>2128</v>
      </c>
      <c r="K5" t="s">
        <v>2129</v>
      </c>
      <c r="L5" t="s">
        <v>2129</v>
      </c>
      <c r="M5" t="s">
        <v>2130</v>
      </c>
      <c r="N5" t="s">
        <v>2129</v>
      </c>
      <c r="O5" t="s">
        <v>2139</v>
      </c>
      <c r="P5" t="s">
        <v>2128</v>
      </c>
      <c r="Q5" t="s">
        <v>2128</v>
      </c>
      <c r="R5" s="37">
        <v>46083.574999999997</v>
      </c>
      <c r="S5" s="37">
        <v>46094.686805555553</v>
      </c>
      <c r="T5" s="37">
        <v>46083.664583333331</v>
      </c>
      <c r="U5" s="37"/>
      <c r="V5" t="s">
        <v>2129</v>
      </c>
      <c r="W5" t="s">
        <v>2129</v>
      </c>
      <c r="X5" t="s">
        <v>2129</v>
      </c>
      <c r="Y5">
        <v>0</v>
      </c>
      <c r="Z5" t="s">
        <v>2129</v>
      </c>
      <c r="AA5" t="s">
        <v>3332</v>
      </c>
      <c r="AB5" t="s">
        <v>2129</v>
      </c>
      <c r="AC5" t="s">
        <v>2128</v>
      </c>
      <c r="AD5" t="s">
        <v>2129</v>
      </c>
      <c r="AE5" t="s">
        <v>2129</v>
      </c>
      <c r="AF5" t="s">
        <v>2129</v>
      </c>
      <c r="AG5" t="s">
        <v>2129</v>
      </c>
      <c r="AH5" t="s">
        <v>3333</v>
      </c>
      <c r="AI5" t="s">
        <v>3334</v>
      </c>
      <c r="AJ5" t="s">
        <v>3335</v>
      </c>
      <c r="AK5" t="s">
        <v>3336</v>
      </c>
      <c r="AL5" t="s">
        <v>2129</v>
      </c>
      <c r="AM5" t="s">
        <v>2129</v>
      </c>
      <c r="AN5" t="s">
        <v>2129</v>
      </c>
      <c r="AO5" t="s">
        <v>2129</v>
      </c>
      <c r="AP5" t="s">
        <v>2129</v>
      </c>
      <c r="AQ5" t="s">
        <v>2129</v>
      </c>
      <c r="AR5" t="s">
        <v>2129</v>
      </c>
      <c r="AS5" t="s">
        <v>2129</v>
      </c>
      <c r="AT5" t="s">
        <v>2129</v>
      </c>
      <c r="AU5" t="s">
        <v>2129</v>
      </c>
      <c r="AV5" t="s">
        <v>2129</v>
      </c>
      <c r="AW5" t="s">
        <v>2129</v>
      </c>
      <c r="AX5" t="s">
        <v>2129</v>
      </c>
      <c r="AY5" t="s">
        <v>2129</v>
      </c>
      <c r="AZ5" t="s">
        <v>2129</v>
      </c>
      <c r="BA5" t="s">
        <v>2129</v>
      </c>
      <c r="BB5" t="s">
        <v>2129</v>
      </c>
      <c r="BC5" t="s">
        <v>2129</v>
      </c>
      <c r="BD5" t="s">
        <v>2129</v>
      </c>
      <c r="BE5" t="s">
        <v>2129</v>
      </c>
      <c r="BF5" t="s">
        <v>2129</v>
      </c>
      <c r="BG5" t="s">
        <v>2129</v>
      </c>
      <c r="BH5" t="s">
        <v>2129</v>
      </c>
      <c r="BI5" t="s">
        <v>2129</v>
      </c>
      <c r="BJ5" t="s">
        <v>2129</v>
      </c>
      <c r="BK5" t="s">
        <v>2129</v>
      </c>
      <c r="BL5" t="s">
        <v>2129</v>
      </c>
      <c r="BM5" t="s">
        <v>2129</v>
      </c>
      <c r="BN5" t="s">
        <v>2129</v>
      </c>
      <c r="BO5" t="s">
        <v>2129</v>
      </c>
      <c r="BP5" t="s">
        <v>2129</v>
      </c>
      <c r="BQ5">
        <v>0</v>
      </c>
      <c r="BR5">
        <v>28800</v>
      </c>
      <c r="BS5" t="s">
        <v>2129</v>
      </c>
      <c r="BT5" t="s">
        <v>2129</v>
      </c>
      <c r="BU5">
        <v>0</v>
      </c>
      <c r="BV5">
        <v>28800</v>
      </c>
      <c r="BW5" t="s">
        <v>2129</v>
      </c>
      <c r="BX5" t="s">
        <v>2129</v>
      </c>
      <c r="BY5" t="s">
        <v>2129</v>
      </c>
      <c r="BZ5" t="s">
        <v>2129</v>
      </c>
      <c r="CA5" t="s">
        <v>2129</v>
      </c>
      <c r="CB5" t="s">
        <v>2129</v>
      </c>
      <c r="CC5" t="s">
        <v>2129</v>
      </c>
      <c r="CD5" t="s">
        <v>2129</v>
      </c>
      <c r="CE5" t="s">
        <v>2129</v>
      </c>
      <c r="CF5" t="s">
        <v>2129</v>
      </c>
      <c r="CG5" t="s">
        <v>2129</v>
      </c>
      <c r="CH5" t="s">
        <v>2129</v>
      </c>
      <c r="CI5" t="s">
        <v>2129</v>
      </c>
      <c r="CJ5" t="s">
        <v>2129</v>
      </c>
      <c r="CK5" t="s">
        <v>2129</v>
      </c>
      <c r="CL5" t="s">
        <v>2129</v>
      </c>
      <c r="CM5" t="s">
        <v>2129</v>
      </c>
      <c r="CN5" t="s">
        <v>2129</v>
      </c>
      <c r="CO5" t="s">
        <v>2129</v>
      </c>
      <c r="CP5" t="s">
        <v>2129</v>
      </c>
      <c r="CQ5" t="s">
        <v>2129</v>
      </c>
      <c r="CR5" t="s">
        <v>2129</v>
      </c>
      <c r="CS5" t="s">
        <v>2129</v>
      </c>
      <c r="CT5" t="s">
        <v>3337</v>
      </c>
      <c r="CU5" t="s">
        <v>2901</v>
      </c>
      <c r="CV5" t="s">
        <v>2129</v>
      </c>
      <c r="CW5" t="s">
        <v>2129</v>
      </c>
      <c r="CX5" t="s">
        <v>2129</v>
      </c>
      <c r="CY5" t="s">
        <v>2129</v>
      </c>
      <c r="CZ5" t="s">
        <v>2129</v>
      </c>
      <c r="DA5" t="s">
        <v>2129</v>
      </c>
      <c r="DB5" t="s">
        <v>2129</v>
      </c>
      <c r="DC5" t="s">
        <v>2129</v>
      </c>
      <c r="DD5" t="s">
        <v>2129</v>
      </c>
      <c r="DE5" t="s">
        <v>2129</v>
      </c>
      <c r="DF5" t="s">
        <v>2129</v>
      </c>
      <c r="DG5" t="s">
        <v>2129</v>
      </c>
      <c r="DH5" t="s">
        <v>2129</v>
      </c>
      <c r="DJ5" t="s">
        <v>2129</v>
      </c>
      <c r="DK5" t="s">
        <v>2129</v>
      </c>
      <c r="DL5" t="s">
        <v>2129</v>
      </c>
      <c r="DM5" t="s">
        <v>2129</v>
      </c>
      <c r="DN5" t="s">
        <v>2129</v>
      </c>
      <c r="DO5" t="s">
        <v>2129</v>
      </c>
      <c r="DP5" t="s">
        <v>2129</v>
      </c>
      <c r="DQ5" t="s">
        <v>2129</v>
      </c>
      <c r="DR5" t="s">
        <v>2129</v>
      </c>
      <c r="DS5" t="s">
        <v>2129</v>
      </c>
      <c r="DT5" t="s">
        <v>2129</v>
      </c>
      <c r="DU5" t="s">
        <v>2129</v>
      </c>
      <c r="DV5" t="s">
        <v>2129</v>
      </c>
      <c r="DW5" t="s">
        <v>2129</v>
      </c>
      <c r="DX5" t="s">
        <v>2129</v>
      </c>
      <c r="DY5" t="s">
        <v>2129</v>
      </c>
      <c r="DZ5" t="s">
        <v>2129</v>
      </c>
      <c r="EA5" t="s">
        <v>2129</v>
      </c>
      <c r="EB5" t="s">
        <v>2129</v>
      </c>
      <c r="EC5" t="s">
        <v>2129</v>
      </c>
      <c r="ED5" t="s">
        <v>2129</v>
      </c>
      <c r="EE5" t="s">
        <v>2129</v>
      </c>
      <c r="EF5" t="s">
        <v>2129</v>
      </c>
      <c r="EG5" t="s">
        <v>2129</v>
      </c>
      <c r="EH5" t="s">
        <v>2129</v>
      </c>
    </row>
    <row r="6" spans="1:138" x14ac:dyDescent="0.25">
      <c r="A6" t="s">
        <v>2897</v>
      </c>
      <c r="B6" t="s">
        <v>2898</v>
      </c>
      <c r="C6">
        <v>23076</v>
      </c>
      <c r="E6" t="s">
        <v>14</v>
      </c>
      <c r="F6" t="s">
        <v>26</v>
      </c>
      <c r="G6" t="s">
        <v>2126</v>
      </c>
      <c r="H6" t="s">
        <v>1844</v>
      </c>
      <c r="I6" t="s">
        <v>2127</v>
      </c>
      <c r="J6" t="s">
        <v>2128</v>
      </c>
      <c r="K6" t="s">
        <v>2129</v>
      </c>
      <c r="L6" t="s">
        <v>2129</v>
      </c>
      <c r="M6" t="s">
        <v>2130</v>
      </c>
      <c r="N6" t="s">
        <v>2129</v>
      </c>
      <c r="O6" t="s">
        <v>2134</v>
      </c>
      <c r="P6" t="s">
        <v>2128</v>
      </c>
      <c r="Q6" t="s">
        <v>2128</v>
      </c>
      <c r="R6" s="37">
        <v>46083.574305555558</v>
      </c>
      <c r="S6" s="37">
        <v>46093.720138888886</v>
      </c>
      <c r="T6" s="37">
        <v>46100.368750000001</v>
      </c>
      <c r="U6" s="37"/>
      <c r="V6" t="s">
        <v>2129</v>
      </c>
      <c r="W6" t="s">
        <v>2129</v>
      </c>
      <c r="X6" t="s">
        <v>2129</v>
      </c>
      <c r="Y6">
        <v>0</v>
      </c>
      <c r="Z6" t="s">
        <v>2129</v>
      </c>
      <c r="AA6" t="s">
        <v>2899</v>
      </c>
      <c r="AB6" t="s">
        <v>2129</v>
      </c>
      <c r="AC6" t="s">
        <v>2128</v>
      </c>
      <c r="AD6" t="s">
        <v>2129</v>
      </c>
      <c r="AE6" t="s">
        <v>2129</v>
      </c>
      <c r="AF6" t="s">
        <v>2129</v>
      </c>
      <c r="AG6" t="s">
        <v>2129</v>
      </c>
      <c r="AH6" t="s">
        <v>3338</v>
      </c>
      <c r="AI6" t="s">
        <v>3339</v>
      </c>
      <c r="AJ6" t="s">
        <v>2129</v>
      </c>
      <c r="AK6" t="s">
        <v>2129</v>
      </c>
      <c r="AL6" t="s">
        <v>2129</v>
      </c>
      <c r="AM6" t="s">
        <v>2129</v>
      </c>
      <c r="AN6" t="s">
        <v>2129</v>
      </c>
      <c r="AO6" t="s">
        <v>2129</v>
      </c>
      <c r="AP6" t="s">
        <v>2129</v>
      </c>
      <c r="AQ6" t="s">
        <v>2129</v>
      </c>
      <c r="AR6" t="s">
        <v>2129</v>
      </c>
      <c r="AS6" t="s">
        <v>2129</v>
      </c>
      <c r="AT6" t="s">
        <v>2129</v>
      </c>
      <c r="AU6" t="s">
        <v>2129</v>
      </c>
      <c r="AV6" t="s">
        <v>2129</v>
      </c>
      <c r="AW6" t="s">
        <v>2129</v>
      </c>
      <c r="AX6" t="s">
        <v>2129</v>
      </c>
      <c r="AY6" t="s">
        <v>2129</v>
      </c>
      <c r="AZ6" t="s">
        <v>2129</v>
      </c>
      <c r="BA6" t="s">
        <v>2129</v>
      </c>
      <c r="BB6" t="s">
        <v>2129</v>
      </c>
      <c r="BC6" t="s">
        <v>2129</v>
      </c>
      <c r="BD6" t="s">
        <v>2129</v>
      </c>
      <c r="BE6" t="s">
        <v>2129</v>
      </c>
      <c r="BF6" t="s">
        <v>2129</v>
      </c>
      <c r="BG6" t="s">
        <v>2129</v>
      </c>
      <c r="BH6" t="s">
        <v>2129</v>
      </c>
      <c r="BI6" t="s">
        <v>2129</v>
      </c>
      <c r="BJ6" t="s">
        <v>2129</v>
      </c>
      <c r="BK6" t="s">
        <v>2129</v>
      </c>
      <c r="BL6" t="s">
        <v>2129</v>
      </c>
      <c r="BM6" t="s">
        <v>2129</v>
      </c>
      <c r="BN6" t="s">
        <v>2129</v>
      </c>
      <c r="BO6" t="s">
        <v>2129</v>
      </c>
      <c r="BP6" t="s">
        <v>2129</v>
      </c>
      <c r="BQ6">
        <v>0</v>
      </c>
      <c r="BR6">
        <v>14400</v>
      </c>
      <c r="BS6" t="s">
        <v>2129</v>
      </c>
      <c r="BT6" t="s">
        <v>2129</v>
      </c>
      <c r="BU6">
        <v>0</v>
      </c>
      <c r="BV6">
        <v>14400</v>
      </c>
      <c r="BW6" t="s">
        <v>2129</v>
      </c>
      <c r="BX6" t="s">
        <v>2129</v>
      </c>
      <c r="BY6" t="s">
        <v>2129</v>
      </c>
      <c r="BZ6" t="s">
        <v>2129</v>
      </c>
      <c r="CA6" t="s">
        <v>2129</v>
      </c>
      <c r="CB6" t="s">
        <v>2129</v>
      </c>
      <c r="CC6" t="s">
        <v>2129</v>
      </c>
      <c r="CD6" t="s">
        <v>2129</v>
      </c>
      <c r="CE6" t="s">
        <v>2129</v>
      </c>
      <c r="CF6" t="s">
        <v>2129</v>
      </c>
      <c r="CG6" t="s">
        <v>2129</v>
      </c>
      <c r="CH6" t="s">
        <v>2129</v>
      </c>
      <c r="CI6" t="s">
        <v>2129</v>
      </c>
      <c r="CJ6" t="s">
        <v>2129</v>
      </c>
      <c r="CK6" t="s">
        <v>2129</v>
      </c>
      <c r="CL6" t="s">
        <v>2129</v>
      </c>
      <c r="CM6" t="s">
        <v>2129</v>
      </c>
      <c r="CN6" t="s">
        <v>2129</v>
      </c>
      <c r="CO6" t="s">
        <v>2129</v>
      </c>
      <c r="CP6" t="s">
        <v>2129</v>
      </c>
      <c r="CQ6" t="s">
        <v>2129</v>
      </c>
      <c r="CR6" t="s">
        <v>2129</v>
      </c>
      <c r="CS6" t="s">
        <v>2129</v>
      </c>
      <c r="CT6" t="s">
        <v>2900</v>
      </c>
      <c r="CU6" t="s">
        <v>2901</v>
      </c>
      <c r="CV6" t="s">
        <v>2129</v>
      </c>
      <c r="CW6" t="s">
        <v>2129</v>
      </c>
      <c r="CX6" t="s">
        <v>2129</v>
      </c>
      <c r="CY6" t="s">
        <v>2129</v>
      </c>
      <c r="CZ6" t="s">
        <v>2129</v>
      </c>
      <c r="DA6" t="s">
        <v>2129</v>
      </c>
      <c r="DB6" t="s">
        <v>2129</v>
      </c>
      <c r="DC6" t="s">
        <v>2129</v>
      </c>
      <c r="DD6" t="s">
        <v>2129</v>
      </c>
      <c r="DE6" t="s">
        <v>2129</v>
      </c>
      <c r="DF6" t="s">
        <v>2129</v>
      </c>
      <c r="DG6" t="s">
        <v>2129</v>
      </c>
      <c r="DH6" t="s">
        <v>2129</v>
      </c>
      <c r="DJ6" t="s">
        <v>2129</v>
      </c>
      <c r="DK6" t="s">
        <v>2129</v>
      </c>
      <c r="DL6" t="s">
        <v>2129</v>
      </c>
      <c r="DM6" t="s">
        <v>2129</v>
      </c>
      <c r="DN6" t="s">
        <v>2129</v>
      </c>
      <c r="DO6" t="s">
        <v>2129</v>
      </c>
      <c r="DP6" t="s">
        <v>2129</v>
      </c>
      <c r="DQ6" t="s">
        <v>2129</v>
      </c>
      <c r="DR6" t="s">
        <v>2129</v>
      </c>
      <c r="DS6" t="s">
        <v>2129</v>
      </c>
      <c r="DT6" t="s">
        <v>2129</v>
      </c>
      <c r="DU6" t="s">
        <v>2129</v>
      </c>
      <c r="DV6" t="s">
        <v>2129</v>
      </c>
      <c r="DW6" t="s">
        <v>2129</v>
      </c>
      <c r="DX6" t="s">
        <v>2129</v>
      </c>
      <c r="DY6" t="s">
        <v>2129</v>
      </c>
      <c r="DZ6" t="s">
        <v>2129</v>
      </c>
      <c r="EA6" t="s">
        <v>2129</v>
      </c>
      <c r="EB6" t="s">
        <v>2129</v>
      </c>
      <c r="EC6" t="s">
        <v>2129</v>
      </c>
      <c r="ED6" t="s">
        <v>2129</v>
      </c>
      <c r="EE6" t="s">
        <v>2129</v>
      </c>
      <c r="EF6" t="s">
        <v>2129</v>
      </c>
      <c r="EG6" t="s">
        <v>2129</v>
      </c>
      <c r="EH6" t="s">
        <v>2129</v>
      </c>
    </row>
    <row r="7" spans="1:138" x14ac:dyDescent="0.25">
      <c r="A7" t="s">
        <v>3340</v>
      </c>
      <c r="B7" t="s">
        <v>3341</v>
      </c>
      <c r="C7">
        <v>23051</v>
      </c>
      <c r="E7" t="s">
        <v>14</v>
      </c>
      <c r="F7" t="s">
        <v>26</v>
      </c>
      <c r="G7" t="s">
        <v>2126</v>
      </c>
      <c r="H7" t="s">
        <v>1844</v>
      </c>
      <c r="I7" t="s">
        <v>2127</v>
      </c>
      <c r="J7" t="s">
        <v>2128</v>
      </c>
      <c r="K7" t="s">
        <v>2129</v>
      </c>
      <c r="L7" t="s">
        <v>2129</v>
      </c>
      <c r="M7" t="s">
        <v>2130</v>
      </c>
      <c r="N7" t="s">
        <v>2129</v>
      </c>
      <c r="O7" t="s">
        <v>2134</v>
      </c>
      <c r="P7" t="s">
        <v>2128</v>
      </c>
      <c r="Q7" t="s">
        <v>2128</v>
      </c>
      <c r="R7" s="37">
        <v>46079.584722222222</v>
      </c>
      <c r="S7" s="37">
        <v>46094.719444444447</v>
      </c>
      <c r="T7" s="37">
        <v>46100.368750000001</v>
      </c>
      <c r="U7" s="37"/>
      <c r="V7" t="s">
        <v>2129</v>
      </c>
      <c r="W7" t="s">
        <v>2129</v>
      </c>
      <c r="X7" t="s">
        <v>2129</v>
      </c>
      <c r="Y7">
        <v>0</v>
      </c>
      <c r="Z7" t="s">
        <v>2129</v>
      </c>
      <c r="AA7" t="s">
        <v>3342</v>
      </c>
      <c r="AB7" t="s">
        <v>2129</v>
      </c>
      <c r="AC7" t="s">
        <v>2128</v>
      </c>
      <c r="AD7" t="s">
        <v>2129</v>
      </c>
      <c r="AE7" t="s">
        <v>2129</v>
      </c>
      <c r="AF7" t="s">
        <v>2129</v>
      </c>
      <c r="AG7" t="s">
        <v>2129</v>
      </c>
      <c r="AH7" t="s">
        <v>3343</v>
      </c>
      <c r="AI7" t="s">
        <v>3344</v>
      </c>
      <c r="AJ7" t="s">
        <v>3345</v>
      </c>
      <c r="AK7" t="s">
        <v>2129</v>
      </c>
      <c r="AL7" t="s">
        <v>2129</v>
      </c>
      <c r="AM7" t="s">
        <v>2129</v>
      </c>
      <c r="AN7" t="s">
        <v>2129</v>
      </c>
      <c r="AO7" t="s">
        <v>2129</v>
      </c>
      <c r="AP7" t="s">
        <v>2129</v>
      </c>
      <c r="AQ7" t="s">
        <v>2129</v>
      </c>
      <c r="AR7" t="s">
        <v>2129</v>
      </c>
      <c r="AS7" t="s">
        <v>2129</v>
      </c>
      <c r="AT7" t="s">
        <v>2129</v>
      </c>
      <c r="AU7" t="s">
        <v>2129</v>
      </c>
      <c r="AV7" t="s">
        <v>2129</v>
      </c>
      <c r="AW7" t="s">
        <v>2129</v>
      </c>
      <c r="AX7" t="s">
        <v>2129</v>
      </c>
      <c r="AY7" t="s">
        <v>2129</v>
      </c>
      <c r="AZ7" t="s">
        <v>2129</v>
      </c>
      <c r="BA7" t="s">
        <v>2129</v>
      </c>
      <c r="BB7" t="s">
        <v>2129</v>
      </c>
      <c r="BC7" t="s">
        <v>2129</v>
      </c>
      <c r="BD7" t="s">
        <v>2129</v>
      </c>
      <c r="BE7" t="s">
        <v>2129</v>
      </c>
      <c r="BF7" t="s">
        <v>2129</v>
      </c>
      <c r="BG7" t="s">
        <v>2129</v>
      </c>
      <c r="BH7" t="s">
        <v>2129</v>
      </c>
      <c r="BI7" t="s">
        <v>2129</v>
      </c>
      <c r="BJ7" t="s">
        <v>2129</v>
      </c>
      <c r="BK7" t="s">
        <v>2129</v>
      </c>
      <c r="BL7" t="s">
        <v>2129</v>
      </c>
      <c r="BM7" t="s">
        <v>2129</v>
      </c>
      <c r="BN7" t="s">
        <v>2129</v>
      </c>
      <c r="BO7" t="s">
        <v>2129</v>
      </c>
      <c r="BP7" t="s">
        <v>2129</v>
      </c>
      <c r="BQ7">
        <v>0</v>
      </c>
      <c r="BR7">
        <v>25200</v>
      </c>
      <c r="BS7" t="s">
        <v>2129</v>
      </c>
      <c r="BT7" t="s">
        <v>2129</v>
      </c>
      <c r="BU7">
        <v>0</v>
      </c>
      <c r="BV7">
        <v>25200</v>
      </c>
      <c r="BW7" t="s">
        <v>2129</v>
      </c>
      <c r="BX7" t="s">
        <v>2129</v>
      </c>
      <c r="BY7" t="s">
        <v>2129</v>
      </c>
      <c r="BZ7" t="s">
        <v>2129</v>
      </c>
      <c r="CA7" t="s">
        <v>2129</v>
      </c>
      <c r="CB7" t="s">
        <v>2129</v>
      </c>
      <c r="CC7" t="s">
        <v>2129</v>
      </c>
      <c r="CD7" t="s">
        <v>2129</v>
      </c>
      <c r="CE7" t="s">
        <v>2129</v>
      </c>
      <c r="CF7" t="s">
        <v>2129</v>
      </c>
      <c r="CG7" t="s">
        <v>2129</v>
      </c>
      <c r="CH7" t="s">
        <v>2129</v>
      </c>
      <c r="CI7" t="s">
        <v>2129</v>
      </c>
      <c r="CJ7" t="s">
        <v>2129</v>
      </c>
      <c r="CK7" t="s">
        <v>2129</v>
      </c>
      <c r="CL7" t="s">
        <v>2129</v>
      </c>
      <c r="CM7" t="s">
        <v>2129</v>
      </c>
      <c r="CN7" t="s">
        <v>2129</v>
      </c>
      <c r="CO7" t="s">
        <v>2129</v>
      </c>
      <c r="CP7" t="s">
        <v>2129</v>
      </c>
      <c r="CQ7" t="s">
        <v>2129</v>
      </c>
      <c r="CR7" t="s">
        <v>2129</v>
      </c>
      <c r="CS7" t="s">
        <v>2129</v>
      </c>
      <c r="CT7" t="s">
        <v>3346</v>
      </c>
      <c r="CU7" t="s">
        <v>2901</v>
      </c>
      <c r="CV7" t="s">
        <v>2129</v>
      </c>
      <c r="CW7" t="s">
        <v>2129</v>
      </c>
      <c r="CX7" t="s">
        <v>2129</v>
      </c>
      <c r="CY7" t="s">
        <v>2129</v>
      </c>
      <c r="CZ7" t="s">
        <v>2129</v>
      </c>
      <c r="DA7" t="s">
        <v>2129</v>
      </c>
      <c r="DB7" t="s">
        <v>2129</v>
      </c>
      <c r="DC7" t="s">
        <v>2129</v>
      </c>
      <c r="DD7" t="s">
        <v>2129</v>
      </c>
      <c r="DE7" t="s">
        <v>2129</v>
      </c>
      <c r="DF7" t="s">
        <v>2129</v>
      </c>
      <c r="DG7" t="s">
        <v>2129</v>
      </c>
      <c r="DH7" t="s">
        <v>2129</v>
      </c>
      <c r="DJ7" t="s">
        <v>2129</v>
      </c>
      <c r="DK7" t="s">
        <v>2129</v>
      </c>
      <c r="DL7" t="s">
        <v>2129</v>
      </c>
      <c r="DM7" t="s">
        <v>2129</v>
      </c>
      <c r="DN7" t="s">
        <v>2129</v>
      </c>
      <c r="DO7" t="s">
        <v>2129</v>
      </c>
      <c r="DP7" t="s">
        <v>2129</v>
      </c>
      <c r="DQ7" t="s">
        <v>2129</v>
      </c>
      <c r="DR7" t="s">
        <v>2129</v>
      </c>
      <c r="DS7" t="s">
        <v>2129</v>
      </c>
      <c r="DT7" t="s">
        <v>2129</v>
      </c>
      <c r="DU7" t="s">
        <v>2129</v>
      </c>
      <c r="DV7" t="s">
        <v>2129</v>
      </c>
      <c r="DW7" t="s">
        <v>2129</v>
      </c>
      <c r="DX7" t="s">
        <v>2129</v>
      </c>
      <c r="DY7" t="s">
        <v>2129</v>
      </c>
      <c r="DZ7" t="s">
        <v>2129</v>
      </c>
      <c r="EA7" t="s">
        <v>2129</v>
      </c>
      <c r="EB7" t="s">
        <v>2129</v>
      </c>
      <c r="EC7" t="s">
        <v>2129</v>
      </c>
      <c r="ED7" t="s">
        <v>2129</v>
      </c>
      <c r="EE7" t="s">
        <v>2129</v>
      </c>
      <c r="EF7" t="s">
        <v>2129</v>
      </c>
      <c r="EG7" t="s">
        <v>2129</v>
      </c>
      <c r="EH7" t="s">
        <v>2129</v>
      </c>
    </row>
    <row r="8" spans="1:138" x14ac:dyDescent="0.25">
      <c r="A8" t="s">
        <v>3347</v>
      </c>
      <c r="B8" t="s">
        <v>3348</v>
      </c>
      <c r="C8">
        <v>23050</v>
      </c>
      <c r="E8" t="s">
        <v>14</v>
      </c>
      <c r="F8" t="s">
        <v>26</v>
      </c>
      <c r="G8" t="s">
        <v>2126</v>
      </c>
      <c r="H8" t="s">
        <v>1844</v>
      </c>
      <c r="I8" t="s">
        <v>2127</v>
      </c>
      <c r="J8" t="s">
        <v>2128</v>
      </c>
      <c r="K8" t="s">
        <v>2129</v>
      </c>
      <c r="L8" t="s">
        <v>2129</v>
      </c>
      <c r="M8" t="s">
        <v>2130</v>
      </c>
      <c r="N8" t="s">
        <v>2129</v>
      </c>
      <c r="O8" t="s">
        <v>2139</v>
      </c>
      <c r="P8" t="s">
        <v>2128</v>
      </c>
      <c r="Q8" t="s">
        <v>2128</v>
      </c>
      <c r="R8" s="37">
        <v>46079.584027777775</v>
      </c>
      <c r="S8" s="37">
        <v>46099.827777777777</v>
      </c>
      <c r="T8" s="37">
        <v>46100.368750000001</v>
      </c>
      <c r="U8" s="37"/>
      <c r="V8" t="s">
        <v>2129</v>
      </c>
      <c r="W8" t="s">
        <v>2129</v>
      </c>
      <c r="X8" t="s">
        <v>2129</v>
      </c>
      <c r="Y8">
        <v>0</v>
      </c>
      <c r="Z8" t="s">
        <v>2129</v>
      </c>
      <c r="AA8" t="s">
        <v>3349</v>
      </c>
      <c r="AB8" t="s">
        <v>2129</v>
      </c>
      <c r="AC8" t="s">
        <v>2128</v>
      </c>
      <c r="AD8" t="s">
        <v>2129</v>
      </c>
      <c r="AE8" t="s">
        <v>2129</v>
      </c>
      <c r="AF8" t="s">
        <v>2129</v>
      </c>
      <c r="AG8" t="s">
        <v>2129</v>
      </c>
      <c r="AH8" t="s">
        <v>3350</v>
      </c>
      <c r="AI8" t="s">
        <v>3351</v>
      </c>
      <c r="AJ8" t="s">
        <v>3352</v>
      </c>
      <c r="AK8" t="s">
        <v>3353</v>
      </c>
      <c r="AL8" t="s">
        <v>3354</v>
      </c>
      <c r="AM8" t="s">
        <v>3355</v>
      </c>
      <c r="AN8" t="s">
        <v>3356</v>
      </c>
      <c r="AO8" t="s">
        <v>3357</v>
      </c>
      <c r="AP8" t="s">
        <v>3358</v>
      </c>
      <c r="AQ8" t="s">
        <v>3359</v>
      </c>
      <c r="AR8" t="s">
        <v>3360</v>
      </c>
      <c r="AS8" t="s">
        <v>3361</v>
      </c>
      <c r="AT8" t="s">
        <v>3362</v>
      </c>
      <c r="AU8" t="s">
        <v>2129</v>
      </c>
      <c r="AV8" t="s">
        <v>2129</v>
      </c>
      <c r="AW8" t="s">
        <v>2129</v>
      </c>
      <c r="AX8" t="s">
        <v>2129</v>
      </c>
      <c r="AY8" t="s">
        <v>2129</v>
      </c>
      <c r="AZ8" t="s">
        <v>2129</v>
      </c>
      <c r="BA8" t="s">
        <v>2129</v>
      </c>
      <c r="BB8" t="s">
        <v>2129</v>
      </c>
      <c r="BC8" t="s">
        <v>2129</v>
      </c>
      <c r="BD8" t="s">
        <v>2129</v>
      </c>
      <c r="BE8" t="s">
        <v>2129</v>
      </c>
      <c r="BF8" t="s">
        <v>2129</v>
      </c>
      <c r="BG8" t="s">
        <v>2129</v>
      </c>
      <c r="BH8" t="s">
        <v>2129</v>
      </c>
      <c r="BI8" t="s">
        <v>2129</v>
      </c>
      <c r="BJ8" t="s">
        <v>2129</v>
      </c>
      <c r="BK8" t="s">
        <v>2129</v>
      </c>
      <c r="BL8" t="s">
        <v>2129</v>
      </c>
      <c r="BM8" t="s">
        <v>2129</v>
      </c>
      <c r="BN8" t="s">
        <v>2129</v>
      </c>
      <c r="BO8" t="s">
        <v>2129</v>
      </c>
      <c r="BP8" t="s">
        <v>2129</v>
      </c>
      <c r="BQ8">
        <v>0</v>
      </c>
      <c r="BR8">
        <v>133200</v>
      </c>
      <c r="BS8" t="s">
        <v>2129</v>
      </c>
      <c r="BT8" t="s">
        <v>2129</v>
      </c>
      <c r="BU8">
        <v>0</v>
      </c>
      <c r="BV8">
        <v>133200</v>
      </c>
      <c r="BW8" t="s">
        <v>2129</v>
      </c>
      <c r="BX8" t="s">
        <v>2129</v>
      </c>
      <c r="BY8" t="s">
        <v>2129</v>
      </c>
      <c r="BZ8" t="s">
        <v>2129</v>
      </c>
      <c r="CA8" t="s">
        <v>2129</v>
      </c>
      <c r="CB8" t="s">
        <v>2129</v>
      </c>
      <c r="CC8" t="s">
        <v>2129</v>
      </c>
      <c r="CD8" t="s">
        <v>2129</v>
      </c>
      <c r="CE8" t="s">
        <v>2129</v>
      </c>
      <c r="CF8" t="s">
        <v>2129</v>
      </c>
      <c r="CG8" t="s">
        <v>2129</v>
      </c>
      <c r="CH8" t="s">
        <v>2129</v>
      </c>
      <c r="CI8" t="s">
        <v>2129</v>
      </c>
      <c r="CJ8" t="s">
        <v>2129</v>
      </c>
      <c r="CK8" t="s">
        <v>2129</v>
      </c>
      <c r="CL8" t="s">
        <v>2129</v>
      </c>
      <c r="CM8" t="s">
        <v>2129</v>
      </c>
      <c r="CN8" t="s">
        <v>2129</v>
      </c>
      <c r="CO8" t="s">
        <v>2129</v>
      </c>
      <c r="CP8" t="s">
        <v>2129</v>
      </c>
      <c r="CQ8" t="s">
        <v>2129</v>
      </c>
      <c r="CR8" t="s">
        <v>2129</v>
      </c>
      <c r="CS8" t="s">
        <v>2129</v>
      </c>
      <c r="CT8" t="s">
        <v>3363</v>
      </c>
      <c r="CU8" t="s">
        <v>2901</v>
      </c>
      <c r="CV8" t="s">
        <v>2129</v>
      </c>
      <c r="CW8" t="s">
        <v>2129</v>
      </c>
      <c r="CX8" t="s">
        <v>2129</v>
      </c>
      <c r="CY8" t="s">
        <v>2129</v>
      </c>
      <c r="CZ8" t="s">
        <v>2129</v>
      </c>
      <c r="DA8" t="s">
        <v>2129</v>
      </c>
      <c r="DB8" t="s">
        <v>2129</v>
      </c>
      <c r="DC8" t="s">
        <v>2129</v>
      </c>
      <c r="DD8" t="s">
        <v>2129</v>
      </c>
      <c r="DE8" t="s">
        <v>2129</v>
      </c>
      <c r="DF8" t="s">
        <v>2129</v>
      </c>
      <c r="DG8" t="s">
        <v>2129</v>
      </c>
      <c r="DH8" t="s">
        <v>2129</v>
      </c>
      <c r="DJ8" t="s">
        <v>2129</v>
      </c>
      <c r="DK8" t="s">
        <v>2129</v>
      </c>
      <c r="DL8" t="s">
        <v>2129</v>
      </c>
      <c r="DM8" t="s">
        <v>2129</v>
      </c>
      <c r="DN8" t="s">
        <v>2129</v>
      </c>
      <c r="DO8" t="s">
        <v>2129</v>
      </c>
      <c r="DP8" t="s">
        <v>2129</v>
      </c>
      <c r="DQ8" t="s">
        <v>2129</v>
      </c>
      <c r="DR8" t="s">
        <v>2129</v>
      </c>
      <c r="DS8" t="s">
        <v>2129</v>
      </c>
      <c r="DT8" t="s">
        <v>2129</v>
      </c>
      <c r="DU8" t="s">
        <v>2129</v>
      </c>
      <c r="DV8" t="s">
        <v>2129</v>
      </c>
      <c r="DW8" t="s">
        <v>2129</v>
      </c>
      <c r="DX8" t="s">
        <v>2129</v>
      </c>
      <c r="DY8" t="s">
        <v>2129</v>
      </c>
      <c r="DZ8" t="s">
        <v>2129</v>
      </c>
      <c r="EA8" t="s">
        <v>2129</v>
      </c>
      <c r="EB8" t="s">
        <v>2129</v>
      </c>
      <c r="EC8" t="s">
        <v>2129</v>
      </c>
      <c r="ED8" t="s">
        <v>2129</v>
      </c>
      <c r="EE8" t="s">
        <v>2129</v>
      </c>
      <c r="EF8" t="s">
        <v>2129</v>
      </c>
      <c r="EG8" t="s">
        <v>2129</v>
      </c>
      <c r="EH8" t="s">
        <v>2129</v>
      </c>
    </row>
    <row r="9" spans="1:138" x14ac:dyDescent="0.25">
      <c r="A9" t="s">
        <v>2135</v>
      </c>
      <c r="B9" t="s">
        <v>3364</v>
      </c>
      <c r="C9">
        <v>23025</v>
      </c>
      <c r="E9" t="s">
        <v>2136</v>
      </c>
      <c r="F9" t="s">
        <v>10</v>
      </c>
      <c r="G9" t="s">
        <v>2126</v>
      </c>
      <c r="H9" t="s">
        <v>1844</v>
      </c>
      <c r="I9" t="s">
        <v>2127</v>
      </c>
      <c r="J9" t="s">
        <v>2128</v>
      </c>
      <c r="K9" t="s">
        <v>2129</v>
      </c>
      <c r="L9" t="s">
        <v>2129</v>
      </c>
      <c r="M9" t="s">
        <v>2130</v>
      </c>
      <c r="N9" t="s">
        <v>2129</v>
      </c>
      <c r="O9" t="s">
        <v>2137</v>
      </c>
      <c r="P9" t="s">
        <v>2128</v>
      </c>
      <c r="Q9" t="s">
        <v>2128</v>
      </c>
      <c r="R9" s="37">
        <v>46073.700694444444</v>
      </c>
      <c r="S9" s="37">
        <v>46094.750694444447</v>
      </c>
      <c r="T9" s="37">
        <v>46100.368750000001</v>
      </c>
      <c r="U9" s="37"/>
      <c r="V9" t="s">
        <v>2129</v>
      </c>
      <c r="W9" t="s">
        <v>2129</v>
      </c>
      <c r="X9" t="s">
        <v>2129</v>
      </c>
      <c r="Y9">
        <v>0</v>
      </c>
      <c r="Z9" t="s">
        <v>2129</v>
      </c>
      <c r="AA9" t="s">
        <v>2138</v>
      </c>
      <c r="AB9" t="s">
        <v>2129</v>
      </c>
      <c r="AC9" t="s">
        <v>2128</v>
      </c>
      <c r="AD9" t="s">
        <v>2129</v>
      </c>
      <c r="AE9" t="s">
        <v>2129</v>
      </c>
      <c r="AF9" t="s">
        <v>2129</v>
      </c>
      <c r="AG9" t="s">
        <v>2129</v>
      </c>
      <c r="AH9" t="s">
        <v>3365</v>
      </c>
      <c r="AI9" t="s">
        <v>3366</v>
      </c>
      <c r="AJ9" t="s">
        <v>3367</v>
      </c>
      <c r="AK9" t="s">
        <v>2129</v>
      </c>
      <c r="AL9" t="s">
        <v>2129</v>
      </c>
      <c r="AM9" t="s">
        <v>2129</v>
      </c>
      <c r="AN9" t="s">
        <v>2129</v>
      </c>
      <c r="AO9" t="s">
        <v>2129</v>
      </c>
      <c r="AP9" t="s">
        <v>2129</v>
      </c>
      <c r="AQ9" t="s">
        <v>2129</v>
      </c>
      <c r="AR9" t="s">
        <v>2129</v>
      </c>
      <c r="AS9" t="s">
        <v>2129</v>
      </c>
      <c r="AT9" t="s">
        <v>2129</v>
      </c>
      <c r="AU9" t="s">
        <v>2129</v>
      </c>
      <c r="AV9" t="s">
        <v>2129</v>
      </c>
      <c r="AW9" t="s">
        <v>2129</v>
      </c>
      <c r="AX9" t="s">
        <v>2129</v>
      </c>
      <c r="AY9" t="s">
        <v>2129</v>
      </c>
      <c r="AZ9" t="s">
        <v>2129</v>
      </c>
      <c r="BA9" t="s">
        <v>2129</v>
      </c>
      <c r="BB9" t="s">
        <v>2129</v>
      </c>
      <c r="BC9" t="s">
        <v>2129</v>
      </c>
      <c r="BD9" t="s">
        <v>2129</v>
      </c>
      <c r="BE9" t="s">
        <v>2129</v>
      </c>
      <c r="BF9" t="s">
        <v>2129</v>
      </c>
      <c r="BG9" t="s">
        <v>2129</v>
      </c>
      <c r="BH9" t="s">
        <v>2129</v>
      </c>
      <c r="BI9" t="s">
        <v>2129</v>
      </c>
      <c r="BJ9" t="s">
        <v>2129</v>
      </c>
      <c r="BK9" t="s">
        <v>2129</v>
      </c>
      <c r="BL9" t="s">
        <v>2129</v>
      </c>
      <c r="BM9" t="s">
        <v>2129</v>
      </c>
      <c r="BN9" t="s">
        <v>2129</v>
      </c>
      <c r="BO9" t="s">
        <v>2129</v>
      </c>
      <c r="BP9" t="s">
        <v>2129</v>
      </c>
      <c r="BQ9">
        <v>0</v>
      </c>
      <c r="BR9">
        <v>7200</v>
      </c>
      <c r="BS9" t="s">
        <v>2129</v>
      </c>
      <c r="BT9" t="s">
        <v>2129</v>
      </c>
      <c r="BU9">
        <v>0</v>
      </c>
      <c r="BV9">
        <v>7200</v>
      </c>
      <c r="BW9" t="s">
        <v>2129</v>
      </c>
      <c r="BX9" t="s">
        <v>2129</v>
      </c>
      <c r="BY9" t="s">
        <v>2129</v>
      </c>
      <c r="BZ9" t="s">
        <v>2129</v>
      </c>
      <c r="CA9" t="s">
        <v>2129</v>
      </c>
      <c r="CB9" t="s">
        <v>2129</v>
      </c>
      <c r="CC9" t="s">
        <v>2129</v>
      </c>
      <c r="CD9" t="s">
        <v>2129</v>
      </c>
      <c r="CE9" t="s">
        <v>2129</v>
      </c>
      <c r="CF9" t="s">
        <v>2129</v>
      </c>
      <c r="CG9" t="s">
        <v>2129</v>
      </c>
      <c r="CH9" t="s">
        <v>2129</v>
      </c>
      <c r="CI9" t="s">
        <v>2129</v>
      </c>
      <c r="CJ9" t="s">
        <v>2129</v>
      </c>
      <c r="CK9" t="s">
        <v>2129</v>
      </c>
      <c r="CL9" t="s">
        <v>2129</v>
      </c>
      <c r="CM9" t="s">
        <v>2129</v>
      </c>
      <c r="CN9" t="s">
        <v>2129</v>
      </c>
      <c r="CO9" t="s">
        <v>2129</v>
      </c>
      <c r="CP9" t="s">
        <v>2129</v>
      </c>
      <c r="CQ9" t="s">
        <v>2129</v>
      </c>
      <c r="CR9" t="s">
        <v>2129</v>
      </c>
      <c r="CS9" t="s">
        <v>2129</v>
      </c>
      <c r="CT9" t="s">
        <v>3368</v>
      </c>
      <c r="CU9" t="s">
        <v>2901</v>
      </c>
      <c r="CV9" t="s">
        <v>2129</v>
      </c>
      <c r="CW9" t="s">
        <v>2129</v>
      </c>
      <c r="CX9" t="s">
        <v>2129</v>
      </c>
      <c r="CY9" t="s">
        <v>2129</v>
      </c>
      <c r="CZ9" t="s">
        <v>2129</v>
      </c>
      <c r="DA9" t="s">
        <v>2129</v>
      </c>
      <c r="DB9" t="s">
        <v>2129</v>
      </c>
      <c r="DC9" t="s">
        <v>2129</v>
      </c>
      <c r="DD9" t="s">
        <v>2129</v>
      </c>
      <c r="DE9" t="s">
        <v>2129</v>
      </c>
      <c r="DF9" t="s">
        <v>2129</v>
      </c>
      <c r="DG9" t="s">
        <v>2129</v>
      </c>
      <c r="DH9" t="s">
        <v>2129</v>
      </c>
      <c r="DJ9" t="s">
        <v>2129</v>
      </c>
      <c r="DK9" t="s">
        <v>2129</v>
      </c>
      <c r="DL9" t="s">
        <v>2129</v>
      </c>
      <c r="DM9" t="s">
        <v>2129</v>
      </c>
      <c r="DN9" t="s">
        <v>2129</v>
      </c>
      <c r="DO9" t="s">
        <v>2129</v>
      </c>
      <c r="DP9" t="s">
        <v>2129</v>
      </c>
      <c r="DQ9" t="s">
        <v>2129</v>
      </c>
      <c r="DR9" t="s">
        <v>2129</v>
      </c>
      <c r="DS9" t="s">
        <v>2129</v>
      </c>
      <c r="DT9" t="s">
        <v>2129</v>
      </c>
      <c r="DU9" t="s">
        <v>2129</v>
      </c>
      <c r="DV9" t="s">
        <v>2129</v>
      </c>
      <c r="DW9" t="s">
        <v>2129</v>
      </c>
      <c r="DX9" t="s">
        <v>2129</v>
      </c>
      <c r="DY9" t="s">
        <v>2129</v>
      </c>
      <c r="DZ9" t="s">
        <v>2129</v>
      </c>
      <c r="EA9" t="s">
        <v>2129</v>
      </c>
      <c r="EB9" t="s">
        <v>2129</v>
      </c>
      <c r="EC9" t="s">
        <v>2129</v>
      </c>
      <c r="ED9" t="s">
        <v>2129</v>
      </c>
      <c r="EE9" t="s">
        <v>2129</v>
      </c>
      <c r="EF9" t="s">
        <v>2129</v>
      </c>
      <c r="EG9" t="s">
        <v>2129</v>
      </c>
      <c r="EH9" t="s">
        <v>2129</v>
      </c>
    </row>
    <row r="10" spans="1:138" x14ac:dyDescent="0.25">
      <c r="A10" t="s">
        <v>2135</v>
      </c>
      <c r="B10" t="s">
        <v>2902</v>
      </c>
      <c r="C10">
        <v>23024</v>
      </c>
      <c r="E10" t="s">
        <v>2136</v>
      </c>
      <c r="F10" t="s">
        <v>10</v>
      </c>
      <c r="G10" t="s">
        <v>2126</v>
      </c>
      <c r="H10" t="s">
        <v>1844</v>
      </c>
      <c r="I10" t="s">
        <v>2127</v>
      </c>
      <c r="J10" t="s">
        <v>2128</v>
      </c>
      <c r="K10" t="s">
        <v>2129</v>
      </c>
      <c r="L10" t="s">
        <v>2129</v>
      </c>
      <c r="M10" t="s">
        <v>2130</v>
      </c>
      <c r="N10" t="s">
        <v>2129</v>
      </c>
      <c r="O10" t="s">
        <v>2134</v>
      </c>
      <c r="P10" t="s">
        <v>2128</v>
      </c>
      <c r="Q10" t="s">
        <v>2128</v>
      </c>
      <c r="R10" s="37">
        <v>46073.7</v>
      </c>
      <c r="S10" s="37">
        <v>46098.688194444447</v>
      </c>
      <c r="T10" s="37">
        <v>46100.368750000001</v>
      </c>
      <c r="U10" s="37"/>
      <c r="V10" t="s">
        <v>2129</v>
      </c>
      <c r="W10" t="s">
        <v>2129</v>
      </c>
      <c r="X10" t="s">
        <v>2129</v>
      </c>
      <c r="Y10">
        <v>0</v>
      </c>
      <c r="Z10" t="s">
        <v>2129</v>
      </c>
      <c r="AA10" t="s">
        <v>2138</v>
      </c>
      <c r="AB10" t="s">
        <v>2129</v>
      </c>
      <c r="AC10" t="s">
        <v>2128</v>
      </c>
      <c r="AD10" t="s">
        <v>2129</v>
      </c>
      <c r="AE10" t="s">
        <v>2129</v>
      </c>
      <c r="AF10" t="s">
        <v>2129</v>
      </c>
      <c r="AG10" t="s">
        <v>2129</v>
      </c>
      <c r="AH10" t="s">
        <v>2903</v>
      </c>
      <c r="AI10" t="s">
        <v>2904</v>
      </c>
      <c r="AJ10" t="s">
        <v>2905</v>
      </c>
      <c r="AK10" t="s">
        <v>2906</v>
      </c>
      <c r="AL10" t="s">
        <v>2907</v>
      </c>
      <c r="AM10" t="s">
        <v>2908</v>
      </c>
      <c r="AN10" t="s">
        <v>2909</v>
      </c>
      <c r="AO10" t="s">
        <v>2910</v>
      </c>
      <c r="AP10" t="s">
        <v>3369</v>
      </c>
      <c r="AQ10" t="s">
        <v>3370</v>
      </c>
      <c r="AR10" t="s">
        <v>3371</v>
      </c>
      <c r="AS10" t="s">
        <v>3372</v>
      </c>
      <c r="AT10" t="s">
        <v>3373</v>
      </c>
      <c r="AU10" t="s">
        <v>2129</v>
      </c>
      <c r="AV10" t="s">
        <v>2129</v>
      </c>
      <c r="AW10" t="s">
        <v>2129</v>
      </c>
      <c r="AX10" t="s">
        <v>2129</v>
      </c>
      <c r="AY10" t="s">
        <v>2129</v>
      </c>
      <c r="AZ10" t="s">
        <v>2129</v>
      </c>
      <c r="BA10" t="s">
        <v>2129</v>
      </c>
      <c r="BB10" t="s">
        <v>2129</v>
      </c>
      <c r="BC10" t="s">
        <v>2129</v>
      </c>
      <c r="BD10" t="s">
        <v>2129</v>
      </c>
      <c r="BE10" t="s">
        <v>2129</v>
      </c>
      <c r="BF10" t="s">
        <v>2129</v>
      </c>
      <c r="BG10" t="s">
        <v>2129</v>
      </c>
      <c r="BH10" t="s">
        <v>2129</v>
      </c>
      <c r="BI10" t="s">
        <v>2129</v>
      </c>
      <c r="BJ10" t="s">
        <v>2129</v>
      </c>
      <c r="BK10" t="s">
        <v>2129</v>
      </c>
      <c r="BL10" t="s">
        <v>2129</v>
      </c>
      <c r="BM10" t="s">
        <v>2129</v>
      </c>
      <c r="BN10" t="s">
        <v>2129</v>
      </c>
      <c r="BO10" t="s">
        <v>2129</v>
      </c>
      <c r="BP10" t="s">
        <v>2129</v>
      </c>
      <c r="BQ10">
        <v>0</v>
      </c>
      <c r="BR10">
        <v>219600</v>
      </c>
      <c r="BS10" t="s">
        <v>2129</v>
      </c>
      <c r="BT10" t="s">
        <v>2129</v>
      </c>
      <c r="BU10">
        <v>0</v>
      </c>
      <c r="BV10">
        <v>219600</v>
      </c>
      <c r="BW10" t="s">
        <v>2129</v>
      </c>
      <c r="BX10" t="s">
        <v>2129</v>
      </c>
      <c r="BY10" t="s">
        <v>2129</v>
      </c>
      <c r="BZ10" t="s">
        <v>2129</v>
      </c>
      <c r="CA10" t="s">
        <v>2129</v>
      </c>
      <c r="CB10" t="s">
        <v>2129</v>
      </c>
      <c r="CC10" t="s">
        <v>2129</v>
      </c>
      <c r="CD10" t="s">
        <v>2129</v>
      </c>
      <c r="CE10" t="s">
        <v>2129</v>
      </c>
      <c r="CF10" t="s">
        <v>2129</v>
      </c>
      <c r="CG10" t="s">
        <v>2129</v>
      </c>
      <c r="CH10" t="s">
        <v>2129</v>
      </c>
      <c r="CI10" t="s">
        <v>2129</v>
      </c>
      <c r="CJ10" t="s">
        <v>2129</v>
      </c>
      <c r="CK10" t="s">
        <v>2129</v>
      </c>
      <c r="CL10" t="s">
        <v>2129</v>
      </c>
      <c r="CM10" t="s">
        <v>2129</v>
      </c>
      <c r="CN10" t="s">
        <v>2129</v>
      </c>
      <c r="CO10" t="s">
        <v>2129</v>
      </c>
      <c r="CP10" t="s">
        <v>2129</v>
      </c>
      <c r="CQ10" t="s">
        <v>2129</v>
      </c>
      <c r="CR10" t="s">
        <v>2129</v>
      </c>
      <c r="CS10" t="s">
        <v>2129</v>
      </c>
      <c r="CT10" t="s">
        <v>2911</v>
      </c>
      <c r="CU10" t="s">
        <v>2901</v>
      </c>
      <c r="CV10" t="s">
        <v>2129</v>
      </c>
      <c r="CW10" t="s">
        <v>2129</v>
      </c>
      <c r="CX10" t="s">
        <v>2129</v>
      </c>
      <c r="CY10" t="s">
        <v>2129</v>
      </c>
      <c r="CZ10" t="s">
        <v>2129</v>
      </c>
      <c r="DA10" t="s">
        <v>2129</v>
      </c>
      <c r="DB10" t="s">
        <v>2129</v>
      </c>
      <c r="DC10" t="s">
        <v>2129</v>
      </c>
      <c r="DD10" t="s">
        <v>2129</v>
      </c>
      <c r="DE10" t="s">
        <v>2129</v>
      </c>
      <c r="DF10" t="s">
        <v>2129</v>
      </c>
      <c r="DG10" t="s">
        <v>2129</v>
      </c>
      <c r="DH10" t="s">
        <v>2129</v>
      </c>
      <c r="DJ10" t="s">
        <v>2129</v>
      </c>
      <c r="DK10" t="s">
        <v>2129</v>
      </c>
      <c r="DL10" t="s">
        <v>2129</v>
      </c>
      <c r="DM10" t="s">
        <v>2129</v>
      </c>
      <c r="DN10" t="s">
        <v>2129</v>
      </c>
      <c r="DO10" t="s">
        <v>2129</v>
      </c>
      <c r="DP10" t="s">
        <v>2129</v>
      </c>
      <c r="DQ10" t="s">
        <v>2129</v>
      </c>
      <c r="DR10" t="s">
        <v>2129</v>
      </c>
      <c r="DS10" t="s">
        <v>2129</v>
      </c>
      <c r="DT10" t="s">
        <v>2129</v>
      </c>
      <c r="DU10" t="s">
        <v>2129</v>
      </c>
      <c r="DV10" t="s">
        <v>2129</v>
      </c>
      <c r="DW10" t="s">
        <v>2129</v>
      </c>
      <c r="DX10" t="s">
        <v>2129</v>
      </c>
      <c r="DY10" t="s">
        <v>2129</v>
      </c>
      <c r="DZ10" t="s">
        <v>2129</v>
      </c>
      <c r="EA10" t="s">
        <v>2129</v>
      </c>
      <c r="EB10" t="s">
        <v>2129</v>
      </c>
      <c r="EC10" t="s">
        <v>2129</v>
      </c>
      <c r="ED10" t="s">
        <v>2129</v>
      </c>
      <c r="EE10" t="s">
        <v>2129</v>
      </c>
      <c r="EF10" t="s">
        <v>2129</v>
      </c>
      <c r="EG10" t="s">
        <v>2129</v>
      </c>
      <c r="EH10" t="s">
        <v>2129</v>
      </c>
    </row>
    <row r="11" spans="1:138" x14ac:dyDescent="0.25">
      <c r="A11" t="s">
        <v>2135</v>
      </c>
      <c r="B11" t="s">
        <v>3374</v>
      </c>
      <c r="C11">
        <v>23023</v>
      </c>
      <c r="E11" t="s">
        <v>2136</v>
      </c>
      <c r="F11" t="s">
        <v>10</v>
      </c>
      <c r="G11" t="s">
        <v>2126</v>
      </c>
      <c r="H11" t="s">
        <v>1844</v>
      </c>
      <c r="I11" t="s">
        <v>2127</v>
      </c>
      <c r="J11" t="s">
        <v>2128</v>
      </c>
      <c r="K11" t="s">
        <v>2129</v>
      </c>
      <c r="L11" t="s">
        <v>2129</v>
      </c>
      <c r="M11" t="s">
        <v>2130</v>
      </c>
      <c r="N11" t="s">
        <v>2129</v>
      </c>
      <c r="O11" t="s">
        <v>2139</v>
      </c>
      <c r="P11" t="s">
        <v>2128</v>
      </c>
      <c r="Q11" t="s">
        <v>2128</v>
      </c>
      <c r="R11" s="37">
        <v>46073.7</v>
      </c>
      <c r="S11" s="37">
        <v>46098.951388888891</v>
      </c>
      <c r="T11" s="37">
        <v>46100.368750000001</v>
      </c>
      <c r="U11" s="37"/>
      <c r="V11" t="s">
        <v>2129</v>
      </c>
      <c r="W11" t="s">
        <v>2129</v>
      </c>
      <c r="X11" t="s">
        <v>2129</v>
      </c>
      <c r="Y11">
        <v>0</v>
      </c>
      <c r="Z11" t="s">
        <v>2129</v>
      </c>
      <c r="AA11" t="s">
        <v>2138</v>
      </c>
      <c r="AB11" t="s">
        <v>2129</v>
      </c>
      <c r="AC11" t="s">
        <v>2128</v>
      </c>
      <c r="AD11" t="s">
        <v>2129</v>
      </c>
      <c r="AE11" t="s">
        <v>2129</v>
      </c>
      <c r="AF11" t="s">
        <v>2129</v>
      </c>
      <c r="AG11" t="s">
        <v>2129</v>
      </c>
      <c r="AH11" t="s">
        <v>3375</v>
      </c>
      <c r="AI11" t="s">
        <v>3376</v>
      </c>
      <c r="AJ11" t="s">
        <v>3377</v>
      </c>
      <c r="AK11" t="s">
        <v>3378</v>
      </c>
      <c r="AL11" t="s">
        <v>3379</v>
      </c>
      <c r="AM11" t="s">
        <v>3380</v>
      </c>
      <c r="AN11" t="s">
        <v>3381</v>
      </c>
      <c r="AO11" t="s">
        <v>3382</v>
      </c>
      <c r="AP11" t="s">
        <v>3383</v>
      </c>
      <c r="AQ11" t="s">
        <v>3384</v>
      </c>
      <c r="AR11" t="s">
        <v>3385</v>
      </c>
      <c r="AS11" t="s">
        <v>3386</v>
      </c>
      <c r="AT11" t="s">
        <v>3387</v>
      </c>
      <c r="AU11" t="s">
        <v>3388</v>
      </c>
      <c r="AV11" t="s">
        <v>3389</v>
      </c>
      <c r="AW11" t="s">
        <v>3390</v>
      </c>
      <c r="AX11" t="s">
        <v>2129</v>
      </c>
      <c r="AY11" t="s">
        <v>2129</v>
      </c>
      <c r="AZ11" t="s">
        <v>2129</v>
      </c>
      <c r="BA11" t="s">
        <v>2129</v>
      </c>
      <c r="BB11" t="s">
        <v>2129</v>
      </c>
      <c r="BC11" t="s">
        <v>2129</v>
      </c>
      <c r="BD11" t="s">
        <v>2129</v>
      </c>
      <c r="BE11" t="s">
        <v>2129</v>
      </c>
      <c r="BF11" t="s">
        <v>2129</v>
      </c>
      <c r="BG11" t="s">
        <v>2129</v>
      </c>
      <c r="BH11" t="s">
        <v>2129</v>
      </c>
      <c r="BI11" t="s">
        <v>2129</v>
      </c>
      <c r="BJ11" t="s">
        <v>2129</v>
      </c>
      <c r="BK11" t="s">
        <v>2129</v>
      </c>
      <c r="BL11" t="s">
        <v>2129</v>
      </c>
      <c r="BM11" t="s">
        <v>2129</v>
      </c>
      <c r="BN11" t="s">
        <v>2129</v>
      </c>
      <c r="BO11" t="s">
        <v>2129</v>
      </c>
      <c r="BP11" t="s">
        <v>2129</v>
      </c>
      <c r="BQ11">
        <v>0</v>
      </c>
      <c r="BR11">
        <v>212400</v>
      </c>
      <c r="BS11" t="s">
        <v>2129</v>
      </c>
      <c r="BT11" t="s">
        <v>2129</v>
      </c>
      <c r="BU11">
        <v>0</v>
      </c>
      <c r="BV11">
        <v>212400</v>
      </c>
      <c r="BW11" t="s">
        <v>2129</v>
      </c>
      <c r="BX11" t="s">
        <v>2129</v>
      </c>
      <c r="BY11" t="s">
        <v>2129</v>
      </c>
      <c r="BZ11" t="s">
        <v>2129</v>
      </c>
      <c r="CA11" t="s">
        <v>2129</v>
      </c>
      <c r="CB11" t="s">
        <v>2129</v>
      </c>
      <c r="CC11" t="s">
        <v>2129</v>
      </c>
      <c r="CD11" t="s">
        <v>2129</v>
      </c>
      <c r="CE11" t="s">
        <v>2129</v>
      </c>
      <c r="CF11" t="s">
        <v>2129</v>
      </c>
      <c r="CG11" t="s">
        <v>2129</v>
      </c>
      <c r="CH11" t="s">
        <v>2129</v>
      </c>
      <c r="CI11" t="s">
        <v>2129</v>
      </c>
      <c r="CJ11" t="s">
        <v>2129</v>
      </c>
      <c r="CK11" t="s">
        <v>2129</v>
      </c>
      <c r="CL11" t="s">
        <v>2129</v>
      </c>
      <c r="CM11" t="s">
        <v>2129</v>
      </c>
      <c r="CN11" t="s">
        <v>2129</v>
      </c>
      <c r="CO11" t="s">
        <v>2129</v>
      </c>
      <c r="CP11" t="s">
        <v>2129</v>
      </c>
      <c r="CQ11" t="s">
        <v>2129</v>
      </c>
      <c r="CR11" t="s">
        <v>2129</v>
      </c>
      <c r="CS11" t="s">
        <v>2129</v>
      </c>
      <c r="CT11" t="s">
        <v>3391</v>
      </c>
      <c r="CU11" t="s">
        <v>2901</v>
      </c>
      <c r="CV11" t="s">
        <v>2129</v>
      </c>
      <c r="CW11" t="s">
        <v>2129</v>
      </c>
      <c r="CX11" t="s">
        <v>2129</v>
      </c>
      <c r="CY11" t="s">
        <v>2129</v>
      </c>
      <c r="CZ11" t="s">
        <v>2129</v>
      </c>
      <c r="DA11" t="s">
        <v>2129</v>
      </c>
      <c r="DB11" t="s">
        <v>2129</v>
      </c>
      <c r="DC11" t="s">
        <v>2129</v>
      </c>
      <c r="DD11" t="s">
        <v>2129</v>
      </c>
      <c r="DE11" t="s">
        <v>2129</v>
      </c>
      <c r="DF11" t="s">
        <v>2129</v>
      </c>
      <c r="DG11" t="s">
        <v>2129</v>
      </c>
      <c r="DH11" t="s">
        <v>2129</v>
      </c>
      <c r="DJ11" t="s">
        <v>2129</v>
      </c>
      <c r="DK11" t="s">
        <v>2129</v>
      </c>
      <c r="DL11" t="s">
        <v>2129</v>
      </c>
      <c r="DM11" t="s">
        <v>2129</v>
      </c>
      <c r="DN11" t="s">
        <v>2129</v>
      </c>
      <c r="DO11" t="s">
        <v>2129</v>
      </c>
      <c r="DP11" t="s">
        <v>2129</v>
      </c>
      <c r="DQ11" t="s">
        <v>2129</v>
      </c>
      <c r="DR11" t="s">
        <v>2129</v>
      </c>
      <c r="DS11" t="s">
        <v>2129</v>
      </c>
      <c r="DT11" t="s">
        <v>2129</v>
      </c>
      <c r="DU11" t="s">
        <v>2129</v>
      </c>
      <c r="DV11" t="s">
        <v>2129</v>
      </c>
      <c r="DW11" t="s">
        <v>2129</v>
      </c>
      <c r="DX11" t="s">
        <v>2129</v>
      </c>
      <c r="DY11" t="s">
        <v>2129</v>
      </c>
      <c r="DZ11" t="s">
        <v>2129</v>
      </c>
      <c r="EA11" t="s">
        <v>2129</v>
      </c>
      <c r="EB11" t="s">
        <v>2129</v>
      </c>
      <c r="EC11" t="s">
        <v>2129</v>
      </c>
      <c r="ED11" t="s">
        <v>2129</v>
      </c>
      <c r="EE11" t="s">
        <v>2129</v>
      </c>
      <c r="EF11" t="s">
        <v>2129</v>
      </c>
      <c r="EG11" t="s">
        <v>2129</v>
      </c>
      <c r="EH11" t="s">
        <v>2129</v>
      </c>
    </row>
    <row r="12" spans="1:138" x14ac:dyDescent="0.25">
      <c r="A12" t="s">
        <v>1851</v>
      </c>
      <c r="B12" t="s">
        <v>1852</v>
      </c>
      <c r="C12">
        <v>22502</v>
      </c>
      <c r="E12" t="s">
        <v>14</v>
      </c>
      <c r="F12" t="s">
        <v>26</v>
      </c>
      <c r="G12" t="s">
        <v>2126</v>
      </c>
      <c r="H12" t="s">
        <v>1844</v>
      </c>
      <c r="I12" t="s">
        <v>2127</v>
      </c>
      <c r="J12" t="s">
        <v>2128</v>
      </c>
      <c r="K12" t="s">
        <v>2129</v>
      </c>
      <c r="L12" t="s">
        <v>2129</v>
      </c>
      <c r="M12" t="s">
        <v>2130</v>
      </c>
      <c r="N12" t="s">
        <v>2129</v>
      </c>
      <c r="O12" t="s">
        <v>2139</v>
      </c>
      <c r="P12" t="s">
        <v>2128</v>
      </c>
      <c r="Q12" t="s">
        <v>2128</v>
      </c>
      <c r="R12" s="37">
        <v>45978.680555555555</v>
      </c>
      <c r="S12" s="37">
        <v>46097.700694444444</v>
      </c>
      <c r="T12" s="37">
        <v>46100.368750000001</v>
      </c>
      <c r="U12" s="37"/>
      <c r="V12" t="s">
        <v>2129</v>
      </c>
      <c r="W12" t="s">
        <v>2129</v>
      </c>
      <c r="X12" t="s">
        <v>2129</v>
      </c>
      <c r="Y12">
        <v>0</v>
      </c>
      <c r="Z12" t="s">
        <v>2129</v>
      </c>
      <c r="AA12" t="s">
        <v>3392</v>
      </c>
      <c r="AB12" t="s">
        <v>2129</v>
      </c>
      <c r="AC12" t="s">
        <v>2128</v>
      </c>
      <c r="AD12" t="s">
        <v>2129</v>
      </c>
      <c r="AE12" t="s">
        <v>2129</v>
      </c>
      <c r="AF12" t="s">
        <v>2129</v>
      </c>
      <c r="AG12" t="s">
        <v>2129</v>
      </c>
      <c r="AH12" t="s">
        <v>3393</v>
      </c>
      <c r="AI12" t="s">
        <v>3394</v>
      </c>
      <c r="AJ12" t="s">
        <v>3395</v>
      </c>
      <c r="AK12" t="s">
        <v>3396</v>
      </c>
      <c r="AL12" t="s">
        <v>3397</v>
      </c>
      <c r="AM12" t="s">
        <v>3398</v>
      </c>
      <c r="AN12" t="s">
        <v>3399</v>
      </c>
      <c r="AO12" t="s">
        <v>3400</v>
      </c>
      <c r="AP12" t="s">
        <v>3401</v>
      </c>
      <c r="AQ12" t="s">
        <v>3402</v>
      </c>
      <c r="AR12" t="s">
        <v>3403</v>
      </c>
      <c r="AS12" t="s">
        <v>3404</v>
      </c>
      <c r="AT12" t="s">
        <v>3405</v>
      </c>
      <c r="AU12" t="s">
        <v>3406</v>
      </c>
      <c r="AV12" t="s">
        <v>3407</v>
      </c>
      <c r="AW12" t="s">
        <v>3408</v>
      </c>
      <c r="AX12" t="s">
        <v>3409</v>
      </c>
      <c r="AY12" t="s">
        <v>3410</v>
      </c>
      <c r="AZ12" t="s">
        <v>3411</v>
      </c>
      <c r="BA12" t="s">
        <v>3412</v>
      </c>
      <c r="BB12" t="s">
        <v>3413</v>
      </c>
      <c r="BC12" t="s">
        <v>3414</v>
      </c>
      <c r="BD12" t="s">
        <v>3415</v>
      </c>
      <c r="BE12" t="s">
        <v>3416</v>
      </c>
      <c r="BF12" t="s">
        <v>3417</v>
      </c>
      <c r="BG12" t="s">
        <v>3418</v>
      </c>
      <c r="BH12" t="s">
        <v>3419</v>
      </c>
      <c r="BI12" t="s">
        <v>3420</v>
      </c>
      <c r="BJ12" t="s">
        <v>3421</v>
      </c>
      <c r="BK12" t="s">
        <v>3422</v>
      </c>
      <c r="BL12" t="s">
        <v>3423</v>
      </c>
      <c r="BM12" t="s">
        <v>3424</v>
      </c>
      <c r="BN12" t="s">
        <v>3425</v>
      </c>
      <c r="BO12" t="s">
        <v>3426</v>
      </c>
      <c r="BP12" t="s">
        <v>2129</v>
      </c>
      <c r="BQ12">
        <v>0</v>
      </c>
      <c r="BR12">
        <v>324000</v>
      </c>
      <c r="BS12" t="s">
        <v>2129</v>
      </c>
      <c r="BT12" t="s">
        <v>2129</v>
      </c>
      <c r="BU12">
        <v>0</v>
      </c>
      <c r="BV12">
        <v>324000</v>
      </c>
      <c r="BW12" t="s">
        <v>2129</v>
      </c>
      <c r="BX12" t="s">
        <v>2129</v>
      </c>
      <c r="BY12" t="s">
        <v>2129</v>
      </c>
      <c r="BZ12" t="s">
        <v>2129</v>
      </c>
      <c r="CA12" t="s">
        <v>2129</v>
      </c>
      <c r="CB12" t="s">
        <v>2129</v>
      </c>
      <c r="CC12" t="s">
        <v>2129</v>
      </c>
      <c r="CD12" t="s">
        <v>2129</v>
      </c>
      <c r="CE12" t="s">
        <v>2129</v>
      </c>
      <c r="CF12" t="s">
        <v>2129</v>
      </c>
      <c r="CG12" t="s">
        <v>2129</v>
      </c>
      <c r="CH12" t="s">
        <v>2129</v>
      </c>
      <c r="CI12" t="s">
        <v>2129</v>
      </c>
      <c r="CJ12" t="s">
        <v>2129</v>
      </c>
      <c r="CK12" t="s">
        <v>2129</v>
      </c>
      <c r="CL12" t="s">
        <v>2129</v>
      </c>
      <c r="CM12" t="s">
        <v>2129</v>
      </c>
      <c r="CN12" t="s">
        <v>2129</v>
      </c>
      <c r="CO12" t="s">
        <v>2129</v>
      </c>
      <c r="CP12" t="s">
        <v>2129</v>
      </c>
      <c r="CQ12" t="s">
        <v>2129</v>
      </c>
      <c r="CR12" t="s">
        <v>2129</v>
      </c>
      <c r="CS12" t="s">
        <v>2129</v>
      </c>
      <c r="CT12" t="s">
        <v>3427</v>
      </c>
      <c r="CU12" t="s">
        <v>3428</v>
      </c>
      <c r="CV12" t="s">
        <v>3429</v>
      </c>
      <c r="CW12" t="s">
        <v>2901</v>
      </c>
      <c r="CX12" t="s">
        <v>2129</v>
      </c>
      <c r="CY12" t="s">
        <v>2129</v>
      </c>
      <c r="CZ12" t="s">
        <v>2129</v>
      </c>
      <c r="DA12" t="s">
        <v>2129</v>
      </c>
      <c r="DB12" t="s">
        <v>2129</v>
      </c>
      <c r="DC12" t="s">
        <v>2129</v>
      </c>
      <c r="DD12" t="s">
        <v>2129</v>
      </c>
      <c r="DE12" t="s">
        <v>2129</v>
      </c>
      <c r="DF12" t="s">
        <v>2129</v>
      </c>
      <c r="DG12" t="s">
        <v>2129</v>
      </c>
      <c r="DH12" t="s">
        <v>2129</v>
      </c>
      <c r="DJ12" t="s">
        <v>2129</v>
      </c>
      <c r="DK12" t="s">
        <v>2129</v>
      </c>
      <c r="DL12" t="s">
        <v>2129</v>
      </c>
      <c r="DM12" t="s">
        <v>2129</v>
      </c>
      <c r="DN12" t="s">
        <v>2129</v>
      </c>
      <c r="DO12" t="s">
        <v>2129</v>
      </c>
      <c r="DP12" t="s">
        <v>2129</v>
      </c>
      <c r="DQ12" t="s">
        <v>2129</v>
      </c>
      <c r="DR12" t="s">
        <v>2129</v>
      </c>
      <c r="DS12" t="s">
        <v>2129</v>
      </c>
      <c r="DT12" t="s">
        <v>2129</v>
      </c>
      <c r="DU12" t="s">
        <v>2129</v>
      </c>
      <c r="DV12" t="s">
        <v>2129</v>
      </c>
      <c r="DW12" t="s">
        <v>2129</v>
      </c>
      <c r="DX12" t="s">
        <v>2129</v>
      </c>
      <c r="DY12" t="s">
        <v>2129</v>
      </c>
      <c r="DZ12" t="s">
        <v>2129</v>
      </c>
      <c r="EA12" t="s">
        <v>2129</v>
      </c>
      <c r="EB12" t="s">
        <v>2129</v>
      </c>
      <c r="EC12" t="s">
        <v>2129</v>
      </c>
      <c r="ED12" t="s">
        <v>2129</v>
      </c>
      <c r="EE12" t="s">
        <v>2129</v>
      </c>
      <c r="EF12" t="s">
        <v>2129</v>
      </c>
      <c r="EG12" t="s">
        <v>2129</v>
      </c>
      <c r="EH12" t="s">
        <v>2129</v>
      </c>
    </row>
    <row r="13" spans="1:138" x14ac:dyDescent="0.25">
      <c r="A13" t="s">
        <v>3430</v>
      </c>
      <c r="B13" t="s">
        <v>3431</v>
      </c>
      <c r="C13">
        <v>23180</v>
      </c>
      <c r="E13" t="s">
        <v>14</v>
      </c>
      <c r="F13" t="s">
        <v>10</v>
      </c>
      <c r="G13" t="s">
        <v>2140</v>
      </c>
      <c r="H13" t="s">
        <v>599</v>
      </c>
      <c r="I13" t="s">
        <v>2127</v>
      </c>
      <c r="J13" t="s">
        <v>2141</v>
      </c>
      <c r="K13" t="s">
        <v>2129</v>
      </c>
      <c r="L13" t="s">
        <v>2142</v>
      </c>
      <c r="M13" t="s">
        <v>2130</v>
      </c>
      <c r="N13" t="s">
        <v>2129</v>
      </c>
      <c r="O13" t="s">
        <v>2141</v>
      </c>
      <c r="P13" t="s">
        <v>2145</v>
      </c>
      <c r="Q13" t="s">
        <v>2145</v>
      </c>
      <c r="R13" s="37">
        <v>46098.46597222222</v>
      </c>
      <c r="S13" s="37">
        <v>46098.529166666667</v>
      </c>
      <c r="T13" s="37">
        <v>46100.368750000001</v>
      </c>
      <c r="U13" s="37"/>
      <c r="V13" t="s">
        <v>2129</v>
      </c>
      <c r="W13" t="s">
        <v>2129</v>
      </c>
      <c r="X13" t="s">
        <v>2129</v>
      </c>
      <c r="Y13">
        <v>0</v>
      </c>
      <c r="Z13" t="s">
        <v>2129</v>
      </c>
      <c r="AA13" t="s">
        <v>3432</v>
      </c>
      <c r="AB13" t="s">
        <v>2129</v>
      </c>
      <c r="AC13" t="s">
        <v>2145</v>
      </c>
      <c r="AD13" t="s">
        <v>2129</v>
      </c>
      <c r="AE13" t="s">
        <v>2129</v>
      </c>
      <c r="AF13" t="s">
        <v>2129</v>
      </c>
      <c r="AG13" t="s">
        <v>2129</v>
      </c>
      <c r="AH13" t="s">
        <v>2129</v>
      </c>
      <c r="AI13" t="s">
        <v>2129</v>
      </c>
      <c r="AJ13" t="s">
        <v>2129</v>
      </c>
      <c r="AK13" t="s">
        <v>2129</v>
      </c>
      <c r="AL13" t="s">
        <v>2129</v>
      </c>
      <c r="AM13" t="s">
        <v>2129</v>
      </c>
      <c r="AN13" t="s">
        <v>2129</v>
      </c>
      <c r="AO13" t="s">
        <v>2129</v>
      </c>
      <c r="AP13" t="s">
        <v>2129</v>
      </c>
      <c r="AQ13" t="s">
        <v>2129</v>
      </c>
      <c r="AR13" t="s">
        <v>2129</v>
      </c>
      <c r="AS13" t="s">
        <v>2129</v>
      </c>
      <c r="AT13" t="s">
        <v>2129</v>
      </c>
      <c r="AU13" t="s">
        <v>2129</v>
      </c>
      <c r="AV13" t="s">
        <v>2129</v>
      </c>
      <c r="AW13" t="s">
        <v>2129</v>
      </c>
      <c r="AX13" t="s">
        <v>2129</v>
      </c>
      <c r="AY13" t="s">
        <v>2129</v>
      </c>
      <c r="AZ13" t="s">
        <v>2129</v>
      </c>
      <c r="BA13" t="s">
        <v>2129</v>
      </c>
      <c r="BB13" t="s">
        <v>2129</v>
      </c>
      <c r="BC13" t="s">
        <v>2129</v>
      </c>
      <c r="BD13" t="s">
        <v>2129</v>
      </c>
      <c r="BE13" t="s">
        <v>2129</v>
      </c>
      <c r="BF13" t="s">
        <v>2129</v>
      </c>
      <c r="BG13" t="s">
        <v>2129</v>
      </c>
      <c r="BH13" t="s">
        <v>2129</v>
      </c>
      <c r="BI13" t="s">
        <v>2129</v>
      </c>
      <c r="BJ13" t="s">
        <v>2129</v>
      </c>
      <c r="BK13" t="s">
        <v>2129</v>
      </c>
      <c r="BL13" t="s">
        <v>2129</v>
      </c>
      <c r="BM13" t="s">
        <v>2129</v>
      </c>
      <c r="BN13" t="s">
        <v>2129</v>
      </c>
      <c r="BO13" t="s">
        <v>2129</v>
      </c>
      <c r="BP13" t="s">
        <v>2129</v>
      </c>
      <c r="BS13" t="s">
        <v>2129</v>
      </c>
      <c r="BT13" t="s">
        <v>2129</v>
      </c>
      <c r="BW13" t="s">
        <v>2129</v>
      </c>
      <c r="BX13" t="s">
        <v>2129</v>
      </c>
      <c r="BY13" t="s">
        <v>2129</v>
      </c>
      <c r="BZ13" t="s">
        <v>3433</v>
      </c>
      <c r="CA13" t="s">
        <v>2129</v>
      </c>
      <c r="CB13" t="s">
        <v>2129</v>
      </c>
      <c r="CC13" t="s">
        <v>2129</v>
      </c>
      <c r="CD13" t="s">
        <v>2129</v>
      </c>
      <c r="CE13" t="s">
        <v>2129</v>
      </c>
      <c r="CF13" t="s">
        <v>2129</v>
      </c>
      <c r="CG13" t="s">
        <v>2129</v>
      </c>
      <c r="CH13" t="s">
        <v>2129</v>
      </c>
      <c r="CI13" t="s">
        <v>2129</v>
      </c>
      <c r="CJ13" t="s">
        <v>2129</v>
      </c>
      <c r="CK13" t="s">
        <v>2129</v>
      </c>
      <c r="CL13" t="s">
        <v>2129</v>
      </c>
      <c r="CM13" t="s">
        <v>2129</v>
      </c>
      <c r="CN13" t="s">
        <v>2129</v>
      </c>
      <c r="CO13" t="s">
        <v>2129</v>
      </c>
      <c r="CP13" t="s">
        <v>2129</v>
      </c>
      <c r="CQ13" t="s">
        <v>2129</v>
      </c>
      <c r="CR13" t="s">
        <v>2129</v>
      </c>
      <c r="CS13" t="s">
        <v>2129</v>
      </c>
      <c r="CT13" t="s">
        <v>3434</v>
      </c>
      <c r="CU13" t="s">
        <v>2129</v>
      </c>
      <c r="CV13" t="s">
        <v>2129</v>
      </c>
      <c r="CW13" t="s">
        <v>2129</v>
      </c>
      <c r="CX13" t="s">
        <v>2129</v>
      </c>
      <c r="CY13" t="s">
        <v>2129</v>
      </c>
      <c r="CZ13" t="s">
        <v>2129</v>
      </c>
      <c r="DA13" t="s">
        <v>2129</v>
      </c>
      <c r="DB13" t="s">
        <v>2129</v>
      </c>
      <c r="DC13" t="s">
        <v>2129</v>
      </c>
      <c r="DD13" t="s">
        <v>2129</v>
      </c>
      <c r="DE13" t="s">
        <v>2129</v>
      </c>
      <c r="DF13" t="s">
        <v>2129</v>
      </c>
      <c r="DG13" t="s">
        <v>2129</v>
      </c>
      <c r="DH13" t="s">
        <v>2129</v>
      </c>
      <c r="DJ13" t="s">
        <v>2129</v>
      </c>
      <c r="DK13" t="s">
        <v>2129</v>
      </c>
      <c r="DL13" t="s">
        <v>2129</v>
      </c>
      <c r="DM13" t="s">
        <v>2129</v>
      </c>
      <c r="DN13" t="s">
        <v>2129</v>
      </c>
      <c r="DO13" t="s">
        <v>2129</v>
      </c>
      <c r="DP13" t="s">
        <v>2129</v>
      </c>
      <c r="DQ13" t="s">
        <v>2129</v>
      </c>
      <c r="DR13" t="s">
        <v>2129</v>
      </c>
      <c r="DS13" t="s">
        <v>2129</v>
      </c>
      <c r="DT13" t="s">
        <v>2129</v>
      </c>
      <c r="DU13" t="s">
        <v>2129</v>
      </c>
      <c r="DV13" t="s">
        <v>2129</v>
      </c>
      <c r="DW13" t="s">
        <v>2129</v>
      </c>
      <c r="DX13" t="s">
        <v>2129</v>
      </c>
      <c r="DY13" t="s">
        <v>2129</v>
      </c>
      <c r="DZ13" t="s">
        <v>2129</v>
      </c>
      <c r="EA13" t="s">
        <v>2129</v>
      </c>
      <c r="EB13" t="s">
        <v>2129</v>
      </c>
      <c r="EC13" t="s">
        <v>2129</v>
      </c>
      <c r="ED13" t="s">
        <v>2129</v>
      </c>
      <c r="EE13" t="s">
        <v>2129</v>
      </c>
      <c r="EF13" t="s">
        <v>2129</v>
      </c>
      <c r="EG13" t="s">
        <v>2129</v>
      </c>
      <c r="EH13" t="s">
        <v>2129</v>
      </c>
    </row>
    <row r="14" spans="1:138" x14ac:dyDescent="0.25">
      <c r="A14" t="s">
        <v>3435</v>
      </c>
      <c r="B14" t="s">
        <v>3436</v>
      </c>
      <c r="C14">
        <v>23179</v>
      </c>
      <c r="E14" t="s">
        <v>14</v>
      </c>
      <c r="F14" t="s">
        <v>10</v>
      </c>
      <c r="G14" t="s">
        <v>2140</v>
      </c>
      <c r="H14" t="s">
        <v>599</v>
      </c>
      <c r="I14" t="s">
        <v>2127</v>
      </c>
      <c r="J14" t="s">
        <v>2141</v>
      </c>
      <c r="K14" t="s">
        <v>2129</v>
      </c>
      <c r="L14" t="s">
        <v>2142</v>
      </c>
      <c r="M14" t="s">
        <v>2130</v>
      </c>
      <c r="N14" t="s">
        <v>2129</v>
      </c>
      <c r="O14" t="s">
        <v>2141</v>
      </c>
      <c r="P14" t="s">
        <v>2145</v>
      </c>
      <c r="Q14" t="s">
        <v>2145</v>
      </c>
      <c r="R14" s="37">
        <v>46098.461111111108</v>
      </c>
      <c r="S14" s="37">
        <v>46098.558333333334</v>
      </c>
      <c r="T14" s="37">
        <v>46100.368750000001</v>
      </c>
      <c r="U14" s="37"/>
      <c r="V14" t="s">
        <v>2129</v>
      </c>
      <c r="W14" t="s">
        <v>2129</v>
      </c>
      <c r="X14" t="s">
        <v>2129</v>
      </c>
      <c r="Y14">
        <v>0</v>
      </c>
      <c r="Z14" t="s">
        <v>2129</v>
      </c>
      <c r="AA14" t="s">
        <v>3437</v>
      </c>
      <c r="AB14" t="s">
        <v>2129</v>
      </c>
      <c r="AC14" t="s">
        <v>2145</v>
      </c>
      <c r="AD14" t="s">
        <v>2129</v>
      </c>
      <c r="AE14" t="s">
        <v>2129</v>
      </c>
      <c r="AF14" t="s">
        <v>2129</v>
      </c>
      <c r="AG14" t="s">
        <v>2129</v>
      </c>
      <c r="AH14" t="s">
        <v>2129</v>
      </c>
      <c r="AI14" t="s">
        <v>2129</v>
      </c>
      <c r="AJ14" t="s">
        <v>2129</v>
      </c>
      <c r="AK14" t="s">
        <v>2129</v>
      </c>
      <c r="AL14" t="s">
        <v>2129</v>
      </c>
      <c r="AM14" t="s">
        <v>2129</v>
      </c>
      <c r="AN14" t="s">
        <v>2129</v>
      </c>
      <c r="AO14" t="s">
        <v>2129</v>
      </c>
      <c r="AP14" t="s">
        <v>2129</v>
      </c>
      <c r="AQ14" t="s">
        <v>2129</v>
      </c>
      <c r="AR14" t="s">
        <v>2129</v>
      </c>
      <c r="AS14" t="s">
        <v>2129</v>
      </c>
      <c r="AT14" t="s">
        <v>2129</v>
      </c>
      <c r="AU14" t="s">
        <v>2129</v>
      </c>
      <c r="AV14" t="s">
        <v>2129</v>
      </c>
      <c r="AW14" t="s">
        <v>2129</v>
      </c>
      <c r="AX14" t="s">
        <v>2129</v>
      </c>
      <c r="AY14" t="s">
        <v>2129</v>
      </c>
      <c r="AZ14" t="s">
        <v>2129</v>
      </c>
      <c r="BA14" t="s">
        <v>2129</v>
      </c>
      <c r="BB14" t="s">
        <v>2129</v>
      </c>
      <c r="BC14" t="s">
        <v>2129</v>
      </c>
      <c r="BD14" t="s">
        <v>2129</v>
      </c>
      <c r="BE14" t="s">
        <v>2129</v>
      </c>
      <c r="BF14" t="s">
        <v>2129</v>
      </c>
      <c r="BG14" t="s">
        <v>2129</v>
      </c>
      <c r="BH14" t="s">
        <v>2129</v>
      </c>
      <c r="BI14" t="s">
        <v>2129</v>
      </c>
      <c r="BJ14" t="s">
        <v>2129</v>
      </c>
      <c r="BK14" t="s">
        <v>2129</v>
      </c>
      <c r="BL14" t="s">
        <v>2129</v>
      </c>
      <c r="BM14" t="s">
        <v>2129</v>
      </c>
      <c r="BN14" t="s">
        <v>2129</v>
      </c>
      <c r="BO14" t="s">
        <v>2129</v>
      </c>
      <c r="BP14" t="s">
        <v>2129</v>
      </c>
      <c r="BS14" t="s">
        <v>2129</v>
      </c>
      <c r="BT14" t="s">
        <v>2129</v>
      </c>
      <c r="BW14" t="s">
        <v>2129</v>
      </c>
      <c r="BX14" t="s">
        <v>2129</v>
      </c>
      <c r="BY14" t="s">
        <v>2129</v>
      </c>
      <c r="BZ14" t="s">
        <v>3438</v>
      </c>
      <c r="CA14" t="s">
        <v>2129</v>
      </c>
      <c r="CB14" t="s">
        <v>2129</v>
      </c>
      <c r="CC14" t="s">
        <v>2129</v>
      </c>
      <c r="CD14" t="s">
        <v>2129</v>
      </c>
      <c r="CE14" t="s">
        <v>2129</v>
      </c>
      <c r="CF14" t="s">
        <v>2129</v>
      </c>
      <c r="CG14" t="s">
        <v>2129</v>
      </c>
      <c r="CH14" t="s">
        <v>2129</v>
      </c>
      <c r="CI14" t="s">
        <v>2129</v>
      </c>
      <c r="CJ14" t="s">
        <v>2129</v>
      </c>
      <c r="CK14" t="s">
        <v>2129</v>
      </c>
      <c r="CL14" t="s">
        <v>2129</v>
      </c>
      <c r="CM14" t="s">
        <v>2129</v>
      </c>
      <c r="CN14" t="s">
        <v>2129</v>
      </c>
      <c r="CO14" t="s">
        <v>2129</v>
      </c>
      <c r="CP14" t="s">
        <v>2129</v>
      </c>
      <c r="CQ14" t="s">
        <v>2129</v>
      </c>
      <c r="CR14" t="s">
        <v>2129</v>
      </c>
      <c r="CS14" t="s">
        <v>2129</v>
      </c>
      <c r="CT14" t="s">
        <v>3439</v>
      </c>
      <c r="CU14" t="s">
        <v>2129</v>
      </c>
      <c r="CV14" t="s">
        <v>2129</v>
      </c>
      <c r="CW14" t="s">
        <v>2129</v>
      </c>
      <c r="CX14" t="s">
        <v>2129</v>
      </c>
      <c r="CY14" t="s">
        <v>2129</v>
      </c>
      <c r="CZ14" t="s">
        <v>2129</v>
      </c>
      <c r="DA14" t="s">
        <v>2129</v>
      </c>
      <c r="DB14" t="s">
        <v>2129</v>
      </c>
      <c r="DC14" t="s">
        <v>2129</v>
      </c>
      <c r="DD14" t="s">
        <v>2129</v>
      </c>
      <c r="DE14" t="s">
        <v>2129</v>
      </c>
      <c r="DF14" t="s">
        <v>2129</v>
      </c>
      <c r="DG14" t="s">
        <v>2129</v>
      </c>
      <c r="DH14" t="s">
        <v>2129</v>
      </c>
      <c r="DJ14" t="s">
        <v>2129</v>
      </c>
      <c r="DK14" t="s">
        <v>2129</v>
      </c>
      <c r="DL14" t="s">
        <v>2129</v>
      </c>
      <c r="DM14" t="s">
        <v>2129</v>
      </c>
      <c r="DN14" t="s">
        <v>2129</v>
      </c>
      <c r="DO14" t="s">
        <v>2129</v>
      </c>
      <c r="DP14" t="s">
        <v>2129</v>
      </c>
      <c r="DQ14" t="s">
        <v>2129</v>
      </c>
      <c r="DR14" t="s">
        <v>2129</v>
      </c>
      <c r="DS14" t="s">
        <v>2129</v>
      </c>
      <c r="DT14" t="s">
        <v>2129</v>
      </c>
      <c r="DU14" t="s">
        <v>2129</v>
      </c>
      <c r="DV14" t="s">
        <v>2129</v>
      </c>
      <c r="DW14" t="s">
        <v>2129</v>
      </c>
      <c r="DX14" t="s">
        <v>2129</v>
      </c>
      <c r="DY14" t="s">
        <v>2129</v>
      </c>
      <c r="DZ14" t="s">
        <v>2129</v>
      </c>
      <c r="EA14" t="s">
        <v>2129</v>
      </c>
      <c r="EB14" t="s">
        <v>2129</v>
      </c>
      <c r="EC14" t="s">
        <v>2129</v>
      </c>
      <c r="ED14" t="s">
        <v>2129</v>
      </c>
      <c r="EE14" t="s">
        <v>2129</v>
      </c>
      <c r="EF14" t="s">
        <v>2129</v>
      </c>
      <c r="EG14" t="s">
        <v>2129</v>
      </c>
      <c r="EH14" t="s">
        <v>2129</v>
      </c>
    </row>
    <row r="15" spans="1:138" x14ac:dyDescent="0.25">
      <c r="A15" t="s">
        <v>3440</v>
      </c>
      <c r="B15" t="s">
        <v>3441</v>
      </c>
      <c r="C15">
        <v>23178</v>
      </c>
      <c r="E15" t="s">
        <v>14</v>
      </c>
      <c r="F15" t="s">
        <v>10</v>
      </c>
      <c r="G15" t="s">
        <v>2140</v>
      </c>
      <c r="H15" t="s">
        <v>599</v>
      </c>
      <c r="I15" t="s">
        <v>2127</v>
      </c>
      <c r="J15" t="s">
        <v>2141</v>
      </c>
      <c r="K15" t="s">
        <v>2129</v>
      </c>
      <c r="L15" t="s">
        <v>2142</v>
      </c>
      <c r="M15" t="s">
        <v>2130</v>
      </c>
      <c r="N15" t="s">
        <v>2129</v>
      </c>
      <c r="O15" t="s">
        <v>2141</v>
      </c>
      <c r="P15" t="s">
        <v>2145</v>
      </c>
      <c r="Q15" t="s">
        <v>2145</v>
      </c>
      <c r="R15" s="37">
        <v>46098.456250000003</v>
      </c>
      <c r="S15" s="37">
        <v>46098.529166666667</v>
      </c>
      <c r="T15" s="37">
        <v>46100.368750000001</v>
      </c>
      <c r="U15" s="37"/>
      <c r="V15" t="s">
        <v>2129</v>
      </c>
      <c r="W15" t="s">
        <v>2129</v>
      </c>
      <c r="X15" t="s">
        <v>2129</v>
      </c>
      <c r="Y15">
        <v>0</v>
      </c>
      <c r="Z15" t="s">
        <v>2129</v>
      </c>
      <c r="AA15" t="s">
        <v>3442</v>
      </c>
      <c r="AB15" t="s">
        <v>2129</v>
      </c>
      <c r="AC15" t="s">
        <v>2145</v>
      </c>
      <c r="AD15" t="s">
        <v>2129</v>
      </c>
      <c r="AE15" t="s">
        <v>2129</v>
      </c>
      <c r="AF15" t="s">
        <v>2129</v>
      </c>
      <c r="AG15" t="s">
        <v>2129</v>
      </c>
      <c r="AH15" t="s">
        <v>2129</v>
      </c>
      <c r="AI15" t="s">
        <v>2129</v>
      </c>
      <c r="AJ15" t="s">
        <v>2129</v>
      </c>
      <c r="AK15" t="s">
        <v>2129</v>
      </c>
      <c r="AL15" t="s">
        <v>2129</v>
      </c>
      <c r="AM15" t="s">
        <v>2129</v>
      </c>
      <c r="AN15" t="s">
        <v>2129</v>
      </c>
      <c r="AO15" t="s">
        <v>2129</v>
      </c>
      <c r="AP15" t="s">
        <v>2129</v>
      </c>
      <c r="AQ15" t="s">
        <v>2129</v>
      </c>
      <c r="AR15" t="s">
        <v>2129</v>
      </c>
      <c r="AS15" t="s">
        <v>2129</v>
      </c>
      <c r="AT15" t="s">
        <v>2129</v>
      </c>
      <c r="AU15" t="s">
        <v>2129</v>
      </c>
      <c r="AV15" t="s">
        <v>2129</v>
      </c>
      <c r="AW15" t="s">
        <v>2129</v>
      </c>
      <c r="AX15" t="s">
        <v>2129</v>
      </c>
      <c r="AY15" t="s">
        <v>2129</v>
      </c>
      <c r="AZ15" t="s">
        <v>2129</v>
      </c>
      <c r="BA15" t="s">
        <v>2129</v>
      </c>
      <c r="BB15" t="s">
        <v>2129</v>
      </c>
      <c r="BC15" t="s">
        <v>2129</v>
      </c>
      <c r="BD15" t="s">
        <v>2129</v>
      </c>
      <c r="BE15" t="s">
        <v>2129</v>
      </c>
      <c r="BF15" t="s">
        <v>2129</v>
      </c>
      <c r="BG15" t="s">
        <v>2129</v>
      </c>
      <c r="BH15" t="s">
        <v>2129</v>
      </c>
      <c r="BI15" t="s">
        <v>2129</v>
      </c>
      <c r="BJ15" t="s">
        <v>2129</v>
      </c>
      <c r="BK15" t="s">
        <v>2129</v>
      </c>
      <c r="BL15" t="s">
        <v>2129</v>
      </c>
      <c r="BM15" t="s">
        <v>2129</v>
      </c>
      <c r="BN15" t="s">
        <v>2129</v>
      </c>
      <c r="BO15" t="s">
        <v>2129</v>
      </c>
      <c r="BP15" t="s">
        <v>2129</v>
      </c>
      <c r="BS15" t="s">
        <v>2129</v>
      </c>
      <c r="BT15" t="s">
        <v>2129</v>
      </c>
      <c r="BW15" t="s">
        <v>2129</v>
      </c>
      <c r="BX15" t="s">
        <v>2129</v>
      </c>
      <c r="BY15" t="s">
        <v>2129</v>
      </c>
      <c r="BZ15" t="s">
        <v>3443</v>
      </c>
      <c r="CA15" t="s">
        <v>2129</v>
      </c>
      <c r="CB15" t="s">
        <v>2129</v>
      </c>
      <c r="CC15" t="s">
        <v>2129</v>
      </c>
      <c r="CD15" t="s">
        <v>2129</v>
      </c>
      <c r="CE15" t="s">
        <v>2129</v>
      </c>
      <c r="CF15" t="s">
        <v>2129</v>
      </c>
      <c r="CG15" t="s">
        <v>2129</v>
      </c>
      <c r="CH15" t="s">
        <v>2129</v>
      </c>
      <c r="CI15" t="s">
        <v>2129</v>
      </c>
      <c r="CJ15" t="s">
        <v>2129</v>
      </c>
      <c r="CK15" t="s">
        <v>2129</v>
      </c>
      <c r="CL15" t="s">
        <v>2129</v>
      </c>
      <c r="CM15" t="s">
        <v>2129</v>
      </c>
      <c r="CN15" t="s">
        <v>2129</v>
      </c>
      <c r="CO15" t="s">
        <v>2129</v>
      </c>
      <c r="CP15" t="s">
        <v>2129</v>
      </c>
      <c r="CQ15" t="s">
        <v>2129</v>
      </c>
      <c r="CR15" t="s">
        <v>2129</v>
      </c>
      <c r="CS15" t="s">
        <v>2129</v>
      </c>
      <c r="CT15" t="s">
        <v>3444</v>
      </c>
      <c r="CU15" t="s">
        <v>2129</v>
      </c>
      <c r="CV15" t="s">
        <v>2129</v>
      </c>
      <c r="CW15" t="s">
        <v>2129</v>
      </c>
      <c r="CX15" t="s">
        <v>2129</v>
      </c>
      <c r="CY15" t="s">
        <v>2129</v>
      </c>
      <c r="CZ15" t="s">
        <v>2129</v>
      </c>
      <c r="DA15" t="s">
        <v>2129</v>
      </c>
      <c r="DB15" t="s">
        <v>2129</v>
      </c>
      <c r="DC15" t="s">
        <v>2129</v>
      </c>
      <c r="DD15" t="s">
        <v>2129</v>
      </c>
      <c r="DE15" t="s">
        <v>2129</v>
      </c>
      <c r="DF15" t="s">
        <v>2129</v>
      </c>
      <c r="DG15" t="s">
        <v>2129</v>
      </c>
      <c r="DH15" t="s">
        <v>2129</v>
      </c>
      <c r="DJ15" t="s">
        <v>2129</v>
      </c>
      <c r="DK15" t="s">
        <v>2129</v>
      </c>
      <c r="DL15" t="s">
        <v>2129</v>
      </c>
      <c r="DM15" t="s">
        <v>2129</v>
      </c>
      <c r="DN15" t="s">
        <v>2129</v>
      </c>
      <c r="DO15" t="s">
        <v>2129</v>
      </c>
      <c r="DP15" t="s">
        <v>2129</v>
      </c>
      <c r="DQ15" t="s">
        <v>2129</v>
      </c>
      <c r="DR15" t="s">
        <v>2129</v>
      </c>
      <c r="DS15" t="s">
        <v>2129</v>
      </c>
      <c r="DT15" t="s">
        <v>2129</v>
      </c>
      <c r="DU15" t="s">
        <v>2129</v>
      </c>
      <c r="DV15" t="s">
        <v>2129</v>
      </c>
      <c r="DW15" t="s">
        <v>2129</v>
      </c>
      <c r="DX15" t="s">
        <v>2129</v>
      </c>
      <c r="DY15" t="s">
        <v>2129</v>
      </c>
      <c r="DZ15" t="s">
        <v>2129</v>
      </c>
      <c r="EA15" t="s">
        <v>2129</v>
      </c>
      <c r="EB15" t="s">
        <v>2129</v>
      </c>
      <c r="EC15" t="s">
        <v>2129</v>
      </c>
      <c r="ED15" t="s">
        <v>2129</v>
      </c>
      <c r="EE15" t="s">
        <v>2129</v>
      </c>
      <c r="EF15" t="s">
        <v>2129</v>
      </c>
      <c r="EG15" t="s">
        <v>2129</v>
      </c>
      <c r="EH15" t="s">
        <v>2129</v>
      </c>
    </row>
    <row r="16" spans="1:138" x14ac:dyDescent="0.25">
      <c r="A16" t="s">
        <v>3445</v>
      </c>
      <c r="B16" t="s">
        <v>3446</v>
      </c>
      <c r="C16">
        <v>23177</v>
      </c>
      <c r="E16" t="s">
        <v>14</v>
      </c>
      <c r="F16" t="s">
        <v>10</v>
      </c>
      <c r="G16" t="s">
        <v>2140</v>
      </c>
      <c r="H16" t="s">
        <v>599</v>
      </c>
      <c r="I16" t="s">
        <v>2127</v>
      </c>
      <c r="J16" t="s">
        <v>2141</v>
      </c>
      <c r="K16" t="s">
        <v>2129</v>
      </c>
      <c r="L16" t="s">
        <v>2142</v>
      </c>
      <c r="M16" t="s">
        <v>2130</v>
      </c>
      <c r="N16" t="s">
        <v>2129</v>
      </c>
      <c r="O16" t="s">
        <v>2141</v>
      </c>
      <c r="P16" t="s">
        <v>2145</v>
      </c>
      <c r="Q16" t="s">
        <v>2145</v>
      </c>
      <c r="R16" s="37">
        <v>46098.45208333333</v>
      </c>
      <c r="S16" s="37">
        <v>46098.561805555553</v>
      </c>
      <c r="T16" s="37">
        <v>46100.368750000001</v>
      </c>
      <c r="U16" s="37"/>
      <c r="V16" t="s">
        <v>2129</v>
      </c>
      <c r="W16" t="s">
        <v>2129</v>
      </c>
      <c r="X16" t="s">
        <v>2129</v>
      </c>
      <c r="Y16">
        <v>0</v>
      </c>
      <c r="Z16" t="s">
        <v>2129</v>
      </c>
      <c r="AA16" t="s">
        <v>3447</v>
      </c>
      <c r="AB16" t="s">
        <v>2129</v>
      </c>
      <c r="AC16" t="s">
        <v>2145</v>
      </c>
      <c r="AD16" t="s">
        <v>2129</v>
      </c>
      <c r="AE16" t="s">
        <v>2129</v>
      </c>
      <c r="AF16" t="s">
        <v>2129</v>
      </c>
      <c r="AG16" t="s">
        <v>2129</v>
      </c>
      <c r="AH16" t="s">
        <v>2129</v>
      </c>
      <c r="AI16" t="s">
        <v>2129</v>
      </c>
      <c r="AJ16" t="s">
        <v>2129</v>
      </c>
      <c r="AK16" t="s">
        <v>2129</v>
      </c>
      <c r="AL16" t="s">
        <v>2129</v>
      </c>
      <c r="AM16" t="s">
        <v>2129</v>
      </c>
      <c r="AN16" t="s">
        <v>2129</v>
      </c>
      <c r="AO16" t="s">
        <v>2129</v>
      </c>
      <c r="AP16" t="s">
        <v>2129</v>
      </c>
      <c r="AQ16" t="s">
        <v>2129</v>
      </c>
      <c r="AR16" t="s">
        <v>2129</v>
      </c>
      <c r="AS16" t="s">
        <v>2129</v>
      </c>
      <c r="AT16" t="s">
        <v>2129</v>
      </c>
      <c r="AU16" t="s">
        <v>2129</v>
      </c>
      <c r="AV16" t="s">
        <v>2129</v>
      </c>
      <c r="AW16" t="s">
        <v>2129</v>
      </c>
      <c r="AX16" t="s">
        <v>2129</v>
      </c>
      <c r="AY16" t="s">
        <v>2129</v>
      </c>
      <c r="AZ16" t="s">
        <v>2129</v>
      </c>
      <c r="BA16" t="s">
        <v>2129</v>
      </c>
      <c r="BB16" t="s">
        <v>2129</v>
      </c>
      <c r="BC16" t="s">
        <v>2129</v>
      </c>
      <c r="BD16" t="s">
        <v>2129</v>
      </c>
      <c r="BE16" t="s">
        <v>2129</v>
      </c>
      <c r="BF16" t="s">
        <v>2129</v>
      </c>
      <c r="BG16" t="s">
        <v>2129</v>
      </c>
      <c r="BH16" t="s">
        <v>2129</v>
      </c>
      <c r="BI16" t="s">
        <v>2129</v>
      </c>
      <c r="BJ16" t="s">
        <v>2129</v>
      </c>
      <c r="BK16" t="s">
        <v>2129</v>
      </c>
      <c r="BL16" t="s">
        <v>2129</v>
      </c>
      <c r="BM16" t="s">
        <v>2129</v>
      </c>
      <c r="BN16" t="s">
        <v>2129</v>
      </c>
      <c r="BO16" t="s">
        <v>2129</v>
      </c>
      <c r="BP16" t="s">
        <v>2129</v>
      </c>
      <c r="BS16" t="s">
        <v>2129</v>
      </c>
      <c r="BT16" t="s">
        <v>2129</v>
      </c>
      <c r="BW16" t="s">
        <v>2129</v>
      </c>
      <c r="BX16" t="s">
        <v>2129</v>
      </c>
      <c r="BY16" t="s">
        <v>2129</v>
      </c>
      <c r="BZ16" t="s">
        <v>3448</v>
      </c>
      <c r="CA16" t="s">
        <v>2129</v>
      </c>
      <c r="CB16" t="s">
        <v>2129</v>
      </c>
      <c r="CC16" t="s">
        <v>2129</v>
      </c>
      <c r="CD16" t="s">
        <v>2129</v>
      </c>
      <c r="CE16" t="s">
        <v>2129</v>
      </c>
      <c r="CF16" t="s">
        <v>2129</v>
      </c>
      <c r="CG16" t="s">
        <v>2129</v>
      </c>
      <c r="CH16" t="s">
        <v>2129</v>
      </c>
      <c r="CI16" t="s">
        <v>2129</v>
      </c>
      <c r="CJ16" t="s">
        <v>2129</v>
      </c>
      <c r="CK16" t="s">
        <v>2129</v>
      </c>
      <c r="CL16" t="s">
        <v>2129</v>
      </c>
      <c r="CM16" t="s">
        <v>2129</v>
      </c>
      <c r="CN16" t="s">
        <v>2129</v>
      </c>
      <c r="CO16" t="s">
        <v>2129</v>
      </c>
      <c r="CP16" t="s">
        <v>2129</v>
      </c>
      <c r="CQ16" t="s">
        <v>2129</v>
      </c>
      <c r="CR16" t="s">
        <v>2129</v>
      </c>
      <c r="CS16" t="s">
        <v>2129</v>
      </c>
      <c r="CT16" t="s">
        <v>3449</v>
      </c>
      <c r="CU16" t="s">
        <v>2129</v>
      </c>
      <c r="CV16" t="s">
        <v>2129</v>
      </c>
      <c r="CW16" t="s">
        <v>2129</v>
      </c>
      <c r="CX16" t="s">
        <v>2129</v>
      </c>
      <c r="CY16" t="s">
        <v>2129</v>
      </c>
      <c r="CZ16" t="s">
        <v>2129</v>
      </c>
      <c r="DA16" t="s">
        <v>2129</v>
      </c>
      <c r="DB16" t="s">
        <v>2129</v>
      </c>
      <c r="DC16" t="s">
        <v>2129</v>
      </c>
      <c r="DD16" t="s">
        <v>2129</v>
      </c>
      <c r="DE16" t="s">
        <v>2129</v>
      </c>
      <c r="DF16" t="s">
        <v>2129</v>
      </c>
      <c r="DG16" t="s">
        <v>2129</v>
      </c>
      <c r="DH16" t="s">
        <v>2129</v>
      </c>
      <c r="DJ16" t="s">
        <v>2129</v>
      </c>
      <c r="DK16" t="s">
        <v>2129</v>
      </c>
      <c r="DL16" t="s">
        <v>2129</v>
      </c>
      <c r="DM16" t="s">
        <v>2129</v>
      </c>
      <c r="DN16" t="s">
        <v>2129</v>
      </c>
      <c r="DO16" t="s">
        <v>2129</v>
      </c>
      <c r="DP16" t="s">
        <v>2129</v>
      </c>
      <c r="DQ16" t="s">
        <v>2129</v>
      </c>
      <c r="DR16" t="s">
        <v>2129</v>
      </c>
      <c r="DS16" t="s">
        <v>2129</v>
      </c>
      <c r="DT16" t="s">
        <v>2129</v>
      </c>
      <c r="DU16" t="s">
        <v>2129</v>
      </c>
      <c r="DV16" t="s">
        <v>2129</v>
      </c>
      <c r="DW16" t="s">
        <v>2129</v>
      </c>
      <c r="DX16" t="s">
        <v>2129</v>
      </c>
      <c r="DY16" t="s">
        <v>2129</v>
      </c>
      <c r="DZ16" t="s">
        <v>2129</v>
      </c>
      <c r="EA16" t="s">
        <v>2129</v>
      </c>
      <c r="EB16" t="s">
        <v>2129</v>
      </c>
      <c r="EC16" t="s">
        <v>2129</v>
      </c>
      <c r="ED16" t="s">
        <v>2129</v>
      </c>
      <c r="EE16" t="s">
        <v>2129</v>
      </c>
      <c r="EF16" t="s">
        <v>2129</v>
      </c>
      <c r="EG16" t="s">
        <v>2129</v>
      </c>
      <c r="EH16" t="s">
        <v>2129</v>
      </c>
    </row>
    <row r="17" spans="1:138" x14ac:dyDescent="0.25">
      <c r="A17" t="s">
        <v>3450</v>
      </c>
      <c r="B17" t="s">
        <v>3451</v>
      </c>
      <c r="C17">
        <v>23176</v>
      </c>
      <c r="E17" t="s">
        <v>14</v>
      </c>
      <c r="F17" t="s">
        <v>10</v>
      </c>
      <c r="G17" t="s">
        <v>2140</v>
      </c>
      <c r="H17" t="s">
        <v>599</v>
      </c>
      <c r="I17" t="s">
        <v>2127</v>
      </c>
      <c r="J17" t="s">
        <v>2141</v>
      </c>
      <c r="K17" t="s">
        <v>2129</v>
      </c>
      <c r="L17" t="s">
        <v>2142</v>
      </c>
      <c r="M17" t="s">
        <v>2130</v>
      </c>
      <c r="N17" t="s">
        <v>2129</v>
      </c>
      <c r="O17" t="s">
        <v>2141</v>
      </c>
      <c r="P17" t="s">
        <v>2145</v>
      </c>
      <c r="Q17" t="s">
        <v>2145</v>
      </c>
      <c r="R17" s="37">
        <v>46098.445138888892</v>
      </c>
      <c r="S17" s="37">
        <v>46098.554166666669</v>
      </c>
      <c r="T17" s="37">
        <v>46100.368750000001</v>
      </c>
      <c r="U17" s="37"/>
      <c r="V17" t="s">
        <v>2129</v>
      </c>
      <c r="W17" t="s">
        <v>2129</v>
      </c>
      <c r="X17" t="s">
        <v>2129</v>
      </c>
      <c r="Y17">
        <v>0</v>
      </c>
      <c r="Z17" t="s">
        <v>2129</v>
      </c>
      <c r="AA17" t="s">
        <v>3452</v>
      </c>
      <c r="AB17" t="s">
        <v>2129</v>
      </c>
      <c r="AC17" t="s">
        <v>2145</v>
      </c>
      <c r="AD17" t="s">
        <v>2129</v>
      </c>
      <c r="AE17" t="s">
        <v>2129</v>
      </c>
      <c r="AF17" t="s">
        <v>2129</v>
      </c>
      <c r="AG17" t="s">
        <v>2129</v>
      </c>
      <c r="AH17" t="s">
        <v>2129</v>
      </c>
      <c r="AI17" t="s">
        <v>2129</v>
      </c>
      <c r="AJ17" t="s">
        <v>2129</v>
      </c>
      <c r="AK17" t="s">
        <v>2129</v>
      </c>
      <c r="AL17" t="s">
        <v>2129</v>
      </c>
      <c r="AM17" t="s">
        <v>2129</v>
      </c>
      <c r="AN17" t="s">
        <v>2129</v>
      </c>
      <c r="AO17" t="s">
        <v>2129</v>
      </c>
      <c r="AP17" t="s">
        <v>2129</v>
      </c>
      <c r="AQ17" t="s">
        <v>2129</v>
      </c>
      <c r="AR17" t="s">
        <v>2129</v>
      </c>
      <c r="AS17" t="s">
        <v>2129</v>
      </c>
      <c r="AT17" t="s">
        <v>2129</v>
      </c>
      <c r="AU17" t="s">
        <v>2129</v>
      </c>
      <c r="AV17" t="s">
        <v>2129</v>
      </c>
      <c r="AW17" t="s">
        <v>2129</v>
      </c>
      <c r="AX17" t="s">
        <v>2129</v>
      </c>
      <c r="AY17" t="s">
        <v>2129</v>
      </c>
      <c r="AZ17" t="s">
        <v>2129</v>
      </c>
      <c r="BA17" t="s">
        <v>2129</v>
      </c>
      <c r="BB17" t="s">
        <v>2129</v>
      </c>
      <c r="BC17" t="s">
        <v>2129</v>
      </c>
      <c r="BD17" t="s">
        <v>2129</v>
      </c>
      <c r="BE17" t="s">
        <v>2129</v>
      </c>
      <c r="BF17" t="s">
        <v>2129</v>
      </c>
      <c r="BG17" t="s">
        <v>2129</v>
      </c>
      <c r="BH17" t="s">
        <v>2129</v>
      </c>
      <c r="BI17" t="s">
        <v>2129</v>
      </c>
      <c r="BJ17" t="s">
        <v>2129</v>
      </c>
      <c r="BK17" t="s">
        <v>2129</v>
      </c>
      <c r="BL17" t="s">
        <v>2129</v>
      </c>
      <c r="BM17" t="s">
        <v>2129</v>
      </c>
      <c r="BN17" t="s">
        <v>2129</v>
      </c>
      <c r="BO17" t="s">
        <v>2129</v>
      </c>
      <c r="BP17" t="s">
        <v>2129</v>
      </c>
      <c r="BS17" t="s">
        <v>2129</v>
      </c>
      <c r="BT17" t="s">
        <v>2129</v>
      </c>
      <c r="BW17" t="s">
        <v>2129</v>
      </c>
      <c r="BX17" t="s">
        <v>2129</v>
      </c>
      <c r="BY17" t="s">
        <v>2129</v>
      </c>
      <c r="BZ17" t="s">
        <v>3453</v>
      </c>
      <c r="CA17" t="s">
        <v>2129</v>
      </c>
      <c r="CB17" t="s">
        <v>2129</v>
      </c>
      <c r="CC17" t="s">
        <v>2129</v>
      </c>
      <c r="CD17" t="s">
        <v>2129</v>
      </c>
      <c r="CE17" t="s">
        <v>2129</v>
      </c>
      <c r="CF17" t="s">
        <v>2129</v>
      </c>
      <c r="CG17" t="s">
        <v>2129</v>
      </c>
      <c r="CH17" t="s">
        <v>2129</v>
      </c>
      <c r="CI17" t="s">
        <v>2129</v>
      </c>
      <c r="CJ17" t="s">
        <v>2129</v>
      </c>
      <c r="CK17" t="s">
        <v>2129</v>
      </c>
      <c r="CL17" t="s">
        <v>2129</v>
      </c>
      <c r="CM17" t="s">
        <v>2129</v>
      </c>
      <c r="CN17" t="s">
        <v>2129</v>
      </c>
      <c r="CO17" t="s">
        <v>2129</v>
      </c>
      <c r="CP17" t="s">
        <v>2129</v>
      </c>
      <c r="CQ17" t="s">
        <v>2129</v>
      </c>
      <c r="CR17" t="s">
        <v>2129</v>
      </c>
      <c r="CS17" t="s">
        <v>2129</v>
      </c>
      <c r="CT17" t="s">
        <v>3454</v>
      </c>
      <c r="CU17" t="s">
        <v>2129</v>
      </c>
      <c r="CV17" t="s">
        <v>2129</v>
      </c>
      <c r="CW17" t="s">
        <v>2129</v>
      </c>
      <c r="CX17" t="s">
        <v>2129</v>
      </c>
      <c r="CY17" t="s">
        <v>2129</v>
      </c>
      <c r="CZ17" t="s">
        <v>2129</v>
      </c>
      <c r="DA17" t="s">
        <v>2129</v>
      </c>
      <c r="DB17" t="s">
        <v>2129</v>
      </c>
      <c r="DC17" t="s">
        <v>2129</v>
      </c>
      <c r="DD17" t="s">
        <v>2129</v>
      </c>
      <c r="DE17" t="s">
        <v>2129</v>
      </c>
      <c r="DF17" t="s">
        <v>2129</v>
      </c>
      <c r="DG17" t="s">
        <v>2129</v>
      </c>
      <c r="DH17" t="s">
        <v>2129</v>
      </c>
      <c r="DJ17" t="s">
        <v>2129</v>
      </c>
      <c r="DK17" t="s">
        <v>2129</v>
      </c>
      <c r="DL17" t="s">
        <v>2129</v>
      </c>
      <c r="DM17" t="s">
        <v>2129</v>
      </c>
      <c r="DN17" t="s">
        <v>2129</v>
      </c>
      <c r="DO17" t="s">
        <v>2129</v>
      </c>
      <c r="DP17" t="s">
        <v>2129</v>
      </c>
      <c r="DQ17" t="s">
        <v>2129</v>
      </c>
      <c r="DR17" t="s">
        <v>2129</v>
      </c>
      <c r="DS17" t="s">
        <v>2129</v>
      </c>
      <c r="DT17" t="s">
        <v>2129</v>
      </c>
      <c r="DU17" t="s">
        <v>2129</v>
      </c>
      <c r="DV17" t="s">
        <v>2129</v>
      </c>
      <c r="DW17" t="s">
        <v>2129</v>
      </c>
      <c r="DX17" t="s">
        <v>2129</v>
      </c>
      <c r="DY17" t="s">
        <v>2129</v>
      </c>
      <c r="DZ17" t="s">
        <v>2129</v>
      </c>
      <c r="EA17" t="s">
        <v>2129</v>
      </c>
      <c r="EB17" t="s">
        <v>2129</v>
      </c>
      <c r="EC17" t="s">
        <v>2129</v>
      </c>
      <c r="ED17" t="s">
        <v>2129</v>
      </c>
      <c r="EE17" t="s">
        <v>2129</v>
      </c>
      <c r="EF17" t="s">
        <v>2129</v>
      </c>
      <c r="EG17" t="s">
        <v>2129</v>
      </c>
      <c r="EH17" t="s">
        <v>2129</v>
      </c>
    </row>
    <row r="18" spans="1:138" x14ac:dyDescent="0.25">
      <c r="A18" t="s">
        <v>3455</v>
      </c>
      <c r="B18" t="s">
        <v>3206</v>
      </c>
      <c r="C18">
        <v>23162</v>
      </c>
      <c r="E18" t="s">
        <v>77</v>
      </c>
      <c r="F18" t="s">
        <v>10</v>
      </c>
      <c r="G18" t="s">
        <v>2140</v>
      </c>
      <c r="H18" t="s">
        <v>599</v>
      </c>
      <c r="I18" t="s">
        <v>2127</v>
      </c>
      <c r="J18" t="s">
        <v>2141</v>
      </c>
      <c r="K18" t="s">
        <v>2129</v>
      </c>
      <c r="L18" t="s">
        <v>2142</v>
      </c>
      <c r="M18" t="s">
        <v>2130</v>
      </c>
      <c r="N18" t="s">
        <v>2129</v>
      </c>
      <c r="O18" t="s">
        <v>2144</v>
      </c>
      <c r="P18" t="s">
        <v>2141</v>
      </c>
      <c r="Q18" t="s">
        <v>2141</v>
      </c>
      <c r="R18" s="37">
        <v>46097.674305555556</v>
      </c>
      <c r="S18" s="37">
        <v>46098.594444444447</v>
      </c>
      <c r="T18" s="37">
        <v>46100.368750000001</v>
      </c>
      <c r="U18" s="37"/>
      <c r="V18" t="s">
        <v>2129</v>
      </c>
      <c r="W18" t="s">
        <v>2129</v>
      </c>
      <c r="X18" t="s">
        <v>2129</v>
      </c>
      <c r="Y18">
        <v>0</v>
      </c>
      <c r="Z18" t="s">
        <v>2129</v>
      </c>
      <c r="AA18" t="s">
        <v>3456</v>
      </c>
      <c r="AB18" t="s">
        <v>2129</v>
      </c>
      <c r="AC18" t="s">
        <v>2141</v>
      </c>
      <c r="AD18" t="s">
        <v>2129</v>
      </c>
      <c r="AE18" t="s">
        <v>2129</v>
      </c>
      <c r="AF18" t="s">
        <v>2129</v>
      </c>
      <c r="AG18" t="s">
        <v>2129</v>
      </c>
      <c r="AH18" t="s">
        <v>2129</v>
      </c>
      <c r="AI18" t="s">
        <v>2129</v>
      </c>
      <c r="AJ18" t="s">
        <v>2129</v>
      </c>
      <c r="AK18" t="s">
        <v>2129</v>
      </c>
      <c r="AL18" t="s">
        <v>2129</v>
      </c>
      <c r="AM18" t="s">
        <v>2129</v>
      </c>
      <c r="AN18" t="s">
        <v>2129</v>
      </c>
      <c r="AO18" t="s">
        <v>2129</v>
      </c>
      <c r="AP18" t="s">
        <v>2129</v>
      </c>
      <c r="AQ18" t="s">
        <v>2129</v>
      </c>
      <c r="AR18" t="s">
        <v>2129</v>
      </c>
      <c r="AS18" t="s">
        <v>2129</v>
      </c>
      <c r="AT18" t="s">
        <v>2129</v>
      </c>
      <c r="AU18" t="s">
        <v>2129</v>
      </c>
      <c r="AV18" t="s">
        <v>2129</v>
      </c>
      <c r="AW18" t="s">
        <v>2129</v>
      </c>
      <c r="AX18" t="s">
        <v>2129</v>
      </c>
      <c r="AY18" t="s">
        <v>2129</v>
      </c>
      <c r="AZ18" t="s">
        <v>2129</v>
      </c>
      <c r="BA18" t="s">
        <v>2129</v>
      </c>
      <c r="BB18" t="s">
        <v>2129</v>
      </c>
      <c r="BC18" t="s">
        <v>2129</v>
      </c>
      <c r="BD18" t="s">
        <v>2129</v>
      </c>
      <c r="BE18" t="s">
        <v>2129</v>
      </c>
      <c r="BF18" t="s">
        <v>2129</v>
      </c>
      <c r="BG18" t="s">
        <v>2129</v>
      </c>
      <c r="BH18" t="s">
        <v>2129</v>
      </c>
      <c r="BI18" t="s">
        <v>2129</v>
      </c>
      <c r="BJ18" t="s">
        <v>2129</v>
      </c>
      <c r="BK18" t="s">
        <v>2129</v>
      </c>
      <c r="BL18" t="s">
        <v>2129</v>
      </c>
      <c r="BM18" t="s">
        <v>2129</v>
      </c>
      <c r="BN18" t="s">
        <v>2129</v>
      </c>
      <c r="BO18" t="s">
        <v>2129</v>
      </c>
      <c r="BP18" t="s">
        <v>2129</v>
      </c>
      <c r="BS18" t="s">
        <v>2129</v>
      </c>
      <c r="BT18" t="s">
        <v>2129</v>
      </c>
      <c r="BW18" t="s">
        <v>2129</v>
      </c>
      <c r="BX18" t="s">
        <v>2129</v>
      </c>
      <c r="BY18" t="s">
        <v>2129</v>
      </c>
      <c r="BZ18" t="s">
        <v>2129</v>
      </c>
      <c r="CA18" t="s">
        <v>2129</v>
      </c>
      <c r="CB18" t="s">
        <v>2129</v>
      </c>
      <c r="CC18" t="s">
        <v>2129</v>
      </c>
      <c r="CD18" t="s">
        <v>2129</v>
      </c>
      <c r="CE18" t="s">
        <v>2129</v>
      </c>
      <c r="CF18" t="s">
        <v>2129</v>
      </c>
      <c r="CG18" t="s">
        <v>2129</v>
      </c>
      <c r="CH18" t="s">
        <v>2129</v>
      </c>
      <c r="CI18" t="s">
        <v>2129</v>
      </c>
      <c r="CJ18" t="s">
        <v>2129</v>
      </c>
      <c r="CK18" t="s">
        <v>2129</v>
      </c>
      <c r="CL18" t="s">
        <v>2129</v>
      </c>
      <c r="CM18" t="s">
        <v>2129</v>
      </c>
      <c r="CN18" t="s">
        <v>2129</v>
      </c>
      <c r="CO18" t="s">
        <v>2129</v>
      </c>
      <c r="CP18" t="s">
        <v>2129</v>
      </c>
      <c r="CQ18" t="s">
        <v>2129</v>
      </c>
      <c r="CR18" t="s">
        <v>2129</v>
      </c>
      <c r="CS18" t="s">
        <v>2129</v>
      </c>
      <c r="CT18" t="s">
        <v>3457</v>
      </c>
      <c r="CU18" t="s">
        <v>3458</v>
      </c>
      <c r="CV18" t="s">
        <v>2129</v>
      </c>
      <c r="CW18" t="s">
        <v>2129</v>
      </c>
      <c r="CX18" t="s">
        <v>2129</v>
      </c>
      <c r="CY18" t="s">
        <v>2129</v>
      </c>
      <c r="CZ18" t="s">
        <v>2129</v>
      </c>
      <c r="DA18" t="s">
        <v>2129</v>
      </c>
      <c r="DB18" t="s">
        <v>2129</v>
      </c>
      <c r="DC18" t="s">
        <v>2129</v>
      </c>
      <c r="DD18" t="s">
        <v>2129</v>
      </c>
      <c r="DE18" t="s">
        <v>2129</v>
      </c>
      <c r="DF18" t="s">
        <v>2129</v>
      </c>
      <c r="DG18" t="s">
        <v>2129</v>
      </c>
      <c r="DH18" t="s">
        <v>2129</v>
      </c>
      <c r="DI18">
        <v>10</v>
      </c>
      <c r="DJ18" t="s">
        <v>2129</v>
      </c>
      <c r="DK18" t="s">
        <v>2129</v>
      </c>
      <c r="DL18" t="s">
        <v>2129</v>
      </c>
      <c r="DM18" t="s">
        <v>2129</v>
      </c>
      <c r="DN18" t="s">
        <v>2129</v>
      </c>
      <c r="DO18" t="s">
        <v>2129</v>
      </c>
      <c r="DP18" t="s">
        <v>2129</v>
      </c>
      <c r="DQ18" t="s">
        <v>2129</v>
      </c>
      <c r="DR18" t="s">
        <v>2129</v>
      </c>
      <c r="DS18" t="s">
        <v>2129</v>
      </c>
      <c r="DT18" t="s">
        <v>2129</v>
      </c>
      <c r="DU18" t="s">
        <v>2129</v>
      </c>
      <c r="DV18" t="s">
        <v>2129</v>
      </c>
      <c r="DW18" t="s">
        <v>2129</v>
      </c>
      <c r="DX18" t="s">
        <v>2129</v>
      </c>
      <c r="DY18" t="s">
        <v>2129</v>
      </c>
      <c r="DZ18" t="s">
        <v>2129</v>
      </c>
      <c r="EA18" t="s">
        <v>2129</v>
      </c>
      <c r="EB18" t="s">
        <v>2129</v>
      </c>
      <c r="EC18" t="s">
        <v>2129</v>
      </c>
      <c r="ED18" t="s">
        <v>2129</v>
      </c>
      <c r="EE18" t="s">
        <v>2129</v>
      </c>
      <c r="EF18" t="s">
        <v>2129</v>
      </c>
      <c r="EG18" t="s">
        <v>2129</v>
      </c>
      <c r="EH18" t="s">
        <v>2129</v>
      </c>
    </row>
    <row r="19" spans="1:138" x14ac:dyDescent="0.25">
      <c r="A19" t="s">
        <v>3209</v>
      </c>
      <c r="B19" t="s">
        <v>3208</v>
      </c>
      <c r="C19">
        <v>23161</v>
      </c>
      <c r="E19" t="s">
        <v>77</v>
      </c>
      <c r="F19" t="s">
        <v>10</v>
      </c>
      <c r="G19" t="s">
        <v>2140</v>
      </c>
      <c r="H19" t="s">
        <v>599</v>
      </c>
      <c r="I19" t="s">
        <v>2127</v>
      </c>
      <c r="J19" t="s">
        <v>2141</v>
      </c>
      <c r="K19" t="s">
        <v>2129</v>
      </c>
      <c r="L19" t="s">
        <v>2142</v>
      </c>
      <c r="M19" t="s">
        <v>2130</v>
      </c>
      <c r="N19" t="s">
        <v>2129</v>
      </c>
      <c r="O19" t="s">
        <v>2144</v>
      </c>
      <c r="P19" t="s">
        <v>2141</v>
      </c>
      <c r="Q19" t="s">
        <v>2141</v>
      </c>
      <c r="R19" s="37">
        <v>46097.669444444444</v>
      </c>
      <c r="S19" s="37">
        <v>46098.595138888886</v>
      </c>
      <c r="T19" s="37">
        <v>46100.368750000001</v>
      </c>
      <c r="U19" s="37"/>
      <c r="V19" t="s">
        <v>2129</v>
      </c>
      <c r="W19" t="s">
        <v>2129</v>
      </c>
      <c r="X19" t="s">
        <v>2129</v>
      </c>
      <c r="Y19">
        <v>0</v>
      </c>
      <c r="Z19" t="s">
        <v>2129</v>
      </c>
      <c r="AA19" t="s">
        <v>3459</v>
      </c>
      <c r="AB19" t="s">
        <v>2129</v>
      </c>
      <c r="AC19" t="s">
        <v>2141</v>
      </c>
      <c r="AD19" t="s">
        <v>2129</v>
      </c>
      <c r="AE19" t="s">
        <v>2129</v>
      </c>
      <c r="AF19" t="s">
        <v>2129</v>
      </c>
      <c r="AG19" t="s">
        <v>2129</v>
      </c>
      <c r="AH19" t="s">
        <v>2129</v>
      </c>
      <c r="AI19" t="s">
        <v>2129</v>
      </c>
      <c r="AJ19" t="s">
        <v>2129</v>
      </c>
      <c r="AK19" t="s">
        <v>2129</v>
      </c>
      <c r="AL19" t="s">
        <v>2129</v>
      </c>
      <c r="AM19" t="s">
        <v>2129</v>
      </c>
      <c r="AN19" t="s">
        <v>2129</v>
      </c>
      <c r="AO19" t="s">
        <v>2129</v>
      </c>
      <c r="AP19" t="s">
        <v>2129</v>
      </c>
      <c r="AQ19" t="s">
        <v>2129</v>
      </c>
      <c r="AR19" t="s">
        <v>2129</v>
      </c>
      <c r="AS19" t="s">
        <v>2129</v>
      </c>
      <c r="AT19" t="s">
        <v>2129</v>
      </c>
      <c r="AU19" t="s">
        <v>2129</v>
      </c>
      <c r="AV19" t="s">
        <v>2129</v>
      </c>
      <c r="AW19" t="s">
        <v>2129</v>
      </c>
      <c r="AX19" t="s">
        <v>2129</v>
      </c>
      <c r="AY19" t="s">
        <v>2129</v>
      </c>
      <c r="AZ19" t="s">
        <v>2129</v>
      </c>
      <c r="BA19" t="s">
        <v>2129</v>
      </c>
      <c r="BB19" t="s">
        <v>2129</v>
      </c>
      <c r="BC19" t="s">
        <v>2129</v>
      </c>
      <c r="BD19" t="s">
        <v>2129</v>
      </c>
      <c r="BE19" t="s">
        <v>2129</v>
      </c>
      <c r="BF19" t="s">
        <v>2129</v>
      </c>
      <c r="BG19" t="s">
        <v>2129</v>
      </c>
      <c r="BH19" t="s">
        <v>2129</v>
      </c>
      <c r="BI19" t="s">
        <v>2129</v>
      </c>
      <c r="BJ19" t="s">
        <v>2129</v>
      </c>
      <c r="BK19" t="s">
        <v>2129</v>
      </c>
      <c r="BL19" t="s">
        <v>2129</v>
      </c>
      <c r="BM19" t="s">
        <v>2129</v>
      </c>
      <c r="BN19" t="s">
        <v>2129</v>
      </c>
      <c r="BO19" t="s">
        <v>2129</v>
      </c>
      <c r="BP19" t="s">
        <v>2129</v>
      </c>
      <c r="BS19" t="s">
        <v>2129</v>
      </c>
      <c r="BT19" t="s">
        <v>2129</v>
      </c>
      <c r="BW19" t="s">
        <v>2129</v>
      </c>
      <c r="BX19" t="s">
        <v>2129</v>
      </c>
      <c r="BY19" t="s">
        <v>2129</v>
      </c>
      <c r="BZ19" t="s">
        <v>2129</v>
      </c>
      <c r="CA19" t="s">
        <v>2129</v>
      </c>
      <c r="CB19" t="s">
        <v>2129</v>
      </c>
      <c r="CC19" t="s">
        <v>2129</v>
      </c>
      <c r="CD19" t="s">
        <v>2129</v>
      </c>
      <c r="CE19" t="s">
        <v>2129</v>
      </c>
      <c r="CF19" t="s">
        <v>2129</v>
      </c>
      <c r="CG19" t="s">
        <v>2129</v>
      </c>
      <c r="CH19" t="s">
        <v>2129</v>
      </c>
      <c r="CI19" t="s">
        <v>2129</v>
      </c>
      <c r="CJ19" t="s">
        <v>2129</v>
      </c>
      <c r="CK19" t="s">
        <v>2129</v>
      </c>
      <c r="CL19" t="s">
        <v>2129</v>
      </c>
      <c r="CM19" t="s">
        <v>2129</v>
      </c>
      <c r="CN19" t="s">
        <v>2129</v>
      </c>
      <c r="CO19" t="s">
        <v>2129</v>
      </c>
      <c r="CP19" t="s">
        <v>2129</v>
      </c>
      <c r="CQ19" t="s">
        <v>2129</v>
      </c>
      <c r="CR19" t="s">
        <v>2129</v>
      </c>
      <c r="CS19" t="s">
        <v>2129</v>
      </c>
      <c r="CT19" t="s">
        <v>3460</v>
      </c>
      <c r="CU19" t="s">
        <v>3458</v>
      </c>
      <c r="CV19" t="s">
        <v>2129</v>
      </c>
      <c r="CW19" t="s">
        <v>2129</v>
      </c>
      <c r="CX19" t="s">
        <v>2129</v>
      </c>
      <c r="CY19" t="s">
        <v>2129</v>
      </c>
      <c r="CZ19" t="s">
        <v>2129</v>
      </c>
      <c r="DA19" t="s">
        <v>2129</v>
      </c>
      <c r="DB19" t="s">
        <v>2129</v>
      </c>
      <c r="DC19" t="s">
        <v>2129</v>
      </c>
      <c r="DD19" t="s">
        <v>2129</v>
      </c>
      <c r="DE19" t="s">
        <v>2129</v>
      </c>
      <c r="DF19" t="s">
        <v>2129</v>
      </c>
      <c r="DG19" t="s">
        <v>2129</v>
      </c>
      <c r="DH19" t="s">
        <v>2129</v>
      </c>
      <c r="DI19">
        <v>10</v>
      </c>
      <c r="DJ19" t="s">
        <v>2129</v>
      </c>
      <c r="DK19" t="s">
        <v>2129</v>
      </c>
      <c r="DL19" t="s">
        <v>2129</v>
      </c>
      <c r="DM19" t="s">
        <v>2129</v>
      </c>
      <c r="DN19" t="s">
        <v>2129</v>
      </c>
      <c r="DO19" t="s">
        <v>2129</v>
      </c>
      <c r="DP19" t="s">
        <v>2129</v>
      </c>
      <c r="DQ19" t="s">
        <v>2129</v>
      </c>
      <c r="DR19" t="s">
        <v>2129</v>
      </c>
      <c r="DS19" t="s">
        <v>2129</v>
      </c>
      <c r="DT19" t="s">
        <v>2129</v>
      </c>
      <c r="DU19" t="s">
        <v>2129</v>
      </c>
      <c r="DV19" t="s">
        <v>2129</v>
      </c>
      <c r="DW19" t="s">
        <v>2129</v>
      </c>
      <c r="DX19" t="s">
        <v>2129</v>
      </c>
      <c r="DY19" t="s">
        <v>2129</v>
      </c>
      <c r="DZ19" t="s">
        <v>2129</v>
      </c>
      <c r="EA19" t="s">
        <v>2129</v>
      </c>
      <c r="EB19" t="s">
        <v>2129</v>
      </c>
      <c r="EC19" t="s">
        <v>2129</v>
      </c>
      <c r="ED19" t="s">
        <v>2129</v>
      </c>
      <c r="EE19" t="s">
        <v>2129</v>
      </c>
      <c r="EF19" t="s">
        <v>2129</v>
      </c>
      <c r="EG19" t="s">
        <v>2129</v>
      </c>
      <c r="EH19" t="s">
        <v>2129</v>
      </c>
    </row>
    <row r="20" spans="1:138" x14ac:dyDescent="0.25">
      <c r="A20" t="s">
        <v>3205</v>
      </c>
      <c r="B20" t="s">
        <v>3204</v>
      </c>
      <c r="C20">
        <v>23144</v>
      </c>
      <c r="E20" t="s">
        <v>77</v>
      </c>
      <c r="F20" t="s">
        <v>10</v>
      </c>
      <c r="G20" t="s">
        <v>2140</v>
      </c>
      <c r="H20" t="s">
        <v>599</v>
      </c>
      <c r="I20" t="s">
        <v>2127</v>
      </c>
      <c r="J20" t="s">
        <v>2141</v>
      </c>
      <c r="K20" t="s">
        <v>2129</v>
      </c>
      <c r="L20" t="s">
        <v>2142</v>
      </c>
      <c r="M20" t="s">
        <v>2130</v>
      </c>
      <c r="N20" t="s">
        <v>2129</v>
      </c>
      <c r="O20" t="s">
        <v>2144</v>
      </c>
      <c r="P20" t="s">
        <v>2141</v>
      </c>
      <c r="Q20" t="s">
        <v>2141</v>
      </c>
      <c r="R20" s="37">
        <v>46091.609722222223</v>
      </c>
      <c r="S20" s="37">
        <v>46098.594444444447</v>
      </c>
      <c r="T20" s="37">
        <v>46100.368750000001</v>
      </c>
      <c r="U20" s="37"/>
      <c r="V20" t="s">
        <v>2129</v>
      </c>
      <c r="W20" t="s">
        <v>2129</v>
      </c>
      <c r="X20" t="s">
        <v>2129</v>
      </c>
      <c r="Y20">
        <v>0</v>
      </c>
      <c r="Z20" t="s">
        <v>2129</v>
      </c>
      <c r="AA20" t="s">
        <v>3461</v>
      </c>
      <c r="AB20" t="s">
        <v>2129</v>
      </c>
      <c r="AC20" t="s">
        <v>2141</v>
      </c>
      <c r="AD20" t="s">
        <v>2129</v>
      </c>
      <c r="AE20" t="s">
        <v>2129</v>
      </c>
      <c r="AF20" t="s">
        <v>2129</v>
      </c>
      <c r="AG20" t="s">
        <v>2129</v>
      </c>
      <c r="AH20" t="s">
        <v>2129</v>
      </c>
      <c r="AI20" t="s">
        <v>2129</v>
      </c>
      <c r="AJ20" t="s">
        <v>2129</v>
      </c>
      <c r="AK20" t="s">
        <v>2129</v>
      </c>
      <c r="AL20" t="s">
        <v>2129</v>
      </c>
      <c r="AM20" t="s">
        <v>2129</v>
      </c>
      <c r="AN20" t="s">
        <v>2129</v>
      </c>
      <c r="AO20" t="s">
        <v>2129</v>
      </c>
      <c r="AP20" t="s">
        <v>2129</v>
      </c>
      <c r="AQ20" t="s">
        <v>2129</v>
      </c>
      <c r="AR20" t="s">
        <v>2129</v>
      </c>
      <c r="AS20" t="s">
        <v>2129</v>
      </c>
      <c r="AT20" t="s">
        <v>2129</v>
      </c>
      <c r="AU20" t="s">
        <v>2129</v>
      </c>
      <c r="AV20" t="s">
        <v>2129</v>
      </c>
      <c r="AW20" t="s">
        <v>2129</v>
      </c>
      <c r="AX20" t="s">
        <v>2129</v>
      </c>
      <c r="AY20" t="s">
        <v>2129</v>
      </c>
      <c r="AZ20" t="s">
        <v>2129</v>
      </c>
      <c r="BA20" t="s">
        <v>2129</v>
      </c>
      <c r="BB20" t="s">
        <v>2129</v>
      </c>
      <c r="BC20" t="s">
        <v>2129</v>
      </c>
      <c r="BD20" t="s">
        <v>2129</v>
      </c>
      <c r="BE20" t="s">
        <v>2129</v>
      </c>
      <c r="BF20" t="s">
        <v>2129</v>
      </c>
      <c r="BG20" t="s">
        <v>2129</v>
      </c>
      <c r="BH20" t="s">
        <v>2129</v>
      </c>
      <c r="BI20" t="s">
        <v>2129</v>
      </c>
      <c r="BJ20" t="s">
        <v>2129</v>
      </c>
      <c r="BK20" t="s">
        <v>2129</v>
      </c>
      <c r="BL20" t="s">
        <v>2129</v>
      </c>
      <c r="BM20" t="s">
        <v>2129</v>
      </c>
      <c r="BN20" t="s">
        <v>2129</v>
      </c>
      <c r="BO20" t="s">
        <v>2129</v>
      </c>
      <c r="BP20" t="s">
        <v>2129</v>
      </c>
      <c r="BS20" t="s">
        <v>2129</v>
      </c>
      <c r="BT20" t="s">
        <v>2129</v>
      </c>
      <c r="BW20" t="s">
        <v>2129</v>
      </c>
      <c r="BX20" t="s">
        <v>2129</v>
      </c>
      <c r="BY20" t="s">
        <v>2129</v>
      </c>
      <c r="BZ20" t="s">
        <v>3462</v>
      </c>
      <c r="CA20" t="s">
        <v>3463</v>
      </c>
      <c r="CB20" t="s">
        <v>2129</v>
      </c>
      <c r="CC20" t="s">
        <v>2129</v>
      </c>
      <c r="CD20" t="s">
        <v>2129</v>
      </c>
      <c r="CE20" t="s">
        <v>2129</v>
      </c>
      <c r="CF20" t="s">
        <v>2129</v>
      </c>
      <c r="CG20" t="s">
        <v>2129</v>
      </c>
      <c r="CH20" t="s">
        <v>2129</v>
      </c>
      <c r="CI20" t="s">
        <v>2129</v>
      </c>
      <c r="CJ20" t="s">
        <v>2129</v>
      </c>
      <c r="CK20" t="s">
        <v>2129</v>
      </c>
      <c r="CL20" t="s">
        <v>2129</v>
      </c>
      <c r="CM20" t="s">
        <v>2129</v>
      </c>
      <c r="CN20" t="s">
        <v>2129</v>
      </c>
      <c r="CO20" t="s">
        <v>2129</v>
      </c>
      <c r="CP20" t="s">
        <v>2129</v>
      </c>
      <c r="CQ20" t="s">
        <v>2129</v>
      </c>
      <c r="CR20" t="s">
        <v>2129</v>
      </c>
      <c r="CS20" t="s">
        <v>2129</v>
      </c>
      <c r="CT20" t="s">
        <v>3464</v>
      </c>
      <c r="CU20" t="s">
        <v>3458</v>
      </c>
      <c r="CV20" t="s">
        <v>2129</v>
      </c>
      <c r="CW20" t="s">
        <v>2129</v>
      </c>
      <c r="CX20" t="s">
        <v>2129</v>
      </c>
      <c r="CY20" t="s">
        <v>2129</v>
      </c>
      <c r="CZ20" t="s">
        <v>2129</v>
      </c>
      <c r="DA20" t="s">
        <v>2129</v>
      </c>
      <c r="DB20" t="s">
        <v>2129</v>
      </c>
      <c r="DC20" t="s">
        <v>2129</v>
      </c>
      <c r="DD20" t="s">
        <v>2129</v>
      </c>
      <c r="DE20" t="s">
        <v>2129</v>
      </c>
      <c r="DF20" t="s">
        <v>2129</v>
      </c>
      <c r="DG20" t="s">
        <v>2129</v>
      </c>
      <c r="DH20" t="s">
        <v>2129</v>
      </c>
      <c r="DI20">
        <v>20</v>
      </c>
      <c r="DJ20" t="s">
        <v>2129</v>
      </c>
      <c r="DK20" t="s">
        <v>2129</v>
      </c>
      <c r="DL20" t="s">
        <v>2129</v>
      </c>
      <c r="DM20" t="s">
        <v>2129</v>
      </c>
      <c r="DN20" t="s">
        <v>2129</v>
      </c>
      <c r="DO20" t="s">
        <v>2129</v>
      </c>
      <c r="DP20" t="s">
        <v>2129</v>
      </c>
      <c r="DQ20" t="s">
        <v>2129</v>
      </c>
      <c r="DR20" t="s">
        <v>2129</v>
      </c>
      <c r="DS20" t="s">
        <v>2129</v>
      </c>
      <c r="DT20" t="s">
        <v>2129</v>
      </c>
      <c r="DU20" t="s">
        <v>2129</v>
      </c>
      <c r="DV20" t="s">
        <v>2129</v>
      </c>
      <c r="DW20" t="s">
        <v>2129</v>
      </c>
      <c r="DX20" t="s">
        <v>2129</v>
      </c>
      <c r="DY20" t="s">
        <v>2129</v>
      </c>
      <c r="DZ20" t="s">
        <v>2129</v>
      </c>
      <c r="EA20" t="s">
        <v>2129</v>
      </c>
      <c r="EB20" t="s">
        <v>2129</v>
      </c>
      <c r="EC20" t="s">
        <v>2129</v>
      </c>
      <c r="ED20" t="s">
        <v>2129</v>
      </c>
      <c r="EE20" t="s">
        <v>2129</v>
      </c>
      <c r="EF20" t="s">
        <v>2129</v>
      </c>
      <c r="EG20" t="s">
        <v>2129</v>
      </c>
      <c r="EH20" t="s">
        <v>2129</v>
      </c>
    </row>
    <row r="21" spans="1:138" x14ac:dyDescent="0.25">
      <c r="A21" t="s">
        <v>1723</v>
      </c>
      <c r="B21" t="s">
        <v>3465</v>
      </c>
      <c r="C21">
        <v>23130</v>
      </c>
      <c r="E21" t="s">
        <v>2136</v>
      </c>
      <c r="F21" t="s">
        <v>10</v>
      </c>
      <c r="G21" t="s">
        <v>2140</v>
      </c>
      <c r="H21" t="s">
        <v>599</v>
      </c>
      <c r="I21" t="s">
        <v>2127</v>
      </c>
      <c r="J21" t="s">
        <v>2141</v>
      </c>
      <c r="K21" t="s">
        <v>2129</v>
      </c>
      <c r="L21" t="s">
        <v>2142</v>
      </c>
      <c r="M21" t="s">
        <v>2130</v>
      </c>
      <c r="N21" t="s">
        <v>2129</v>
      </c>
      <c r="O21" t="s">
        <v>2305</v>
      </c>
      <c r="P21" t="s">
        <v>2141</v>
      </c>
      <c r="Q21" t="s">
        <v>2141</v>
      </c>
      <c r="R21" s="37">
        <v>46090.447222222225</v>
      </c>
      <c r="S21" s="37">
        <v>46099.711805555555</v>
      </c>
      <c r="T21" s="37">
        <v>46100.368750000001</v>
      </c>
      <c r="U21" s="37"/>
      <c r="V21" t="s">
        <v>2129</v>
      </c>
      <c r="W21" t="s">
        <v>2129</v>
      </c>
      <c r="X21" t="s">
        <v>2129</v>
      </c>
      <c r="Y21">
        <v>0</v>
      </c>
      <c r="Z21" t="s">
        <v>2129</v>
      </c>
      <c r="AA21" t="s">
        <v>2129</v>
      </c>
      <c r="AB21" t="s">
        <v>2129</v>
      </c>
      <c r="AC21" t="s">
        <v>2141</v>
      </c>
      <c r="AD21" t="s">
        <v>2129</v>
      </c>
      <c r="AE21" t="s">
        <v>2129</v>
      </c>
      <c r="AF21" t="s">
        <v>2129</v>
      </c>
      <c r="AG21" t="s">
        <v>2129</v>
      </c>
      <c r="AH21" t="s">
        <v>3466</v>
      </c>
      <c r="AI21" t="s">
        <v>3467</v>
      </c>
      <c r="AJ21" t="s">
        <v>3468</v>
      </c>
      <c r="AK21" t="s">
        <v>3469</v>
      </c>
      <c r="AL21" t="s">
        <v>2129</v>
      </c>
      <c r="AM21" t="s">
        <v>2129</v>
      </c>
      <c r="AN21" t="s">
        <v>2129</v>
      </c>
      <c r="AO21" t="s">
        <v>2129</v>
      </c>
      <c r="AP21" t="s">
        <v>2129</v>
      </c>
      <c r="AQ21" t="s">
        <v>2129</v>
      </c>
      <c r="AR21" t="s">
        <v>2129</v>
      </c>
      <c r="AS21" t="s">
        <v>2129</v>
      </c>
      <c r="AT21" t="s">
        <v>2129</v>
      </c>
      <c r="AU21" t="s">
        <v>2129</v>
      </c>
      <c r="AV21" t="s">
        <v>2129</v>
      </c>
      <c r="AW21" t="s">
        <v>2129</v>
      </c>
      <c r="AX21" t="s">
        <v>2129</v>
      </c>
      <c r="AY21" t="s">
        <v>2129</v>
      </c>
      <c r="AZ21" t="s">
        <v>2129</v>
      </c>
      <c r="BA21" t="s">
        <v>2129</v>
      </c>
      <c r="BB21" t="s">
        <v>2129</v>
      </c>
      <c r="BC21" t="s">
        <v>2129</v>
      </c>
      <c r="BD21" t="s">
        <v>2129</v>
      </c>
      <c r="BE21" t="s">
        <v>2129</v>
      </c>
      <c r="BF21" t="s">
        <v>2129</v>
      </c>
      <c r="BG21" t="s">
        <v>2129</v>
      </c>
      <c r="BH21" t="s">
        <v>2129</v>
      </c>
      <c r="BI21" t="s">
        <v>2129</v>
      </c>
      <c r="BJ21" t="s">
        <v>2129</v>
      </c>
      <c r="BK21" t="s">
        <v>2129</v>
      </c>
      <c r="BL21" t="s">
        <v>2129</v>
      </c>
      <c r="BM21" t="s">
        <v>2129</v>
      </c>
      <c r="BN21" t="s">
        <v>2129</v>
      </c>
      <c r="BO21" t="s">
        <v>2129</v>
      </c>
      <c r="BP21" t="s">
        <v>2129</v>
      </c>
      <c r="BQ21">
        <v>0</v>
      </c>
      <c r="BR21">
        <v>21120</v>
      </c>
      <c r="BS21" t="s">
        <v>2129</v>
      </c>
      <c r="BT21" t="s">
        <v>2129</v>
      </c>
      <c r="BU21">
        <v>0</v>
      </c>
      <c r="BV21">
        <v>21120</v>
      </c>
      <c r="BW21" t="s">
        <v>2129</v>
      </c>
      <c r="BX21" t="s">
        <v>2129</v>
      </c>
      <c r="BY21" t="s">
        <v>2129</v>
      </c>
      <c r="BZ21" t="s">
        <v>2129</v>
      </c>
      <c r="CA21" t="s">
        <v>2129</v>
      </c>
      <c r="CB21" t="s">
        <v>2129</v>
      </c>
      <c r="CC21" t="s">
        <v>2129</v>
      </c>
      <c r="CD21" t="s">
        <v>2129</v>
      </c>
      <c r="CE21" t="s">
        <v>2129</v>
      </c>
      <c r="CF21" t="s">
        <v>2129</v>
      </c>
      <c r="CG21" t="s">
        <v>2129</v>
      </c>
      <c r="CH21" t="s">
        <v>2129</v>
      </c>
      <c r="CI21" t="s">
        <v>2129</v>
      </c>
      <c r="CJ21" t="s">
        <v>2129</v>
      </c>
      <c r="CK21" t="s">
        <v>2129</v>
      </c>
      <c r="CL21" t="s">
        <v>2129</v>
      </c>
      <c r="CM21" t="s">
        <v>2129</v>
      </c>
      <c r="CN21" t="s">
        <v>2129</v>
      </c>
      <c r="CO21" t="s">
        <v>2129</v>
      </c>
      <c r="CP21" t="s">
        <v>2129</v>
      </c>
      <c r="CQ21" t="s">
        <v>2129</v>
      </c>
      <c r="CR21" t="s">
        <v>2129</v>
      </c>
      <c r="CS21" t="s">
        <v>2129</v>
      </c>
      <c r="CT21" t="s">
        <v>3470</v>
      </c>
      <c r="CU21" t="s">
        <v>3471</v>
      </c>
      <c r="CV21" t="s">
        <v>2129</v>
      </c>
      <c r="CW21" t="s">
        <v>2129</v>
      </c>
      <c r="CX21" t="s">
        <v>2129</v>
      </c>
      <c r="CY21" t="s">
        <v>2129</v>
      </c>
      <c r="CZ21" t="s">
        <v>2129</v>
      </c>
      <c r="DA21" t="s">
        <v>2129</v>
      </c>
      <c r="DB21" t="s">
        <v>2129</v>
      </c>
      <c r="DC21" t="s">
        <v>2129</v>
      </c>
      <c r="DD21" t="s">
        <v>2129</v>
      </c>
      <c r="DE21" t="s">
        <v>2129</v>
      </c>
      <c r="DF21" t="s">
        <v>2129</v>
      </c>
      <c r="DG21" t="s">
        <v>2129</v>
      </c>
      <c r="DH21" t="s">
        <v>2129</v>
      </c>
      <c r="DJ21" t="s">
        <v>2129</v>
      </c>
      <c r="DK21" t="s">
        <v>2129</v>
      </c>
      <c r="DL21" t="s">
        <v>2129</v>
      </c>
      <c r="DM21" t="s">
        <v>2129</v>
      </c>
      <c r="DN21" t="s">
        <v>2129</v>
      </c>
      <c r="DO21" t="s">
        <v>2129</v>
      </c>
      <c r="DP21" t="s">
        <v>2129</v>
      </c>
      <c r="DQ21" t="s">
        <v>2129</v>
      </c>
      <c r="DR21" t="s">
        <v>2129</v>
      </c>
      <c r="DS21" t="s">
        <v>2129</v>
      </c>
      <c r="DT21" t="s">
        <v>2129</v>
      </c>
      <c r="DU21" t="s">
        <v>2129</v>
      </c>
      <c r="DV21" t="s">
        <v>2129</v>
      </c>
      <c r="DW21" t="s">
        <v>2129</v>
      </c>
      <c r="DX21" t="s">
        <v>2129</v>
      </c>
      <c r="DY21" t="s">
        <v>2129</v>
      </c>
      <c r="DZ21" t="s">
        <v>2129</v>
      </c>
      <c r="EA21" t="s">
        <v>2129</v>
      </c>
      <c r="EB21" t="s">
        <v>2129</v>
      </c>
      <c r="EC21" t="s">
        <v>2129</v>
      </c>
      <c r="ED21" t="s">
        <v>2129</v>
      </c>
      <c r="EE21" t="s">
        <v>2129</v>
      </c>
      <c r="EF21" t="s">
        <v>2129</v>
      </c>
      <c r="EG21" t="s">
        <v>2129</v>
      </c>
      <c r="EH21" t="s">
        <v>2129</v>
      </c>
    </row>
    <row r="22" spans="1:138" x14ac:dyDescent="0.25">
      <c r="A22" t="s">
        <v>1723</v>
      </c>
      <c r="B22" t="s">
        <v>3472</v>
      </c>
      <c r="C22">
        <v>23129</v>
      </c>
      <c r="E22" t="s">
        <v>2136</v>
      </c>
      <c r="F22" t="s">
        <v>10</v>
      </c>
      <c r="G22" t="s">
        <v>2140</v>
      </c>
      <c r="H22" t="s">
        <v>599</v>
      </c>
      <c r="I22" t="s">
        <v>2127</v>
      </c>
      <c r="J22" t="s">
        <v>2141</v>
      </c>
      <c r="K22" t="s">
        <v>2129</v>
      </c>
      <c r="L22" t="s">
        <v>2142</v>
      </c>
      <c r="M22" t="s">
        <v>2130</v>
      </c>
      <c r="N22" t="s">
        <v>2129</v>
      </c>
      <c r="O22" t="s">
        <v>2143</v>
      </c>
      <c r="P22" t="s">
        <v>2141</v>
      </c>
      <c r="Q22" t="s">
        <v>2141</v>
      </c>
      <c r="R22" s="37">
        <v>46090.447222222225</v>
      </c>
      <c r="S22" s="37">
        <v>46090.447222222225</v>
      </c>
      <c r="T22" s="37">
        <v>46100.368750000001</v>
      </c>
      <c r="U22" s="37"/>
      <c r="V22" t="s">
        <v>2129</v>
      </c>
      <c r="W22" t="s">
        <v>2129</v>
      </c>
      <c r="X22" t="s">
        <v>2129</v>
      </c>
      <c r="Y22">
        <v>0</v>
      </c>
      <c r="Z22" t="s">
        <v>2129</v>
      </c>
      <c r="AA22" t="s">
        <v>2129</v>
      </c>
      <c r="AB22" t="s">
        <v>2129</v>
      </c>
      <c r="AC22" t="s">
        <v>2141</v>
      </c>
      <c r="AD22" t="s">
        <v>2129</v>
      </c>
      <c r="AE22" t="s">
        <v>2129</v>
      </c>
      <c r="AF22" t="s">
        <v>2129</v>
      </c>
      <c r="AG22" t="s">
        <v>2129</v>
      </c>
      <c r="AH22" t="s">
        <v>2129</v>
      </c>
      <c r="AI22" t="s">
        <v>2129</v>
      </c>
      <c r="AJ22" t="s">
        <v>2129</v>
      </c>
      <c r="AK22" t="s">
        <v>2129</v>
      </c>
      <c r="AL22" t="s">
        <v>2129</v>
      </c>
      <c r="AM22" t="s">
        <v>2129</v>
      </c>
      <c r="AN22" t="s">
        <v>2129</v>
      </c>
      <c r="AO22" t="s">
        <v>2129</v>
      </c>
      <c r="AP22" t="s">
        <v>2129</v>
      </c>
      <c r="AQ22" t="s">
        <v>2129</v>
      </c>
      <c r="AR22" t="s">
        <v>2129</v>
      </c>
      <c r="AS22" t="s">
        <v>2129</v>
      </c>
      <c r="AT22" t="s">
        <v>2129</v>
      </c>
      <c r="AU22" t="s">
        <v>2129</v>
      </c>
      <c r="AV22" t="s">
        <v>2129</v>
      </c>
      <c r="AW22" t="s">
        <v>2129</v>
      </c>
      <c r="AX22" t="s">
        <v>2129</v>
      </c>
      <c r="AY22" t="s">
        <v>2129</v>
      </c>
      <c r="AZ22" t="s">
        <v>2129</v>
      </c>
      <c r="BA22" t="s">
        <v>2129</v>
      </c>
      <c r="BB22" t="s">
        <v>2129</v>
      </c>
      <c r="BC22" t="s">
        <v>2129</v>
      </c>
      <c r="BD22" t="s">
        <v>2129</v>
      </c>
      <c r="BE22" t="s">
        <v>2129</v>
      </c>
      <c r="BF22" t="s">
        <v>2129</v>
      </c>
      <c r="BG22" t="s">
        <v>2129</v>
      </c>
      <c r="BH22" t="s">
        <v>2129</v>
      </c>
      <c r="BI22" t="s">
        <v>2129</v>
      </c>
      <c r="BJ22" t="s">
        <v>2129</v>
      </c>
      <c r="BK22" t="s">
        <v>2129</v>
      </c>
      <c r="BL22" t="s">
        <v>2129</v>
      </c>
      <c r="BM22" t="s">
        <v>2129</v>
      </c>
      <c r="BN22" t="s">
        <v>2129</v>
      </c>
      <c r="BO22" t="s">
        <v>2129</v>
      </c>
      <c r="BP22" t="s">
        <v>2129</v>
      </c>
      <c r="BS22" t="s">
        <v>2129</v>
      </c>
      <c r="BT22" t="s">
        <v>2129</v>
      </c>
      <c r="BW22" t="s">
        <v>2129</v>
      </c>
      <c r="BX22" t="s">
        <v>2129</v>
      </c>
      <c r="BY22" t="s">
        <v>2129</v>
      </c>
      <c r="BZ22" t="s">
        <v>2129</v>
      </c>
      <c r="CA22" t="s">
        <v>2129</v>
      </c>
      <c r="CB22" t="s">
        <v>2129</v>
      </c>
      <c r="CC22" t="s">
        <v>2129</v>
      </c>
      <c r="CD22" t="s">
        <v>2129</v>
      </c>
      <c r="CE22" t="s">
        <v>2129</v>
      </c>
      <c r="CF22" t="s">
        <v>2129</v>
      </c>
      <c r="CG22" t="s">
        <v>2129</v>
      </c>
      <c r="CH22" t="s">
        <v>2129</v>
      </c>
      <c r="CI22" t="s">
        <v>2129</v>
      </c>
      <c r="CJ22" t="s">
        <v>2129</v>
      </c>
      <c r="CK22" t="s">
        <v>2129</v>
      </c>
      <c r="CL22" t="s">
        <v>2129</v>
      </c>
      <c r="CM22" t="s">
        <v>2129</v>
      </c>
      <c r="CN22" t="s">
        <v>2129</v>
      </c>
      <c r="CO22" t="s">
        <v>2129</v>
      </c>
      <c r="CP22" t="s">
        <v>2129</v>
      </c>
      <c r="CQ22" t="s">
        <v>2129</v>
      </c>
      <c r="CR22" t="s">
        <v>2129</v>
      </c>
      <c r="CS22" t="s">
        <v>2129</v>
      </c>
      <c r="CT22" t="s">
        <v>3473</v>
      </c>
      <c r="CU22" t="s">
        <v>3471</v>
      </c>
      <c r="CV22" t="s">
        <v>2129</v>
      </c>
      <c r="CW22" t="s">
        <v>2129</v>
      </c>
      <c r="CX22" t="s">
        <v>2129</v>
      </c>
      <c r="CY22" t="s">
        <v>2129</v>
      </c>
      <c r="CZ22" t="s">
        <v>2129</v>
      </c>
      <c r="DA22" t="s">
        <v>2129</v>
      </c>
      <c r="DB22" t="s">
        <v>2129</v>
      </c>
      <c r="DC22" t="s">
        <v>2129</v>
      </c>
      <c r="DD22" t="s">
        <v>2129</v>
      </c>
      <c r="DE22" t="s">
        <v>2129</v>
      </c>
      <c r="DF22" t="s">
        <v>2129</v>
      </c>
      <c r="DG22" t="s">
        <v>2129</v>
      </c>
      <c r="DH22" t="s">
        <v>2129</v>
      </c>
      <c r="DJ22" t="s">
        <v>2129</v>
      </c>
      <c r="DK22" t="s">
        <v>2129</v>
      </c>
      <c r="DL22" t="s">
        <v>2129</v>
      </c>
      <c r="DM22" t="s">
        <v>2129</v>
      </c>
      <c r="DN22" t="s">
        <v>2129</v>
      </c>
      <c r="DO22" t="s">
        <v>2129</v>
      </c>
      <c r="DP22" t="s">
        <v>2129</v>
      </c>
      <c r="DQ22" t="s">
        <v>2129</v>
      </c>
      <c r="DR22" t="s">
        <v>2129</v>
      </c>
      <c r="DS22" t="s">
        <v>2129</v>
      </c>
      <c r="DT22" t="s">
        <v>2129</v>
      </c>
      <c r="DU22" t="s">
        <v>2129</v>
      </c>
      <c r="DV22" t="s">
        <v>2129</v>
      </c>
      <c r="DW22" t="s">
        <v>2129</v>
      </c>
      <c r="DX22" t="s">
        <v>2129</v>
      </c>
      <c r="DY22" t="s">
        <v>2129</v>
      </c>
      <c r="DZ22" t="s">
        <v>2129</v>
      </c>
      <c r="EA22" t="s">
        <v>2129</v>
      </c>
      <c r="EB22" t="s">
        <v>2129</v>
      </c>
      <c r="EC22" t="s">
        <v>2129</v>
      </c>
      <c r="ED22" t="s">
        <v>2129</v>
      </c>
      <c r="EE22" t="s">
        <v>2129</v>
      </c>
      <c r="EF22" t="s">
        <v>2129</v>
      </c>
      <c r="EG22" t="s">
        <v>2129</v>
      </c>
      <c r="EH22" t="s">
        <v>2129</v>
      </c>
    </row>
    <row r="23" spans="1:138" x14ac:dyDescent="0.25">
      <c r="A23" t="s">
        <v>1723</v>
      </c>
      <c r="B23" t="s">
        <v>3474</v>
      </c>
      <c r="C23">
        <v>23128</v>
      </c>
      <c r="E23" t="s">
        <v>2136</v>
      </c>
      <c r="F23" t="s">
        <v>10</v>
      </c>
      <c r="G23" t="s">
        <v>2140</v>
      </c>
      <c r="H23" t="s">
        <v>599</v>
      </c>
      <c r="I23" t="s">
        <v>2127</v>
      </c>
      <c r="J23" t="s">
        <v>2141</v>
      </c>
      <c r="K23" t="s">
        <v>2129</v>
      </c>
      <c r="L23" t="s">
        <v>2142</v>
      </c>
      <c r="M23" t="s">
        <v>2130</v>
      </c>
      <c r="N23" t="s">
        <v>2129</v>
      </c>
      <c r="O23" t="s">
        <v>2306</v>
      </c>
      <c r="P23" t="s">
        <v>2141</v>
      </c>
      <c r="Q23" t="s">
        <v>2141</v>
      </c>
      <c r="R23" s="37">
        <v>46090.446527777778</v>
      </c>
      <c r="S23" s="37">
        <v>46090.447222222225</v>
      </c>
      <c r="T23" s="37">
        <v>46100.368750000001</v>
      </c>
      <c r="U23" s="37"/>
      <c r="V23" t="s">
        <v>2129</v>
      </c>
      <c r="W23" t="s">
        <v>2129</v>
      </c>
      <c r="X23" t="s">
        <v>2129</v>
      </c>
      <c r="Y23">
        <v>0</v>
      </c>
      <c r="Z23" t="s">
        <v>2129</v>
      </c>
      <c r="AA23" t="s">
        <v>2129</v>
      </c>
      <c r="AB23" t="s">
        <v>2129</v>
      </c>
      <c r="AC23" t="s">
        <v>2141</v>
      </c>
      <c r="AD23" t="s">
        <v>2129</v>
      </c>
      <c r="AE23" t="s">
        <v>2129</v>
      </c>
      <c r="AF23" t="s">
        <v>2129</v>
      </c>
      <c r="AG23" t="s">
        <v>2129</v>
      </c>
      <c r="AH23" t="s">
        <v>2129</v>
      </c>
      <c r="AI23" t="s">
        <v>2129</v>
      </c>
      <c r="AJ23" t="s">
        <v>2129</v>
      </c>
      <c r="AK23" t="s">
        <v>2129</v>
      </c>
      <c r="AL23" t="s">
        <v>2129</v>
      </c>
      <c r="AM23" t="s">
        <v>2129</v>
      </c>
      <c r="AN23" t="s">
        <v>2129</v>
      </c>
      <c r="AO23" t="s">
        <v>2129</v>
      </c>
      <c r="AP23" t="s">
        <v>2129</v>
      </c>
      <c r="AQ23" t="s">
        <v>2129</v>
      </c>
      <c r="AR23" t="s">
        <v>2129</v>
      </c>
      <c r="AS23" t="s">
        <v>2129</v>
      </c>
      <c r="AT23" t="s">
        <v>2129</v>
      </c>
      <c r="AU23" t="s">
        <v>2129</v>
      </c>
      <c r="AV23" t="s">
        <v>2129</v>
      </c>
      <c r="AW23" t="s">
        <v>2129</v>
      </c>
      <c r="AX23" t="s">
        <v>2129</v>
      </c>
      <c r="AY23" t="s">
        <v>2129</v>
      </c>
      <c r="AZ23" t="s">
        <v>2129</v>
      </c>
      <c r="BA23" t="s">
        <v>2129</v>
      </c>
      <c r="BB23" t="s">
        <v>2129</v>
      </c>
      <c r="BC23" t="s">
        <v>2129</v>
      </c>
      <c r="BD23" t="s">
        <v>2129</v>
      </c>
      <c r="BE23" t="s">
        <v>2129</v>
      </c>
      <c r="BF23" t="s">
        <v>2129</v>
      </c>
      <c r="BG23" t="s">
        <v>2129</v>
      </c>
      <c r="BH23" t="s">
        <v>2129</v>
      </c>
      <c r="BI23" t="s">
        <v>2129</v>
      </c>
      <c r="BJ23" t="s">
        <v>2129</v>
      </c>
      <c r="BK23" t="s">
        <v>2129</v>
      </c>
      <c r="BL23" t="s">
        <v>2129</v>
      </c>
      <c r="BM23" t="s">
        <v>2129</v>
      </c>
      <c r="BN23" t="s">
        <v>2129</v>
      </c>
      <c r="BO23" t="s">
        <v>2129</v>
      </c>
      <c r="BP23" t="s">
        <v>2129</v>
      </c>
      <c r="BS23" t="s">
        <v>2129</v>
      </c>
      <c r="BT23" t="s">
        <v>2129</v>
      </c>
      <c r="BW23" t="s">
        <v>2129</v>
      </c>
      <c r="BX23" t="s">
        <v>2129</v>
      </c>
      <c r="BY23" t="s">
        <v>2129</v>
      </c>
      <c r="BZ23" t="s">
        <v>2129</v>
      </c>
      <c r="CA23" t="s">
        <v>2129</v>
      </c>
      <c r="CB23" t="s">
        <v>2129</v>
      </c>
      <c r="CC23" t="s">
        <v>2129</v>
      </c>
      <c r="CD23" t="s">
        <v>2129</v>
      </c>
      <c r="CE23" t="s">
        <v>2129</v>
      </c>
      <c r="CF23" t="s">
        <v>2129</v>
      </c>
      <c r="CG23" t="s">
        <v>2129</v>
      </c>
      <c r="CH23" t="s">
        <v>2129</v>
      </c>
      <c r="CI23" t="s">
        <v>2129</v>
      </c>
      <c r="CJ23" t="s">
        <v>2129</v>
      </c>
      <c r="CK23" t="s">
        <v>2129</v>
      </c>
      <c r="CL23" t="s">
        <v>2129</v>
      </c>
      <c r="CM23" t="s">
        <v>2129</v>
      </c>
      <c r="CN23" t="s">
        <v>2129</v>
      </c>
      <c r="CO23" t="s">
        <v>2129</v>
      </c>
      <c r="CP23" t="s">
        <v>2129</v>
      </c>
      <c r="CQ23" t="s">
        <v>2129</v>
      </c>
      <c r="CR23" t="s">
        <v>2129</v>
      </c>
      <c r="CS23" t="s">
        <v>2129</v>
      </c>
      <c r="CT23" t="s">
        <v>3475</v>
      </c>
      <c r="CU23" t="s">
        <v>3471</v>
      </c>
      <c r="CV23" t="s">
        <v>2129</v>
      </c>
      <c r="CW23" t="s">
        <v>2129</v>
      </c>
      <c r="CX23" t="s">
        <v>2129</v>
      </c>
      <c r="CY23" t="s">
        <v>2129</v>
      </c>
      <c r="CZ23" t="s">
        <v>2129</v>
      </c>
      <c r="DA23" t="s">
        <v>2129</v>
      </c>
      <c r="DB23" t="s">
        <v>2129</v>
      </c>
      <c r="DC23" t="s">
        <v>2129</v>
      </c>
      <c r="DD23" t="s">
        <v>2129</v>
      </c>
      <c r="DE23" t="s">
        <v>2129</v>
      </c>
      <c r="DF23" t="s">
        <v>2129</v>
      </c>
      <c r="DG23" t="s">
        <v>2129</v>
      </c>
      <c r="DH23" t="s">
        <v>2129</v>
      </c>
      <c r="DJ23" t="s">
        <v>2129</v>
      </c>
      <c r="DK23" t="s">
        <v>2129</v>
      </c>
      <c r="DL23" t="s">
        <v>2129</v>
      </c>
      <c r="DM23" t="s">
        <v>2129</v>
      </c>
      <c r="DN23" t="s">
        <v>2129</v>
      </c>
      <c r="DO23" t="s">
        <v>2129</v>
      </c>
      <c r="DP23" t="s">
        <v>2129</v>
      </c>
      <c r="DQ23" t="s">
        <v>2129</v>
      </c>
      <c r="DR23" t="s">
        <v>2129</v>
      </c>
      <c r="DS23" t="s">
        <v>2129</v>
      </c>
      <c r="DT23" t="s">
        <v>2129</v>
      </c>
      <c r="DU23" t="s">
        <v>2129</v>
      </c>
      <c r="DV23" t="s">
        <v>2129</v>
      </c>
      <c r="DW23" t="s">
        <v>2129</v>
      </c>
      <c r="DX23" t="s">
        <v>2129</v>
      </c>
      <c r="DY23" t="s">
        <v>2129</v>
      </c>
      <c r="DZ23" t="s">
        <v>2129</v>
      </c>
      <c r="EA23" t="s">
        <v>2129</v>
      </c>
      <c r="EB23" t="s">
        <v>2129</v>
      </c>
      <c r="EC23" t="s">
        <v>2129</v>
      </c>
      <c r="ED23" t="s">
        <v>2129</v>
      </c>
      <c r="EE23" t="s">
        <v>2129</v>
      </c>
      <c r="EF23" t="s">
        <v>2129</v>
      </c>
      <c r="EG23" t="s">
        <v>2129</v>
      </c>
      <c r="EH23" t="s">
        <v>2129</v>
      </c>
    </row>
    <row r="24" spans="1:138" x14ac:dyDescent="0.25">
      <c r="A24" t="s">
        <v>1723</v>
      </c>
      <c r="B24" t="s">
        <v>3476</v>
      </c>
      <c r="C24">
        <v>23127</v>
      </c>
      <c r="E24" t="s">
        <v>2136</v>
      </c>
      <c r="F24" t="s">
        <v>10</v>
      </c>
      <c r="G24" t="s">
        <v>2140</v>
      </c>
      <c r="H24" t="s">
        <v>599</v>
      </c>
      <c r="I24" t="s">
        <v>2127</v>
      </c>
      <c r="J24" t="s">
        <v>2141</v>
      </c>
      <c r="K24" t="s">
        <v>2129</v>
      </c>
      <c r="L24" t="s">
        <v>2142</v>
      </c>
      <c r="M24" t="s">
        <v>2130</v>
      </c>
      <c r="N24" t="s">
        <v>2129</v>
      </c>
      <c r="O24" t="s">
        <v>2144</v>
      </c>
      <c r="P24" t="s">
        <v>2141</v>
      </c>
      <c r="Q24" t="s">
        <v>2141</v>
      </c>
      <c r="R24" s="37">
        <v>46090.446527777778</v>
      </c>
      <c r="S24" s="37">
        <v>46098.625</v>
      </c>
      <c r="T24" s="37">
        <v>46100.368750000001</v>
      </c>
      <c r="U24" s="37"/>
      <c r="V24" t="s">
        <v>2129</v>
      </c>
      <c r="W24" t="s">
        <v>2129</v>
      </c>
      <c r="X24" t="s">
        <v>2129</v>
      </c>
      <c r="Y24">
        <v>0</v>
      </c>
      <c r="Z24" t="s">
        <v>2129</v>
      </c>
      <c r="AA24" t="s">
        <v>2129</v>
      </c>
      <c r="AB24" t="s">
        <v>2129</v>
      </c>
      <c r="AC24" t="s">
        <v>2141</v>
      </c>
      <c r="AD24" t="s">
        <v>2129</v>
      </c>
      <c r="AE24" t="s">
        <v>2129</v>
      </c>
      <c r="AF24" t="s">
        <v>2129</v>
      </c>
      <c r="AG24" t="s">
        <v>2129</v>
      </c>
      <c r="AH24" t="s">
        <v>3477</v>
      </c>
      <c r="AI24" t="s">
        <v>2129</v>
      </c>
      <c r="AJ24" t="s">
        <v>2129</v>
      </c>
      <c r="AK24" t="s">
        <v>2129</v>
      </c>
      <c r="AL24" t="s">
        <v>2129</v>
      </c>
      <c r="AM24" t="s">
        <v>2129</v>
      </c>
      <c r="AN24" t="s">
        <v>2129</v>
      </c>
      <c r="AO24" t="s">
        <v>2129</v>
      </c>
      <c r="AP24" t="s">
        <v>2129</v>
      </c>
      <c r="AQ24" t="s">
        <v>2129</v>
      </c>
      <c r="AR24" t="s">
        <v>2129</v>
      </c>
      <c r="AS24" t="s">
        <v>2129</v>
      </c>
      <c r="AT24" t="s">
        <v>2129</v>
      </c>
      <c r="AU24" t="s">
        <v>2129</v>
      </c>
      <c r="AV24" t="s">
        <v>2129</v>
      </c>
      <c r="AW24" t="s">
        <v>2129</v>
      </c>
      <c r="AX24" t="s">
        <v>2129</v>
      </c>
      <c r="AY24" t="s">
        <v>2129</v>
      </c>
      <c r="AZ24" t="s">
        <v>2129</v>
      </c>
      <c r="BA24" t="s">
        <v>2129</v>
      </c>
      <c r="BB24" t="s">
        <v>2129</v>
      </c>
      <c r="BC24" t="s">
        <v>2129</v>
      </c>
      <c r="BD24" t="s">
        <v>2129</v>
      </c>
      <c r="BE24" t="s">
        <v>2129</v>
      </c>
      <c r="BF24" t="s">
        <v>2129</v>
      </c>
      <c r="BG24" t="s">
        <v>2129</v>
      </c>
      <c r="BH24" t="s">
        <v>2129</v>
      </c>
      <c r="BI24" t="s">
        <v>2129</v>
      </c>
      <c r="BJ24" t="s">
        <v>2129</v>
      </c>
      <c r="BK24" t="s">
        <v>2129</v>
      </c>
      <c r="BL24" t="s">
        <v>2129</v>
      </c>
      <c r="BM24" t="s">
        <v>2129</v>
      </c>
      <c r="BN24" t="s">
        <v>2129</v>
      </c>
      <c r="BO24" t="s">
        <v>2129</v>
      </c>
      <c r="BP24" t="s">
        <v>2129</v>
      </c>
      <c r="BQ24">
        <v>0</v>
      </c>
      <c r="BR24">
        <v>7200</v>
      </c>
      <c r="BS24" t="s">
        <v>2129</v>
      </c>
      <c r="BT24" t="s">
        <v>2129</v>
      </c>
      <c r="BU24">
        <v>0</v>
      </c>
      <c r="BV24">
        <v>7200</v>
      </c>
      <c r="BW24" t="s">
        <v>2129</v>
      </c>
      <c r="BX24" t="s">
        <v>2129</v>
      </c>
      <c r="BY24" t="s">
        <v>2129</v>
      </c>
      <c r="BZ24" t="s">
        <v>2129</v>
      </c>
      <c r="CA24" t="s">
        <v>2129</v>
      </c>
      <c r="CB24" t="s">
        <v>2129</v>
      </c>
      <c r="CC24" t="s">
        <v>2129</v>
      </c>
      <c r="CD24" t="s">
        <v>2129</v>
      </c>
      <c r="CE24" t="s">
        <v>2129</v>
      </c>
      <c r="CF24" t="s">
        <v>2129</v>
      </c>
      <c r="CG24" t="s">
        <v>2129</v>
      </c>
      <c r="CH24" t="s">
        <v>2129</v>
      </c>
      <c r="CI24" t="s">
        <v>2129</v>
      </c>
      <c r="CJ24" t="s">
        <v>2129</v>
      </c>
      <c r="CK24" t="s">
        <v>2129</v>
      </c>
      <c r="CL24" t="s">
        <v>2129</v>
      </c>
      <c r="CM24" t="s">
        <v>2129</v>
      </c>
      <c r="CN24" t="s">
        <v>2129</v>
      </c>
      <c r="CO24" t="s">
        <v>2129</v>
      </c>
      <c r="CP24" t="s">
        <v>2129</v>
      </c>
      <c r="CQ24" t="s">
        <v>2129</v>
      </c>
      <c r="CR24" t="s">
        <v>2129</v>
      </c>
      <c r="CS24" t="s">
        <v>2129</v>
      </c>
      <c r="CT24" t="s">
        <v>3478</v>
      </c>
      <c r="CU24" t="s">
        <v>3471</v>
      </c>
      <c r="CV24" t="s">
        <v>2129</v>
      </c>
      <c r="CW24" t="s">
        <v>2129</v>
      </c>
      <c r="CX24" t="s">
        <v>2129</v>
      </c>
      <c r="CY24" t="s">
        <v>2129</v>
      </c>
      <c r="CZ24" t="s">
        <v>2129</v>
      </c>
      <c r="DA24" t="s">
        <v>2129</v>
      </c>
      <c r="DB24" t="s">
        <v>2129</v>
      </c>
      <c r="DC24" t="s">
        <v>2129</v>
      </c>
      <c r="DD24" t="s">
        <v>2129</v>
      </c>
      <c r="DE24" t="s">
        <v>2129</v>
      </c>
      <c r="DF24" t="s">
        <v>2129</v>
      </c>
      <c r="DG24" t="s">
        <v>2129</v>
      </c>
      <c r="DH24" t="s">
        <v>2129</v>
      </c>
      <c r="DJ24" t="s">
        <v>2129</v>
      </c>
      <c r="DK24" t="s">
        <v>2129</v>
      </c>
      <c r="DL24" t="s">
        <v>2129</v>
      </c>
      <c r="DM24" t="s">
        <v>2129</v>
      </c>
      <c r="DN24" t="s">
        <v>2129</v>
      </c>
      <c r="DO24" t="s">
        <v>2129</v>
      </c>
      <c r="DP24" t="s">
        <v>2129</v>
      </c>
      <c r="DQ24" t="s">
        <v>2129</v>
      </c>
      <c r="DR24" t="s">
        <v>2129</v>
      </c>
      <c r="DS24" t="s">
        <v>2129</v>
      </c>
      <c r="DT24" t="s">
        <v>2129</v>
      </c>
      <c r="DU24" t="s">
        <v>2129</v>
      </c>
      <c r="DV24" t="s">
        <v>2129</v>
      </c>
      <c r="DW24" t="s">
        <v>2129</v>
      </c>
      <c r="DX24" t="s">
        <v>2129</v>
      </c>
      <c r="DY24" t="s">
        <v>2129</v>
      </c>
      <c r="DZ24" t="s">
        <v>2129</v>
      </c>
      <c r="EA24" t="s">
        <v>2129</v>
      </c>
      <c r="EB24" t="s">
        <v>2129</v>
      </c>
      <c r="EC24" t="s">
        <v>2129</v>
      </c>
      <c r="ED24" t="s">
        <v>2129</v>
      </c>
      <c r="EE24" t="s">
        <v>2129</v>
      </c>
      <c r="EF24" t="s">
        <v>2129</v>
      </c>
      <c r="EG24" t="s">
        <v>2129</v>
      </c>
      <c r="EH24" t="s">
        <v>2129</v>
      </c>
    </row>
    <row r="25" spans="1:138" x14ac:dyDescent="0.25">
      <c r="A25" t="s">
        <v>3202</v>
      </c>
      <c r="B25" t="s">
        <v>3201</v>
      </c>
      <c r="C25">
        <v>23110</v>
      </c>
      <c r="E25" t="s">
        <v>14</v>
      </c>
      <c r="F25" t="s">
        <v>16</v>
      </c>
      <c r="G25" t="s">
        <v>2140</v>
      </c>
      <c r="H25" t="s">
        <v>599</v>
      </c>
      <c r="I25" t="s">
        <v>2127</v>
      </c>
      <c r="J25" t="s">
        <v>2141</v>
      </c>
      <c r="K25" t="s">
        <v>2129</v>
      </c>
      <c r="L25" t="s">
        <v>2142</v>
      </c>
      <c r="M25" t="s">
        <v>2130</v>
      </c>
      <c r="N25" t="s">
        <v>2153</v>
      </c>
      <c r="O25" t="s">
        <v>2150</v>
      </c>
      <c r="P25" t="s">
        <v>2145</v>
      </c>
      <c r="Q25" t="s">
        <v>2145</v>
      </c>
      <c r="R25" s="37">
        <v>46087.51666666667</v>
      </c>
      <c r="S25" s="37">
        <v>46097.602083333331</v>
      </c>
      <c r="T25" s="37">
        <v>46100.368750000001</v>
      </c>
      <c r="U25" s="37">
        <v>46097.602083333331</v>
      </c>
      <c r="V25" t="s">
        <v>2129</v>
      </c>
      <c r="W25" t="s">
        <v>2129</v>
      </c>
      <c r="X25" t="s">
        <v>2129</v>
      </c>
      <c r="Y25">
        <v>0</v>
      </c>
      <c r="Z25" t="s">
        <v>2129</v>
      </c>
      <c r="AA25" t="s">
        <v>3479</v>
      </c>
      <c r="AB25" t="s">
        <v>2129</v>
      </c>
      <c r="AC25" t="s">
        <v>2151</v>
      </c>
      <c r="AD25" t="s">
        <v>2145</v>
      </c>
      <c r="AE25" t="s">
        <v>2150</v>
      </c>
      <c r="AF25" t="s">
        <v>2129</v>
      </c>
      <c r="AG25" t="s">
        <v>2129</v>
      </c>
      <c r="AH25" t="s">
        <v>3480</v>
      </c>
      <c r="AI25" t="s">
        <v>3481</v>
      </c>
      <c r="AJ25" t="s">
        <v>3482</v>
      </c>
      <c r="AK25" t="s">
        <v>3483</v>
      </c>
      <c r="AL25" t="s">
        <v>3484</v>
      </c>
      <c r="AM25" t="s">
        <v>2129</v>
      </c>
      <c r="AN25" t="s">
        <v>2129</v>
      </c>
      <c r="AO25" t="s">
        <v>2129</v>
      </c>
      <c r="AP25" t="s">
        <v>2129</v>
      </c>
      <c r="AQ25" t="s">
        <v>2129</v>
      </c>
      <c r="AR25" t="s">
        <v>2129</v>
      </c>
      <c r="AS25" t="s">
        <v>2129</v>
      </c>
      <c r="AT25" t="s">
        <v>2129</v>
      </c>
      <c r="AU25" t="s">
        <v>2129</v>
      </c>
      <c r="AV25" t="s">
        <v>2129</v>
      </c>
      <c r="AW25" t="s">
        <v>2129</v>
      </c>
      <c r="AX25" t="s">
        <v>2129</v>
      </c>
      <c r="AY25" t="s">
        <v>2129</v>
      </c>
      <c r="AZ25" t="s">
        <v>2129</v>
      </c>
      <c r="BA25" t="s">
        <v>2129</v>
      </c>
      <c r="BB25" t="s">
        <v>2129</v>
      </c>
      <c r="BC25" t="s">
        <v>2129</v>
      </c>
      <c r="BD25" t="s">
        <v>2129</v>
      </c>
      <c r="BE25" t="s">
        <v>2129</v>
      </c>
      <c r="BF25" t="s">
        <v>2129</v>
      </c>
      <c r="BG25" t="s">
        <v>2129</v>
      </c>
      <c r="BH25" t="s">
        <v>2129</v>
      </c>
      <c r="BI25" t="s">
        <v>2129</v>
      </c>
      <c r="BJ25" t="s">
        <v>2129</v>
      </c>
      <c r="BK25" t="s">
        <v>2129</v>
      </c>
      <c r="BL25" t="s">
        <v>2129</v>
      </c>
      <c r="BM25" t="s">
        <v>2129</v>
      </c>
      <c r="BN25" t="s">
        <v>2129</v>
      </c>
      <c r="BO25" t="s">
        <v>2129</v>
      </c>
      <c r="BP25" t="s">
        <v>2129</v>
      </c>
      <c r="BQ25">
        <v>0</v>
      </c>
      <c r="BR25">
        <v>22800</v>
      </c>
      <c r="BS25" t="s">
        <v>2129</v>
      </c>
      <c r="BT25" t="s">
        <v>2129</v>
      </c>
      <c r="BU25">
        <v>0</v>
      </c>
      <c r="BV25">
        <v>22800</v>
      </c>
      <c r="BW25" t="s">
        <v>2129</v>
      </c>
      <c r="BX25" t="s">
        <v>2129</v>
      </c>
      <c r="BY25" t="s">
        <v>2129</v>
      </c>
      <c r="BZ25" t="s">
        <v>3485</v>
      </c>
      <c r="CA25" t="s">
        <v>3486</v>
      </c>
      <c r="CB25" t="s">
        <v>2129</v>
      </c>
      <c r="CC25" t="s">
        <v>2129</v>
      </c>
      <c r="CD25" t="s">
        <v>2129</v>
      </c>
      <c r="CE25" t="s">
        <v>2129</v>
      </c>
      <c r="CF25" t="s">
        <v>2129</v>
      </c>
      <c r="CG25" t="s">
        <v>2129</v>
      </c>
      <c r="CH25" t="s">
        <v>2129</v>
      </c>
      <c r="CI25" t="s">
        <v>2129</v>
      </c>
      <c r="CJ25" t="s">
        <v>2129</v>
      </c>
      <c r="CK25" t="s">
        <v>2129</v>
      </c>
      <c r="CL25" t="s">
        <v>2129</v>
      </c>
      <c r="CM25" t="s">
        <v>2129</v>
      </c>
      <c r="CN25" t="s">
        <v>2129</v>
      </c>
      <c r="CO25" t="s">
        <v>2129</v>
      </c>
      <c r="CP25" t="s">
        <v>2129</v>
      </c>
      <c r="CQ25" t="s">
        <v>2129</v>
      </c>
      <c r="CR25" t="s">
        <v>2129</v>
      </c>
      <c r="CS25" t="s">
        <v>2129</v>
      </c>
      <c r="CT25" t="s">
        <v>3487</v>
      </c>
      <c r="CU25" t="s">
        <v>3471</v>
      </c>
      <c r="CV25" t="s">
        <v>2129</v>
      </c>
      <c r="CW25" t="s">
        <v>2129</v>
      </c>
      <c r="CX25" t="s">
        <v>2129</v>
      </c>
      <c r="CY25" t="s">
        <v>2129</v>
      </c>
      <c r="CZ25" t="s">
        <v>2129</v>
      </c>
      <c r="DA25" t="s">
        <v>2129</v>
      </c>
      <c r="DB25" t="s">
        <v>2129</v>
      </c>
      <c r="DC25" t="s">
        <v>2129</v>
      </c>
      <c r="DD25" t="s">
        <v>2129</v>
      </c>
      <c r="DE25" t="s">
        <v>2129</v>
      </c>
      <c r="DF25" t="s">
        <v>2129</v>
      </c>
      <c r="DG25" t="s">
        <v>2129</v>
      </c>
      <c r="DH25" t="s">
        <v>2129</v>
      </c>
      <c r="DJ25" t="s">
        <v>2129</v>
      </c>
      <c r="DK25" t="s">
        <v>2129</v>
      </c>
      <c r="DL25" t="s">
        <v>3488</v>
      </c>
      <c r="DM25" t="s">
        <v>3489</v>
      </c>
      <c r="DN25" t="s">
        <v>3490</v>
      </c>
      <c r="DO25" t="s">
        <v>3491</v>
      </c>
      <c r="DP25" t="s">
        <v>3492</v>
      </c>
      <c r="DQ25" t="s">
        <v>3493</v>
      </c>
      <c r="DR25" t="s">
        <v>3494</v>
      </c>
      <c r="DS25" t="s">
        <v>3495</v>
      </c>
      <c r="DT25" t="s">
        <v>2129</v>
      </c>
      <c r="DU25" t="s">
        <v>2129</v>
      </c>
      <c r="DV25" t="s">
        <v>2129</v>
      </c>
      <c r="DW25" t="s">
        <v>2129</v>
      </c>
      <c r="DX25" t="s">
        <v>2129</v>
      </c>
      <c r="DY25" t="s">
        <v>2129</v>
      </c>
      <c r="DZ25" t="s">
        <v>2129</v>
      </c>
      <c r="EA25" t="s">
        <v>2129</v>
      </c>
      <c r="EB25" t="s">
        <v>2129</v>
      </c>
      <c r="EC25" t="s">
        <v>2129</v>
      </c>
      <c r="ED25" t="s">
        <v>2129</v>
      </c>
      <c r="EE25" t="s">
        <v>2129</v>
      </c>
      <c r="EF25" t="s">
        <v>2129</v>
      </c>
      <c r="EG25" t="s">
        <v>2129</v>
      </c>
      <c r="EH25" t="s">
        <v>2129</v>
      </c>
    </row>
    <row r="26" spans="1:138" x14ac:dyDescent="0.25">
      <c r="A26" t="s">
        <v>3200</v>
      </c>
      <c r="B26" t="s">
        <v>3199</v>
      </c>
      <c r="C26">
        <v>23100</v>
      </c>
      <c r="E26" t="s">
        <v>14</v>
      </c>
      <c r="F26" t="s">
        <v>16</v>
      </c>
      <c r="G26" t="s">
        <v>2140</v>
      </c>
      <c r="H26" t="s">
        <v>599</v>
      </c>
      <c r="I26" t="s">
        <v>2127</v>
      </c>
      <c r="J26" t="s">
        <v>2141</v>
      </c>
      <c r="K26" t="s">
        <v>2129</v>
      </c>
      <c r="L26" t="s">
        <v>2142</v>
      </c>
      <c r="M26" t="s">
        <v>2130</v>
      </c>
      <c r="N26" t="s">
        <v>2153</v>
      </c>
      <c r="O26" t="s">
        <v>2150</v>
      </c>
      <c r="P26" t="s">
        <v>2145</v>
      </c>
      <c r="Q26" t="s">
        <v>2145</v>
      </c>
      <c r="R26" s="37">
        <v>46085.479861111111</v>
      </c>
      <c r="S26" s="37">
        <v>46091.699305555558</v>
      </c>
      <c r="T26" s="37">
        <v>46100.368750000001</v>
      </c>
      <c r="U26" s="37">
        <v>46090.564583333333</v>
      </c>
      <c r="V26" t="s">
        <v>2129</v>
      </c>
      <c r="W26" t="s">
        <v>2129</v>
      </c>
      <c r="X26" t="s">
        <v>2129</v>
      </c>
      <c r="Y26">
        <v>0</v>
      </c>
      <c r="Z26" t="s">
        <v>2129</v>
      </c>
      <c r="AA26" t="s">
        <v>3496</v>
      </c>
      <c r="AB26" t="s">
        <v>2129</v>
      </c>
      <c r="AC26" t="s">
        <v>2151</v>
      </c>
      <c r="AD26" t="s">
        <v>2145</v>
      </c>
      <c r="AE26" t="s">
        <v>2150</v>
      </c>
      <c r="AF26" t="s">
        <v>2129</v>
      </c>
      <c r="AG26" t="s">
        <v>2129</v>
      </c>
      <c r="AH26" t="s">
        <v>3497</v>
      </c>
      <c r="AI26" t="s">
        <v>3498</v>
      </c>
      <c r="AJ26" t="s">
        <v>2129</v>
      </c>
      <c r="AK26" t="s">
        <v>2129</v>
      </c>
      <c r="AL26" t="s">
        <v>2129</v>
      </c>
      <c r="AM26" t="s">
        <v>2129</v>
      </c>
      <c r="AN26" t="s">
        <v>2129</v>
      </c>
      <c r="AO26" t="s">
        <v>2129</v>
      </c>
      <c r="AP26" t="s">
        <v>2129</v>
      </c>
      <c r="AQ26" t="s">
        <v>2129</v>
      </c>
      <c r="AR26" t="s">
        <v>2129</v>
      </c>
      <c r="AS26" t="s">
        <v>2129</v>
      </c>
      <c r="AT26" t="s">
        <v>2129</v>
      </c>
      <c r="AU26" t="s">
        <v>2129</v>
      </c>
      <c r="AV26" t="s">
        <v>2129</v>
      </c>
      <c r="AW26" t="s">
        <v>2129</v>
      </c>
      <c r="AX26" t="s">
        <v>2129</v>
      </c>
      <c r="AY26" t="s">
        <v>2129</v>
      </c>
      <c r="AZ26" t="s">
        <v>2129</v>
      </c>
      <c r="BA26" t="s">
        <v>2129</v>
      </c>
      <c r="BB26" t="s">
        <v>2129</v>
      </c>
      <c r="BC26" t="s">
        <v>2129</v>
      </c>
      <c r="BD26" t="s">
        <v>2129</v>
      </c>
      <c r="BE26" t="s">
        <v>2129</v>
      </c>
      <c r="BF26" t="s">
        <v>2129</v>
      </c>
      <c r="BG26" t="s">
        <v>2129</v>
      </c>
      <c r="BH26" t="s">
        <v>2129</v>
      </c>
      <c r="BI26" t="s">
        <v>2129</v>
      </c>
      <c r="BJ26" t="s">
        <v>2129</v>
      </c>
      <c r="BK26" t="s">
        <v>2129</v>
      </c>
      <c r="BL26" t="s">
        <v>2129</v>
      </c>
      <c r="BM26" t="s">
        <v>2129</v>
      </c>
      <c r="BN26" t="s">
        <v>2129</v>
      </c>
      <c r="BO26" t="s">
        <v>2129</v>
      </c>
      <c r="BP26" t="s">
        <v>2129</v>
      </c>
      <c r="BQ26">
        <v>0</v>
      </c>
      <c r="BR26">
        <v>1500</v>
      </c>
      <c r="BS26" t="s">
        <v>2129</v>
      </c>
      <c r="BT26" t="s">
        <v>2129</v>
      </c>
      <c r="BU26">
        <v>0</v>
      </c>
      <c r="BV26">
        <v>1500</v>
      </c>
      <c r="BW26" t="s">
        <v>2129</v>
      </c>
      <c r="BX26" t="s">
        <v>2129</v>
      </c>
      <c r="BY26" t="s">
        <v>2129</v>
      </c>
      <c r="BZ26" t="s">
        <v>3499</v>
      </c>
      <c r="CA26" t="s">
        <v>2129</v>
      </c>
      <c r="CB26" t="s">
        <v>2129</v>
      </c>
      <c r="CC26" t="s">
        <v>2129</v>
      </c>
      <c r="CD26" t="s">
        <v>2129</v>
      </c>
      <c r="CE26" t="s">
        <v>2129</v>
      </c>
      <c r="CF26" t="s">
        <v>2129</v>
      </c>
      <c r="CG26" t="s">
        <v>2129</v>
      </c>
      <c r="CH26" t="s">
        <v>2129</v>
      </c>
      <c r="CI26" t="s">
        <v>2129</v>
      </c>
      <c r="CJ26" t="s">
        <v>2129</v>
      </c>
      <c r="CK26" t="s">
        <v>2129</v>
      </c>
      <c r="CL26" t="s">
        <v>2129</v>
      </c>
      <c r="CM26" t="s">
        <v>2129</v>
      </c>
      <c r="CN26" t="s">
        <v>2129</v>
      </c>
      <c r="CO26" t="s">
        <v>2129</v>
      </c>
      <c r="CP26" t="s">
        <v>2129</v>
      </c>
      <c r="CQ26" t="s">
        <v>2129</v>
      </c>
      <c r="CR26" t="s">
        <v>2129</v>
      </c>
      <c r="CS26" t="s">
        <v>2129</v>
      </c>
      <c r="CT26" t="s">
        <v>3500</v>
      </c>
      <c r="CU26" t="s">
        <v>3471</v>
      </c>
      <c r="CV26" t="s">
        <v>2129</v>
      </c>
      <c r="CW26" t="s">
        <v>2129</v>
      </c>
      <c r="CX26" t="s">
        <v>2129</v>
      </c>
      <c r="CY26" t="s">
        <v>2129</v>
      </c>
      <c r="CZ26" t="s">
        <v>2129</v>
      </c>
      <c r="DA26" t="s">
        <v>2129</v>
      </c>
      <c r="DB26" t="s">
        <v>2129</v>
      </c>
      <c r="DC26" t="s">
        <v>2129</v>
      </c>
      <c r="DD26" t="s">
        <v>2129</v>
      </c>
      <c r="DE26" t="s">
        <v>2129</v>
      </c>
      <c r="DF26" t="s">
        <v>2129</v>
      </c>
      <c r="DG26" t="s">
        <v>2129</v>
      </c>
      <c r="DH26" t="s">
        <v>2129</v>
      </c>
      <c r="DI26">
        <v>20</v>
      </c>
      <c r="DJ26" t="s">
        <v>2129</v>
      </c>
      <c r="DK26" t="s">
        <v>2129</v>
      </c>
      <c r="DL26" t="s">
        <v>3501</v>
      </c>
      <c r="DM26" t="s">
        <v>3502</v>
      </c>
      <c r="DN26" t="s">
        <v>3503</v>
      </c>
      <c r="DO26" t="s">
        <v>3504</v>
      </c>
      <c r="DP26" t="s">
        <v>3505</v>
      </c>
      <c r="DQ26" t="s">
        <v>3506</v>
      </c>
      <c r="DR26" t="s">
        <v>3507</v>
      </c>
      <c r="DS26" t="s">
        <v>3508</v>
      </c>
      <c r="DT26" t="s">
        <v>3509</v>
      </c>
      <c r="DU26" t="s">
        <v>2129</v>
      </c>
      <c r="DV26" t="s">
        <v>2129</v>
      </c>
      <c r="DW26" t="s">
        <v>2129</v>
      </c>
      <c r="DX26" t="s">
        <v>2129</v>
      </c>
      <c r="DY26" t="s">
        <v>2129</v>
      </c>
      <c r="DZ26" t="s">
        <v>2129</v>
      </c>
      <c r="EA26" t="s">
        <v>2129</v>
      </c>
      <c r="EB26" t="s">
        <v>2129</v>
      </c>
      <c r="EC26" t="s">
        <v>2129</v>
      </c>
      <c r="ED26" t="s">
        <v>2129</v>
      </c>
      <c r="EE26" t="s">
        <v>2129</v>
      </c>
      <c r="EF26" t="s">
        <v>2129</v>
      </c>
      <c r="EG26" t="s">
        <v>2129</v>
      </c>
      <c r="EH26" t="s">
        <v>2129</v>
      </c>
    </row>
    <row r="27" spans="1:138" x14ac:dyDescent="0.25">
      <c r="A27" t="s">
        <v>3198</v>
      </c>
      <c r="B27" t="s">
        <v>3197</v>
      </c>
      <c r="C27">
        <v>23099</v>
      </c>
      <c r="E27" t="s">
        <v>77</v>
      </c>
      <c r="F27" t="s">
        <v>27</v>
      </c>
      <c r="G27" t="s">
        <v>2140</v>
      </c>
      <c r="H27" t="s">
        <v>599</v>
      </c>
      <c r="I27" t="s">
        <v>2127</v>
      </c>
      <c r="J27" t="s">
        <v>2141</v>
      </c>
      <c r="K27" t="s">
        <v>2129</v>
      </c>
      <c r="L27" t="s">
        <v>2142</v>
      </c>
      <c r="M27" t="s">
        <v>2130</v>
      </c>
      <c r="N27" t="s">
        <v>2129</v>
      </c>
      <c r="O27" t="s">
        <v>2150</v>
      </c>
      <c r="P27" t="s">
        <v>2141</v>
      </c>
      <c r="Q27" t="s">
        <v>2141</v>
      </c>
      <c r="R27" s="37">
        <v>46084.701388888891</v>
      </c>
      <c r="S27" s="37">
        <v>46099.697916666664</v>
      </c>
      <c r="T27" s="37">
        <v>46100.368750000001</v>
      </c>
      <c r="U27" s="37"/>
      <c r="V27" t="s">
        <v>2129</v>
      </c>
      <c r="W27" t="s">
        <v>2129</v>
      </c>
      <c r="X27" t="s">
        <v>2129</v>
      </c>
      <c r="Y27">
        <v>0</v>
      </c>
      <c r="Z27" t="s">
        <v>2129</v>
      </c>
      <c r="AA27" t="s">
        <v>3510</v>
      </c>
      <c r="AB27" t="s">
        <v>2129</v>
      </c>
      <c r="AC27" t="s">
        <v>2141</v>
      </c>
      <c r="AD27" t="s">
        <v>2151</v>
      </c>
      <c r="AE27" t="s">
        <v>2129</v>
      </c>
      <c r="AF27" t="s">
        <v>2129</v>
      </c>
      <c r="AG27" t="s">
        <v>2129</v>
      </c>
      <c r="AH27" t="s">
        <v>3511</v>
      </c>
      <c r="AI27" t="s">
        <v>2129</v>
      </c>
      <c r="AJ27" t="s">
        <v>2129</v>
      </c>
      <c r="AK27" t="s">
        <v>2129</v>
      </c>
      <c r="AL27" t="s">
        <v>2129</v>
      </c>
      <c r="AM27" t="s">
        <v>2129</v>
      </c>
      <c r="AN27" t="s">
        <v>2129</v>
      </c>
      <c r="AO27" t="s">
        <v>2129</v>
      </c>
      <c r="AP27" t="s">
        <v>2129</v>
      </c>
      <c r="AQ27" t="s">
        <v>2129</v>
      </c>
      <c r="AR27" t="s">
        <v>2129</v>
      </c>
      <c r="AS27" t="s">
        <v>2129</v>
      </c>
      <c r="AT27" t="s">
        <v>2129</v>
      </c>
      <c r="AU27" t="s">
        <v>2129</v>
      </c>
      <c r="AV27" t="s">
        <v>2129</v>
      </c>
      <c r="AW27" t="s">
        <v>2129</v>
      </c>
      <c r="AX27" t="s">
        <v>2129</v>
      </c>
      <c r="AY27" t="s">
        <v>2129</v>
      </c>
      <c r="AZ27" t="s">
        <v>2129</v>
      </c>
      <c r="BA27" t="s">
        <v>2129</v>
      </c>
      <c r="BB27" t="s">
        <v>2129</v>
      </c>
      <c r="BC27" t="s">
        <v>2129</v>
      </c>
      <c r="BD27" t="s">
        <v>2129</v>
      </c>
      <c r="BE27" t="s">
        <v>2129</v>
      </c>
      <c r="BF27" t="s">
        <v>2129</v>
      </c>
      <c r="BG27" t="s">
        <v>2129</v>
      </c>
      <c r="BH27" t="s">
        <v>2129</v>
      </c>
      <c r="BI27" t="s">
        <v>2129</v>
      </c>
      <c r="BJ27" t="s">
        <v>2129</v>
      </c>
      <c r="BK27" t="s">
        <v>2129</v>
      </c>
      <c r="BL27" t="s">
        <v>2129</v>
      </c>
      <c r="BM27" t="s">
        <v>2129</v>
      </c>
      <c r="BN27" t="s">
        <v>2129</v>
      </c>
      <c r="BO27" t="s">
        <v>2129</v>
      </c>
      <c r="BP27" t="s">
        <v>2129</v>
      </c>
      <c r="BQ27">
        <v>0</v>
      </c>
      <c r="BR27">
        <v>21600</v>
      </c>
      <c r="BS27" t="s">
        <v>2129</v>
      </c>
      <c r="BT27" t="s">
        <v>2129</v>
      </c>
      <c r="BU27">
        <v>0</v>
      </c>
      <c r="BV27">
        <v>21600</v>
      </c>
      <c r="BW27" t="s">
        <v>2129</v>
      </c>
      <c r="BX27" t="s">
        <v>2129</v>
      </c>
      <c r="BY27" t="s">
        <v>2129</v>
      </c>
      <c r="BZ27" t="s">
        <v>3512</v>
      </c>
      <c r="CA27" t="s">
        <v>2129</v>
      </c>
      <c r="CB27" t="s">
        <v>2129</v>
      </c>
      <c r="CC27" t="s">
        <v>2129</v>
      </c>
      <c r="CD27" t="s">
        <v>2129</v>
      </c>
      <c r="CE27" t="s">
        <v>2129</v>
      </c>
      <c r="CF27" t="s">
        <v>2129</v>
      </c>
      <c r="CG27" t="s">
        <v>2129</v>
      </c>
      <c r="CH27" t="s">
        <v>2129</v>
      </c>
      <c r="CI27" t="s">
        <v>2129</v>
      </c>
      <c r="CJ27" t="s">
        <v>2129</v>
      </c>
      <c r="CK27" t="s">
        <v>2129</v>
      </c>
      <c r="CL27" t="s">
        <v>2129</v>
      </c>
      <c r="CM27" t="s">
        <v>2129</v>
      </c>
      <c r="CN27" t="s">
        <v>2129</v>
      </c>
      <c r="CO27" t="s">
        <v>2129</v>
      </c>
      <c r="CP27" t="s">
        <v>2129</v>
      </c>
      <c r="CQ27" t="s">
        <v>2129</v>
      </c>
      <c r="CR27" t="s">
        <v>2129</v>
      </c>
      <c r="CS27" t="s">
        <v>2129</v>
      </c>
      <c r="CT27" t="s">
        <v>3513</v>
      </c>
      <c r="CU27" t="s">
        <v>3471</v>
      </c>
      <c r="CV27" t="s">
        <v>2129</v>
      </c>
      <c r="CW27" t="s">
        <v>2129</v>
      </c>
      <c r="CX27" t="s">
        <v>2129</v>
      </c>
      <c r="CY27" t="s">
        <v>2129</v>
      </c>
      <c r="CZ27" t="s">
        <v>2129</v>
      </c>
      <c r="DA27" t="s">
        <v>2129</v>
      </c>
      <c r="DB27" t="s">
        <v>2129</v>
      </c>
      <c r="DC27" t="s">
        <v>2129</v>
      </c>
      <c r="DD27" t="s">
        <v>2129</v>
      </c>
      <c r="DE27" t="s">
        <v>2129</v>
      </c>
      <c r="DF27" t="s">
        <v>2129</v>
      </c>
      <c r="DG27" t="s">
        <v>2129</v>
      </c>
      <c r="DH27" t="s">
        <v>2129</v>
      </c>
      <c r="DI27">
        <v>30</v>
      </c>
      <c r="DJ27" t="s">
        <v>2129</v>
      </c>
      <c r="DK27" t="s">
        <v>2129</v>
      </c>
      <c r="DL27" t="s">
        <v>3514</v>
      </c>
      <c r="DM27" t="s">
        <v>3515</v>
      </c>
      <c r="DN27" t="s">
        <v>3516</v>
      </c>
      <c r="DO27" t="s">
        <v>3517</v>
      </c>
      <c r="DP27" t="s">
        <v>2129</v>
      </c>
      <c r="DQ27" t="s">
        <v>2129</v>
      </c>
      <c r="DR27" t="s">
        <v>2129</v>
      </c>
      <c r="DS27" t="s">
        <v>2129</v>
      </c>
      <c r="DT27" t="s">
        <v>2129</v>
      </c>
      <c r="DU27" t="s">
        <v>2129</v>
      </c>
      <c r="DV27" t="s">
        <v>2129</v>
      </c>
      <c r="DW27" t="s">
        <v>2129</v>
      </c>
      <c r="DX27" t="s">
        <v>2129</v>
      </c>
      <c r="DY27" t="s">
        <v>2129</v>
      </c>
      <c r="DZ27" t="s">
        <v>2129</v>
      </c>
      <c r="EA27" t="s">
        <v>2129</v>
      </c>
      <c r="EB27" t="s">
        <v>2129</v>
      </c>
      <c r="EC27" t="s">
        <v>2129</v>
      </c>
      <c r="ED27" t="s">
        <v>2129</v>
      </c>
      <c r="EE27" t="s">
        <v>2129</v>
      </c>
      <c r="EF27" t="s">
        <v>2129</v>
      </c>
      <c r="EG27" t="s">
        <v>2129</v>
      </c>
      <c r="EH27" t="s">
        <v>2129</v>
      </c>
    </row>
    <row r="28" spans="1:138" x14ac:dyDescent="0.25">
      <c r="A28" t="s">
        <v>3193</v>
      </c>
      <c r="B28" t="s">
        <v>3192</v>
      </c>
      <c r="C28">
        <v>23084</v>
      </c>
      <c r="E28" t="s">
        <v>77</v>
      </c>
      <c r="F28" t="s">
        <v>94</v>
      </c>
      <c r="G28" t="s">
        <v>2140</v>
      </c>
      <c r="H28" t="s">
        <v>599</v>
      </c>
      <c r="I28" t="s">
        <v>2127</v>
      </c>
      <c r="J28" t="s">
        <v>2141</v>
      </c>
      <c r="K28" t="s">
        <v>2129</v>
      </c>
      <c r="L28" t="s">
        <v>2142</v>
      </c>
      <c r="M28" t="s">
        <v>2130</v>
      </c>
      <c r="N28" t="s">
        <v>2129</v>
      </c>
      <c r="O28" t="s">
        <v>2306</v>
      </c>
      <c r="P28" t="s">
        <v>2141</v>
      </c>
      <c r="Q28" t="s">
        <v>2141</v>
      </c>
      <c r="R28" s="37">
        <v>46084.405555555553</v>
      </c>
      <c r="S28" s="37">
        <v>46093.693055555559</v>
      </c>
      <c r="T28" s="37">
        <v>46100.368750000001</v>
      </c>
      <c r="U28" s="37"/>
      <c r="V28" t="s">
        <v>2129</v>
      </c>
      <c r="W28" t="s">
        <v>2129</v>
      </c>
      <c r="X28" t="s">
        <v>2129</v>
      </c>
      <c r="Y28">
        <v>0</v>
      </c>
      <c r="Z28" t="s">
        <v>2129</v>
      </c>
      <c r="AA28" t="s">
        <v>3518</v>
      </c>
      <c r="AB28" t="s">
        <v>2129</v>
      </c>
      <c r="AC28" t="s">
        <v>2141</v>
      </c>
      <c r="AD28" t="s">
        <v>2129</v>
      </c>
      <c r="AE28" t="s">
        <v>2129</v>
      </c>
      <c r="AF28" t="s">
        <v>2129</v>
      </c>
      <c r="AG28" t="s">
        <v>2129</v>
      </c>
      <c r="AH28" t="s">
        <v>3519</v>
      </c>
      <c r="AI28" t="s">
        <v>2129</v>
      </c>
      <c r="AJ28" t="s">
        <v>2129</v>
      </c>
      <c r="AK28" t="s">
        <v>2129</v>
      </c>
      <c r="AL28" t="s">
        <v>2129</v>
      </c>
      <c r="AM28" t="s">
        <v>2129</v>
      </c>
      <c r="AN28" t="s">
        <v>2129</v>
      </c>
      <c r="AO28" t="s">
        <v>2129</v>
      </c>
      <c r="AP28" t="s">
        <v>2129</v>
      </c>
      <c r="AQ28" t="s">
        <v>2129</v>
      </c>
      <c r="AR28" t="s">
        <v>2129</v>
      </c>
      <c r="AS28" t="s">
        <v>2129</v>
      </c>
      <c r="AT28" t="s">
        <v>2129</v>
      </c>
      <c r="AU28" t="s">
        <v>2129</v>
      </c>
      <c r="AV28" t="s">
        <v>2129</v>
      </c>
      <c r="AW28" t="s">
        <v>2129</v>
      </c>
      <c r="AX28" t="s">
        <v>2129</v>
      </c>
      <c r="AY28" t="s">
        <v>2129</v>
      </c>
      <c r="AZ28" t="s">
        <v>2129</v>
      </c>
      <c r="BA28" t="s">
        <v>2129</v>
      </c>
      <c r="BB28" t="s">
        <v>2129</v>
      </c>
      <c r="BC28" t="s">
        <v>2129</v>
      </c>
      <c r="BD28" t="s">
        <v>2129</v>
      </c>
      <c r="BE28" t="s">
        <v>2129</v>
      </c>
      <c r="BF28" t="s">
        <v>2129</v>
      </c>
      <c r="BG28" t="s">
        <v>2129</v>
      </c>
      <c r="BH28" t="s">
        <v>2129</v>
      </c>
      <c r="BI28" t="s">
        <v>2129</v>
      </c>
      <c r="BJ28" t="s">
        <v>2129</v>
      </c>
      <c r="BK28" t="s">
        <v>2129</v>
      </c>
      <c r="BL28" t="s">
        <v>2129</v>
      </c>
      <c r="BM28" t="s">
        <v>2129</v>
      </c>
      <c r="BN28" t="s">
        <v>2129</v>
      </c>
      <c r="BO28" t="s">
        <v>2129</v>
      </c>
      <c r="BP28" t="s">
        <v>2129</v>
      </c>
      <c r="BQ28">
        <v>0</v>
      </c>
      <c r="BR28">
        <v>7200</v>
      </c>
      <c r="BS28" t="s">
        <v>2129</v>
      </c>
      <c r="BT28" t="s">
        <v>2129</v>
      </c>
      <c r="BU28">
        <v>0</v>
      </c>
      <c r="BV28">
        <v>7200</v>
      </c>
      <c r="BW28" t="s">
        <v>2129</v>
      </c>
      <c r="BX28" t="s">
        <v>2129</v>
      </c>
      <c r="BY28" t="s">
        <v>2129</v>
      </c>
      <c r="BZ28" t="s">
        <v>2129</v>
      </c>
      <c r="CA28" t="s">
        <v>2129</v>
      </c>
      <c r="CB28" t="s">
        <v>2129</v>
      </c>
      <c r="CC28" t="s">
        <v>2129</v>
      </c>
      <c r="CD28" t="s">
        <v>2129</v>
      </c>
      <c r="CE28" t="s">
        <v>2129</v>
      </c>
      <c r="CF28" t="s">
        <v>2129</v>
      </c>
      <c r="CG28" t="s">
        <v>2129</v>
      </c>
      <c r="CH28" t="s">
        <v>2129</v>
      </c>
      <c r="CI28" t="s">
        <v>2129</v>
      </c>
      <c r="CJ28" t="s">
        <v>2129</v>
      </c>
      <c r="CK28" t="s">
        <v>2129</v>
      </c>
      <c r="CL28" t="s">
        <v>2129</v>
      </c>
      <c r="CM28" t="s">
        <v>2129</v>
      </c>
      <c r="CN28" t="s">
        <v>2129</v>
      </c>
      <c r="CO28" t="s">
        <v>2129</v>
      </c>
      <c r="CP28" t="s">
        <v>2129</v>
      </c>
      <c r="CQ28" t="s">
        <v>2129</v>
      </c>
      <c r="CR28" t="s">
        <v>2129</v>
      </c>
      <c r="CS28" t="s">
        <v>2129</v>
      </c>
      <c r="CT28" t="s">
        <v>3520</v>
      </c>
      <c r="CU28" t="s">
        <v>3471</v>
      </c>
      <c r="CV28" t="s">
        <v>2129</v>
      </c>
      <c r="CW28" t="s">
        <v>2129</v>
      </c>
      <c r="CX28" t="s">
        <v>2129</v>
      </c>
      <c r="CY28" t="s">
        <v>2129</v>
      </c>
      <c r="CZ28" t="s">
        <v>2129</v>
      </c>
      <c r="DA28" t="s">
        <v>2129</v>
      </c>
      <c r="DB28" t="s">
        <v>2129</v>
      </c>
      <c r="DC28" t="s">
        <v>2129</v>
      </c>
      <c r="DD28" t="s">
        <v>2129</v>
      </c>
      <c r="DE28" t="s">
        <v>2129</v>
      </c>
      <c r="DF28" t="s">
        <v>2129</v>
      </c>
      <c r="DG28" t="s">
        <v>2129</v>
      </c>
      <c r="DH28" t="s">
        <v>2129</v>
      </c>
      <c r="DI28">
        <v>20</v>
      </c>
      <c r="DJ28" t="s">
        <v>2129</v>
      </c>
      <c r="DK28" t="s">
        <v>2129</v>
      </c>
      <c r="DL28" t="s">
        <v>2129</v>
      </c>
      <c r="DM28" t="s">
        <v>2129</v>
      </c>
      <c r="DN28" t="s">
        <v>2129</v>
      </c>
      <c r="DO28" t="s">
        <v>2129</v>
      </c>
      <c r="DP28" t="s">
        <v>2129</v>
      </c>
      <c r="DQ28" t="s">
        <v>2129</v>
      </c>
      <c r="DR28" t="s">
        <v>2129</v>
      </c>
      <c r="DS28" t="s">
        <v>2129</v>
      </c>
      <c r="DT28" t="s">
        <v>2129</v>
      </c>
      <c r="DU28" t="s">
        <v>2129</v>
      </c>
      <c r="DV28" t="s">
        <v>2129</v>
      </c>
      <c r="DW28" t="s">
        <v>2129</v>
      </c>
      <c r="DX28" t="s">
        <v>2129</v>
      </c>
      <c r="DY28" t="s">
        <v>2129</v>
      </c>
      <c r="DZ28" t="s">
        <v>2129</v>
      </c>
      <c r="EA28" t="s">
        <v>2129</v>
      </c>
      <c r="EB28" t="s">
        <v>2129</v>
      </c>
      <c r="EC28" t="s">
        <v>2129</v>
      </c>
      <c r="ED28" t="s">
        <v>2129</v>
      </c>
      <c r="EE28" t="s">
        <v>2129</v>
      </c>
      <c r="EF28" t="s">
        <v>2129</v>
      </c>
      <c r="EG28" t="s">
        <v>2129</v>
      </c>
      <c r="EH28" t="s">
        <v>2129</v>
      </c>
    </row>
    <row r="29" spans="1:138" x14ac:dyDescent="0.25">
      <c r="A29" t="s">
        <v>1723</v>
      </c>
      <c r="B29" t="s">
        <v>2915</v>
      </c>
      <c r="C29">
        <v>23033</v>
      </c>
      <c r="E29" t="s">
        <v>2136</v>
      </c>
      <c r="F29" t="s">
        <v>16</v>
      </c>
      <c r="G29" t="s">
        <v>2140</v>
      </c>
      <c r="H29" t="s">
        <v>599</v>
      </c>
      <c r="I29" t="s">
        <v>2127</v>
      </c>
      <c r="J29" t="s">
        <v>2141</v>
      </c>
      <c r="K29" t="s">
        <v>2129</v>
      </c>
      <c r="L29" t="s">
        <v>2142</v>
      </c>
      <c r="M29" t="s">
        <v>2130</v>
      </c>
      <c r="N29" t="s">
        <v>16</v>
      </c>
      <c r="O29" t="s">
        <v>2141</v>
      </c>
      <c r="P29" t="s">
        <v>2141</v>
      </c>
      <c r="Q29" t="s">
        <v>2141</v>
      </c>
      <c r="R29" s="37">
        <v>46076.379166666666</v>
      </c>
      <c r="S29" s="37">
        <v>46090.443055555559</v>
      </c>
      <c r="T29" s="37">
        <v>46100.368750000001</v>
      </c>
      <c r="U29" s="37">
        <v>46090.443055555559</v>
      </c>
      <c r="V29" t="s">
        <v>2129</v>
      </c>
      <c r="W29" t="s">
        <v>2129</v>
      </c>
      <c r="X29" t="s">
        <v>2129</v>
      </c>
      <c r="Y29">
        <v>0</v>
      </c>
      <c r="Z29" t="s">
        <v>2129</v>
      </c>
      <c r="AA29" t="s">
        <v>2129</v>
      </c>
      <c r="AB29" t="s">
        <v>2129</v>
      </c>
      <c r="AC29" t="s">
        <v>2141</v>
      </c>
      <c r="AD29" t="s">
        <v>2129</v>
      </c>
      <c r="AE29" t="s">
        <v>2129</v>
      </c>
      <c r="AF29" t="s">
        <v>2129</v>
      </c>
      <c r="AG29" t="s">
        <v>2129</v>
      </c>
      <c r="AH29" t="s">
        <v>2916</v>
      </c>
      <c r="AI29" t="s">
        <v>2917</v>
      </c>
      <c r="AJ29" t="s">
        <v>3521</v>
      </c>
      <c r="AK29" t="s">
        <v>3522</v>
      </c>
      <c r="AL29" t="s">
        <v>2129</v>
      </c>
      <c r="AM29" t="s">
        <v>2129</v>
      </c>
      <c r="AN29" t="s">
        <v>2129</v>
      </c>
      <c r="AO29" t="s">
        <v>2129</v>
      </c>
      <c r="AP29" t="s">
        <v>2129</v>
      </c>
      <c r="AQ29" t="s">
        <v>2129</v>
      </c>
      <c r="AR29" t="s">
        <v>2129</v>
      </c>
      <c r="AS29" t="s">
        <v>2129</v>
      </c>
      <c r="AT29" t="s">
        <v>2129</v>
      </c>
      <c r="AU29" t="s">
        <v>2129</v>
      </c>
      <c r="AV29" t="s">
        <v>2129</v>
      </c>
      <c r="AW29" t="s">
        <v>2129</v>
      </c>
      <c r="AX29" t="s">
        <v>2129</v>
      </c>
      <c r="AY29" t="s">
        <v>2129</v>
      </c>
      <c r="AZ29" t="s">
        <v>2129</v>
      </c>
      <c r="BA29" t="s">
        <v>2129</v>
      </c>
      <c r="BB29" t="s">
        <v>2129</v>
      </c>
      <c r="BC29" t="s">
        <v>2129</v>
      </c>
      <c r="BD29" t="s">
        <v>2129</v>
      </c>
      <c r="BE29" t="s">
        <v>2129</v>
      </c>
      <c r="BF29" t="s">
        <v>2129</v>
      </c>
      <c r="BG29" t="s">
        <v>2129</v>
      </c>
      <c r="BH29" t="s">
        <v>2129</v>
      </c>
      <c r="BI29" t="s">
        <v>2129</v>
      </c>
      <c r="BJ29" t="s">
        <v>2129</v>
      </c>
      <c r="BK29" t="s">
        <v>2129</v>
      </c>
      <c r="BL29" t="s">
        <v>2129</v>
      </c>
      <c r="BM29" t="s">
        <v>2129</v>
      </c>
      <c r="BN29" t="s">
        <v>2129</v>
      </c>
      <c r="BO29" t="s">
        <v>2129</v>
      </c>
      <c r="BP29" t="s">
        <v>2129</v>
      </c>
      <c r="BQ29">
        <v>0</v>
      </c>
      <c r="BR29">
        <v>13740</v>
      </c>
      <c r="BS29" t="s">
        <v>2129</v>
      </c>
      <c r="BT29" t="s">
        <v>2129</v>
      </c>
      <c r="BU29">
        <v>0</v>
      </c>
      <c r="BV29">
        <v>13740</v>
      </c>
      <c r="BW29" t="s">
        <v>2129</v>
      </c>
      <c r="BX29" t="s">
        <v>2129</v>
      </c>
      <c r="BY29" t="s">
        <v>2129</v>
      </c>
      <c r="BZ29" t="s">
        <v>2129</v>
      </c>
      <c r="CA29" t="s">
        <v>2129</v>
      </c>
      <c r="CB29" t="s">
        <v>2129</v>
      </c>
      <c r="CC29" t="s">
        <v>2129</v>
      </c>
      <c r="CD29" t="s">
        <v>2129</v>
      </c>
      <c r="CE29" t="s">
        <v>2129</v>
      </c>
      <c r="CF29" t="s">
        <v>2129</v>
      </c>
      <c r="CG29" t="s">
        <v>2129</v>
      </c>
      <c r="CH29" t="s">
        <v>2129</v>
      </c>
      <c r="CI29" t="s">
        <v>2129</v>
      </c>
      <c r="CJ29" t="s">
        <v>2129</v>
      </c>
      <c r="CK29" t="s">
        <v>2129</v>
      </c>
      <c r="CL29" t="s">
        <v>2129</v>
      </c>
      <c r="CM29" t="s">
        <v>2129</v>
      </c>
      <c r="CN29" t="s">
        <v>2129</v>
      </c>
      <c r="CO29" t="s">
        <v>2129</v>
      </c>
      <c r="CP29" t="s">
        <v>2129</v>
      </c>
      <c r="CQ29" t="s">
        <v>2129</v>
      </c>
      <c r="CR29" t="s">
        <v>2129</v>
      </c>
      <c r="CS29" t="s">
        <v>2129</v>
      </c>
      <c r="CT29" t="s">
        <v>2918</v>
      </c>
      <c r="CU29" t="s">
        <v>2914</v>
      </c>
      <c r="CV29" t="s">
        <v>2129</v>
      </c>
      <c r="CW29" t="s">
        <v>2129</v>
      </c>
      <c r="CX29" t="s">
        <v>2129</v>
      </c>
      <c r="CY29" t="s">
        <v>2129</v>
      </c>
      <c r="CZ29" t="s">
        <v>2129</v>
      </c>
      <c r="DA29" t="s">
        <v>2129</v>
      </c>
      <c r="DB29" t="s">
        <v>2129</v>
      </c>
      <c r="DC29" t="s">
        <v>2129</v>
      </c>
      <c r="DD29" t="s">
        <v>2129</v>
      </c>
      <c r="DE29" t="s">
        <v>2129</v>
      </c>
      <c r="DF29" t="s">
        <v>2129</v>
      </c>
      <c r="DG29" t="s">
        <v>2129</v>
      </c>
      <c r="DH29" t="s">
        <v>2129</v>
      </c>
      <c r="DJ29" t="s">
        <v>2129</v>
      </c>
      <c r="DK29" t="s">
        <v>2129</v>
      </c>
      <c r="DL29" t="s">
        <v>2129</v>
      </c>
      <c r="DM29" t="s">
        <v>2129</v>
      </c>
      <c r="DN29" t="s">
        <v>2129</v>
      </c>
      <c r="DO29" t="s">
        <v>2129</v>
      </c>
      <c r="DP29" t="s">
        <v>2129</v>
      </c>
      <c r="DQ29" t="s">
        <v>2129</v>
      </c>
      <c r="DR29" t="s">
        <v>2129</v>
      </c>
      <c r="DS29" t="s">
        <v>2129</v>
      </c>
      <c r="DT29" t="s">
        <v>2129</v>
      </c>
      <c r="DU29" t="s">
        <v>2129</v>
      </c>
      <c r="DV29" t="s">
        <v>2129</v>
      </c>
      <c r="DW29" t="s">
        <v>2129</v>
      </c>
      <c r="DX29" t="s">
        <v>2129</v>
      </c>
      <c r="DY29" t="s">
        <v>2129</v>
      </c>
      <c r="DZ29" t="s">
        <v>2129</v>
      </c>
      <c r="EA29" t="s">
        <v>2129</v>
      </c>
      <c r="EB29" t="s">
        <v>2129</v>
      </c>
      <c r="EC29" t="s">
        <v>2129</v>
      </c>
      <c r="ED29" t="s">
        <v>2129</v>
      </c>
      <c r="EE29" t="s">
        <v>2129</v>
      </c>
      <c r="EF29" t="s">
        <v>2129</v>
      </c>
      <c r="EG29" t="s">
        <v>2129</v>
      </c>
      <c r="EH29" t="s">
        <v>2129</v>
      </c>
    </row>
    <row r="30" spans="1:138" x14ac:dyDescent="0.25">
      <c r="A30" t="s">
        <v>1723</v>
      </c>
      <c r="B30" t="s">
        <v>2919</v>
      </c>
      <c r="C30">
        <v>23032</v>
      </c>
      <c r="E30" t="s">
        <v>2136</v>
      </c>
      <c r="F30" t="s">
        <v>16</v>
      </c>
      <c r="G30" t="s">
        <v>2140</v>
      </c>
      <c r="H30" t="s">
        <v>599</v>
      </c>
      <c r="I30" t="s">
        <v>2127</v>
      </c>
      <c r="J30" t="s">
        <v>2141</v>
      </c>
      <c r="K30" t="s">
        <v>2129</v>
      </c>
      <c r="L30" t="s">
        <v>2142</v>
      </c>
      <c r="M30" t="s">
        <v>2130</v>
      </c>
      <c r="N30" t="s">
        <v>16</v>
      </c>
      <c r="O30" t="s">
        <v>2141</v>
      </c>
      <c r="P30" t="s">
        <v>2141</v>
      </c>
      <c r="Q30" t="s">
        <v>2141</v>
      </c>
      <c r="R30" s="37">
        <v>46076.379166666666</v>
      </c>
      <c r="S30" s="37">
        <v>46090.443055555559</v>
      </c>
      <c r="T30" s="37">
        <v>46100.368750000001</v>
      </c>
      <c r="U30" s="37">
        <v>46090.443055555559</v>
      </c>
      <c r="V30" t="s">
        <v>2129</v>
      </c>
      <c r="W30" t="s">
        <v>2129</v>
      </c>
      <c r="X30" t="s">
        <v>2129</v>
      </c>
      <c r="Y30">
        <v>0</v>
      </c>
      <c r="Z30" t="s">
        <v>2129</v>
      </c>
      <c r="AA30" t="s">
        <v>2129</v>
      </c>
      <c r="AB30" t="s">
        <v>2129</v>
      </c>
      <c r="AC30" t="s">
        <v>2141</v>
      </c>
      <c r="AD30" t="s">
        <v>2129</v>
      </c>
      <c r="AE30" t="s">
        <v>2129</v>
      </c>
      <c r="AF30" t="s">
        <v>2129</v>
      </c>
      <c r="AG30" t="s">
        <v>2129</v>
      </c>
      <c r="AH30" t="s">
        <v>2129</v>
      </c>
      <c r="AI30" t="s">
        <v>2129</v>
      </c>
      <c r="AJ30" t="s">
        <v>2129</v>
      </c>
      <c r="AK30" t="s">
        <v>2129</v>
      </c>
      <c r="AL30" t="s">
        <v>2129</v>
      </c>
      <c r="AM30" t="s">
        <v>2129</v>
      </c>
      <c r="AN30" t="s">
        <v>2129</v>
      </c>
      <c r="AO30" t="s">
        <v>2129</v>
      </c>
      <c r="AP30" t="s">
        <v>2129</v>
      </c>
      <c r="AQ30" t="s">
        <v>2129</v>
      </c>
      <c r="AR30" t="s">
        <v>2129</v>
      </c>
      <c r="AS30" t="s">
        <v>2129</v>
      </c>
      <c r="AT30" t="s">
        <v>2129</v>
      </c>
      <c r="AU30" t="s">
        <v>2129</v>
      </c>
      <c r="AV30" t="s">
        <v>2129</v>
      </c>
      <c r="AW30" t="s">
        <v>2129</v>
      </c>
      <c r="AX30" t="s">
        <v>2129</v>
      </c>
      <c r="AY30" t="s">
        <v>2129</v>
      </c>
      <c r="AZ30" t="s">
        <v>2129</v>
      </c>
      <c r="BA30" t="s">
        <v>2129</v>
      </c>
      <c r="BB30" t="s">
        <v>2129</v>
      </c>
      <c r="BC30" t="s">
        <v>2129</v>
      </c>
      <c r="BD30" t="s">
        <v>2129</v>
      </c>
      <c r="BE30" t="s">
        <v>2129</v>
      </c>
      <c r="BF30" t="s">
        <v>2129</v>
      </c>
      <c r="BG30" t="s">
        <v>2129</v>
      </c>
      <c r="BH30" t="s">
        <v>2129</v>
      </c>
      <c r="BI30" t="s">
        <v>2129</v>
      </c>
      <c r="BJ30" t="s">
        <v>2129</v>
      </c>
      <c r="BK30" t="s">
        <v>2129</v>
      </c>
      <c r="BL30" t="s">
        <v>2129</v>
      </c>
      <c r="BM30" t="s">
        <v>2129</v>
      </c>
      <c r="BN30" t="s">
        <v>2129</v>
      </c>
      <c r="BO30" t="s">
        <v>2129</v>
      </c>
      <c r="BP30" t="s">
        <v>2129</v>
      </c>
      <c r="BS30" t="s">
        <v>2129</v>
      </c>
      <c r="BT30" t="s">
        <v>2129</v>
      </c>
      <c r="BW30" t="s">
        <v>2129</v>
      </c>
      <c r="BX30" t="s">
        <v>2129</v>
      </c>
      <c r="BY30" t="s">
        <v>2129</v>
      </c>
      <c r="BZ30" t="s">
        <v>2129</v>
      </c>
      <c r="CA30" t="s">
        <v>2129</v>
      </c>
      <c r="CB30" t="s">
        <v>2129</v>
      </c>
      <c r="CC30" t="s">
        <v>2129</v>
      </c>
      <c r="CD30" t="s">
        <v>2129</v>
      </c>
      <c r="CE30" t="s">
        <v>2129</v>
      </c>
      <c r="CF30" t="s">
        <v>2129</v>
      </c>
      <c r="CG30" t="s">
        <v>2129</v>
      </c>
      <c r="CH30" t="s">
        <v>2129</v>
      </c>
      <c r="CI30" t="s">
        <v>2129</v>
      </c>
      <c r="CJ30" t="s">
        <v>2129</v>
      </c>
      <c r="CK30" t="s">
        <v>2129</v>
      </c>
      <c r="CL30" t="s">
        <v>2129</v>
      </c>
      <c r="CM30" t="s">
        <v>2129</v>
      </c>
      <c r="CN30" t="s">
        <v>2129</v>
      </c>
      <c r="CO30" t="s">
        <v>2129</v>
      </c>
      <c r="CP30" t="s">
        <v>2129</v>
      </c>
      <c r="CQ30" t="s">
        <v>2129</v>
      </c>
      <c r="CR30" t="s">
        <v>2129</v>
      </c>
      <c r="CS30" t="s">
        <v>2129</v>
      </c>
      <c r="CT30" t="s">
        <v>2920</v>
      </c>
      <c r="CU30" t="s">
        <v>2914</v>
      </c>
      <c r="CV30" t="s">
        <v>2129</v>
      </c>
      <c r="CW30" t="s">
        <v>2129</v>
      </c>
      <c r="CX30" t="s">
        <v>2129</v>
      </c>
      <c r="CY30" t="s">
        <v>2129</v>
      </c>
      <c r="CZ30" t="s">
        <v>2129</v>
      </c>
      <c r="DA30" t="s">
        <v>2129</v>
      </c>
      <c r="DB30" t="s">
        <v>2129</v>
      </c>
      <c r="DC30" t="s">
        <v>2129</v>
      </c>
      <c r="DD30" t="s">
        <v>2129</v>
      </c>
      <c r="DE30" t="s">
        <v>2129</v>
      </c>
      <c r="DF30" t="s">
        <v>2129</v>
      </c>
      <c r="DG30" t="s">
        <v>2129</v>
      </c>
      <c r="DH30" t="s">
        <v>2129</v>
      </c>
      <c r="DJ30" t="s">
        <v>2129</v>
      </c>
      <c r="DK30" t="s">
        <v>2129</v>
      </c>
      <c r="DL30" t="s">
        <v>2129</v>
      </c>
      <c r="DM30" t="s">
        <v>2129</v>
      </c>
      <c r="DN30" t="s">
        <v>2129</v>
      </c>
      <c r="DO30" t="s">
        <v>2129</v>
      </c>
      <c r="DP30" t="s">
        <v>2129</v>
      </c>
      <c r="DQ30" t="s">
        <v>2129</v>
      </c>
      <c r="DR30" t="s">
        <v>2129</v>
      </c>
      <c r="DS30" t="s">
        <v>2129</v>
      </c>
      <c r="DT30" t="s">
        <v>2129</v>
      </c>
      <c r="DU30" t="s">
        <v>2129</v>
      </c>
      <c r="DV30" t="s">
        <v>2129</v>
      </c>
      <c r="DW30" t="s">
        <v>2129</v>
      </c>
      <c r="DX30" t="s">
        <v>2129</v>
      </c>
      <c r="DY30" t="s">
        <v>2129</v>
      </c>
      <c r="DZ30" t="s">
        <v>2129</v>
      </c>
      <c r="EA30" t="s">
        <v>2129</v>
      </c>
      <c r="EB30" t="s">
        <v>2129</v>
      </c>
      <c r="EC30" t="s">
        <v>2129</v>
      </c>
      <c r="ED30" t="s">
        <v>2129</v>
      </c>
      <c r="EE30" t="s">
        <v>2129</v>
      </c>
      <c r="EF30" t="s">
        <v>2129</v>
      </c>
      <c r="EG30" t="s">
        <v>2129</v>
      </c>
      <c r="EH30" t="s">
        <v>2129</v>
      </c>
    </row>
    <row r="31" spans="1:138" x14ac:dyDescent="0.25">
      <c r="A31" t="s">
        <v>1723</v>
      </c>
      <c r="B31" t="s">
        <v>2921</v>
      </c>
      <c r="C31">
        <v>23031</v>
      </c>
      <c r="E31" t="s">
        <v>2136</v>
      </c>
      <c r="F31" t="s">
        <v>16</v>
      </c>
      <c r="G31" t="s">
        <v>2140</v>
      </c>
      <c r="H31" t="s">
        <v>599</v>
      </c>
      <c r="I31" t="s">
        <v>2127</v>
      </c>
      <c r="J31" t="s">
        <v>2141</v>
      </c>
      <c r="K31" t="s">
        <v>2129</v>
      </c>
      <c r="L31" t="s">
        <v>2142</v>
      </c>
      <c r="M31" t="s">
        <v>2130</v>
      </c>
      <c r="N31" t="s">
        <v>16</v>
      </c>
      <c r="O31" t="s">
        <v>2141</v>
      </c>
      <c r="P31" t="s">
        <v>2141</v>
      </c>
      <c r="Q31" t="s">
        <v>2141</v>
      </c>
      <c r="R31" s="37">
        <v>46076.378472222219</v>
      </c>
      <c r="S31" s="37">
        <v>46090.443055555559</v>
      </c>
      <c r="T31" s="37">
        <v>46100.368750000001</v>
      </c>
      <c r="U31" s="37">
        <v>46090.443055555559</v>
      </c>
      <c r="V31" t="s">
        <v>2129</v>
      </c>
      <c r="W31" t="s">
        <v>2129</v>
      </c>
      <c r="X31" t="s">
        <v>2129</v>
      </c>
      <c r="Y31">
        <v>0</v>
      </c>
      <c r="Z31" t="s">
        <v>2129</v>
      </c>
      <c r="AA31" t="s">
        <v>2129</v>
      </c>
      <c r="AB31" t="s">
        <v>2129</v>
      </c>
      <c r="AC31" t="s">
        <v>2141</v>
      </c>
      <c r="AD31" t="s">
        <v>2129</v>
      </c>
      <c r="AE31" t="s">
        <v>2129</v>
      </c>
      <c r="AF31" t="s">
        <v>2129</v>
      </c>
      <c r="AG31" t="s">
        <v>2129</v>
      </c>
      <c r="AH31" t="s">
        <v>2129</v>
      </c>
      <c r="AI31" t="s">
        <v>2129</v>
      </c>
      <c r="AJ31" t="s">
        <v>2129</v>
      </c>
      <c r="AK31" t="s">
        <v>2129</v>
      </c>
      <c r="AL31" t="s">
        <v>2129</v>
      </c>
      <c r="AM31" t="s">
        <v>2129</v>
      </c>
      <c r="AN31" t="s">
        <v>2129</v>
      </c>
      <c r="AO31" t="s">
        <v>2129</v>
      </c>
      <c r="AP31" t="s">
        <v>2129</v>
      </c>
      <c r="AQ31" t="s">
        <v>2129</v>
      </c>
      <c r="AR31" t="s">
        <v>2129</v>
      </c>
      <c r="AS31" t="s">
        <v>2129</v>
      </c>
      <c r="AT31" t="s">
        <v>2129</v>
      </c>
      <c r="AU31" t="s">
        <v>2129</v>
      </c>
      <c r="AV31" t="s">
        <v>2129</v>
      </c>
      <c r="AW31" t="s">
        <v>2129</v>
      </c>
      <c r="AX31" t="s">
        <v>2129</v>
      </c>
      <c r="AY31" t="s">
        <v>2129</v>
      </c>
      <c r="AZ31" t="s">
        <v>2129</v>
      </c>
      <c r="BA31" t="s">
        <v>2129</v>
      </c>
      <c r="BB31" t="s">
        <v>2129</v>
      </c>
      <c r="BC31" t="s">
        <v>2129</v>
      </c>
      <c r="BD31" t="s">
        <v>2129</v>
      </c>
      <c r="BE31" t="s">
        <v>2129</v>
      </c>
      <c r="BF31" t="s">
        <v>2129</v>
      </c>
      <c r="BG31" t="s">
        <v>2129</v>
      </c>
      <c r="BH31" t="s">
        <v>2129</v>
      </c>
      <c r="BI31" t="s">
        <v>2129</v>
      </c>
      <c r="BJ31" t="s">
        <v>2129</v>
      </c>
      <c r="BK31" t="s">
        <v>2129</v>
      </c>
      <c r="BL31" t="s">
        <v>2129</v>
      </c>
      <c r="BM31" t="s">
        <v>2129</v>
      </c>
      <c r="BN31" t="s">
        <v>2129</v>
      </c>
      <c r="BO31" t="s">
        <v>2129</v>
      </c>
      <c r="BP31" t="s">
        <v>2129</v>
      </c>
      <c r="BS31" t="s">
        <v>2129</v>
      </c>
      <c r="BT31" t="s">
        <v>2129</v>
      </c>
      <c r="BW31" t="s">
        <v>2129</v>
      </c>
      <c r="BX31" t="s">
        <v>2129</v>
      </c>
      <c r="BY31" t="s">
        <v>2129</v>
      </c>
      <c r="BZ31" t="s">
        <v>2129</v>
      </c>
      <c r="CA31" t="s">
        <v>2129</v>
      </c>
      <c r="CB31" t="s">
        <v>2129</v>
      </c>
      <c r="CC31" t="s">
        <v>2129</v>
      </c>
      <c r="CD31" t="s">
        <v>2129</v>
      </c>
      <c r="CE31" t="s">
        <v>2129</v>
      </c>
      <c r="CF31" t="s">
        <v>2129</v>
      </c>
      <c r="CG31" t="s">
        <v>2129</v>
      </c>
      <c r="CH31" t="s">
        <v>2129</v>
      </c>
      <c r="CI31" t="s">
        <v>2129</v>
      </c>
      <c r="CJ31" t="s">
        <v>2129</v>
      </c>
      <c r="CK31" t="s">
        <v>2129</v>
      </c>
      <c r="CL31" t="s">
        <v>2129</v>
      </c>
      <c r="CM31" t="s">
        <v>2129</v>
      </c>
      <c r="CN31" t="s">
        <v>2129</v>
      </c>
      <c r="CO31" t="s">
        <v>2129</v>
      </c>
      <c r="CP31" t="s">
        <v>2129</v>
      </c>
      <c r="CQ31" t="s">
        <v>2129</v>
      </c>
      <c r="CR31" t="s">
        <v>2129</v>
      </c>
      <c r="CS31" t="s">
        <v>2129</v>
      </c>
      <c r="CT31" t="s">
        <v>2922</v>
      </c>
      <c r="CU31" t="s">
        <v>2914</v>
      </c>
      <c r="CV31" t="s">
        <v>2129</v>
      </c>
      <c r="CW31" t="s">
        <v>2129</v>
      </c>
      <c r="CX31" t="s">
        <v>2129</v>
      </c>
      <c r="CY31" t="s">
        <v>2129</v>
      </c>
      <c r="CZ31" t="s">
        <v>2129</v>
      </c>
      <c r="DA31" t="s">
        <v>2129</v>
      </c>
      <c r="DB31" t="s">
        <v>2129</v>
      </c>
      <c r="DC31" t="s">
        <v>2129</v>
      </c>
      <c r="DD31" t="s">
        <v>2129</v>
      </c>
      <c r="DE31" t="s">
        <v>2129</v>
      </c>
      <c r="DF31" t="s">
        <v>2129</v>
      </c>
      <c r="DG31" t="s">
        <v>2129</v>
      </c>
      <c r="DH31" t="s">
        <v>2129</v>
      </c>
      <c r="DJ31" t="s">
        <v>2129</v>
      </c>
      <c r="DK31" t="s">
        <v>2129</v>
      </c>
      <c r="DL31" t="s">
        <v>2129</v>
      </c>
      <c r="DM31" t="s">
        <v>2129</v>
      </c>
      <c r="DN31" t="s">
        <v>2129</v>
      </c>
      <c r="DO31" t="s">
        <v>2129</v>
      </c>
      <c r="DP31" t="s">
        <v>2129</v>
      </c>
      <c r="DQ31" t="s">
        <v>2129</v>
      </c>
      <c r="DR31" t="s">
        <v>2129</v>
      </c>
      <c r="DS31" t="s">
        <v>2129</v>
      </c>
      <c r="DT31" t="s">
        <v>2129</v>
      </c>
      <c r="DU31" t="s">
        <v>2129</v>
      </c>
      <c r="DV31" t="s">
        <v>2129</v>
      </c>
      <c r="DW31" t="s">
        <v>2129</v>
      </c>
      <c r="DX31" t="s">
        <v>2129</v>
      </c>
      <c r="DY31" t="s">
        <v>2129</v>
      </c>
      <c r="DZ31" t="s">
        <v>2129</v>
      </c>
      <c r="EA31" t="s">
        <v>2129</v>
      </c>
      <c r="EB31" t="s">
        <v>2129</v>
      </c>
      <c r="EC31" t="s">
        <v>2129</v>
      </c>
      <c r="ED31" t="s">
        <v>2129</v>
      </c>
      <c r="EE31" t="s">
        <v>2129</v>
      </c>
      <c r="EF31" t="s">
        <v>2129</v>
      </c>
      <c r="EG31" t="s">
        <v>2129</v>
      </c>
      <c r="EH31" t="s">
        <v>2129</v>
      </c>
    </row>
    <row r="32" spans="1:138" x14ac:dyDescent="0.25">
      <c r="A32" t="s">
        <v>1723</v>
      </c>
      <c r="B32" t="s">
        <v>2923</v>
      </c>
      <c r="C32">
        <v>23030</v>
      </c>
      <c r="E32" t="s">
        <v>2136</v>
      </c>
      <c r="F32" t="s">
        <v>16</v>
      </c>
      <c r="G32" t="s">
        <v>2140</v>
      </c>
      <c r="H32" t="s">
        <v>599</v>
      </c>
      <c r="I32" t="s">
        <v>2127</v>
      </c>
      <c r="J32" t="s">
        <v>2141</v>
      </c>
      <c r="K32" t="s">
        <v>2129</v>
      </c>
      <c r="L32" t="s">
        <v>2142</v>
      </c>
      <c r="M32" t="s">
        <v>2130</v>
      </c>
      <c r="N32" t="s">
        <v>16</v>
      </c>
      <c r="O32" t="s">
        <v>2141</v>
      </c>
      <c r="P32" t="s">
        <v>2141</v>
      </c>
      <c r="Q32" t="s">
        <v>2141</v>
      </c>
      <c r="R32" s="37">
        <v>46076.378472222219</v>
      </c>
      <c r="S32" s="37">
        <v>46090.442361111112</v>
      </c>
      <c r="T32" s="37">
        <v>46100.368750000001</v>
      </c>
      <c r="U32" s="37">
        <v>46090.442361111112</v>
      </c>
      <c r="V32" t="s">
        <v>2129</v>
      </c>
      <c r="W32" t="s">
        <v>2129</v>
      </c>
      <c r="X32" t="s">
        <v>2129</v>
      </c>
      <c r="Y32">
        <v>0</v>
      </c>
      <c r="Z32" t="s">
        <v>2129</v>
      </c>
      <c r="AA32" t="s">
        <v>2129</v>
      </c>
      <c r="AB32" t="s">
        <v>2129</v>
      </c>
      <c r="AC32" t="s">
        <v>2141</v>
      </c>
      <c r="AD32" t="s">
        <v>2129</v>
      </c>
      <c r="AE32" t="s">
        <v>2129</v>
      </c>
      <c r="AF32" t="s">
        <v>2129</v>
      </c>
      <c r="AG32" t="s">
        <v>2129</v>
      </c>
      <c r="AH32" t="s">
        <v>2129</v>
      </c>
      <c r="AI32" t="s">
        <v>2129</v>
      </c>
      <c r="AJ32" t="s">
        <v>2129</v>
      </c>
      <c r="AK32" t="s">
        <v>2129</v>
      </c>
      <c r="AL32" t="s">
        <v>2129</v>
      </c>
      <c r="AM32" t="s">
        <v>2129</v>
      </c>
      <c r="AN32" t="s">
        <v>2129</v>
      </c>
      <c r="AO32" t="s">
        <v>2129</v>
      </c>
      <c r="AP32" t="s">
        <v>2129</v>
      </c>
      <c r="AQ32" t="s">
        <v>2129</v>
      </c>
      <c r="AR32" t="s">
        <v>2129</v>
      </c>
      <c r="AS32" t="s">
        <v>2129</v>
      </c>
      <c r="AT32" t="s">
        <v>2129</v>
      </c>
      <c r="AU32" t="s">
        <v>2129</v>
      </c>
      <c r="AV32" t="s">
        <v>2129</v>
      </c>
      <c r="AW32" t="s">
        <v>2129</v>
      </c>
      <c r="AX32" t="s">
        <v>2129</v>
      </c>
      <c r="AY32" t="s">
        <v>2129</v>
      </c>
      <c r="AZ32" t="s">
        <v>2129</v>
      </c>
      <c r="BA32" t="s">
        <v>2129</v>
      </c>
      <c r="BB32" t="s">
        <v>2129</v>
      </c>
      <c r="BC32" t="s">
        <v>2129</v>
      </c>
      <c r="BD32" t="s">
        <v>2129</v>
      </c>
      <c r="BE32" t="s">
        <v>2129</v>
      </c>
      <c r="BF32" t="s">
        <v>2129</v>
      </c>
      <c r="BG32" t="s">
        <v>2129</v>
      </c>
      <c r="BH32" t="s">
        <v>2129</v>
      </c>
      <c r="BI32" t="s">
        <v>2129</v>
      </c>
      <c r="BJ32" t="s">
        <v>2129</v>
      </c>
      <c r="BK32" t="s">
        <v>2129</v>
      </c>
      <c r="BL32" t="s">
        <v>2129</v>
      </c>
      <c r="BM32" t="s">
        <v>2129</v>
      </c>
      <c r="BN32" t="s">
        <v>2129</v>
      </c>
      <c r="BO32" t="s">
        <v>2129</v>
      </c>
      <c r="BP32" t="s">
        <v>2129</v>
      </c>
      <c r="BS32" t="s">
        <v>2129</v>
      </c>
      <c r="BT32" t="s">
        <v>2129</v>
      </c>
      <c r="BW32" t="s">
        <v>2129</v>
      </c>
      <c r="BX32" t="s">
        <v>2129</v>
      </c>
      <c r="BY32" t="s">
        <v>2129</v>
      </c>
      <c r="BZ32" t="s">
        <v>2129</v>
      </c>
      <c r="CA32" t="s">
        <v>2129</v>
      </c>
      <c r="CB32" t="s">
        <v>2129</v>
      </c>
      <c r="CC32" t="s">
        <v>2129</v>
      </c>
      <c r="CD32" t="s">
        <v>2129</v>
      </c>
      <c r="CE32" t="s">
        <v>2129</v>
      </c>
      <c r="CF32" t="s">
        <v>2129</v>
      </c>
      <c r="CG32" t="s">
        <v>2129</v>
      </c>
      <c r="CH32" t="s">
        <v>2129</v>
      </c>
      <c r="CI32" t="s">
        <v>2129</v>
      </c>
      <c r="CJ32" t="s">
        <v>2129</v>
      </c>
      <c r="CK32" t="s">
        <v>2129</v>
      </c>
      <c r="CL32" t="s">
        <v>2129</v>
      </c>
      <c r="CM32" t="s">
        <v>2129</v>
      </c>
      <c r="CN32" t="s">
        <v>2129</v>
      </c>
      <c r="CO32" t="s">
        <v>2129</v>
      </c>
      <c r="CP32" t="s">
        <v>2129</v>
      </c>
      <c r="CQ32" t="s">
        <v>2129</v>
      </c>
      <c r="CR32" t="s">
        <v>2129</v>
      </c>
      <c r="CS32" t="s">
        <v>2129</v>
      </c>
      <c r="CT32" t="s">
        <v>2924</v>
      </c>
      <c r="CU32" t="s">
        <v>2914</v>
      </c>
      <c r="CV32" t="s">
        <v>2129</v>
      </c>
      <c r="CW32" t="s">
        <v>2129</v>
      </c>
      <c r="CX32" t="s">
        <v>2129</v>
      </c>
      <c r="CY32" t="s">
        <v>2129</v>
      </c>
      <c r="CZ32" t="s">
        <v>2129</v>
      </c>
      <c r="DA32" t="s">
        <v>2129</v>
      </c>
      <c r="DB32" t="s">
        <v>2129</v>
      </c>
      <c r="DC32" t="s">
        <v>2129</v>
      </c>
      <c r="DD32" t="s">
        <v>2129</v>
      </c>
      <c r="DE32" t="s">
        <v>2129</v>
      </c>
      <c r="DF32" t="s">
        <v>2129</v>
      </c>
      <c r="DG32" t="s">
        <v>2129</v>
      </c>
      <c r="DH32" t="s">
        <v>2129</v>
      </c>
      <c r="DJ32" t="s">
        <v>2129</v>
      </c>
      <c r="DK32" t="s">
        <v>2129</v>
      </c>
      <c r="DL32" t="s">
        <v>2129</v>
      </c>
      <c r="DM32" t="s">
        <v>2129</v>
      </c>
      <c r="DN32" t="s">
        <v>2129</v>
      </c>
      <c r="DO32" t="s">
        <v>2129</v>
      </c>
      <c r="DP32" t="s">
        <v>2129</v>
      </c>
      <c r="DQ32" t="s">
        <v>2129</v>
      </c>
      <c r="DR32" t="s">
        <v>2129</v>
      </c>
      <c r="DS32" t="s">
        <v>2129</v>
      </c>
      <c r="DT32" t="s">
        <v>2129</v>
      </c>
      <c r="DU32" t="s">
        <v>2129</v>
      </c>
      <c r="DV32" t="s">
        <v>2129</v>
      </c>
      <c r="DW32" t="s">
        <v>2129</v>
      </c>
      <c r="DX32" t="s">
        <v>2129</v>
      </c>
      <c r="DY32" t="s">
        <v>2129</v>
      </c>
      <c r="DZ32" t="s">
        <v>2129</v>
      </c>
      <c r="EA32" t="s">
        <v>2129</v>
      </c>
      <c r="EB32" t="s">
        <v>2129</v>
      </c>
      <c r="EC32" t="s">
        <v>2129</v>
      </c>
      <c r="ED32" t="s">
        <v>2129</v>
      </c>
      <c r="EE32" t="s">
        <v>2129</v>
      </c>
      <c r="EF32" t="s">
        <v>2129</v>
      </c>
      <c r="EG32" t="s">
        <v>2129</v>
      </c>
      <c r="EH32" t="s">
        <v>2129</v>
      </c>
    </row>
    <row r="33" spans="1:138" x14ac:dyDescent="0.25">
      <c r="A33" t="s">
        <v>2736</v>
      </c>
      <c r="B33" t="s">
        <v>2735</v>
      </c>
      <c r="C33">
        <v>22881</v>
      </c>
      <c r="E33" t="s">
        <v>14</v>
      </c>
      <c r="F33" t="s">
        <v>27</v>
      </c>
      <c r="G33" t="s">
        <v>2140</v>
      </c>
      <c r="H33" t="s">
        <v>599</v>
      </c>
      <c r="I33" t="s">
        <v>2127</v>
      </c>
      <c r="J33" t="s">
        <v>2141</v>
      </c>
      <c r="K33" t="s">
        <v>2129</v>
      </c>
      <c r="L33" t="s">
        <v>2142</v>
      </c>
      <c r="M33" t="s">
        <v>2130</v>
      </c>
      <c r="N33" t="s">
        <v>2129</v>
      </c>
      <c r="O33" t="s">
        <v>2141</v>
      </c>
      <c r="P33" t="s">
        <v>2145</v>
      </c>
      <c r="Q33" t="s">
        <v>2145</v>
      </c>
      <c r="R33" s="37">
        <v>46048.394444444442</v>
      </c>
      <c r="S33" s="37">
        <v>46097.543055555558</v>
      </c>
      <c r="T33" s="37">
        <v>46059.717361111114</v>
      </c>
      <c r="U33" s="37"/>
      <c r="V33" t="s">
        <v>2129</v>
      </c>
      <c r="W33" t="s">
        <v>2129</v>
      </c>
      <c r="X33" t="s">
        <v>2129</v>
      </c>
      <c r="Y33">
        <v>0</v>
      </c>
      <c r="Z33" t="s">
        <v>2129</v>
      </c>
      <c r="AA33" t="s">
        <v>3523</v>
      </c>
      <c r="AB33" t="s">
        <v>2129</v>
      </c>
      <c r="AC33" t="s">
        <v>2151</v>
      </c>
      <c r="AD33" t="s">
        <v>2145</v>
      </c>
      <c r="AE33" t="s">
        <v>2150</v>
      </c>
      <c r="AF33" t="s">
        <v>2129</v>
      </c>
      <c r="AG33" t="s">
        <v>2129</v>
      </c>
      <c r="AH33" t="s">
        <v>3524</v>
      </c>
      <c r="AI33" t="s">
        <v>3525</v>
      </c>
      <c r="AJ33" t="s">
        <v>3526</v>
      </c>
      <c r="AK33" t="s">
        <v>2129</v>
      </c>
      <c r="AL33" t="s">
        <v>2129</v>
      </c>
      <c r="AM33" t="s">
        <v>2129</v>
      </c>
      <c r="AN33" t="s">
        <v>2129</v>
      </c>
      <c r="AO33" t="s">
        <v>2129</v>
      </c>
      <c r="AP33" t="s">
        <v>2129</v>
      </c>
      <c r="AQ33" t="s">
        <v>2129</v>
      </c>
      <c r="AR33" t="s">
        <v>2129</v>
      </c>
      <c r="AS33" t="s">
        <v>2129</v>
      </c>
      <c r="AT33" t="s">
        <v>2129</v>
      </c>
      <c r="AU33" t="s">
        <v>2129</v>
      </c>
      <c r="AV33" t="s">
        <v>2129</v>
      </c>
      <c r="AW33" t="s">
        <v>2129</v>
      </c>
      <c r="AX33" t="s">
        <v>2129</v>
      </c>
      <c r="AY33" t="s">
        <v>2129</v>
      </c>
      <c r="AZ33" t="s">
        <v>2129</v>
      </c>
      <c r="BA33" t="s">
        <v>2129</v>
      </c>
      <c r="BB33" t="s">
        <v>2129</v>
      </c>
      <c r="BC33" t="s">
        <v>2129</v>
      </c>
      <c r="BD33" t="s">
        <v>2129</v>
      </c>
      <c r="BE33" t="s">
        <v>2129</v>
      </c>
      <c r="BF33" t="s">
        <v>2129</v>
      </c>
      <c r="BG33" t="s">
        <v>2129</v>
      </c>
      <c r="BH33" t="s">
        <v>2129</v>
      </c>
      <c r="BI33" t="s">
        <v>2129</v>
      </c>
      <c r="BJ33" t="s">
        <v>2129</v>
      </c>
      <c r="BK33" t="s">
        <v>2129</v>
      </c>
      <c r="BL33" t="s">
        <v>2129</v>
      </c>
      <c r="BM33" t="s">
        <v>2129</v>
      </c>
      <c r="BN33" t="s">
        <v>2129</v>
      </c>
      <c r="BO33" t="s">
        <v>2129</v>
      </c>
      <c r="BP33" t="s">
        <v>2129</v>
      </c>
      <c r="BQ33">
        <v>0</v>
      </c>
      <c r="BR33">
        <v>9000</v>
      </c>
      <c r="BS33" t="s">
        <v>2129</v>
      </c>
      <c r="BT33" t="s">
        <v>2129</v>
      </c>
      <c r="BU33">
        <v>0</v>
      </c>
      <c r="BV33">
        <v>20400</v>
      </c>
      <c r="BW33" t="s">
        <v>2129</v>
      </c>
      <c r="BX33" t="s">
        <v>2129</v>
      </c>
      <c r="BY33" t="s">
        <v>2129</v>
      </c>
      <c r="BZ33" t="s">
        <v>3527</v>
      </c>
      <c r="CA33" t="s">
        <v>3528</v>
      </c>
      <c r="CB33" t="s">
        <v>3529</v>
      </c>
      <c r="CC33" t="s">
        <v>3530</v>
      </c>
      <c r="CD33" t="s">
        <v>3531</v>
      </c>
      <c r="CE33" t="s">
        <v>3532</v>
      </c>
      <c r="CF33" t="s">
        <v>3533</v>
      </c>
      <c r="CG33" t="s">
        <v>2129</v>
      </c>
      <c r="CH33" t="s">
        <v>2129</v>
      </c>
      <c r="CI33" t="s">
        <v>2129</v>
      </c>
      <c r="CJ33" t="s">
        <v>2129</v>
      </c>
      <c r="CK33" t="s">
        <v>2129</v>
      </c>
      <c r="CL33" t="s">
        <v>2129</v>
      </c>
      <c r="CM33" t="s">
        <v>2129</v>
      </c>
      <c r="CN33" t="s">
        <v>2129</v>
      </c>
      <c r="CO33" t="s">
        <v>2129</v>
      </c>
      <c r="CP33" t="s">
        <v>2129</v>
      </c>
      <c r="CQ33" t="s">
        <v>2129</v>
      </c>
      <c r="CR33" t="s">
        <v>2129</v>
      </c>
      <c r="CS33" t="s">
        <v>2129</v>
      </c>
      <c r="CT33" t="s">
        <v>3534</v>
      </c>
      <c r="CU33" t="s">
        <v>2698</v>
      </c>
      <c r="CV33" t="s">
        <v>2799</v>
      </c>
      <c r="CW33" t="s">
        <v>2914</v>
      </c>
      <c r="CX33" t="s">
        <v>3471</v>
      </c>
      <c r="CY33" t="s">
        <v>2129</v>
      </c>
      <c r="CZ33" t="s">
        <v>2129</v>
      </c>
      <c r="DA33" t="s">
        <v>2129</v>
      </c>
      <c r="DB33" t="s">
        <v>2129</v>
      </c>
      <c r="DC33" t="s">
        <v>2129</v>
      </c>
      <c r="DD33" t="s">
        <v>2129</v>
      </c>
      <c r="DE33" t="s">
        <v>2129</v>
      </c>
      <c r="DF33" t="s">
        <v>2129</v>
      </c>
      <c r="DG33" t="s">
        <v>2129</v>
      </c>
      <c r="DH33" t="s">
        <v>2129</v>
      </c>
      <c r="DI33">
        <v>30</v>
      </c>
      <c r="DJ33" t="s">
        <v>2129</v>
      </c>
      <c r="DK33" t="s">
        <v>2129</v>
      </c>
      <c r="DL33" t="s">
        <v>3535</v>
      </c>
      <c r="DM33" t="s">
        <v>3536</v>
      </c>
      <c r="DN33" t="s">
        <v>3537</v>
      </c>
      <c r="DO33" t="s">
        <v>3538</v>
      </c>
      <c r="DP33" t="s">
        <v>3539</v>
      </c>
      <c r="DQ33" t="s">
        <v>3540</v>
      </c>
      <c r="DR33" t="s">
        <v>3541</v>
      </c>
      <c r="DS33" t="s">
        <v>3542</v>
      </c>
      <c r="DT33" t="s">
        <v>3543</v>
      </c>
      <c r="DU33" t="s">
        <v>3544</v>
      </c>
      <c r="DV33" t="s">
        <v>3545</v>
      </c>
      <c r="DW33" t="s">
        <v>3546</v>
      </c>
      <c r="DX33" t="s">
        <v>3547</v>
      </c>
      <c r="DY33" t="s">
        <v>3548</v>
      </c>
      <c r="DZ33" t="s">
        <v>3549</v>
      </c>
      <c r="EA33" t="s">
        <v>3550</v>
      </c>
      <c r="EB33" t="s">
        <v>3551</v>
      </c>
      <c r="EC33" t="s">
        <v>3552</v>
      </c>
      <c r="ED33" t="s">
        <v>3553</v>
      </c>
      <c r="EE33" t="s">
        <v>3554</v>
      </c>
      <c r="EF33" t="s">
        <v>3555</v>
      </c>
      <c r="EG33" t="s">
        <v>3556</v>
      </c>
      <c r="EH33" t="s">
        <v>3557</v>
      </c>
    </row>
    <row r="34" spans="1:138" x14ac:dyDescent="0.25">
      <c r="A34" t="s">
        <v>2925</v>
      </c>
      <c r="B34" t="s">
        <v>2703</v>
      </c>
      <c r="C34">
        <v>22880</v>
      </c>
      <c r="E34" t="s">
        <v>14</v>
      </c>
      <c r="F34" t="s">
        <v>10</v>
      </c>
      <c r="G34" t="s">
        <v>2140</v>
      </c>
      <c r="H34" t="s">
        <v>599</v>
      </c>
      <c r="I34" t="s">
        <v>2127</v>
      </c>
      <c r="J34" t="s">
        <v>2141</v>
      </c>
      <c r="K34" t="s">
        <v>2129</v>
      </c>
      <c r="L34" t="s">
        <v>2142</v>
      </c>
      <c r="M34" t="s">
        <v>2130</v>
      </c>
      <c r="N34" t="s">
        <v>2129</v>
      </c>
      <c r="O34" t="s">
        <v>2306</v>
      </c>
      <c r="P34" t="s">
        <v>2145</v>
      </c>
      <c r="Q34" t="s">
        <v>2145</v>
      </c>
      <c r="R34" s="37">
        <v>46048.384027777778</v>
      </c>
      <c r="S34" s="37">
        <v>46098.674305555556</v>
      </c>
      <c r="T34" s="37">
        <v>46100.368750000001</v>
      </c>
      <c r="U34" s="37"/>
      <c r="V34" t="s">
        <v>2129</v>
      </c>
      <c r="W34" t="s">
        <v>2129</v>
      </c>
      <c r="X34" t="s">
        <v>2129</v>
      </c>
      <c r="Y34">
        <v>0</v>
      </c>
      <c r="Z34" t="s">
        <v>2129</v>
      </c>
      <c r="AA34" t="s">
        <v>2926</v>
      </c>
      <c r="AB34" t="s">
        <v>2129</v>
      </c>
      <c r="AC34" t="s">
        <v>2145</v>
      </c>
      <c r="AD34" t="s">
        <v>2129</v>
      </c>
      <c r="AE34" t="s">
        <v>2129</v>
      </c>
      <c r="AF34" t="s">
        <v>2129</v>
      </c>
      <c r="AG34" t="s">
        <v>2129</v>
      </c>
      <c r="AH34" t="s">
        <v>2129</v>
      </c>
      <c r="AI34" t="s">
        <v>2129</v>
      </c>
      <c r="AJ34" t="s">
        <v>2129</v>
      </c>
      <c r="AK34" t="s">
        <v>2129</v>
      </c>
      <c r="AL34" t="s">
        <v>2129</v>
      </c>
      <c r="AM34" t="s">
        <v>2129</v>
      </c>
      <c r="AN34" t="s">
        <v>2129</v>
      </c>
      <c r="AO34" t="s">
        <v>2129</v>
      </c>
      <c r="AP34" t="s">
        <v>2129</v>
      </c>
      <c r="AQ34" t="s">
        <v>2129</v>
      </c>
      <c r="AR34" t="s">
        <v>2129</v>
      </c>
      <c r="AS34" t="s">
        <v>2129</v>
      </c>
      <c r="AT34" t="s">
        <v>2129</v>
      </c>
      <c r="AU34" t="s">
        <v>2129</v>
      </c>
      <c r="AV34" t="s">
        <v>2129</v>
      </c>
      <c r="AW34" t="s">
        <v>2129</v>
      </c>
      <c r="AX34" t="s">
        <v>2129</v>
      </c>
      <c r="AY34" t="s">
        <v>2129</v>
      </c>
      <c r="AZ34" t="s">
        <v>2129</v>
      </c>
      <c r="BA34" t="s">
        <v>2129</v>
      </c>
      <c r="BB34" t="s">
        <v>2129</v>
      </c>
      <c r="BC34" t="s">
        <v>2129</v>
      </c>
      <c r="BD34" t="s">
        <v>2129</v>
      </c>
      <c r="BE34" t="s">
        <v>2129</v>
      </c>
      <c r="BF34" t="s">
        <v>2129</v>
      </c>
      <c r="BG34" t="s">
        <v>2129</v>
      </c>
      <c r="BH34" t="s">
        <v>2129</v>
      </c>
      <c r="BI34" t="s">
        <v>2129</v>
      </c>
      <c r="BJ34" t="s">
        <v>2129</v>
      </c>
      <c r="BK34" t="s">
        <v>2129</v>
      </c>
      <c r="BL34" t="s">
        <v>2129</v>
      </c>
      <c r="BM34" t="s">
        <v>2129</v>
      </c>
      <c r="BN34" t="s">
        <v>2129</v>
      </c>
      <c r="BO34" t="s">
        <v>2129</v>
      </c>
      <c r="BP34" t="s">
        <v>2129</v>
      </c>
      <c r="BS34" t="s">
        <v>2129</v>
      </c>
      <c r="BT34" t="s">
        <v>2129</v>
      </c>
      <c r="BW34" t="s">
        <v>2129</v>
      </c>
      <c r="BX34" t="s">
        <v>2129</v>
      </c>
      <c r="BY34" t="s">
        <v>2129</v>
      </c>
      <c r="BZ34" t="s">
        <v>2129</v>
      </c>
      <c r="CA34" t="s">
        <v>2129</v>
      </c>
      <c r="CB34" t="s">
        <v>2129</v>
      </c>
      <c r="CC34" t="s">
        <v>2129</v>
      </c>
      <c r="CD34" t="s">
        <v>2129</v>
      </c>
      <c r="CE34" t="s">
        <v>2129</v>
      </c>
      <c r="CF34" t="s">
        <v>2129</v>
      </c>
      <c r="CG34" t="s">
        <v>2129</v>
      </c>
      <c r="CH34" t="s">
        <v>2129</v>
      </c>
      <c r="CI34" t="s">
        <v>2129</v>
      </c>
      <c r="CJ34" t="s">
        <v>2129</v>
      </c>
      <c r="CK34" t="s">
        <v>2129</v>
      </c>
      <c r="CL34" t="s">
        <v>2129</v>
      </c>
      <c r="CM34" t="s">
        <v>2129</v>
      </c>
      <c r="CN34" t="s">
        <v>2129</v>
      </c>
      <c r="CO34" t="s">
        <v>2129</v>
      </c>
      <c r="CP34" t="s">
        <v>2129</v>
      </c>
      <c r="CQ34" t="s">
        <v>2129</v>
      </c>
      <c r="CR34" t="s">
        <v>2129</v>
      </c>
      <c r="CS34" t="s">
        <v>2129</v>
      </c>
      <c r="CT34" t="s">
        <v>3558</v>
      </c>
      <c r="CU34" t="s">
        <v>2914</v>
      </c>
      <c r="CV34" t="s">
        <v>3471</v>
      </c>
      <c r="CW34" t="s">
        <v>2129</v>
      </c>
      <c r="CX34" t="s">
        <v>2129</v>
      </c>
      <c r="CY34" t="s">
        <v>2129</v>
      </c>
      <c r="CZ34" t="s">
        <v>2129</v>
      </c>
      <c r="DA34" t="s">
        <v>2129</v>
      </c>
      <c r="DB34" t="s">
        <v>2129</v>
      </c>
      <c r="DC34" t="s">
        <v>2129</v>
      </c>
      <c r="DD34" t="s">
        <v>2129</v>
      </c>
      <c r="DE34" t="s">
        <v>2129</v>
      </c>
      <c r="DF34" t="s">
        <v>2129</v>
      </c>
      <c r="DG34" t="s">
        <v>2129</v>
      </c>
      <c r="DH34" t="s">
        <v>2129</v>
      </c>
      <c r="DJ34" t="s">
        <v>2129</v>
      </c>
      <c r="DK34" t="s">
        <v>2129</v>
      </c>
      <c r="DL34" t="s">
        <v>2927</v>
      </c>
      <c r="DM34" t="s">
        <v>2129</v>
      </c>
      <c r="DN34" t="s">
        <v>2129</v>
      </c>
      <c r="DO34" t="s">
        <v>2129</v>
      </c>
      <c r="DP34" t="s">
        <v>2129</v>
      </c>
      <c r="DQ34" t="s">
        <v>2129</v>
      </c>
      <c r="DR34" t="s">
        <v>2129</v>
      </c>
      <c r="DS34" t="s">
        <v>2129</v>
      </c>
      <c r="DT34" t="s">
        <v>2129</v>
      </c>
      <c r="DU34" t="s">
        <v>2129</v>
      </c>
      <c r="DV34" t="s">
        <v>2129</v>
      </c>
      <c r="DW34" t="s">
        <v>2129</v>
      </c>
      <c r="DX34" t="s">
        <v>2129</v>
      </c>
      <c r="DY34" t="s">
        <v>2129</v>
      </c>
      <c r="DZ34" t="s">
        <v>2129</v>
      </c>
      <c r="EA34" t="s">
        <v>2129</v>
      </c>
      <c r="EB34" t="s">
        <v>2129</v>
      </c>
      <c r="EC34" t="s">
        <v>2129</v>
      </c>
      <c r="ED34" t="s">
        <v>2129</v>
      </c>
      <c r="EE34" t="s">
        <v>2129</v>
      </c>
      <c r="EF34" t="s">
        <v>2129</v>
      </c>
      <c r="EG34" t="s">
        <v>2129</v>
      </c>
      <c r="EH34" t="s">
        <v>2129</v>
      </c>
    </row>
    <row r="35" spans="1:138" x14ac:dyDescent="0.25">
      <c r="A35" t="s">
        <v>2746</v>
      </c>
      <c r="B35" t="s">
        <v>2745</v>
      </c>
      <c r="C35">
        <v>22879</v>
      </c>
      <c r="E35" t="s">
        <v>14</v>
      </c>
      <c r="F35" t="s">
        <v>1820</v>
      </c>
      <c r="G35" t="s">
        <v>2140</v>
      </c>
      <c r="H35" t="s">
        <v>599</v>
      </c>
      <c r="I35" t="s">
        <v>2127</v>
      </c>
      <c r="J35" t="s">
        <v>2141</v>
      </c>
      <c r="K35" t="s">
        <v>2129</v>
      </c>
      <c r="L35" t="s">
        <v>2142</v>
      </c>
      <c r="M35" t="s">
        <v>2130</v>
      </c>
      <c r="N35" t="s">
        <v>2129</v>
      </c>
      <c r="O35" t="s">
        <v>2306</v>
      </c>
      <c r="P35" t="s">
        <v>2145</v>
      </c>
      <c r="Q35" t="s">
        <v>2145</v>
      </c>
      <c r="R35" s="37">
        <v>46048.376388888886</v>
      </c>
      <c r="S35" s="37">
        <v>46093.479166666664</v>
      </c>
      <c r="T35" s="37">
        <v>46100.368750000001</v>
      </c>
      <c r="U35" s="37"/>
      <c r="V35" t="s">
        <v>2129</v>
      </c>
      <c r="W35" t="s">
        <v>2129</v>
      </c>
      <c r="X35" t="s">
        <v>2129</v>
      </c>
      <c r="Y35">
        <v>0</v>
      </c>
      <c r="Z35" t="s">
        <v>2129</v>
      </c>
      <c r="AA35" t="s">
        <v>3559</v>
      </c>
      <c r="AB35" t="s">
        <v>2129</v>
      </c>
      <c r="AC35" t="s">
        <v>2141</v>
      </c>
      <c r="AD35" t="s">
        <v>2145</v>
      </c>
      <c r="AE35" t="s">
        <v>2129</v>
      </c>
      <c r="AF35" t="s">
        <v>2129</v>
      </c>
      <c r="AG35" t="s">
        <v>2129</v>
      </c>
      <c r="AH35" t="s">
        <v>2129</v>
      </c>
      <c r="AI35" t="s">
        <v>2129</v>
      </c>
      <c r="AJ35" t="s">
        <v>2129</v>
      </c>
      <c r="AK35" t="s">
        <v>2129</v>
      </c>
      <c r="AL35" t="s">
        <v>2129</v>
      </c>
      <c r="AM35" t="s">
        <v>2129</v>
      </c>
      <c r="AN35" t="s">
        <v>2129</v>
      </c>
      <c r="AO35" t="s">
        <v>2129</v>
      </c>
      <c r="AP35" t="s">
        <v>2129</v>
      </c>
      <c r="AQ35" t="s">
        <v>2129</v>
      </c>
      <c r="AR35" t="s">
        <v>2129</v>
      </c>
      <c r="AS35" t="s">
        <v>2129</v>
      </c>
      <c r="AT35" t="s">
        <v>2129</v>
      </c>
      <c r="AU35" t="s">
        <v>2129</v>
      </c>
      <c r="AV35" t="s">
        <v>2129</v>
      </c>
      <c r="AW35" t="s">
        <v>2129</v>
      </c>
      <c r="AX35" t="s">
        <v>2129</v>
      </c>
      <c r="AY35" t="s">
        <v>2129</v>
      </c>
      <c r="AZ35" t="s">
        <v>2129</v>
      </c>
      <c r="BA35" t="s">
        <v>2129</v>
      </c>
      <c r="BB35" t="s">
        <v>2129</v>
      </c>
      <c r="BC35" t="s">
        <v>2129</v>
      </c>
      <c r="BD35" t="s">
        <v>2129</v>
      </c>
      <c r="BE35" t="s">
        <v>2129</v>
      </c>
      <c r="BF35" t="s">
        <v>2129</v>
      </c>
      <c r="BG35" t="s">
        <v>2129</v>
      </c>
      <c r="BH35" t="s">
        <v>2129</v>
      </c>
      <c r="BI35" t="s">
        <v>2129</v>
      </c>
      <c r="BJ35" t="s">
        <v>2129</v>
      </c>
      <c r="BK35" t="s">
        <v>2129</v>
      </c>
      <c r="BL35" t="s">
        <v>2129</v>
      </c>
      <c r="BM35" t="s">
        <v>2129</v>
      </c>
      <c r="BN35" t="s">
        <v>2129</v>
      </c>
      <c r="BO35" t="s">
        <v>2129</v>
      </c>
      <c r="BP35" t="s">
        <v>2129</v>
      </c>
      <c r="BS35" t="s">
        <v>2129</v>
      </c>
      <c r="BT35" t="s">
        <v>2129</v>
      </c>
      <c r="BW35" t="s">
        <v>2129</v>
      </c>
      <c r="BX35" t="s">
        <v>2129</v>
      </c>
      <c r="BY35" t="s">
        <v>2703</v>
      </c>
      <c r="BZ35" t="s">
        <v>3560</v>
      </c>
      <c r="CA35" t="s">
        <v>2129</v>
      </c>
      <c r="CB35" t="s">
        <v>2129</v>
      </c>
      <c r="CC35" t="s">
        <v>2129</v>
      </c>
      <c r="CD35" t="s">
        <v>2129</v>
      </c>
      <c r="CE35" t="s">
        <v>2129</v>
      </c>
      <c r="CF35" t="s">
        <v>2129</v>
      </c>
      <c r="CG35" t="s">
        <v>2129</v>
      </c>
      <c r="CH35" t="s">
        <v>2129</v>
      </c>
      <c r="CI35" t="s">
        <v>2129</v>
      </c>
      <c r="CJ35" t="s">
        <v>2129</v>
      </c>
      <c r="CK35" t="s">
        <v>2129</v>
      </c>
      <c r="CL35" t="s">
        <v>2129</v>
      </c>
      <c r="CM35" t="s">
        <v>2129</v>
      </c>
      <c r="CN35" t="s">
        <v>2129</v>
      </c>
      <c r="CO35" t="s">
        <v>2129</v>
      </c>
      <c r="CP35" t="s">
        <v>2129</v>
      </c>
      <c r="CQ35" t="s">
        <v>2129</v>
      </c>
      <c r="CR35" t="s">
        <v>2129</v>
      </c>
      <c r="CS35" t="s">
        <v>2129</v>
      </c>
      <c r="CT35" t="s">
        <v>3561</v>
      </c>
      <c r="CU35" t="s">
        <v>2799</v>
      </c>
      <c r="CV35" t="s">
        <v>2914</v>
      </c>
      <c r="CW35" t="s">
        <v>3471</v>
      </c>
      <c r="CX35" t="s">
        <v>2129</v>
      </c>
      <c r="CY35" t="s">
        <v>2129</v>
      </c>
      <c r="CZ35" t="s">
        <v>2129</v>
      </c>
      <c r="DA35" t="s">
        <v>2129</v>
      </c>
      <c r="DB35" t="s">
        <v>2129</v>
      </c>
      <c r="DC35" t="s">
        <v>2129</v>
      </c>
      <c r="DD35" t="s">
        <v>2129</v>
      </c>
      <c r="DE35" t="s">
        <v>2129</v>
      </c>
      <c r="DF35" t="s">
        <v>2129</v>
      </c>
      <c r="DG35" t="s">
        <v>2129</v>
      </c>
      <c r="DH35" t="s">
        <v>2129</v>
      </c>
      <c r="DI35">
        <v>30</v>
      </c>
      <c r="DJ35" t="s">
        <v>2129</v>
      </c>
      <c r="DK35" t="s">
        <v>2129</v>
      </c>
      <c r="DL35" t="s">
        <v>2800</v>
      </c>
      <c r="DM35" t="s">
        <v>2129</v>
      </c>
      <c r="DN35" t="s">
        <v>2129</v>
      </c>
      <c r="DO35" t="s">
        <v>2129</v>
      </c>
      <c r="DP35" t="s">
        <v>2129</v>
      </c>
      <c r="DQ35" t="s">
        <v>2129</v>
      </c>
      <c r="DR35" t="s">
        <v>2129</v>
      </c>
      <c r="DS35" t="s">
        <v>2129</v>
      </c>
      <c r="DT35" t="s">
        <v>2129</v>
      </c>
      <c r="DU35" t="s">
        <v>2129</v>
      </c>
      <c r="DV35" t="s">
        <v>2129</v>
      </c>
      <c r="DW35" t="s">
        <v>2129</v>
      </c>
      <c r="DX35" t="s">
        <v>2129</v>
      </c>
      <c r="DY35" t="s">
        <v>2129</v>
      </c>
      <c r="DZ35" t="s">
        <v>2129</v>
      </c>
      <c r="EA35" t="s">
        <v>2129</v>
      </c>
      <c r="EB35" t="s">
        <v>2129</v>
      </c>
      <c r="EC35" t="s">
        <v>2129</v>
      </c>
      <c r="ED35" t="s">
        <v>2129</v>
      </c>
      <c r="EE35" t="s">
        <v>2129</v>
      </c>
      <c r="EF35" t="s">
        <v>2129</v>
      </c>
      <c r="EG35" t="s">
        <v>2129</v>
      </c>
      <c r="EH35" t="s">
        <v>2129</v>
      </c>
    </row>
    <row r="36" spans="1:138" x14ac:dyDescent="0.25">
      <c r="A36" t="s">
        <v>2460</v>
      </c>
      <c r="B36" t="s">
        <v>2482</v>
      </c>
      <c r="C36">
        <v>22780</v>
      </c>
      <c r="E36" t="s">
        <v>14</v>
      </c>
      <c r="F36" t="s">
        <v>10</v>
      </c>
      <c r="G36" t="s">
        <v>2140</v>
      </c>
      <c r="H36" t="s">
        <v>599</v>
      </c>
      <c r="I36" t="s">
        <v>2127</v>
      </c>
      <c r="J36" t="s">
        <v>2141</v>
      </c>
      <c r="K36" t="s">
        <v>2129</v>
      </c>
      <c r="L36" t="s">
        <v>2142</v>
      </c>
      <c r="M36" t="s">
        <v>2130</v>
      </c>
      <c r="N36" t="s">
        <v>2129</v>
      </c>
      <c r="O36" t="s">
        <v>2306</v>
      </c>
      <c r="P36" t="s">
        <v>2145</v>
      </c>
      <c r="Q36" t="s">
        <v>2145</v>
      </c>
      <c r="R36" s="37">
        <v>46031.005555555559</v>
      </c>
      <c r="S36" s="37">
        <v>46090.442361111112</v>
      </c>
      <c r="T36" s="37">
        <v>46100.368750000001</v>
      </c>
      <c r="U36" s="37"/>
      <c r="V36" t="s">
        <v>2129</v>
      </c>
      <c r="W36" t="s">
        <v>2129</v>
      </c>
      <c r="X36" t="s">
        <v>2129</v>
      </c>
      <c r="Y36">
        <v>0</v>
      </c>
      <c r="Z36" t="s">
        <v>2129</v>
      </c>
      <c r="AA36" t="s">
        <v>2928</v>
      </c>
      <c r="AB36" t="s">
        <v>2129</v>
      </c>
      <c r="AC36" t="s">
        <v>2145</v>
      </c>
      <c r="AD36" t="s">
        <v>2129</v>
      </c>
      <c r="AE36" t="s">
        <v>2129</v>
      </c>
      <c r="AF36" t="s">
        <v>2129</v>
      </c>
      <c r="AG36" t="s">
        <v>2129</v>
      </c>
      <c r="AH36" t="s">
        <v>2129</v>
      </c>
      <c r="AI36" t="s">
        <v>2129</v>
      </c>
      <c r="AJ36" t="s">
        <v>2129</v>
      </c>
      <c r="AK36" t="s">
        <v>2129</v>
      </c>
      <c r="AL36" t="s">
        <v>2129</v>
      </c>
      <c r="AM36" t="s">
        <v>2129</v>
      </c>
      <c r="AN36" t="s">
        <v>2129</v>
      </c>
      <c r="AO36" t="s">
        <v>2129</v>
      </c>
      <c r="AP36" t="s">
        <v>2129</v>
      </c>
      <c r="AQ36" t="s">
        <v>2129</v>
      </c>
      <c r="AR36" t="s">
        <v>2129</v>
      </c>
      <c r="AS36" t="s">
        <v>2129</v>
      </c>
      <c r="AT36" t="s">
        <v>2129</v>
      </c>
      <c r="AU36" t="s">
        <v>2129</v>
      </c>
      <c r="AV36" t="s">
        <v>2129</v>
      </c>
      <c r="AW36" t="s">
        <v>2129</v>
      </c>
      <c r="AX36" t="s">
        <v>2129</v>
      </c>
      <c r="AY36" t="s">
        <v>2129</v>
      </c>
      <c r="AZ36" t="s">
        <v>2129</v>
      </c>
      <c r="BA36" t="s">
        <v>2129</v>
      </c>
      <c r="BB36" t="s">
        <v>2129</v>
      </c>
      <c r="BC36" t="s">
        <v>2129</v>
      </c>
      <c r="BD36" t="s">
        <v>2129</v>
      </c>
      <c r="BE36" t="s">
        <v>2129</v>
      </c>
      <c r="BF36" t="s">
        <v>2129</v>
      </c>
      <c r="BG36" t="s">
        <v>2129</v>
      </c>
      <c r="BH36" t="s">
        <v>2129</v>
      </c>
      <c r="BI36" t="s">
        <v>2129</v>
      </c>
      <c r="BJ36" t="s">
        <v>2129</v>
      </c>
      <c r="BK36" t="s">
        <v>2129</v>
      </c>
      <c r="BL36" t="s">
        <v>2129</v>
      </c>
      <c r="BM36" t="s">
        <v>2129</v>
      </c>
      <c r="BN36" t="s">
        <v>2129</v>
      </c>
      <c r="BO36" t="s">
        <v>2129</v>
      </c>
      <c r="BP36" t="s">
        <v>2129</v>
      </c>
      <c r="BS36" t="s">
        <v>2129</v>
      </c>
      <c r="BT36" t="s">
        <v>2129</v>
      </c>
      <c r="BW36" t="s">
        <v>2129</v>
      </c>
      <c r="BX36" t="s">
        <v>2129</v>
      </c>
      <c r="BY36" t="s">
        <v>2516</v>
      </c>
      <c r="BZ36" t="s">
        <v>2929</v>
      </c>
      <c r="CA36" t="s">
        <v>2129</v>
      </c>
      <c r="CB36" t="s">
        <v>2129</v>
      </c>
      <c r="CC36" t="s">
        <v>2129</v>
      </c>
      <c r="CD36" t="s">
        <v>2129</v>
      </c>
      <c r="CE36" t="s">
        <v>2129</v>
      </c>
      <c r="CF36" t="s">
        <v>2129</v>
      </c>
      <c r="CG36" t="s">
        <v>2129</v>
      </c>
      <c r="CH36" t="s">
        <v>2129</v>
      </c>
      <c r="CI36" t="s">
        <v>2129</v>
      </c>
      <c r="CJ36" t="s">
        <v>2129</v>
      </c>
      <c r="CK36" t="s">
        <v>2129</v>
      </c>
      <c r="CL36" t="s">
        <v>2129</v>
      </c>
      <c r="CM36" t="s">
        <v>2484</v>
      </c>
      <c r="CN36" t="s">
        <v>2129</v>
      </c>
      <c r="CO36" t="s">
        <v>2129</v>
      </c>
      <c r="CP36" t="s">
        <v>2129</v>
      </c>
      <c r="CQ36" t="s">
        <v>2129</v>
      </c>
      <c r="CR36" t="s">
        <v>2129</v>
      </c>
      <c r="CS36" t="s">
        <v>2129</v>
      </c>
      <c r="CT36" t="s">
        <v>3562</v>
      </c>
      <c r="CU36" t="s">
        <v>2601</v>
      </c>
      <c r="CV36" t="s">
        <v>2698</v>
      </c>
      <c r="CW36" t="s">
        <v>2799</v>
      </c>
      <c r="CX36" t="s">
        <v>2914</v>
      </c>
      <c r="CY36" t="s">
        <v>3471</v>
      </c>
      <c r="CZ36" t="s">
        <v>2129</v>
      </c>
      <c r="DA36" t="s">
        <v>2129</v>
      </c>
      <c r="DB36" t="s">
        <v>2129</v>
      </c>
      <c r="DC36" t="s">
        <v>2129</v>
      </c>
      <c r="DD36" t="s">
        <v>2129</v>
      </c>
      <c r="DE36" t="s">
        <v>2129</v>
      </c>
      <c r="DF36" t="s">
        <v>2129</v>
      </c>
      <c r="DG36" t="s">
        <v>2129</v>
      </c>
      <c r="DH36" t="s">
        <v>2129</v>
      </c>
      <c r="DJ36" t="s">
        <v>2129</v>
      </c>
      <c r="DK36" t="s">
        <v>2129</v>
      </c>
      <c r="DL36" t="s">
        <v>2930</v>
      </c>
      <c r="DM36" t="s">
        <v>2129</v>
      </c>
      <c r="DN36" t="s">
        <v>2129</v>
      </c>
      <c r="DO36" t="s">
        <v>2129</v>
      </c>
      <c r="DP36" t="s">
        <v>2129</v>
      </c>
      <c r="DQ36" t="s">
        <v>2129</v>
      </c>
      <c r="DR36" t="s">
        <v>2129</v>
      </c>
      <c r="DS36" t="s">
        <v>2129</v>
      </c>
      <c r="DT36" t="s">
        <v>2129</v>
      </c>
      <c r="DU36" t="s">
        <v>2129</v>
      </c>
      <c r="DV36" t="s">
        <v>2129</v>
      </c>
      <c r="DW36" t="s">
        <v>2129</v>
      </c>
      <c r="DX36" t="s">
        <v>2129</v>
      </c>
      <c r="DY36" t="s">
        <v>2129</v>
      </c>
      <c r="DZ36" t="s">
        <v>2129</v>
      </c>
      <c r="EA36" t="s">
        <v>2129</v>
      </c>
      <c r="EB36" t="s">
        <v>2129</v>
      </c>
      <c r="EC36" t="s">
        <v>2129</v>
      </c>
      <c r="ED36" t="s">
        <v>2129</v>
      </c>
      <c r="EE36" t="s">
        <v>2129</v>
      </c>
      <c r="EF36" t="s">
        <v>2129</v>
      </c>
      <c r="EG36" t="s">
        <v>2129</v>
      </c>
      <c r="EH36" t="s">
        <v>2129</v>
      </c>
    </row>
    <row r="37" spans="1:138" x14ac:dyDescent="0.25">
      <c r="A37" t="s">
        <v>3213</v>
      </c>
      <c r="B37" t="s">
        <v>3212</v>
      </c>
      <c r="C37">
        <v>23181</v>
      </c>
      <c r="E37" t="s">
        <v>14</v>
      </c>
      <c r="F37" t="s">
        <v>10</v>
      </c>
      <c r="G37" t="s">
        <v>1620</v>
      </c>
      <c r="H37" t="s">
        <v>1643</v>
      </c>
      <c r="I37" t="s">
        <v>2127</v>
      </c>
      <c r="J37" t="s">
        <v>2141</v>
      </c>
      <c r="K37" t="s">
        <v>2129</v>
      </c>
      <c r="L37" t="s">
        <v>2129</v>
      </c>
      <c r="M37" t="s">
        <v>2130</v>
      </c>
      <c r="N37" t="s">
        <v>2129</v>
      </c>
      <c r="O37" t="s">
        <v>2144</v>
      </c>
      <c r="P37" t="s">
        <v>2145</v>
      </c>
      <c r="Q37" t="s">
        <v>2145</v>
      </c>
      <c r="R37" s="37">
        <v>46098.484722222223</v>
      </c>
      <c r="S37" s="37">
        <v>46098.6</v>
      </c>
      <c r="T37" s="37">
        <v>46100.368750000001</v>
      </c>
      <c r="U37" s="37"/>
      <c r="V37" t="s">
        <v>2129</v>
      </c>
      <c r="W37" t="s">
        <v>2129</v>
      </c>
      <c r="X37" t="s">
        <v>2129</v>
      </c>
      <c r="Y37">
        <v>0</v>
      </c>
      <c r="Z37" t="s">
        <v>2129</v>
      </c>
      <c r="AA37" t="s">
        <v>3563</v>
      </c>
      <c r="AB37" t="s">
        <v>2129</v>
      </c>
      <c r="AC37" t="s">
        <v>2145</v>
      </c>
      <c r="AD37" t="s">
        <v>2129</v>
      </c>
      <c r="AE37" t="s">
        <v>2129</v>
      </c>
      <c r="AF37" t="s">
        <v>2129</v>
      </c>
      <c r="AG37" t="s">
        <v>2129</v>
      </c>
      <c r="AH37" t="s">
        <v>2129</v>
      </c>
      <c r="AI37" t="s">
        <v>2129</v>
      </c>
      <c r="AJ37" t="s">
        <v>2129</v>
      </c>
      <c r="AK37" t="s">
        <v>2129</v>
      </c>
      <c r="AL37" t="s">
        <v>2129</v>
      </c>
      <c r="AM37" t="s">
        <v>2129</v>
      </c>
      <c r="AN37" t="s">
        <v>2129</v>
      </c>
      <c r="AO37" t="s">
        <v>2129</v>
      </c>
      <c r="AP37" t="s">
        <v>2129</v>
      </c>
      <c r="AQ37" t="s">
        <v>2129</v>
      </c>
      <c r="AR37" t="s">
        <v>2129</v>
      </c>
      <c r="AS37" t="s">
        <v>2129</v>
      </c>
      <c r="AT37" t="s">
        <v>2129</v>
      </c>
      <c r="AU37" t="s">
        <v>2129</v>
      </c>
      <c r="AV37" t="s">
        <v>2129</v>
      </c>
      <c r="AW37" t="s">
        <v>2129</v>
      </c>
      <c r="AX37" t="s">
        <v>2129</v>
      </c>
      <c r="AY37" t="s">
        <v>2129</v>
      </c>
      <c r="AZ37" t="s">
        <v>2129</v>
      </c>
      <c r="BA37" t="s">
        <v>2129</v>
      </c>
      <c r="BB37" t="s">
        <v>2129</v>
      </c>
      <c r="BC37" t="s">
        <v>2129</v>
      </c>
      <c r="BD37" t="s">
        <v>2129</v>
      </c>
      <c r="BE37" t="s">
        <v>2129</v>
      </c>
      <c r="BF37" t="s">
        <v>2129</v>
      </c>
      <c r="BG37" t="s">
        <v>2129</v>
      </c>
      <c r="BH37" t="s">
        <v>2129</v>
      </c>
      <c r="BI37" t="s">
        <v>2129</v>
      </c>
      <c r="BJ37" t="s">
        <v>2129</v>
      </c>
      <c r="BK37" t="s">
        <v>2129</v>
      </c>
      <c r="BL37" t="s">
        <v>2129</v>
      </c>
      <c r="BM37" t="s">
        <v>2129</v>
      </c>
      <c r="BN37" t="s">
        <v>2129</v>
      </c>
      <c r="BO37" t="s">
        <v>2129</v>
      </c>
      <c r="BP37" t="s">
        <v>2129</v>
      </c>
      <c r="BS37" t="s">
        <v>2129</v>
      </c>
      <c r="BT37" t="s">
        <v>2129</v>
      </c>
      <c r="BW37" t="s">
        <v>2129</v>
      </c>
      <c r="BX37" t="s">
        <v>2129</v>
      </c>
      <c r="BY37" t="s">
        <v>2129</v>
      </c>
      <c r="BZ37" t="s">
        <v>3564</v>
      </c>
      <c r="CA37" t="s">
        <v>2129</v>
      </c>
      <c r="CB37" t="s">
        <v>2129</v>
      </c>
      <c r="CC37" t="s">
        <v>2129</v>
      </c>
      <c r="CD37" t="s">
        <v>2129</v>
      </c>
      <c r="CE37" t="s">
        <v>2129</v>
      </c>
      <c r="CF37" t="s">
        <v>2129</v>
      </c>
      <c r="CG37" t="s">
        <v>2129</v>
      </c>
      <c r="CH37" t="s">
        <v>2129</v>
      </c>
      <c r="CI37" t="s">
        <v>2129</v>
      </c>
      <c r="CJ37" t="s">
        <v>2129</v>
      </c>
      <c r="CK37" t="s">
        <v>2129</v>
      </c>
      <c r="CL37" t="s">
        <v>2129</v>
      </c>
      <c r="CM37" t="s">
        <v>2129</v>
      </c>
      <c r="CN37" t="s">
        <v>2129</v>
      </c>
      <c r="CO37" t="s">
        <v>2129</v>
      </c>
      <c r="CP37" t="s">
        <v>2129</v>
      </c>
      <c r="CQ37" t="s">
        <v>2129</v>
      </c>
      <c r="CR37" t="s">
        <v>2129</v>
      </c>
      <c r="CS37" t="s">
        <v>2129</v>
      </c>
      <c r="CT37" t="s">
        <v>3565</v>
      </c>
      <c r="CU37" t="s">
        <v>3566</v>
      </c>
      <c r="CV37" t="s">
        <v>2129</v>
      </c>
      <c r="CW37" t="s">
        <v>2129</v>
      </c>
      <c r="CX37" t="s">
        <v>2129</v>
      </c>
      <c r="CY37" t="s">
        <v>2129</v>
      </c>
      <c r="CZ37" t="s">
        <v>2129</v>
      </c>
      <c r="DA37" t="s">
        <v>2129</v>
      </c>
      <c r="DB37" t="s">
        <v>2129</v>
      </c>
      <c r="DC37" t="s">
        <v>2129</v>
      </c>
      <c r="DD37" t="s">
        <v>2129</v>
      </c>
      <c r="DE37" t="s">
        <v>2129</v>
      </c>
      <c r="DF37" t="s">
        <v>2129</v>
      </c>
      <c r="DG37" t="s">
        <v>2129</v>
      </c>
      <c r="DH37" t="s">
        <v>2129</v>
      </c>
      <c r="DI37">
        <v>30</v>
      </c>
      <c r="DJ37" t="s">
        <v>2129</v>
      </c>
      <c r="DK37" t="s">
        <v>2129</v>
      </c>
      <c r="DL37" t="s">
        <v>2129</v>
      </c>
      <c r="DM37" t="s">
        <v>2129</v>
      </c>
      <c r="DN37" t="s">
        <v>2129</v>
      </c>
      <c r="DO37" t="s">
        <v>2129</v>
      </c>
      <c r="DP37" t="s">
        <v>2129</v>
      </c>
      <c r="DQ37" t="s">
        <v>2129</v>
      </c>
      <c r="DR37" t="s">
        <v>2129</v>
      </c>
      <c r="DS37" t="s">
        <v>2129</v>
      </c>
      <c r="DT37" t="s">
        <v>2129</v>
      </c>
      <c r="DU37" t="s">
        <v>2129</v>
      </c>
      <c r="DV37" t="s">
        <v>2129</v>
      </c>
      <c r="DW37" t="s">
        <v>2129</v>
      </c>
      <c r="DX37" t="s">
        <v>2129</v>
      </c>
      <c r="DY37" t="s">
        <v>2129</v>
      </c>
      <c r="DZ37" t="s">
        <v>2129</v>
      </c>
      <c r="EA37" t="s">
        <v>2129</v>
      </c>
      <c r="EB37" t="s">
        <v>2129</v>
      </c>
      <c r="EC37" t="s">
        <v>2129</v>
      </c>
      <c r="ED37" t="s">
        <v>2129</v>
      </c>
      <c r="EE37" t="s">
        <v>2129</v>
      </c>
      <c r="EF37" t="s">
        <v>2129</v>
      </c>
      <c r="EG37" t="s">
        <v>2129</v>
      </c>
      <c r="EH37" t="s">
        <v>2129</v>
      </c>
    </row>
    <row r="38" spans="1:138" x14ac:dyDescent="0.25">
      <c r="A38" t="s">
        <v>3211</v>
      </c>
      <c r="B38" t="s">
        <v>3210</v>
      </c>
      <c r="C38">
        <v>23143</v>
      </c>
      <c r="E38" t="s">
        <v>77</v>
      </c>
      <c r="F38" t="s">
        <v>10</v>
      </c>
      <c r="G38" t="s">
        <v>1620</v>
      </c>
      <c r="H38" t="s">
        <v>1643</v>
      </c>
      <c r="I38" t="s">
        <v>2127</v>
      </c>
      <c r="J38" t="s">
        <v>2141</v>
      </c>
      <c r="K38" t="s">
        <v>2129</v>
      </c>
      <c r="L38" t="s">
        <v>2129</v>
      </c>
      <c r="M38" t="s">
        <v>2130</v>
      </c>
      <c r="N38" t="s">
        <v>2129</v>
      </c>
      <c r="O38" t="s">
        <v>2144</v>
      </c>
      <c r="P38" t="s">
        <v>2141</v>
      </c>
      <c r="Q38" t="s">
        <v>2141</v>
      </c>
      <c r="R38" s="37">
        <v>46091.595833333333</v>
      </c>
      <c r="S38" s="37">
        <v>46098.597916666666</v>
      </c>
      <c r="T38" s="37">
        <v>46100.368750000001</v>
      </c>
      <c r="U38" s="37"/>
      <c r="V38" t="s">
        <v>2129</v>
      </c>
      <c r="W38" t="s">
        <v>2129</v>
      </c>
      <c r="X38" t="s">
        <v>2129</v>
      </c>
      <c r="Y38">
        <v>0</v>
      </c>
      <c r="Z38" t="s">
        <v>2129</v>
      </c>
      <c r="AA38" t="s">
        <v>3567</v>
      </c>
      <c r="AB38" t="s">
        <v>2129</v>
      </c>
      <c r="AC38" t="s">
        <v>2141</v>
      </c>
      <c r="AD38" t="s">
        <v>2129</v>
      </c>
      <c r="AE38" t="s">
        <v>2129</v>
      </c>
      <c r="AF38" t="s">
        <v>2129</v>
      </c>
      <c r="AG38" t="s">
        <v>2129</v>
      </c>
      <c r="AH38" t="s">
        <v>2129</v>
      </c>
      <c r="AI38" t="s">
        <v>2129</v>
      </c>
      <c r="AJ38" t="s">
        <v>2129</v>
      </c>
      <c r="AK38" t="s">
        <v>2129</v>
      </c>
      <c r="AL38" t="s">
        <v>2129</v>
      </c>
      <c r="AM38" t="s">
        <v>2129</v>
      </c>
      <c r="AN38" t="s">
        <v>2129</v>
      </c>
      <c r="AO38" t="s">
        <v>2129</v>
      </c>
      <c r="AP38" t="s">
        <v>2129</v>
      </c>
      <c r="AQ38" t="s">
        <v>2129</v>
      </c>
      <c r="AR38" t="s">
        <v>2129</v>
      </c>
      <c r="AS38" t="s">
        <v>2129</v>
      </c>
      <c r="AT38" t="s">
        <v>2129</v>
      </c>
      <c r="AU38" t="s">
        <v>2129</v>
      </c>
      <c r="AV38" t="s">
        <v>2129</v>
      </c>
      <c r="AW38" t="s">
        <v>2129</v>
      </c>
      <c r="AX38" t="s">
        <v>2129</v>
      </c>
      <c r="AY38" t="s">
        <v>2129</v>
      </c>
      <c r="AZ38" t="s">
        <v>2129</v>
      </c>
      <c r="BA38" t="s">
        <v>2129</v>
      </c>
      <c r="BB38" t="s">
        <v>2129</v>
      </c>
      <c r="BC38" t="s">
        <v>2129</v>
      </c>
      <c r="BD38" t="s">
        <v>2129</v>
      </c>
      <c r="BE38" t="s">
        <v>2129</v>
      </c>
      <c r="BF38" t="s">
        <v>2129</v>
      </c>
      <c r="BG38" t="s">
        <v>2129</v>
      </c>
      <c r="BH38" t="s">
        <v>2129</v>
      </c>
      <c r="BI38" t="s">
        <v>2129</v>
      </c>
      <c r="BJ38" t="s">
        <v>2129</v>
      </c>
      <c r="BK38" t="s">
        <v>2129</v>
      </c>
      <c r="BL38" t="s">
        <v>2129</v>
      </c>
      <c r="BM38" t="s">
        <v>2129</v>
      </c>
      <c r="BN38" t="s">
        <v>2129</v>
      </c>
      <c r="BO38" t="s">
        <v>2129</v>
      </c>
      <c r="BP38" t="s">
        <v>2129</v>
      </c>
      <c r="BS38" t="s">
        <v>2129</v>
      </c>
      <c r="BT38" t="s">
        <v>2129</v>
      </c>
      <c r="BW38" t="s">
        <v>2129</v>
      </c>
      <c r="BX38" t="s">
        <v>2129</v>
      </c>
      <c r="BY38" t="s">
        <v>2129</v>
      </c>
      <c r="BZ38" t="s">
        <v>3568</v>
      </c>
      <c r="CA38" t="s">
        <v>2129</v>
      </c>
      <c r="CB38" t="s">
        <v>2129</v>
      </c>
      <c r="CC38" t="s">
        <v>2129</v>
      </c>
      <c r="CD38" t="s">
        <v>2129</v>
      </c>
      <c r="CE38" t="s">
        <v>2129</v>
      </c>
      <c r="CF38" t="s">
        <v>2129</v>
      </c>
      <c r="CG38" t="s">
        <v>2129</v>
      </c>
      <c r="CH38" t="s">
        <v>2129</v>
      </c>
      <c r="CI38" t="s">
        <v>2129</v>
      </c>
      <c r="CJ38" t="s">
        <v>2129</v>
      </c>
      <c r="CK38" t="s">
        <v>2129</v>
      </c>
      <c r="CL38" t="s">
        <v>2129</v>
      </c>
      <c r="CM38" t="s">
        <v>2129</v>
      </c>
      <c r="CN38" t="s">
        <v>2129</v>
      </c>
      <c r="CO38" t="s">
        <v>2129</v>
      </c>
      <c r="CP38" t="s">
        <v>2129</v>
      </c>
      <c r="CQ38" t="s">
        <v>2129</v>
      </c>
      <c r="CR38" t="s">
        <v>2129</v>
      </c>
      <c r="CS38" t="s">
        <v>2129</v>
      </c>
      <c r="CT38" t="s">
        <v>3569</v>
      </c>
      <c r="CU38" t="s">
        <v>3566</v>
      </c>
      <c r="CV38" t="s">
        <v>2129</v>
      </c>
      <c r="CW38" t="s">
        <v>2129</v>
      </c>
      <c r="CX38" t="s">
        <v>2129</v>
      </c>
      <c r="CY38" t="s">
        <v>2129</v>
      </c>
      <c r="CZ38" t="s">
        <v>2129</v>
      </c>
      <c r="DA38" t="s">
        <v>2129</v>
      </c>
      <c r="DB38" t="s">
        <v>2129</v>
      </c>
      <c r="DC38" t="s">
        <v>2129</v>
      </c>
      <c r="DD38" t="s">
        <v>2129</v>
      </c>
      <c r="DE38" t="s">
        <v>2129</v>
      </c>
      <c r="DF38" t="s">
        <v>2129</v>
      </c>
      <c r="DG38" t="s">
        <v>2129</v>
      </c>
      <c r="DH38" t="s">
        <v>2129</v>
      </c>
      <c r="DI38">
        <v>20</v>
      </c>
      <c r="DJ38" t="s">
        <v>2129</v>
      </c>
      <c r="DK38" t="s">
        <v>2129</v>
      </c>
      <c r="DL38" t="s">
        <v>2129</v>
      </c>
      <c r="DM38" t="s">
        <v>2129</v>
      </c>
      <c r="DN38" t="s">
        <v>2129</v>
      </c>
      <c r="DO38" t="s">
        <v>2129</v>
      </c>
      <c r="DP38" t="s">
        <v>2129</v>
      </c>
      <c r="DQ38" t="s">
        <v>2129</v>
      </c>
      <c r="DR38" t="s">
        <v>2129</v>
      </c>
      <c r="DS38" t="s">
        <v>2129</v>
      </c>
      <c r="DT38" t="s">
        <v>2129</v>
      </c>
      <c r="DU38" t="s">
        <v>2129</v>
      </c>
      <c r="DV38" t="s">
        <v>2129</v>
      </c>
      <c r="DW38" t="s">
        <v>2129</v>
      </c>
      <c r="DX38" t="s">
        <v>2129</v>
      </c>
      <c r="DY38" t="s">
        <v>2129</v>
      </c>
      <c r="DZ38" t="s">
        <v>2129</v>
      </c>
      <c r="EA38" t="s">
        <v>2129</v>
      </c>
      <c r="EB38" t="s">
        <v>2129</v>
      </c>
      <c r="EC38" t="s">
        <v>2129</v>
      </c>
      <c r="ED38" t="s">
        <v>2129</v>
      </c>
      <c r="EE38" t="s">
        <v>2129</v>
      </c>
      <c r="EF38" t="s">
        <v>2129</v>
      </c>
      <c r="EG38" t="s">
        <v>2129</v>
      </c>
      <c r="EH38" t="s">
        <v>2129</v>
      </c>
    </row>
    <row r="39" spans="1:138" x14ac:dyDescent="0.25">
      <c r="A39" t="s">
        <v>1723</v>
      </c>
      <c r="B39" t="s">
        <v>3570</v>
      </c>
      <c r="C39">
        <v>23131</v>
      </c>
      <c r="E39" t="s">
        <v>2136</v>
      </c>
      <c r="F39" t="s">
        <v>10</v>
      </c>
      <c r="G39" t="s">
        <v>1620</v>
      </c>
      <c r="H39" t="s">
        <v>1643</v>
      </c>
      <c r="I39" t="s">
        <v>2127</v>
      </c>
      <c r="J39" t="s">
        <v>2141</v>
      </c>
      <c r="K39" t="s">
        <v>2129</v>
      </c>
      <c r="L39" t="s">
        <v>2129</v>
      </c>
      <c r="M39" t="s">
        <v>2130</v>
      </c>
      <c r="N39" t="s">
        <v>2129</v>
      </c>
      <c r="O39" t="s">
        <v>2144</v>
      </c>
      <c r="P39" t="s">
        <v>2141</v>
      </c>
      <c r="Q39" t="s">
        <v>2141</v>
      </c>
      <c r="R39" s="37">
        <v>46090.447916666664</v>
      </c>
      <c r="S39" s="37">
        <v>46090.448611111111</v>
      </c>
      <c r="T39" s="37">
        <v>46100.368750000001</v>
      </c>
      <c r="U39" s="37"/>
      <c r="V39" t="s">
        <v>2129</v>
      </c>
      <c r="W39" t="s">
        <v>2129</v>
      </c>
      <c r="X39" t="s">
        <v>2129</v>
      </c>
      <c r="Y39">
        <v>0</v>
      </c>
      <c r="Z39" t="s">
        <v>2129</v>
      </c>
      <c r="AA39" t="s">
        <v>2129</v>
      </c>
      <c r="AB39" t="s">
        <v>2129</v>
      </c>
      <c r="AC39" t="s">
        <v>2141</v>
      </c>
      <c r="AD39" t="s">
        <v>2129</v>
      </c>
      <c r="AE39" t="s">
        <v>2129</v>
      </c>
      <c r="AF39" t="s">
        <v>2129</v>
      </c>
      <c r="AG39" t="s">
        <v>2129</v>
      </c>
      <c r="AH39" t="s">
        <v>2129</v>
      </c>
      <c r="AI39" t="s">
        <v>2129</v>
      </c>
      <c r="AJ39" t="s">
        <v>2129</v>
      </c>
      <c r="AK39" t="s">
        <v>2129</v>
      </c>
      <c r="AL39" t="s">
        <v>2129</v>
      </c>
      <c r="AM39" t="s">
        <v>2129</v>
      </c>
      <c r="AN39" t="s">
        <v>2129</v>
      </c>
      <c r="AO39" t="s">
        <v>2129</v>
      </c>
      <c r="AP39" t="s">
        <v>2129</v>
      </c>
      <c r="AQ39" t="s">
        <v>2129</v>
      </c>
      <c r="AR39" t="s">
        <v>2129</v>
      </c>
      <c r="AS39" t="s">
        <v>2129</v>
      </c>
      <c r="AT39" t="s">
        <v>2129</v>
      </c>
      <c r="AU39" t="s">
        <v>2129</v>
      </c>
      <c r="AV39" t="s">
        <v>2129</v>
      </c>
      <c r="AW39" t="s">
        <v>2129</v>
      </c>
      <c r="AX39" t="s">
        <v>2129</v>
      </c>
      <c r="AY39" t="s">
        <v>2129</v>
      </c>
      <c r="AZ39" t="s">
        <v>2129</v>
      </c>
      <c r="BA39" t="s">
        <v>2129</v>
      </c>
      <c r="BB39" t="s">
        <v>2129</v>
      </c>
      <c r="BC39" t="s">
        <v>2129</v>
      </c>
      <c r="BD39" t="s">
        <v>2129</v>
      </c>
      <c r="BE39" t="s">
        <v>2129</v>
      </c>
      <c r="BF39" t="s">
        <v>2129</v>
      </c>
      <c r="BG39" t="s">
        <v>2129</v>
      </c>
      <c r="BH39" t="s">
        <v>2129</v>
      </c>
      <c r="BI39" t="s">
        <v>2129</v>
      </c>
      <c r="BJ39" t="s">
        <v>2129</v>
      </c>
      <c r="BK39" t="s">
        <v>2129</v>
      </c>
      <c r="BL39" t="s">
        <v>2129</v>
      </c>
      <c r="BM39" t="s">
        <v>2129</v>
      </c>
      <c r="BN39" t="s">
        <v>2129</v>
      </c>
      <c r="BO39" t="s">
        <v>2129</v>
      </c>
      <c r="BP39" t="s">
        <v>2129</v>
      </c>
      <c r="BS39" t="s">
        <v>2129</v>
      </c>
      <c r="BT39" t="s">
        <v>2129</v>
      </c>
      <c r="BW39" t="s">
        <v>2129</v>
      </c>
      <c r="BX39" t="s">
        <v>2129</v>
      </c>
      <c r="BY39" t="s">
        <v>2129</v>
      </c>
      <c r="BZ39" t="s">
        <v>2129</v>
      </c>
      <c r="CA39" t="s">
        <v>2129</v>
      </c>
      <c r="CB39" t="s">
        <v>2129</v>
      </c>
      <c r="CC39" t="s">
        <v>2129</v>
      </c>
      <c r="CD39" t="s">
        <v>2129</v>
      </c>
      <c r="CE39" t="s">
        <v>2129</v>
      </c>
      <c r="CF39" t="s">
        <v>2129</v>
      </c>
      <c r="CG39" t="s">
        <v>2129</v>
      </c>
      <c r="CH39" t="s">
        <v>2129</v>
      </c>
      <c r="CI39" t="s">
        <v>2129</v>
      </c>
      <c r="CJ39" t="s">
        <v>2129</v>
      </c>
      <c r="CK39" t="s">
        <v>2129</v>
      </c>
      <c r="CL39" t="s">
        <v>2129</v>
      </c>
      <c r="CM39" t="s">
        <v>2129</v>
      </c>
      <c r="CN39" t="s">
        <v>2129</v>
      </c>
      <c r="CO39" t="s">
        <v>2129</v>
      </c>
      <c r="CP39" t="s">
        <v>2129</v>
      </c>
      <c r="CQ39" t="s">
        <v>2129</v>
      </c>
      <c r="CR39" t="s">
        <v>2129</v>
      </c>
      <c r="CS39" t="s">
        <v>2129</v>
      </c>
      <c r="CT39" t="s">
        <v>3571</v>
      </c>
      <c r="CU39" t="s">
        <v>3572</v>
      </c>
      <c r="CV39" t="s">
        <v>2129</v>
      </c>
      <c r="CW39" t="s">
        <v>2129</v>
      </c>
      <c r="CX39" t="s">
        <v>2129</v>
      </c>
      <c r="CY39" t="s">
        <v>2129</v>
      </c>
      <c r="CZ39" t="s">
        <v>2129</v>
      </c>
      <c r="DA39" t="s">
        <v>2129</v>
      </c>
      <c r="DB39" t="s">
        <v>2129</v>
      </c>
      <c r="DC39" t="s">
        <v>2129</v>
      </c>
      <c r="DD39" t="s">
        <v>2129</v>
      </c>
      <c r="DE39" t="s">
        <v>2129</v>
      </c>
      <c r="DF39" t="s">
        <v>2129</v>
      </c>
      <c r="DG39" t="s">
        <v>2129</v>
      </c>
      <c r="DH39" t="s">
        <v>2129</v>
      </c>
      <c r="DJ39" t="s">
        <v>2129</v>
      </c>
      <c r="DK39" t="s">
        <v>2129</v>
      </c>
      <c r="DL39" t="s">
        <v>2129</v>
      </c>
      <c r="DM39" t="s">
        <v>2129</v>
      </c>
      <c r="DN39" t="s">
        <v>2129</v>
      </c>
      <c r="DO39" t="s">
        <v>2129</v>
      </c>
      <c r="DP39" t="s">
        <v>2129</v>
      </c>
      <c r="DQ39" t="s">
        <v>2129</v>
      </c>
      <c r="DR39" t="s">
        <v>2129</v>
      </c>
      <c r="DS39" t="s">
        <v>2129</v>
      </c>
      <c r="DT39" t="s">
        <v>2129</v>
      </c>
      <c r="DU39" t="s">
        <v>2129</v>
      </c>
      <c r="DV39" t="s">
        <v>2129</v>
      </c>
      <c r="DW39" t="s">
        <v>2129</v>
      </c>
      <c r="DX39" t="s">
        <v>2129</v>
      </c>
      <c r="DY39" t="s">
        <v>2129</v>
      </c>
      <c r="DZ39" t="s">
        <v>2129</v>
      </c>
      <c r="EA39" t="s">
        <v>2129</v>
      </c>
      <c r="EB39" t="s">
        <v>2129</v>
      </c>
      <c r="EC39" t="s">
        <v>2129</v>
      </c>
      <c r="ED39" t="s">
        <v>2129</v>
      </c>
      <c r="EE39" t="s">
        <v>2129</v>
      </c>
      <c r="EF39" t="s">
        <v>2129</v>
      </c>
      <c r="EG39" t="s">
        <v>2129</v>
      </c>
      <c r="EH39" t="s">
        <v>2129</v>
      </c>
    </row>
    <row r="40" spans="1:138" x14ac:dyDescent="0.25">
      <c r="A40" t="s">
        <v>3573</v>
      </c>
      <c r="B40" t="s">
        <v>3574</v>
      </c>
      <c r="C40">
        <v>23105</v>
      </c>
      <c r="E40" t="s">
        <v>14</v>
      </c>
      <c r="F40" t="s">
        <v>16</v>
      </c>
      <c r="G40" t="s">
        <v>1620</v>
      </c>
      <c r="H40" t="s">
        <v>1643</v>
      </c>
      <c r="I40" t="s">
        <v>2127</v>
      </c>
      <c r="J40" t="s">
        <v>2141</v>
      </c>
      <c r="K40" t="s">
        <v>2129</v>
      </c>
      <c r="L40" t="s">
        <v>2129</v>
      </c>
      <c r="M40" t="s">
        <v>2130</v>
      </c>
      <c r="N40" t="s">
        <v>2153</v>
      </c>
      <c r="O40" t="s">
        <v>2150</v>
      </c>
      <c r="P40" t="s">
        <v>2141</v>
      </c>
      <c r="Q40" t="s">
        <v>2141</v>
      </c>
      <c r="R40" s="37">
        <v>46086.655555555553</v>
      </c>
      <c r="S40" s="37">
        <v>46099.547222222223</v>
      </c>
      <c r="T40" s="37">
        <v>46100.368750000001</v>
      </c>
      <c r="U40" s="37">
        <v>46090.736111111109</v>
      </c>
      <c r="V40" t="s">
        <v>3575</v>
      </c>
      <c r="W40" t="s">
        <v>2129</v>
      </c>
      <c r="X40" t="s">
        <v>2129</v>
      </c>
      <c r="Y40">
        <v>0</v>
      </c>
      <c r="Z40" t="s">
        <v>2129</v>
      </c>
      <c r="AA40" t="s">
        <v>3576</v>
      </c>
      <c r="AB40" t="s">
        <v>2129</v>
      </c>
      <c r="AC40" t="s">
        <v>2141</v>
      </c>
      <c r="AD40" t="s">
        <v>2151</v>
      </c>
      <c r="AE40" t="s">
        <v>2150</v>
      </c>
      <c r="AF40" t="s">
        <v>2129</v>
      </c>
      <c r="AG40" t="s">
        <v>2129</v>
      </c>
      <c r="AH40" t="s">
        <v>3577</v>
      </c>
      <c r="AI40" t="s">
        <v>3578</v>
      </c>
      <c r="AJ40" t="s">
        <v>2129</v>
      </c>
      <c r="AK40" t="s">
        <v>2129</v>
      </c>
      <c r="AL40" t="s">
        <v>2129</v>
      </c>
      <c r="AM40" t="s">
        <v>2129</v>
      </c>
      <c r="AN40" t="s">
        <v>2129</v>
      </c>
      <c r="AO40" t="s">
        <v>2129</v>
      </c>
      <c r="AP40" t="s">
        <v>2129</v>
      </c>
      <c r="AQ40" t="s">
        <v>2129</v>
      </c>
      <c r="AR40" t="s">
        <v>2129</v>
      </c>
      <c r="AS40" t="s">
        <v>2129</v>
      </c>
      <c r="AT40" t="s">
        <v>2129</v>
      </c>
      <c r="AU40" t="s">
        <v>2129</v>
      </c>
      <c r="AV40" t="s">
        <v>2129</v>
      </c>
      <c r="AW40" t="s">
        <v>2129</v>
      </c>
      <c r="AX40" t="s">
        <v>2129</v>
      </c>
      <c r="AY40" t="s">
        <v>2129</v>
      </c>
      <c r="AZ40" t="s">
        <v>2129</v>
      </c>
      <c r="BA40" t="s">
        <v>2129</v>
      </c>
      <c r="BB40" t="s">
        <v>2129</v>
      </c>
      <c r="BC40" t="s">
        <v>2129</v>
      </c>
      <c r="BD40" t="s">
        <v>2129</v>
      </c>
      <c r="BE40" t="s">
        <v>2129</v>
      </c>
      <c r="BF40" t="s">
        <v>2129</v>
      </c>
      <c r="BG40" t="s">
        <v>2129</v>
      </c>
      <c r="BH40" t="s">
        <v>2129</v>
      </c>
      <c r="BI40" t="s">
        <v>2129</v>
      </c>
      <c r="BJ40" t="s">
        <v>2129</v>
      </c>
      <c r="BK40" t="s">
        <v>2129</v>
      </c>
      <c r="BL40" t="s">
        <v>2129</v>
      </c>
      <c r="BM40" t="s">
        <v>2129</v>
      </c>
      <c r="BN40" t="s">
        <v>2129</v>
      </c>
      <c r="BO40" t="s">
        <v>2129</v>
      </c>
      <c r="BP40" t="s">
        <v>2129</v>
      </c>
      <c r="BQ40">
        <v>0</v>
      </c>
      <c r="BR40">
        <v>25200</v>
      </c>
      <c r="BS40" t="s">
        <v>2129</v>
      </c>
      <c r="BT40" t="s">
        <v>2129</v>
      </c>
      <c r="BU40">
        <v>0</v>
      </c>
      <c r="BV40">
        <v>25200</v>
      </c>
      <c r="BW40" t="s">
        <v>2129</v>
      </c>
      <c r="BX40" t="s">
        <v>2129</v>
      </c>
      <c r="BY40" t="s">
        <v>2129</v>
      </c>
      <c r="BZ40" t="s">
        <v>2129</v>
      </c>
      <c r="CA40" t="s">
        <v>2129</v>
      </c>
      <c r="CB40" t="s">
        <v>2129</v>
      </c>
      <c r="CC40" t="s">
        <v>2129</v>
      </c>
      <c r="CD40" t="s">
        <v>2129</v>
      </c>
      <c r="CE40" t="s">
        <v>2129</v>
      </c>
      <c r="CF40" t="s">
        <v>2129</v>
      </c>
      <c r="CG40" t="s">
        <v>2129</v>
      </c>
      <c r="CH40" t="s">
        <v>2129</v>
      </c>
      <c r="CI40" t="s">
        <v>2129</v>
      </c>
      <c r="CJ40" t="s">
        <v>2129</v>
      </c>
      <c r="CK40" t="s">
        <v>2129</v>
      </c>
      <c r="CL40" t="s">
        <v>2129</v>
      </c>
      <c r="CM40" t="s">
        <v>2801</v>
      </c>
      <c r="CN40" t="s">
        <v>2129</v>
      </c>
      <c r="CO40" t="s">
        <v>2129</v>
      </c>
      <c r="CP40" t="s">
        <v>2129</v>
      </c>
      <c r="CQ40" t="s">
        <v>2129</v>
      </c>
      <c r="CR40" t="s">
        <v>2129</v>
      </c>
      <c r="CS40" t="s">
        <v>2129</v>
      </c>
      <c r="CT40" t="s">
        <v>3579</v>
      </c>
      <c r="CU40" t="s">
        <v>2937</v>
      </c>
      <c r="CV40" t="s">
        <v>3572</v>
      </c>
      <c r="CW40" t="s">
        <v>2129</v>
      </c>
      <c r="CX40" t="s">
        <v>2129</v>
      </c>
      <c r="CY40" t="s">
        <v>2129</v>
      </c>
      <c r="CZ40" t="s">
        <v>2129</v>
      </c>
      <c r="DA40" t="s">
        <v>2129</v>
      </c>
      <c r="DB40" t="s">
        <v>2129</v>
      </c>
      <c r="DC40" t="s">
        <v>2129</v>
      </c>
      <c r="DD40" t="s">
        <v>2129</v>
      </c>
      <c r="DE40" t="s">
        <v>2129</v>
      </c>
      <c r="DF40" t="s">
        <v>2129</v>
      </c>
      <c r="DG40" t="s">
        <v>2129</v>
      </c>
      <c r="DH40" t="s">
        <v>2129</v>
      </c>
      <c r="DI40">
        <v>30</v>
      </c>
      <c r="DJ40" t="s">
        <v>2129</v>
      </c>
      <c r="DK40" t="s">
        <v>2129</v>
      </c>
      <c r="DL40" t="s">
        <v>3580</v>
      </c>
      <c r="DM40" t="s">
        <v>3581</v>
      </c>
      <c r="DN40" t="s">
        <v>3582</v>
      </c>
      <c r="DO40" t="s">
        <v>3583</v>
      </c>
      <c r="DP40" t="s">
        <v>3584</v>
      </c>
      <c r="DQ40" t="s">
        <v>2129</v>
      </c>
      <c r="DR40" t="s">
        <v>2129</v>
      </c>
      <c r="DS40" t="s">
        <v>2129</v>
      </c>
      <c r="DT40" t="s">
        <v>2129</v>
      </c>
      <c r="DU40" t="s">
        <v>2129</v>
      </c>
      <c r="DV40" t="s">
        <v>2129</v>
      </c>
      <c r="DW40" t="s">
        <v>2129</v>
      </c>
      <c r="DX40" t="s">
        <v>2129</v>
      </c>
      <c r="DY40" t="s">
        <v>2129</v>
      </c>
      <c r="DZ40" t="s">
        <v>2129</v>
      </c>
      <c r="EA40" t="s">
        <v>2129</v>
      </c>
      <c r="EB40" t="s">
        <v>2129</v>
      </c>
      <c r="EC40" t="s">
        <v>2129</v>
      </c>
      <c r="ED40" t="s">
        <v>2129</v>
      </c>
      <c r="EE40" t="s">
        <v>2129</v>
      </c>
      <c r="EF40" t="s">
        <v>2129</v>
      </c>
      <c r="EG40" t="s">
        <v>2129</v>
      </c>
      <c r="EH40" t="s">
        <v>2129</v>
      </c>
    </row>
    <row r="41" spans="1:138" x14ac:dyDescent="0.25">
      <c r="A41" t="s">
        <v>1723</v>
      </c>
      <c r="B41" t="s">
        <v>2931</v>
      </c>
      <c r="C41">
        <v>23034</v>
      </c>
      <c r="E41" t="s">
        <v>2136</v>
      </c>
      <c r="F41" t="s">
        <v>16</v>
      </c>
      <c r="G41" t="s">
        <v>1620</v>
      </c>
      <c r="H41" t="s">
        <v>1643</v>
      </c>
      <c r="I41" t="s">
        <v>2127</v>
      </c>
      <c r="J41" t="s">
        <v>2141</v>
      </c>
      <c r="K41" t="s">
        <v>2129</v>
      </c>
      <c r="L41" t="s">
        <v>2129</v>
      </c>
      <c r="M41" t="s">
        <v>2130</v>
      </c>
      <c r="N41" t="s">
        <v>16</v>
      </c>
      <c r="O41" t="s">
        <v>2144</v>
      </c>
      <c r="P41" t="s">
        <v>2141</v>
      </c>
      <c r="Q41" t="s">
        <v>2141</v>
      </c>
      <c r="R41" s="37">
        <v>46076.380555555559</v>
      </c>
      <c r="S41" s="37">
        <v>46090.447916666664</v>
      </c>
      <c r="T41" s="37">
        <v>46100.368750000001</v>
      </c>
      <c r="U41" s="37">
        <v>46090.447916666664</v>
      </c>
      <c r="V41" t="s">
        <v>2129</v>
      </c>
      <c r="W41" t="s">
        <v>2129</v>
      </c>
      <c r="X41" t="s">
        <v>2129</v>
      </c>
      <c r="Y41">
        <v>0</v>
      </c>
      <c r="Z41" t="s">
        <v>2129</v>
      </c>
      <c r="AA41" t="s">
        <v>2129</v>
      </c>
      <c r="AB41" t="s">
        <v>2129</v>
      </c>
      <c r="AC41" t="s">
        <v>2141</v>
      </c>
      <c r="AD41" t="s">
        <v>2129</v>
      </c>
      <c r="AE41" t="s">
        <v>2129</v>
      </c>
      <c r="AF41" t="s">
        <v>2129</v>
      </c>
      <c r="AG41" t="s">
        <v>2129</v>
      </c>
      <c r="AH41" t="s">
        <v>2932</v>
      </c>
      <c r="AI41" t="s">
        <v>2933</v>
      </c>
      <c r="AJ41" t="s">
        <v>2934</v>
      </c>
      <c r="AK41" t="s">
        <v>2935</v>
      </c>
      <c r="AL41" t="s">
        <v>2129</v>
      </c>
      <c r="AM41" t="s">
        <v>2129</v>
      </c>
      <c r="AN41" t="s">
        <v>2129</v>
      </c>
      <c r="AO41" t="s">
        <v>2129</v>
      </c>
      <c r="AP41" t="s">
        <v>2129</v>
      </c>
      <c r="AQ41" t="s">
        <v>2129</v>
      </c>
      <c r="AR41" t="s">
        <v>2129</v>
      </c>
      <c r="AS41" t="s">
        <v>2129</v>
      </c>
      <c r="AT41" t="s">
        <v>2129</v>
      </c>
      <c r="AU41" t="s">
        <v>2129</v>
      </c>
      <c r="AV41" t="s">
        <v>2129</v>
      </c>
      <c r="AW41" t="s">
        <v>2129</v>
      </c>
      <c r="AX41" t="s">
        <v>2129</v>
      </c>
      <c r="AY41" t="s">
        <v>2129</v>
      </c>
      <c r="AZ41" t="s">
        <v>2129</v>
      </c>
      <c r="BA41" t="s">
        <v>2129</v>
      </c>
      <c r="BB41" t="s">
        <v>2129</v>
      </c>
      <c r="BC41" t="s">
        <v>2129</v>
      </c>
      <c r="BD41" t="s">
        <v>2129</v>
      </c>
      <c r="BE41" t="s">
        <v>2129</v>
      </c>
      <c r="BF41" t="s">
        <v>2129</v>
      </c>
      <c r="BG41" t="s">
        <v>2129</v>
      </c>
      <c r="BH41" t="s">
        <v>2129</v>
      </c>
      <c r="BI41" t="s">
        <v>2129</v>
      </c>
      <c r="BJ41" t="s">
        <v>2129</v>
      </c>
      <c r="BK41" t="s">
        <v>2129</v>
      </c>
      <c r="BL41" t="s">
        <v>2129</v>
      </c>
      <c r="BM41" t="s">
        <v>2129</v>
      </c>
      <c r="BN41" t="s">
        <v>2129</v>
      </c>
      <c r="BO41" t="s">
        <v>2129</v>
      </c>
      <c r="BP41" t="s">
        <v>2129</v>
      </c>
      <c r="BQ41">
        <v>0</v>
      </c>
      <c r="BR41">
        <v>16200</v>
      </c>
      <c r="BS41" t="s">
        <v>2129</v>
      </c>
      <c r="BT41" t="s">
        <v>2129</v>
      </c>
      <c r="BU41">
        <v>0</v>
      </c>
      <c r="BV41">
        <v>16200</v>
      </c>
      <c r="BW41" t="s">
        <v>2129</v>
      </c>
      <c r="BX41" t="s">
        <v>2129</v>
      </c>
      <c r="BY41" t="s">
        <v>2129</v>
      </c>
      <c r="BZ41" t="s">
        <v>2129</v>
      </c>
      <c r="CA41" t="s">
        <v>2129</v>
      </c>
      <c r="CB41" t="s">
        <v>2129</v>
      </c>
      <c r="CC41" t="s">
        <v>2129</v>
      </c>
      <c r="CD41" t="s">
        <v>2129</v>
      </c>
      <c r="CE41" t="s">
        <v>2129</v>
      </c>
      <c r="CF41" t="s">
        <v>2129</v>
      </c>
      <c r="CG41" t="s">
        <v>2129</v>
      </c>
      <c r="CH41" t="s">
        <v>2129</v>
      </c>
      <c r="CI41" t="s">
        <v>2129</v>
      </c>
      <c r="CJ41" t="s">
        <v>2129</v>
      </c>
      <c r="CK41" t="s">
        <v>2129</v>
      </c>
      <c r="CL41" t="s">
        <v>2129</v>
      </c>
      <c r="CM41" t="s">
        <v>2129</v>
      </c>
      <c r="CN41" t="s">
        <v>2129</v>
      </c>
      <c r="CO41" t="s">
        <v>2129</v>
      </c>
      <c r="CP41" t="s">
        <v>2129</v>
      </c>
      <c r="CQ41" t="s">
        <v>2129</v>
      </c>
      <c r="CR41" t="s">
        <v>2129</v>
      </c>
      <c r="CS41" t="s">
        <v>2129</v>
      </c>
      <c r="CT41" t="s">
        <v>2936</v>
      </c>
      <c r="CU41" t="s">
        <v>2937</v>
      </c>
      <c r="CV41" t="s">
        <v>2129</v>
      </c>
      <c r="CW41" t="s">
        <v>2129</v>
      </c>
      <c r="CX41" t="s">
        <v>2129</v>
      </c>
      <c r="CY41" t="s">
        <v>2129</v>
      </c>
      <c r="CZ41" t="s">
        <v>2129</v>
      </c>
      <c r="DA41" t="s">
        <v>2129</v>
      </c>
      <c r="DB41" t="s">
        <v>2129</v>
      </c>
      <c r="DC41" t="s">
        <v>2129</v>
      </c>
      <c r="DD41" t="s">
        <v>2129</v>
      </c>
      <c r="DE41" t="s">
        <v>2129</v>
      </c>
      <c r="DF41" t="s">
        <v>2129</v>
      </c>
      <c r="DG41" t="s">
        <v>2129</v>
      </c>
      <c r="DH41" t="s">
        <v>2129</v>
      </c>
      <c r="DJ41" t="s">
        <v>2129</v>
      </c>
      <c r="DK41" t="s">
        <v>2129</v>
      </c>
      <c r="DL41" t="s">
        <v>2129</v>
      </c>
      <c r="DM41" t="s">
        <v>2129</v>
      </c>
      <c r="DN41" t="s">
        <v>2129</v>
      </c>
      <c r="DO41" t="s">
        <v>2129</v>
      </c>
      <c r="DP41" t="s">
        <v>2129</v>
      </c>
      <c r="DQ41" t="s">
        <v>2129</v>
      </c>
      <c r="DR41" t="s">
        <v>2129</v>
      </c>
      <c r="DS41" t="s">
        <v>2129</v>
      </c>
      <c r="DT41" t="s">
        <v>2129</v>
      </c>
      <c r="DU41" t="s">
        <v>2129</v>
      </c>
      <c r="DV41" t="s">
        <v>2129</v>
      </c>
      <c r="DW41" t="s">
        <v>2129</v>
      </c>
      <c r="DX41" t="s">
        <v>2129</v>
      </c>
      <c r="DY41" t="s">
        <v>2129</v>
      </c>
      <c r="DZ41" t="s">
        <v>2129</v>
      </c>
      <c r="EA41" t="s">
        <v>2129</v>
      </c>
      <c r="EB41" t="s">
        <v>2129</v>
      </c>
      <c r="EC41" t="s">
        <v>2129</v>
      </c>
      <c r="ED41" t="s">
        <v>2129</v>
      </c>
      <c r="EE41" t="s">
        <v>2129</v>
      </c>
      <c r="EF41" t="s">
        <v>2129</v>
      </c>
      <c r="EG41" t="s">
        <v>2129</v>
      </c>
      <c r="EH41" t="s">
        <v>2129</v>
      </c>
    </row>
    <row r="42" spans="1:138" x14ac:dyDescent="0.25">
      <c r="A42" t="s">
        <v>2789</v>
      </c>
      <c r="B42" t="s">
        <v>2779</v>
      </c>
      <c r="C42">
        <v>22998</v>
      </c>
      <c r="E42" t="s">
        <v>14</v>
      </c>
      <c r="F42" t="s">
        <v>16</v>
      </c>
      <c r="G42" t="s">
        <v>1620</v>
      </c>
      <c r="H42" t="s">
        <v>1643</v>
      </c>
      <c r="I42" t="s">
        <v>2127</v>
      </c>
      <c r="J42" t="s">
        <v>2141</v>
      </c>
      <c r="K42" t="s">
        <v>2129</v>
      </c>
      <c r="L42" t="s">
        <v>2129</v>
      </c>
      <c r="M42" t="s">
        <v>2130</v>
      </c>
      <c r="N42" t="s">
        <v>2153</v>
      </c>
      <c r="O42" t="s">
        <v>2150</v>
      </c>
      <c r="P42" t="s">
        <v>2141</v>
      </c>
      <c r="Q42" t="s">
        <v>2141</v>
      </c>
      <c r="R42" s="37">
        <v>46072.633333333331</v>
      </c>
      <c r="S42" s="37">
        <v>46099.547222222223</v>
      </c>
      <c r="T42" s="37">
        <v>46087.727777777778</v>
      </c>
      <c r="U42" s="37">
        <v>46094.547222222223</v>
      </c>
      <c r="V42" t="s">
        <v>3575</v>
      </c>
      <c r="W42" t="s">
        <v>2129</v>
      </c>
      <c r="X42" t="s">
        <v>2129</v>
      </c>
      <c r="Y42">
        <v>0</v>
      </c>
      <c r="Z42" t="s">
        <v>2129</v>
      </c>
      <c r="AA42" t="s">
        <v>3585</v>
      </c>
      <c r="AB42" t="s">
        <v>2129</v>
      </c>
      <c r="AC42" t="s">
        <v>2141</v>
      </c>
      <c r="AD42" t="s">
        <v>2151</v>
      </c>
      <c r="AE42" t="s">
        <v>2150</v>
      </c>
      <c r="AF42" t="s">
        <v>2129</v>
      </c>
      <c r="AG42" t="s">
        <v>2129</v>
      </c>
      <c r="AH42" t="s">
        <v>3586</v>
      </c>
      <c r="AI42" t="s">
        <v>3587</v>
      </c>
      <c r="AJ42" t="s">
        <v>2129</v>
      </c>
      <c r="AK42" t="s">
        <v>2129</v>
      </c>
      <c r="AL42" t="s">
        <v>2129</v>
      </c>
      <c r="AM42" t="s">
        <v>2129</v>
      </c>
      <c r="AN42" t="s">
        <v>2129</v>
      </c>
      <c r="AO42" t="s">
        <v>2129</v>
      </c>
      <c r="AP42" t="s">
        <v>2129</v>
      </c>
      <c r="AQ42" t="s">
        <v>2129</v>
      </c>
      <c r="AR42" t="s">
        <v>2129</v>
      </c>
      <c r="AS42" t="s">
        <v>2129</v>
      </c>
      <c r="AT42" t="s">
        <v>2129</v>
      </c>
      <c r="AU42" t="s">
        <v>2129</v>
      </c>
      <c r="AV42" t="s">
        <v>2129</v>
      </c>
      <c r="AW42" t="s">
        <v>2129</v>
      </c>
      <c r="AX42" t="s">
        <v>2129</v>
      </c>
      <c r="AY42" t="s">
        <v>2129</v>
      </c>
      <c r="AZ42" t="s">
        <v>2129</v>
      </c>
      <c r="BA42" t="s">
        <v>2129</v>
      </c>
      <c r="BB42" t="s">
        <v>2129</v>
      </c>
      <c r="BC42" t="s">
        <v>2129</v>
      </c>
      <c r="BD42" t="s">
        <v>2129</v>
      </c>
      <c r="BE42" t="s">
        <v>2129</v>
      </c>
      <c r="BF42" t="s">
        <v>2129</v>
      </c>
      <c r="BG42" t="s">
        <v>2129</v>
      </c>
      <c r="BH42" t="s">
        <v>2129</v>
      </c>
      <c r="BI42" t="s">
        <v>2129</v>
      </c>
      <c r="BJ42" t="s">
        <v>2129</v>
      </c>
      <c r="BK42" t="s">
        <v>2129</v>
      </c>
      <c r="BL42" t="s">
        <v>2129</v>
      </c>
      <c r="BM42" t="s">
        <v>2129</v>
      </c>
      <c r="BN42" t="s">
        <v>2129</v>
      </c>
      <c r="BO42" t="s">
        <v>2129</v>
      </c>
      <c r="BP42" t="s">
        <v>2129</v>
      </c>
      <c r="BQ42">
        <v>0</v>
      </c>
      <c r="BR42">
        <v>25200</v>
      </c>
      <c r="BS42" t="s">
        <v>2129</v>
      </c>
      <c r="BT42" t="s">
        <v>2129</v>
      </c>
      <c r="BU42">
        <v>0</v>
      </c>
      <c r="BV42">
        <v>25200</v>
      </c>
      <c r="BW42" t="s">
        <v>2129</v>
      </c>
      <c r="BX42" t="s">
        <v>2129</v>
      </c>
      <c r="BY42" t="s">
        <v>2129</v>
      </c>
      <c r="BZ42" t="s">
        <v>2129</v>
      </c>
      <c r="CA42" t="s">
        <v>2129</v>
      </c>
      <c r="CB42" t="s">
        <v>2129</v>
      </c>
      <c r="CC42" t="s">
        <v>2129</v>
      </c>
      <c r="CD42" t="s">
        <v>2129</v>
      </c>
      <c r="CE42" t="s">
        <v>2129</v>
      </c>
      <c r="CF42" t="s">
        <v>2129</v>
      </c>
      <c r="CG42" t="s">
        <v>2129</v>
      </c>
      <c r="CH42" t="s">
        <v>2129</v>
      </c>
      <c r="CI42" t="s">
        <v>2129</v>
      </c>
      <c r="CJ42" t="s">
        <v>2129</v>
      </c>
      <c r="CK42" t="s">
        <v>2129</v>
      </c>
      <c r="CL42" t="s">
        <v>2129</v>
      </c>
      <c r="CM42" t="s">
        <v>2801</v>
      </c>
      <c r="CN42" t="s">
        <v>2129</v>
      </c>
      <c r="CO42" t="s">
        <v>2129</v>
      </c>
      <c r="CP42" t="s">
        <v>2129</v>
      </c>
      <c r="CQ42" t="s">
        <v>2129</v>
      </c>
      <c r="CR42" t="s">
        <v>2129</v>
      </c>
      <c r="CS42" t="s">
        <v>2129</v>
      </c>
      <c r="CT42" t="s">
        <v>3588</v>
      </c>
      <c r="CU42" t="s">
        <v>2937</v>
      </c>
      <c r="CV42" t="s">
        <v>3572</v>
      </c>
      <c r="CW42" t="s">
        <v>2129</v>
      </c>
      <c r="CX42" t="s">
        <v>2129</v>
      </c>
      <c r="CY42" t="s">
        <v>2129</v>
      </c>
      <c r="CZ42" t="s">
        <v>2129</v>
      </c>
      <c r="DA42" t="s">
        <v>2129</v>
      </c>
      <c r="DB42" t="s">
        <v>2129</v>
      </c>
      <c r="DC42" t="s">
        <v>2129</v>
      </c>
      <c r="DD42" t="s">
        <v>2129</v>
      </c>
      <c r="DE42" t="s">
        <v>2129</v>
      </c>
      <c r="DF42" t="s">
        <v>2129</v>
      </c>
      <c r="DG42" t="s">
        <v>2129</v>
      </c>
      <c r="DH42" t="s">
        <v>2129</v>
      </c>
      <c r="DI42">
        <v>10</v>
      </c>
      <c r="DJ42" t="s">
        <v>2129</v>
      </c>
      <c r="DK42" t="s">
        <v>2129</v>
      </c>
      <c r="DL42" t="s">
        <v>3589</v>
      </c>
      <c r="DM42" t="s">
        <v>3582</v>
      </c>
      <c r="DN42" t="s">
        <v>3583</v>
      </c>
      <c r="DO42" t="s">
        <v>3590</v>
      </c>
      <c r="DP42" t="s">
        <v>2129</v>
      </c>
      <c r="DQ42" t="s">
        <v>2129</v>
      </c>
      <c r="DR42" t="s">
        <v>2129</v>
      </c>
      <c r="DS42" t="s">
        <v>2129</v>
      </c>
      <c r="DT42" t="s">
        <v>2129</v>
      </c>
      <c r="DU42" t="s">
        <v>2129</v>
      </c>
      <c r="DV42" t="s">
        <v>2129</v>
      </c>
      <c r="DW42" t="s">
        <v>2129</v>
      </c>
      <c r="DX42" t="s">
        <v>2129</v>
      </c>
      <c r="DY42" t="s">
        <v>2129</v>
      </c>
      <c r="DZ42" t="s">
        <v>2129</v>
      </c>
      <c r="EA42" t="s">
        <v>2129</v>
      </c>
      <c r="EB42" t="s">
        <v>2129</v>
      </c>
      <c r="EC42" t="s">
        <v>2129</v>
      </c>
      <c r="ED42" t="s">
        <v>2129</v>
      </c>
      <c r="EE42" t="s">
        <v>2129</v>
      </c>
      <c r="EF42" t="s">
        <v>2129</v>
      </c>
      <c r="EG42" t="s">
        <v>2129</v>
      </c>
      <c r="EH42" t="s">
        <v>2129</v>
      </c>
    </row>
    <row r="43" spans="1:138" x14ac:dyDescent="0.25">
      <c r="A43" t="s">
        <v>2793</v>
      </c>
      <c r="B43" t="s">
        <v>2783</v>
      </c>
      <c r="C43">
        <v>22997</v>
      </c>
      <c r="E43" t="s">
        <v>14</v>
      </c>
      <c r="F43" t="s">
        <v>16</v>
      </c>
      <c r="G43" t="s">
        <v>1620</v>
      </c>
      <c r="H43" t="s">
        <v>1643</v>
      </c>
      <c r="I43" t="s">
        <v>2127</v>
      </c>
      <c r="J43" t="s">
        <v>2141</v>
      </c>
      <c r="K43" t="s">
        <v>2129</v>
      </c>
      <c r="L43" t="s">
        <v>2129</v>
      </c>
      <c r="M43" t="s">
        <v>2130</v>
      </c>
      <c r="N43" t="s">
        <v>2153</v>
      </c>
      <c r="O43" t="s">
        <v>2150</v>
      </c>
      <c r="P43" t="s">
        <v>2141</v>
      </c>
      <c r="Q43" t="s">
        <v>2141</v>
      </c>
      <c r="R43" s="37">
        <v>46072.632638888892</v>
      </c>
      <c r="S43" s="37">
        <v>46099.547222222223</v>
      </c>
      <c r="T43" s="37">
        <v>46087.728472222225</v>
      </c>
      <c r="U43" s="37">
        <v>46091.401388888888</v>
      </c>
      <c r="V43" t="s">
        <v>3575</v>
      </c>
      <c r="W43" t="s">
        <v>2129</v>
      </c>
      <c r="X43" t="s">
        <v>2129</v>
      </c>
      <c r="Y43">
        <v>0</v>
      </c>
      <c r="Z43" t="s">
        <v>2129</v>
      </c>
      <c r="AA43" t="s">
        <v>3591</v>
      </c>
      <c r="AB43" t="s">
        <v>2129</v>
      </c>
      <c r="AC43" t="s">
        <v>2141</v>
      </c>
      <c r="AD43" t="s">
        <v>2150</v>
      </c>
      <c r="AE43" t="s">
        <v>2129</v>
      </c>
      <c r="AF43" t="s">
        <v>2129</v>
      </c>
      <c r="AG43" t="s">
        <v>2129</v>
      </c>
      <c r="AH43" t="s">
        <v>3592</v>
      </c>
      <c r="AI43" t="s">
        <v>3593</v>
      </c>
      <c r="AJ43" t="s">
        <v>2129</v>
      </c>
      <c r="AK43" t="s">
        <v>2129</v>
      </c>
      <c r="AL43" t="s">
        <v>2129</v>
      </c>
      <c r="AM43" t="s">
        <v>2129</v>
      </c>
      <c r="AN43" t="s">
        <v>2129</v>
      </c>
      <c r="AO43" t="s">
        <v>2129</v>
      </c>
      <c r="AP43" t="s">
        <v>2129</v>
      </c>
      <c r="AQ43" t="s">
        <v>2129</v>
      </c>
      <c r="AR43" t="s">
        <v>2129</v>
      </c>
      <c r="AS43" t="s">
        <v>2129</v>
      </c>
      <c r="AT43" t="s">
        <v>2129</v>
      </c>
      <c r="AU43" t="s">
        <v>2129</v>
      </c>
      <c r="AV43" t="s">
        <v>2129</v>
      </c>
      <c r="AW43" t="s">
        <v>2129</v>
      </c>
      <c r="AX43" t="s">
        <v>2129</v>
      </c>
      <c r="AY43" t="s">
        <v>2129</v>
      </c>
      <c r="AZ43" t="s">
        <v>2129</v>
      </c>
      <c r="BA43" t="s">
        <v>2129</v>
      </c>
      <c r="BB43" t="s">
        <v>2129</v>
      </c>
      <c r="BC43" t="s">
        <v>2129</v>
      </c>
      <c r="BD43" t="s">
        <v>2129</v>
      </c>
      <c r="BE43" t="s">
        <v>2129</v>
      </c>
      <c r="BF43" t="s">
        <v>2129</v>
      </c>
      <c r="BG43" t="s">
        <v>2129</v>
      </c>
      <c r="BH43" t="s">
        <v>2129</v>
      </c>
      <c r="BI43" t="s">
        <v>2129</v>
      </c>
      <c r="BJ43" t="s">
        <v>2129</v>
      </c>
      <c r="BK43" t="s">
        <v>2129</v>
      </c>
      <c r="BL43" t="s">
        <v>2129</v>
      </c>
      <c r="BM43" t="s">
        <v>2129</v>
      </c>
      <c r="BN43" t="s">
        <v>2129</v>
      </c>
      <c r="BO43" t="s">
        <v>2129</v>
      </c>
      <c r="BP43" t="s">
        <v>2129</v>
      </c>
      <c r="BQ43">
        <v>0</v>
      </c>
      <c r="BR43">
        <v>9000</v>
      </c>
      <c r="BS43" t="s">
        <v>2129</v>
      </c>
      <c r="BT43" t="s">
        <v>2129</v>
      </c>
      <c r="BU43">
        <v>0</v>
      </c>
      <c r="BV43">
        <v>9000</v>
      </c>
      <c r="BW43" t="s">
        <v>2129</v>
      </c>
      <c r="BX43" t="s">
        <v>2129</v>
      </c>
      <c r="BY43" t="s">
        <v>2129</v>
      </c>
      <c r="BZ43" t="s">
        <v>2129</v>
      </c>
      <c r="CA43" t="s">
        <v>2129</v>
      </c>
      <c r="CB43" t="s">
        <v>2129</v>
      </c>
      <c r="CC43" t="s">
        <v>2129</v>
      </c>
      <c r="CD43" t="s">
        <v>2129</v>
      </c>
      <c r="CE43" t="s">
        <v>2129</v>
      </c>
      <c r="CF43" t="s">
        <v>2129</v>
      </c>
      <c r="CG43" t="s">
        <v>2129</v>
      </c>
      <c r="CH43" t="s">
        <v>2129</v>
      </c>
      <c r="CI43" t="s">
        <v>2129</v>
      </c>
      <c r="CJ43" t="s">
        <v>2129</v>
      </c>
      <c r="CK43" t="s">
        <v>2129</v>
      </c>
      <c r="CL43" t="s">
        <v>2129</v>
      </c>
      <c r="CM43" t="s">
        <v>2801</v>
      </c>
      <c r="CN43" t="s">
        <v>2129</v>
      </c>
      <c r="CO43" t="s">
        <v>2129</v>
      </c>
      <c r="CP43" t="s">
        <v>2129</v>
      </c>
      <c r="CQ43" t="s">
        <v>2129</v>
      </c>
      <c r="CR43" t="s">
        <v>2129</v>
      </c>
      <c r="CS43" t="s">
        <v>2129</v>
      </c>
      <c r="CT43" t="s">
        <v>3594</v>
      </c>
      <c r="CU43" t="s">
        <v>2937</v>
      </c>
      <c r="CV43" t="s">
        <v>3572</v>
      </c>
      <c r="CW43" t="s">
        <v>2129</v>
      </c>
      <c r="CX43" t="s">
        <v>2129</v>
      </c>
      <c r="CY43" t="s">
        <v>2129</v>
      </c>
      <c r="CZ43" t="s">
        <v>2129</v>
      </c>
      <c r="DA43" t="s">
        <v>2129</v>
      </c>
      <c r="DB43" t="s">
        <v>2129</v>
      </c>
      <c r="DC43" t="s">
        <v>2129</v>
      </c>
      <c r="DD43" t="s">
        <v>2129</v>
      </c>
      <c r="DE43" t="s">
        <v>2129</v>
      </c>
      <c r="DF43" t="s">
        <v>2129</v>
      </c>
      <c r="DG43" t="s">
        <v>2129</v>
      </c>
      <c r="DH43" t="s">
        <v>2129</v>
      </c>
      <c r="DI43">
        <v>10</v>
      </c>
      <c r="DJ43" t="s">
        <v>2129</v>
      </c>
      <c r="DK43" t="s">
        <v>2129</v>
      </c>
      <c r="DL43" t="s">
        <v>3595</v>
      </c>
      <c r="DM43" t="s">
        <v>2129</v>
      </c>
      <c r="DN43" t="s">
        <v>2129</v>
      </c>
      <c r="DO43" t="s">
        <v>2129</v>
      </c>
      <c r="DP43" t="s">
        <v>2129</v>
      </c>
      <c r="DQ43" t="s">
        <v>2129</v>
      </c>
      <c r="DR43" t="s">
        <v>2129</v>
      </c>
      <c r="DS43" t="s">
        <v>2129</v>
      </c>
      <c r="DT43" t="s">
        <v>2129</v>
      </c>
      <c r="DU43" t="s">
        <v>2129</v>
      </c>
      <c r="DV43" t="s">
        <v>2129</v>
      </c>
      <c r="DW43" t="s">
        <v>2129</v>
      </c>
      <c r="DX43" t="s">
        <v>2129</v>
      </c>
      <c r="DY43" t="s">
        <v>2129</v>
      </c>
      <c r="DZ43" t="s">
        <v>2129</v>
      </c>
      <c r="EA43" t="s">
        <v>2129</v>
      </c>
      <c r="EB43" t="s">
        <v>2129</v>
      </c>
      <c r="EC43" t="s">
        <v>2129</v>
      </c>
      <c r="ED43" t="s">
        <v>2129</v>
      </c>
      <c r="EE43" t="s">
        <v>2129</v>
      </c>
      <c r="EF43" t="s">
        <v>2129</v>
      </c>
      <c r="EG43" t="s">
        <v>2129</v>
      </c>
      <c r="EH43" t="s">
        <v>2129</v>
      </c>
    </row>
    <row r="44" spans="1:138" x14ac:dyDescent="0.25">
      <c r="A44" t="s">
        <v>2791</v>
      </c>
      <c r="B44" t="s">
        <v>2781</v>
      </c>
      <c r="C44">
        <v>22996</v>
      </c>
      <c r="E44" t="s">
        <v>14</v>
      </c>
      <c r="F44" t="s">
        <v>16</v>
      </c>
      <c r="G44" t="s">
        <v>1620</v>
      </c>
      <c r="H44" t="s">
        <v>1643</v>
      </c>
      <c r="I44" t="s">
        <v>2127</v>
      </c>
      <c r="J44" t="s">
        <v>2141</v>
      </c>
      <c r="K44" t="s">
        <v>2129</v>
      </c>
      <c r="L44" t="s">
        <v>2129</v>
      </c>
      <c r="M44" t="s">
        <v>2130</v>
      </c>
      <c r="N44" t="s">
        <v>2153</v>
      </c>
      <c r="O44" t="s">
        <v>2150</v>
      </c>
      <c r="P44" t="s">
        <v>2141</v>
      </c>
      <c r="Q44" t="s">
        <v>2141</v>
      </c>
      <c r="R44" s="37">
        <v>46072.631249999999</v>
      </c>
      <c r="S44" s="37">
        <v>46099.547222222223</v>
      </c>
      <c r="T44" s="37">
        <v>46087.727777777778</v>
      </c>
      <c r="U44" s="37">
        <v>46091.379166666666</v>
      </c>
      <c r="V44" t="s">
        <v>3575</v>
      </c>
      <c r="W44" t="s">
        <v>2129</v>
      </c>
      <c r="X44" t="s">
        <v>2129</v>
      </c>
      <c r="Y44">
        <v>0</v>
      </c>
      <c r="Z44" t="s">
        <v>2129</v>
      </c>
      <c r="AA44" t="s">
        <v>3596</v>
      </c>
      <c r="AB44" t="s">
        <v>2129</v>
      </c>
      <c r="AC44" t="s">
        <v>2141</v>
      </c>
      <c r="AD44" t="s">
        <v>2151</v>
      </c>
      <c r="AE44" t="s">
        <v>2150</v>
      </c>
      <c r="AF44" t="s">
        <v>2129</v>
      </c>
      <c r="AG44" t="s">
        <v>2129</v>
      </c>
      <c r="AH44" t="s">
        <v>3597</v>
      </c>
      <c r="AI44" t="s">
        <v>3598</v>
      </c>
      <c r="AJ44" t="s">
        <v>3599</v>
      </c>
      <c r="AK44" t="s">
        <v>2129</v>
      </c>
      <c r="AL44" t="s">
        <v>2129</v>
      </c>
      <c r="AM44" t="s">
        <v>2129</v>
      </c>
      <c r="AN44" t="s">
        <v>2129</v>
      </c>
      <c r="AO44" t="s">
        <v>2129</v>
      </c>
      <c r="AP44" t="s">
        <v>2129</v>
      </c>
      <c r="AQ44" t="s">
        <v>2129</v>
      </c>
      <c r="AR44" t="s">
        <v>2129</v>
      </c>
      <c r="AS44" t="s">
        <v>2129</v>
      </c>
      <c r="AT44" t="s">
        <v>2129</v>
      </c>
      <c r="AU44" t="s">
        <v>2129</v>
      </c>
      <c r="AV44" t="s">
        <v>2129</v>
      </c>
      <c r="AW44" t="s">
        <v>2129</v>
      </c>
      <c r="AX44" t="s">
        <v>2129</v>
      </c>
      <c r="AY44" t="s">
        <v>2129</v>
      </c>
      <c r="AZ44" t="s">
        <v>2129</v>
      </c>
      <c r="BA44" t="s">
        <v>2129</v>
      </c>
      <c r="BB44" t="s">
        <v>2129</v>
      </c>
      <c r="BC44" t="s">
        <v>2129</v>
      </c>
      <c r="BD44" t="s">
        <v>2129</v>
      </c>
      <c r="BE44" t="s">
        <v>2129</v>
      </c>
      <c r="BF44" t="s">
        <v>2129</v>
      </c>
      <c r="BG44" t="s">
        <v>2129</v>
      </c>
      <c r="BH44" t="s">
        <v>2129</v>
      </c>
      <c r="BI44" t="s">
        <v>2129</v>
      </c>
      <c r="BJ44" t="s">
        <v>2129</v>
      </c>
      <c r="BK44" t="s">
        <v>2129</v>
      </c>
      <c r="BL44" t="s">
        <v>2129</v>
      </c>
      <c r="BM44" t="s">
        <v>2129</v>
      </c>
      <c r="BN44" t="s">
        <v>2129</v>
      </c>
      <c r="BO44" t="s">
        <v>2129</v>
      </c>
      <c r="BP44" t="s">
        <v>2129</v>
      </c>
      <c r="BQ44">
        <v>0</v>
      </c>
      <c r="BR44">
        <v>57600</v>
      </c>
      <c r="BS44" t="s">
        <v>2129</v>
      </c>
      <c r="BT44" t="s">
        <v>2129</v>
      </c>
      <c r="BU44">
        <v>0</v>
      </c>
      <c r="BV44">
        <v>57600</v>
      </c>
      <c r="BW44" t="s">
        <v>2129</v>
      </c>
      <c r="BX44" t="s">
        <v>2129</v>
      </c>
      <c r="BY44" t="s">
        <v>2129</v>
      </c>
      <c r="BZ44" t="s">
        <v>3600</v>
      </c>
      <c r="CA44" t="s">
        <v>2129</v>
      </c>
      <c r="CB44" t="s">
        <v>2129</v>
      </c>
      <c r="CC44" t="s">
        <v>2129</v>
      </c>
      <c r="CD44" t="s">
        <v>2129</v>
      </c>
      <c r="CE44" t="s">
        <v>2129</v>
      </c>
      <c r="CF44" t="s">
        <v>2129</v>
      </c>
      <c r="CG44" t="s">
        <v>2129</v>
      </c>
      <c r="CH44" t="s">
        <v>2129</v>
      </c>
      <c r="CI44" t="s">
        <v>2129</v>
      </c>
      <c r="CJ44" t="s">
        <v>2129</v>
      </c>
      <c r="CK44" t="s">
        <v>2129</v>
      </c>
      <c r="CL44" t="s">
        <v>2129</v>
      </c>
      <c r="CM44" t="s">
        <v>2801</v>
      </c>
      <c r="CN44" t="s">
        <v>2129</v>
      </c>
      <c r="CO44" t="s">
        <v>2129</v>
      </c>
      <c r="CP44" t="s">
        <v>2129</v>
      </c>
      <c r="CQ44" t="s">
        <v>2129</v>
      </c>
      <c r="CR44" t="s">
        <v>2129</v>
      </c>
      <c r="CS44" t="s">
        <v>2129</v>
      </c>
      <c r="CT44" t="s">
        <v>3601</v>
      </c>
      <c r="CU44" t="s">
        <v>2937</v>
      </c>
      <c r="CV44" t="s">
        <v>3572</v>
      </c>
      <c r="CW44" t="s">
        <v>2129</v>
      </c>
      <c r="CX44" t="s">
        <v>2129</v>
      </c>
      <c r="CY44" t="s">
        <v>2129</v>
      </c>
      <c r="CZ44" t="s">
        <v>2129</v>
      </c>
      <c r="DA44" t="s">
        <v>2129</v>
      </c>
      <c r="DB44" t="s">
        <v>2129</v>
      </c>
      <c r="DC44" t="s">
        <v>2129</v>
      </c>
      <c r="DD44" t="s">
        <v>2129</v>
      </c>
      <c r="DE44" t="s">
        <v>2129</v>
      </c>
      <c r="DF44" t="s">
        <v>2129</v>
      </c>
      <c r="DG44" t="s">
        <v>2129</v>
      </c>
      <c r="DH44" t="s">
        <v>2129</v>
      </c>
      <c r="DI44">
        <v>20</v>
      </c>
      <c r="DJ44" t="s">
        <v>2129</v>
      </c>
      <c r="DK44" t="s">
        <v>2129</v>
      </c>
      <c r="DL44" t="s">
        <v>3602</v>
      </c>
      <c r="DM44" t="s">
        <v>3603</v>
      </c>
      <c r="DN44" t="s">
        <v>2129</v>
      </c>
      <c r="DO44" t="s">
        <v>2129</v>
      </c>
      <c r="DP44" t="s">
        <v>2129</v>
      </c>
      <c r="DQ44" t="s">
        <v>2129</v>
      </c>
      <c r="DR44" t="s">
        <v>2129</v>
      </c>
      <c r="DS44" t="s">
        <v>2129</v>
      </c>
      <c r="DT44" t="s">
        <v>2129</v>
      </c>
      <c r="DU44" t="s">
        <v>2129</v>
      </c>
      <c r="DV44" t="s">
        <v>2129</v>
      </c>
      <c r="DW44" t="s">
        <v>2129</v>
      </c>
      <c r="DX44" t="s">
        <v>2129</v>
      </c>
      <c r="DY44" t="s">
        <v>2129</v>
      </c>
      <c r="DZ44" t="s">
        <v>2129</v>
      </c>
      <c r="EA44" t="s">
        <v>2129</v>
      </c>
      <c r="EB44" t="s">
        <v>2129</v>
      </c>
      <c r="EC44" t="s">
        <v>2129</v>
      </c>
      <c r="ED44" t="s">
        <v>2129</v>
      </c>
      <c r="EE44" t="s">
        <v>2129</v>
      </c>
      <c r="EF44" t="s">
        <v>2129</v>
      </c>
      <c r="EG44" t="s">
        <v>2129</v>
      </c>
      <c r="EH44" t="s">
        <v>2129</v>
      </c>
    </row>
    <row r="45" spans="1:138" x14ac:dyDescent="0.25">
      <c r="A45" t="s">
        <v>2792</v>
      </c>
      <c r="B45" t="s">
        <v>2782</v>
      </c>
      <c r="C45">
        <v>22995</v>
      </c>
      <c r="E45" t="s">
        <v>14</v>
      </c>
      <c r="F45" t="s">
        <v>16</v>
      </c>
      <c r="G45" t="s">
        <v>1620</v>
      </c>
      <c r="H45" t="s">
        <v>1643</v>
      </c>
      <c r="I45" t="s">
        <v>2127</v>
      </c>
      <c r="J45" t="s">
        <v>2141</v>
      </c>
      <c r="K45" t="s">
        <v>2129</v>
      </c>
      <c r="L45" t="s">
        <v>2129</v>
      </c>
      <c r="M45" t="s">
        <v>2130</v>
      </c>
      <c r="N45" t="s">
        <v>2153</v>
      </c>
      <c r="O45" t="s">
        <v>2150</v>
      </c>
      <c r="P45" t="s">
        <v>2141</v>
      </c>
      <c r="Q45" t="s">
        <v>2141</v>
      </c>
      <c r="R45" s="37">
        <v>46072.629861111112</v>
      </c>
      <c r="S45" s="37">
        <v>46099.547222222223</v>
      </c>
      <c r="T45" s="37">
        <v>46087.728472222225</v>
      </c>
      <c r="U45" s="37">
        <v>46090.761805555558</v>
      </c>
      <c r="V45" t="s">
        <v>3575</v>
      </c>
      <c r="W45" t="s">
        <v>2129</v>
      </c>
      <c r="X45" t="s">
        <v>2129</v>
      </c>
      <c r="Y45">
        <v>0</v>
      </c>
      <c r="Z45" t="s">
        <v>2129</v>
      </c>
      <c r="AA45" t="s">
        <v>3604</v>
      </c>
      <c r="AB45" t="s">
        <v>2129</v>
      </c>
      <c r="AC45" t="s">
        <v>2141</v>
      </c>
      <c r="AD45" t="s">
        <v>2151</v>
      </c>
      <c r="AE45" t="s">
        <v>2150</v>
      </c>
      <c r="AF45" t="s">
        <v>2129</v>
      </c>
      <c r="AG45" t="s">
        <v>2129</v>
      </c>
      <c r="AH45" t="s">
        <v>3605</v>
      </c>
      <c r="AI45" t="s">
        <v>3606</v>
      </c>
      <c r="AJ45" t="s">
        <v>2129</v>
      </c>
      <c r="AK45" t="s">
        <v>2129</v>
      </c>
      <c r="AL45" t="s">
        <v>2129</v>
      </c>
      <c r="AM45" t="s">
        <v>2129</v>
      </c>
      <c r="AN45" t="s">
        <v>2129</v>
      </c>
      <c r="AO45" t="s">
        <v>2129</v>
      </c>
      <c r="AP45" t="s">
        <v>2129</v>
      </c>
      <c r="AQ45" t="s">
        <v>2129</v>
      </c>
      <c r="AR45" t="s">
        <v>2129</v>
      </c>
      <c r="AS45" t="s">
        <v>2129</v>
      </c>
      <c r="AT45" t="s">
        <v>2129</v>
      </c>
      <c r="AU45" t="s">
        <v>2129</v>
      </c>
      <c r="AV45" t="s">
        <v>2129</v>
      </c>
      <c r="AW45" t="s">
        <v>2129</v>
      </c>
      <c r="AX45" t="s">
        <v>2129</v>
      </c>
      <c r="AY45" t="s">
        <v>2129</v>
      </c>
      <c r="AZ45" t="s">
        <v>2129</v>
      </c>
      <c r="BA45" t="s">
        <v>2129</v>
      </c>
      <c r="BB45" t="s">
        <v>2129</v>
      </c>
      <c r="BC45" t="s">
        <v>2129</v>
      </c>
      <c r="BD45" t="s">
        <v>2129</v>
      </c>
      <c r="BE45" t="s">
        <v>2129</v>
      </c>
      <c r="BF45" t="s">
        <v>2129</v>
      </c>
      <c r="BG45" t="s">
        <v>2129</v>
      </c>
      <c r="BH45" t="s">
        <v>2129</v>
      </c>
      <c r="BI45" t="s">
        <v>2129</v>
      </c>
      <c r="BJ45" t="s">
        <v>2129</v>
      </c>
      <c r="BK45" t="s">
        <v>2129</v>
      </c>
      <c r="BL45" t="s">
        <v>2129</v>
      </c>
      <c r="BM45" t="s">
        <v>2129</v>
      </c>
      <c r="BN45" t="s">
        <v>2129</v>
      </c>
      <c r="BO45" t="s">
        <v>2129</v>
      </c>
      <c r="BP45" t="s">
        <v>2129</v>
      </c>
      <c r="BQ45">
        <v>0</v>
      </c>
      <c r="BR45">
        <v>32400</v>
      </c>
      <c r="BS45" t="s">
        <v>2129</v>
      </c>
      <c r="BT45" t="s">
        <v>2129</v>
      </c>
      <c r="BU45">
        <v>0</v>
      </c>
      <c r="BV45">
        <v>32400</v>
      </c>
      <c r="BW45" t="s">
        <v>2129</v>
      </c>
      <c r="BX45" t="s">
        <v>2129</v>
      </c>
      <c r="BY45" t="s">
        <v>2129</v>
      </c>
      <c r="BZ45" t="s">
        <v>2129</v>
      </c>
      <c r="CA45" t="s">
        <v>2129</v>
      </c>
      <c r="CB45" t="s">
        <v>2129</v>
      </c>
      <c r="CC45" t="s">
        <v>2129</v>
      </c>
      <c r="CD45" t="s">
        <v>2129</v>
      </c>
      <c r="CE45" t="s">
        <v>2129</v>
      </c>
      <c r="CF45" t="s">
        <v>2129</v>
      </c>
      <c r="CG45" t="s">
        <v>2129</v>
      </c>
      <c r="CH45" t="s">
        <v>2129</v>
      </c>
      <c r="CI45" t="s">
        <v>2129</v>
      </c>
      <c r="CJ45" t="s">
        <v>2129</v>
      </c>
      <c r="CK45" t="s">
        <v>2129</v>
      </c>
      <c r="CL45" t="s">
        <v>2129</v>
      </c>
      <c r="CM45" t="s">
        <v>2801</v>
      </c>
      <c r="CN45" t="s">
        <v>2129</v>
      </c>
      <c r="CO45" t="s">
        <v>2129</v>
      </c>
      <c r="CP45" t="s">
        <v>2129</v>
      </c>
      <c r="CQ45" t="s">
        <v>2129</v>
      </c>
      <c r="CR45" t="s">
        <v>2129</v>
      </c>
      <c r="CS45" t="s">
        <v>2129</v>
      </c>
      <c r="CT45" t="s">
        <v>3607</v>
      </c>
      <c r="CU45" t="s">
        <v>2937</v>
      </c>
      <c r="CV45" t="s">
        <v>3572</v>
      </c>
      <c r="CW45" t="s">
        <v>2129</v>
      </c>
      <c r="CX45" t="s">
        <v>2129</v>
      </c>
      <c r="CY45" t="s">
        <v>2129</v>
      </c>
      <c r="CZ45" t="s">
        <v>2129</v>
      </c>
      <c r="DA45" t="s">
        <v>2129</v>
      </c>
      <c r="DB45" t="s">
        <v>2129</v>
      </c>
      <c r="DC45" t="s">
        <v>2129</v>
      </c>
      <c r="DD45" t="s">
        <v>2129</v>
      </c>
      <c r="DE45" t="s">
        <v>2129</v>
      </c>
      <c r="DF45" t="s">
        <v>2129</v>
      </c>
      <c r="DG45" t="s">
        <v>2129</v>
      </c>
      <c r="DH45" t="s">
        <v>2129</v>
      </c>
      <c r="DI45">
        <v>10</v>
      </c>
      <c r="DJ45" t="s">
        <v>2129</v>
      </c>
      <c r="DK45" t="s">
        <v>2129</v>
      </c>
      <c r="DL45" t="s">
        <v>3608</v>
      </c>
      <c r="DM45" t="s">
        <v>3582</v>
      </c>
      <c r="DN45" t="s">
        <v>3583</v>
      </c>
      <c r="DO45" t="s">
        <v>3609</v>
      </c>
      <c r="DP45" t="s">
        <v>2129</v>
      </c>
      <c r="DQ45" t="s">
        <v>2129</v>
      </c>
      <c r="DR45" t="s">
        <v>2129</v>
      </c>
      <c r="DS45" t="s">
        <v>2129</v>
      </c>
      <c r="DT45" t="s">
        <v>2129</v>
      </c>
      <c r="DU45" t="s">
        <v>2129</v>
      </c>
      <c r="DV45" t="s">
        <v>2129</v>
      </c>
      <c r="DW45" t="s">
        <v>2129</v>
      </c>
      <c r="DX45" t="s">
        <v>2129</v>
      </c>
      <c r="DY45" t="s">
        <v>2129</v>
      </c>
      <c r="DZ45" t="s">
        <v>2129</v>
      </c>
      <c r="EA45" t="s">
        <v>2129</v>
      </c>
      <c r="EB45" t="s">
        <v>2129</v>
      </c>
      <c r="EC45" t="s">
        <v>2129</v>
      </c>
      <c r="ED45" t="s">
        <v>2129</v>
      </c>
      <c r="EE45" t="s">
        <v>2129</v>
      </c>
      <c r="EF45" t="s">
        <v>2129</v>
      </c>
      <c r="EG45" t="s">
        <v>2129</v>
      </c>
      <c r="EH45" t="s">
        <v>2129</v>
      </c>
    </row>
    <row r="46" spans="1:138" x14ac:dyDescent="0.25">
      <c r="A46" t="s">
        <v>2790</v>
      </c>
      <c r="B46" t="s">
        <v>2780</v>
      </c>
      <c r="C46">
        <v>22994</v>
      </c>
      <c r="E46" t="s">
        <v>14</v>
      </c>
      <c r="F46" t="s">
        <v>1922</v>
      </c>
      <c r="G46" t="s">
        <v>1620</v>
      </c>
      <c r="H46" t="s">
        <v>1643</v>
      </c>
      <c r="I46" t="s">
        <v>2127</v>
      </c>
      <c r="J46" t="s">
        <v>2141</v>
      </c>
      <c r="K46" t="s">
        <v>2129</v>
      </c>
      <c r="L46" t="s">
        <v>2129</v>
      </c>
      <c r="M46" t="s">
        <v>2130</v>
      </c>
      <c r="N46" t="s">
        <v>2129</v>
      </c>
      <c r="O46" t="s">
        <v>2141</v>
      </c>
      <c r="P46" t="s">
        <v>2141</v>
      </c>
      <c r="Q46" t="s">
        <v>2141</v>
      </c>
      <c r="R46" s="37">
        <v>46072.628472222219</v>
      </c>
      <c r="S46" s="37">
        <v>46099.547222222223</v>
      </c>
      <c r="T46" s="37">
        <v>46100.368750000001</v>
      </c>
      <c r="U46" s="37"/>
      <c r="V46" t="s">
        <v>3575</v>
      </c>
      <c r="W46" t="s">
        <v>2129</v>
      </c>
      <c r="X46" t="s">
        <v>2129</v>
      </c>
      <c r="Y46">
        <v>0</v>
      </c>
      <c r="Z46" t="s">
        <v>2129</v>
      </c>
      <c r="AA46" t="s">
        <v>3610</v>
      </c>
      <c r="AB46" t="s">
        <v>2129</v>
      </c>
      <c r="AC46" t="s">
        <v>2141</v>
      </c>
      <c r="AD46" t="s">
        <v>2151</v>
      </c>
      <c r="AE46" t="s">
        <v>2150</v>
      </c>
      <c r="AF46" t="s">
        <v>2129</v>
      </c>
      <c r="AG46" t="s">
        <v>2129</v>
      </c>
      <c r="AH46" t="s">
        <v>3611</v>
      </c>
      <c r="AI46" t="s">
        <v>3611</v>
      </c>
      <c r="AJ46" t="s">
        <v>3612</v>
      </c>
      <c r="AK46" t="s">
        <v>3613</v>
      </c>
      <c r="AL46" t="s">
        <v>2129</v>
      </c>
      <c r="AM46" t="s">
        <v>2129</v>
      </c>
      <c r="AN46" t="s">
        <v>2129</v>
      </c>
      <c r="AO46" t="s">
        <v>2129</v>
      </c>
      <c r="AP46" t="s">
        <v>2129</v>
      </c>
      <c r="AQ46" t="s">
        <v>2129</v>
      </c>
      <c r="AR46" t="s">
        <v>2129</v>
      </c>
      <c r="AS46" t="s">
        <v>2129</v>
      </c>
      <c r="AT46" t="s">
        <v>2129</v>
      </c>
      <c r="AU46" t="s">
        <v>2129</v>
      </c>
      <c r="AV46" t="s">
        <v>2129</v>
      </c>
      <c r="AW46" t="s">
        <v>2129</v>
      </c>
      <c r="AX46" t="s">
        <v>2129</v>
      </c>
      <c r="AY46" t="s">
        <v>2129</v>
      </c>
      <c r="AZ46" t="s">
        <v>2129</v>
      </c>
      <c r="BA46" t="s">
        <v>2129</v>
      </c>
      <c r="BB46" t="s">
        <v>2129</v>
      </c>
      <c r="BC46" t="s">
        <v>2129</v>
      </c>
      <c r="BD46" t="s">
        <v>2129</v>
      </c>
      <c r="BE46" t="s">
        <v>2129</v>
      </c>
      <c r="BF46" t="s">
        <v>2129</v>
      </c>
      <c r="BG46" t="s">
        <v>2129</v>
      </c>
      <c r="BH46" t="s">
        <v>2129</v>
      </c>
      <c r="BI46" t="s">
        <v>2129</v>
      </c>
      <c r="BJ46" t="s">
        <v>2129</v>
      </c>
      <c r="BK46" t="s">
        <v>2129</v>
      </c>
      <c r="BL46" t="s">
        <v>2129</v>
      </c>
      <c r="BM46" t="s">
        <v>2129</v>
      </c>
      <c r="BN46" t="s">
        <v>2129</v>
      </c>
      <c r="BO46" t="s">
        <v>2129</v>
      </c>
      <c r="BP46" t="s">
        <v>2129</v>
      </c>
      <c r="BQ46">
        <v>0</v>
      </c>
      <c r="BR46">
        <v>129600</v>
      </c>
      <c r="BS46" t="s">
        <v>2129</v>
      </c>
      <c r="BT46" t="s">
        <v>2129</v>
      </c>
      <c r="BU46">
        <v>0</v>
      </c>
      <c r="BV46">
        <v>129600</v>
      </c>
      <c r="BW46" t="s">
        <v>2129</v>
      </c>
      <c r="BX46" t="s">
        <v>2129</v>
      </c>
      <c r="BY46" t="s">
        <v>2129</v>
      </c>
      <c r="BZ46" t="s">
        <v>2129</v>
      </c>
      <c r="CA46" t="s">
        <v>2129</v>
      </c>
      <c r="CB46" t="s">
        <v>2129</v>
      </c>
      <c r="CC46" t="s">
        <v>2129</v>
      </c>
      <c r="CD46" t="s">
        <v>2129</v>
      </c>
      <c r="CE46" t="s">
        <v>2129</v>
      </c>
      <c r="CF46" t="s">
        <v>2129</v>
      </c>
      <c r="CG46" t="s">
        <v>2129</v>
      </c>
      <c r="CH46" t="s">
        <v>2129</v>
      </c>
      <c r="CI46" t="s">
        <v>2129</v>
      </c>
      <c r="CJ46" t="s">
        <v>2129</v>
      </c>
      <c r="CK46" t="s">
        <v>2129</v>
      </c>
      <c r="CL46" t="s">
        <v>2129</v>
      </c>
      <c r="CM46" t="s">
        <v>2801</v>
      </c>
      <c r="CN46" t="s">
        <v>2129</v>
      </c>
      <c r="CO46" t="s">
        <v>2129</v>
      </c>
      <c r="CP46" t="s">
        <v>2129</v>
      </c>
      <c r="CQ46" t="s">
        <v>2129</v>
      </c>
      <c r="CR46" t="s">
        <v>2129</v>
      </c>
      <c r="CS46" t="s">
        <v>2129</v>
      </c>
      <c r="CT46" t="s">
        <v>3614</v>
      </c>
      <c r="CU46" t="s">
        <v>2937</v>
      </c>
      <c r="CV46" t="s">
        <v>3572</v>
      </c>
      <c r="CW46" t="s">
        <v>2129</v>
      </c>
      <c r="CX46" t="s">
        <v>2129</v>
      </c>
      <c r="CY46" t="s">
        <v>2129</v>
      </c>
      <c r="CZ46" t="s">
        <v>2129</v>
      </c>
      <c r="DA46" t="s">
        <v>2129</v>
      </c>
      <c r="DB46" t="s">
        <v>2129</v>
      </c>
      <c r="DC46" t="s">
        <v>2129</v>
      </c>
      <c r="DD46" t="s">
        <v>2129</v>
      </c>
      <c r="DE46" t="s">
        <v>2129</v>
      </c>
      <c r="DF46" t="s">
        <v>2129</v>
      </c>
      <c r="DG46" t="s">
        <v>2129</v>
      </c>
      <c r="DH46" t="s">
        <v>2129</v>
      </c>
      <c r="DI46">
        <v>30</v>
      </c>
      <c r="DJ46" t="s">
        <v>2129</v>
      </c>
      <c r="DK46" t="s">
        <v>2129</v>
      </c>
      <c r="DL46" t="s">
        <v>3615</v>
      </c>
      <c r="DM46" t="s">
        <v>3616</v>
      </c>
      <c r="DN46" t="s">
        <v>3617</v>
      </c>
      <c r="DO46" t="s">
        <v>3618</v>
      </c>
      <c r="DP46" t="s">
        <v>2129</v>
      </c>
      <c r="DQ46" t="s">
        <v>2129</v>
      </c>
      <c r="DR46" t="s">
        <v>2129</v>
      </c>
      <c r="DS46" t="s">
        <v>2129</v>
      </c>
      <c r="DT46" t="s">
        <v>2129</v>
      </c>
      <c r="DU46" t="s">
        <v>2129</v>
      </c>
      <c r="DV46" t="s">
        <v>2129</v>
      </c>
      <c r="DW46" t="s">
        <v>2129</v>
      </c>
      <c r="DX46" t="s">
        <v>2129</v>
      </c>
      <c r="DY46" t="s">
        <v>2129</v>
      </c>
      <c r="DZ46" t="s">
        <v>2129</v>
      </c>
      <c r="EA46" t="s">
        <v>2129</v>
      </c>
      <c r="EB46" t="s">
        <v>2129</v>
      </c>
      <c r="EC46" t="s">
        <v>2129</v>
      </c>
      <c r="ED46" t="s">
        <v>2129</v>
      </c>
      <c r="EE46" t="s">
        <v>2129</v>
      </c>
      <c r="EF46" t="s">
        <v>2129</v>
      </c>
      <c r="EG46" t="s">
        <v>2129</v>
      </c>
      <c r="EH46" t="s">
        <v>2129</v>
      </c>
    </row>
    <row r="47" spans="1:138" x14ac:dyDescent="0.25">
      <c r="A47" t="s">
        <v>3619</v>
      </c>
      <c r="B47" t="s">
        <v>2801</v>
      </c>
      <c r="C47">
        <v>22986</v>
      </c>
      <c r="E47" t="s">
        <v>2154</v>
      </c>
      <c r="F47" t="s">
        <v>10</v>
      </c>
      <c r="G47" t="s">
        <v>1620</v>
      </c>
      <c r="H47" t="s">
        <v>1643</v>
      </c>
      <c r="I47" t="s">
        <v>2127</v>
      </c>
      <c r="J47" t="s">
        <v>2141</v>
      </c>
      <c r="K47" t="s">
        <v>2129</v>
      </c>
      <c r="L47" t="s">
        <v>2129</v>
      </c>
      <c r="M47" t="s">
        <v>2130</v>
      </c>
      <c r="N47" t="s">
        <v>2129</v>
      </c>
      <c r="O47" t="s">
        <v>2141</v>
      </c>
      <c r="P47" t="s">
        <v>2145</v>
      </c>
      <c r="Q47" t="s">
        <v>2145</v>
      </c>
      <c r="R47" s="37">
        <v>46072.461805555555</v>
      </c>
      <c r="S47" s="37">
        <v>46099.56527777778</v>
      </c>
      <c r="T47" s="37">
        <v>46100.368750000001</v>
      </c>
      <c r="U47" s="37"/>
      <c r="V47" t="s">
        <v>2129</v>
      </c>
      <c r="W47" t="s">
        <v>2129</v>
      </c>
      <c r="X47" t="s">
        <v>2129</v>
      </c>
      <c r="Y47">
        <v>0</v>
      </c>
      <c r="Z47" t="s">
        <v>2129</v>
      </c>
      <c r="AA47" t="s">
        <v>3620</v>
      </c>
      <c r="AB47" t="s">
        <v>2129</v>
      </c>
      <c r="AC47" t="s">
        <v>2145</v>
      </c>
      <c r="AD47" t="s">
        <v>2129</v>
      </c>
      <c r="AE47" t="s">
        <v>2129</v>
      </c>
      <c r="AF47" t="s">
        <v>2129</v>
      </c>
      <c r="AG47" t="s">
        <v>2129</v>
      </c>
      <c r="AH47" t="s">
        <v>2129</v>
      </c>
      <c r="AI47" t="s">
        <v>2129</v>
      </c>
      <c r="AJ47" t="s">
        <v>2129</v>
      </c>
      <c r="AK47" t="s">
        <v>2129</v>
      </c>
      <c r="AL47" t="s">
        <v>2129</v>
      </c>
      <c r="AM47" t="s">
        <v>2129</v>
      </c>
      <c r="AN47" t="s">
        <v>2129</v>
      </c>
      <c r="AO47" t="s">
        <v>2129</v>
      </c>
      <c r="AP47" t="s">
        <v>2129</v>
      </c>
      <c r="AQ47" t="s">
        <v>2129</v>
      </c>
      <c r="AR47" t="s">
        <v>2129</v>
      </c>
      <c r="AS47" t="s">
        <v>2129</v>
      </c>
      <c r="AT47" t="s">
        <v>2129</v>
      </c>
      <c r="AU47" t="s">
        <v>2129</v>
      </c>
      <c r="AV47" t="s">
        <v>2129</v>
      </c>
      <c r="AW47" t="s">
        <v>2129</v>
      </c>
      <c r="AX47" t="s">
        <v>2129</v>
      </c>
      <c r="AY47" t="s">
        <v>2129</v>
      </c>
      <c r="AZ47" t="s">
        <v>2129</v>
      </c>
      <c r="BA47" t="s">
        <v>2129</v>
      </c>
      <c r="BB47" t="s">
        <v>2129</v>
      </c>
      <c r="BC47" t="s">
        <v>2129</v>
      </c>
      <c r="BD47" t="s">
        <v>2129</v>
      </c>
      <c r="BE47" t="s">
        <v>2129</v>
      </c>
      <c r="BF47" t="s">
        <v>2129</v>
      </c>
      <c r="BG47" t="s">
        <v>2129</v>
      </c>
      <c r="BH47" t="s">
        <v>2129</v>
      </c>
      <c r="BI47" t="s">
        <v>2129</v>
      </c>
      <c r="BJ47" t="s">
        <v>2129</v>
      </c>
      <c r="BK47" t="s">
        <v>2129</v>
      </c>
      <c r="BL47" t="s">
        <v>2129</v>
      </c>
      <c r="BM47" t="s">
        <v>2129</v>
      </c>
      <c r="BN47" t="s">
        <v>2129</v>
      </c>
      <c r="BO47" t="s">
        <v>2129</v>
      </c>
      <c r="BP47" t="s">
        <v>2129</v>
      </c>
      <c r="BS47" t="s">
        <v>2129</v>
      </c>
      <c r="BT47" t="s">
        <v>2129</v>
      </c>
      <c r="BW47" t="s">
        <v>2129</v>
      </c>
      <c r="BX47" t="s">
        <v>2129</v>
      </c>
      <c r="BY47" t="s">
        <v>2129</v>
      </c>
      <c r="BZ47" t="s">
        <v>2129</v>
      </c>
      <c r="CA47" t="s">
        <v>2129</v>
      </c>
      <c r="CB47" t="s">
        <v>2129</v>
      </c>
      <c r="CC47" t="s">
        <v>2129</v>
      </c>
      <c r="CD47" t="s">
        <v>2129</v>
      </c>
      <c r="CE47" t="s">
        <v>2129</v>
      </c>
      <c r="CF47" t="s">
        <v>2129</v>
      </c>
      <c r="CG47" t="s">
        <v>2129</v>
      </c>
      <c r="CH47" t="s">
        <v>2129</v>
      </c>
      <c r="CI47" t="s">
        <v>2129</v>
      </c>
      <c r="CJ47" t="s">
        <v>2129</v>
      </c>
      <c r="CK47" t="s">
        <v>2129</v>
      </c>
      <c r="CL47" t="s">
        <v>2802</v>
      </c>
      <c r="CM47" t="s">
        <v>2129</v>
      </c>
      <c r="CN47" t="s">
        <v>3619</v>
      </c>
      <c r="CO47" t="s">
        <v>10</v>
      </c>
      <c r="CP47" t="s">
        <v>2129</v>
      </c>
      <c r="CQ47" t="s">
        <v>2129</v>
      </c>
      <c r="CR47" t="s">
        <v>2129</v>
      </c>
      <c r="CS47" t="s">
        <v>2129</v>
      </c>
      <c r="CT47" t="s">
        <v>3621</v>
      </c>
      <c r="CU47" t="s">
        <v>2129</v>
      </c>
      <c r="CV47" t="s">
        <v>2129</v>
      </c>
      <c r="CW47" t="s">
        <v>2129</v>
      </c>
      <c r="CX47" t="s">
        <v>2129</v>
      </c>
      <c r="CY47" t="s">
        <v>2129</v>
      </c>
      <c r="CZ47" t="s">
        <v>2129</v>
      </c>
      <c r="DA47" t="s">
        <v>2129</v>
      </c>
      <c r="DB47" t="s">
        <v>2129</v>
      </c>
      <c r="DC47" t="s">
        <v>2129</v>
      </c>
      <c r="DD47" t="s">
        <v>2129</v>
      </c>
      <c r="DE47" t="s">
        <v>2129</v>
      </c>
      <c r="DF47" t="s">
        <v>2129</v>
      </c>
      <c r="DG47" t="s">
        <v>2129</v>
      </c>
      <c r="DH47" t="s">
        <v>2129</v>
      </c>
      <c r="DJ47" t="s">
        <v>2129</v>
      </c>
      <c r="DK47" t="s">
        <v>2129</v>
      </c>
      <c r="DL47" t="s">
        <v>2129</v>
      </c>
      <c r="DM47" t="s">
        <v>2129</v>
      </c>
      <c r="DN47" t="s">
        <v>2129</v>
      </c>
      <c r="DO47" t="s">
        <v>2129</v>
      </c>
      <c r="DP47" t="s">
        <v>2129</v>
      </c>
      <c r="DQ47" t="s">
        <v>2129</v>
      </c>
      <c r="DR47" t="s">
        <v>2129</v>
      </c>
      <c r="DS47" t="s">
        <v>2129</v>
      </c>
      <c r="DT47" t="s">
        <v>2129</v>
      </c>
      <c r="DU47" t="s">
        <v>2129</v>
      </c>
      <c r="DV47" t="s">
        <v>2129</v>
      </c>
      <c r="DW47" t="s">
        <v>2129</v>
      </c>
      <c r="DX47" t="s">
        <v>2129</v>
      </c>
      <c r="DY47" t="s">
        <v>2129</v>
      </c>
      <c r="DZ47" t="s">
        <v>2129</v>
      </c>
      <c r="EA47" t="s">
        <v>2129</v>
      </c>
      <c r="EB47" t="s">
        <v>2129</v>
      </c>
      <c r="EC47" t="s">
        <v>2129</v>
      </c>
      <c r="ED47" t="s">
        <v>2129</v>
      </c>
      <c r="EE47" t="s">
        <v>2129</v>
      </c>
      <c r="EF47" t="s">
        <v>2129</v>
      </c>
      <c r="EG47" t="s">
        <v>2129</v>
      </c>
      <c r="EH47" t="s">
        <v>2129</v>
      </c>
    </row>
    <row r="48" spans="1:138" x14ac:dyDescent="0.25">
      <c r="A48" t="s">
        <v>2778</v>
      </c>
      <c r="B48" t="s">
        <v>2777</v>
      </c>
      <c r="C48">
        <v>22964</v>
      </c>
      <c r="E48" t="s">
        <v>77</v>
      </c>
      <c r="F48" t="s">
        <v>16</v>
      </c>
      <c r="G48" t="s">
        <v>1620</v>
      </c>
      <c r="H48" t="s">
        <v>1643</v>
      </c>
      <c r="I48" t="s">
        <v>2127</v>
      </c>
      <c r="J48" t="s">
        <v>2141</v>
      </c>
      <c r="K48" t="s">
        <v>2129</v>
      </c>
      <c r="L48" t="s">
        <v>2129</v>
      </c>
      <c r="M48" t="s">
        <v>2130</v>
      </c>
      <c r="N48" t="s">
        <v>2153</v>
      </c>
      <c r="O48" t="s">
        <v>2150</v>
      </c>
      <c r="P48" t="s">
        <v>2141</v>
      </c>
      <c r="Q48" t="s">
        <v>2141</v>
      </c>
      <c r="R48" s="37">
        <v>46062.703472222223</v>
      </c>
      <c r="S48" s="37">
        <v>46099.54791666667</v>
      </c>
      <c r="T48" s="37">
        <v>46100.368750000001</v>
      </c>
      <c r="U48" s="37">
        <v>46070.675694444442</v>
      </c>
      <c r="V48" t="s">
        <v>3575</v>
      </c>
      <c r="W48" t="s">
        <v>2129</v>
      </c>
      <c r="X48" t="s">
        <v>2129</v>
      </c>
      <c r="Y48">
        <v>0</v>
      </c>
      <c r="Z48" t="s">
        <v>2129</v>
      </c>
      <c r="AA48" t="s">
        <v>3622</v>
      </c>
      <c r="AB48" t="s">
        <v>2129</v>
      </c>
      <c r="AC48" t="s">
        <v>2141</v>
      </c>
      <c r="AD48" t="s">
        <v>2151</v>
      </c>
      <c r="AE48" t="s">
        <v>2150</v>
      </c>
      <c r="AF48" t="s">
        <v>2129</v>
      </c>
      <c r="AG48" t="s">
        <v>2129</v>
      </c>
      <c r="AH48" t="s">
        <v>3623</v>
      </c>
      <c r="AI48" t="s">
        <v>3624</v>
      </c>
      <c r="AJ48" t="s">
        <v>2129</v>
      </c>
      <c r="AK48" t="s">
        <v>2129</v>
      </c>
      <c r="AL48" t="s">
        <v>2129</v>
      </c>
      <c r="AM48" t="s">
        <v>2129</v>
      </c>
      <c r="AN48" t="s">
        <v>2129</v>
      </c>
      <c r="AO48" t="s">
        <v>2129</v>
      </c>
      <c r="AP48" t="s">
        <v>2129</v>
      </c>
      <c r="AQ48" t="s">
        <v>2129</v>
      </c>
      <c r="AR48" t="s">
        <v>2129</v>
      </c>
      <c r="AS48" t="s">
        <v>2129</v>
      </c>
      <c r="AT48" t="s">
        <v>2129</v>
      </c>
      <c r="AU48" t="s">
        <v>2129</v>
      </c>
      <c r="AV48" t="s">
        <v>2129</v>
      </c>
      <c r="AW48" t="s">
        <v>2129</v>
      </c>
      <c r="AX48" t="s">
        <v>2129</v>
      </c>
      <c r="AY48" t="s">
        <v>2129</v>
      </c>
      <c r="AZ48" t="s">
        <v>2129</v>
      </c>
      <c r="BA48" t="s">
        <v>2129</v>
      </c>
      <c r="BB48" t="s">
        <v>2129</v>
      </c>
      <c r="BC48" t="s">
        <v>2129</v>
      </c>
      <c r="BD48" t="s">
        <v>2129</v>
      </c>
      <c r="BE48" t="s">
        <v>2129</v>
      </c>
      <c r="BF48" t="s">
        <v>2129</v>
      </c>
      <c r="BG48" t="s">
        <v>2129</v>
      </c>
      <c r="BH48" t="s">
        <v>2129</v>
      </c>
      <c r="BI48" t="s">
        <v>2129</v>
      </c>
      <c r="BJ48" t="s">
        <v>2129</v>
      </c>
      <c r="BK48" t="s">
        <v>2129</v>
      </c>
      <c r="BL48" t="s">
        <v>2129</v>
      </c>
      <c r="BM48" t="s">
        <v>2129</v>
      </c>
      <c r="BN48" t="s">
        <v>2129</v>
      </c>
      <c r="BO48" t="s">
        <v>2129</v>
      </c>
      <c r="BP48" t="s">
        <v>2129</v>
      </c>
      <c r="BQ48">
        <v>0</v>
      </c>
      <c r="BR48">
        <v>5400</v>
      </c>
      <c r="BS48" t="s">
        <v>2129</v>
      </c>
      <c r="BT48" t="s">
        <v>2129</v>
      </c>
      <c r="BU48">
        <v>0</v>
      </c>
      <c r="BV48">
        <v>5400</v>
      </c>
      <c r="BW48" t="s">
        <v>2129</v>
      </c>
      <c r="BX48" t="s">
        <v>2129</v>
      </c>
      <c r="BY48" t="s">
        <v>2129</v>
      </c>
      <c r="BZ48" t="s">
        <v>2129</v>
      </c>
      <c r="CA48" t="s">
        <v>2129</v>
      </c>
      <c r="CB48" t="s">
        <v>2129</v>
      </c>
      <c r="CC48" t="s">
        <v>2129</v>
      </c>
      <c r="CD48" t="s">
        <v>2129</v>
      </c>
      <c r="CE48" t="s">
        <v>2129</v>
      </c>
      <c r="CF48" t="s">
        <v>2129</v>
      </c>
      <c r="CG48" t="s">
        <v>2129</v>
      </c>
      <c r="CH48" t="s">
        <v>2129</v>
      </c>
      <c r="CI48" t="s">
        <v>2129</v>
      </c>
      <c r="CJ48" t="s">
        <v>2129</v>
      </c>
      <c r="CK48" t="s">
        <v>2129</v>
      </c>
      <c r="CL48" t="s">
        <v>2129</v>
      </c>
      <c r="CM48" t="s">
        <v>2129</v>
      </c>
      <c r="CN48" t="s">
        <v>2129</v>
      </c>
      <c r="CO48" t="s">
        <v>2129</v>
      </c>
      <c r="CP48" t="s">
        <v>2129</v>
      </c>
      <c r="CQ48" t="s">
        <v>2129</v>
      </c>
      <c r="CR48" t="s">
        <v>2129</v>
      </c>
      <c r="CS48" t="s">
        <v>2129</v>
      </c>
      <c r="CT48" t="s">
        <v>3625</v>
      </c>
      <c r="CU48" t="s">
        <v>2803</v>
      </c>
      <c r="CV48" t="s">
        <v>2129</v>
      </c>
      <c r="CW48" t="s">
        <v>2129</v>
      </c>
      <c r="CX48" t="s">
        <v>2129</v>
      </c>
      <c r="CY48" t="s">
        <v>2129</v>
      </c>
      <c r="CZ48" t="s">
        <v>2129</v>
      </c>
      <c r="DA48" t="s">
        <v>2129</v>
      </c>
      <c r="DB48" t="s">
        <v>2129</v>
      </c>
      <c r="DC48" t="s">
        <v>2129</v>
      </c>
      <c r="DD48" t="s">
        <v>2129</v>
      </c>
      <c r="DE48" t="s">
        <v>2129</v>
      </c>
      <c r="DF48" t="s">
        <v>2129</v>
      </c>
      <c r="DG48" t="s">
        <v>2129</v>
      </c>
      <c r="DH48" t="s">
        <v>2129</v>
      </c>
      <c r="DI48">
        <v>10</v>
      </c>
      <c r="DJ48" t="s">
        <v>2129</v>
      </c>
      <c r="DK48" t="s">
        <v>2129</v>
      </c>
      <c r="DL48" t="s">
        <v>3626</v>
      </c>
      <c r="DM48" t="s">
        <v>3627</v>
      </c>
      <c r="DN48" t="s">
        <v>3628</v>
      </c>
      <c r="DO48" t="s">
        <v>3629</v>
      </c>
      <c r="DP48" t="s">
        <v>3630</v>
      </c>
      <c r="DQ48" t="s">
        <v>2129</v>
      </c>
      <c r="DR48" t="s">
        <v>2129</v>
      </c>
      <c r="DS48" t="s">
        <v>2129</v>
      </c>
      <c r="DT48" t="s">
        <v>2129</v>
      </c>
      <c r="DU48" t="s">
        <v>2129</v>
      </c>
      <c r="DV48" t="s">
        <v>2129</v>
      </c>
      <c r="DW48" t="s">
        <v>2129</v>
      </c>
      <c r="DX48" t="s">
        <v>2129</v>
      </c>
      <c r="DY48" t="s">
        <v>2129</v>
      </c>
      <c r="DZ48" t="s">
        <v>2129</v>
      </c>
      <c r="EA48" t="s">
        <v>2129</v>
      </c>
      <c r="EB48" t="s">
        <v>2129</v>
      </c>
      <c r="EC48" t="s">
        <v>2129</v>
      </c>
      <c r="ED48" t="s">
        <v>2129</v>
      </c>
      <c r="EE48" t="s">
        <v>2129</v>
      </c>
      <c r="EF48" t="s">
        <v>2129</v>
      </c>
      <c r="EG48" t="s">
        <v>2129</v>
      </c>
      <c r="EH48" t="s">
        <v>2129</v>
      </c>
    </row>
    <row r="49" spans="1:138" x14ac:dyDescent="0.25">
      <c r="A49" t="s">
        <v>2740</v>
      </c>
      <c r="B49" t="s">
        <v>2739</v>
      </c>
      <c r="C49">
        <v>22940</v>
      </c>
      <c r="E49" t="s">
        <v>14</v>
      </c>
      <c r="F49" t="s">
        <v>1922</v>
      </c>
      <c r="G49" t="s">
        <v>1620</v>
      </c>
      <c r="H49" t="s">
        <v>1643</v>
      </c>
      <c r="I49" t="s">
        <v>2127</v>
      </c>
      <c r="J49" t="s">
        <v>2141</v>
      </c>
      <c r="K49" t="s">
        <v>2129</v>
      </c>
      <c r="L49" t="s">
        <v>2129</v>
      </c>
      <c r="M49" t="s">
        <v>2130</v>
      </c>
      <c r="N49" t="s">
        <v>3631</v>
      </c>
      <c r="O49" t="s">
        <v>2150</v>
      </c>
      <c r="P49" t="s">
        <v>2145</v>
      </c>
      <c r="Q49" t="s">
        <v>2145</v>
      </c>
      <c r="R49" s="37">
        <v>46059.579861111109</v>
      </c>
      <c r="S49" s="37">
        <v>46099.547222222223</v>
      </c>
      <c r="T49" s="37">
        <v>46062.400000000001</v>
      </c>
      <c r="U49" s="37">
        <v>46063.449305555558</v>
      </c>
      <c r="V49" t="s">
        <v>3575</v>
      </c>
      <c r="W49" t="s">
        <v>2129</v>
      </c>
      <c r="X49" t="s">
        <v>2129</v>
      </c>
      <c r="Y49">
        <v>0</v>
      </c>
      <c r="Z49" t="s">
        <v>2129</v>
      </c>
      <c r="AA49" t="s">
        <v>2129</v>
      </c>
      <c r="AB49" t="s">
        <v>2129</v>
      </c>
      <c r="AC49" t="s">
        <v>2141</v>
      </c>
      <c r="AD49" t="s">
        <v>2151</v>
      </c>
      <c r="AE49" t="s">
        <v>2145</v>
      </c>
      <c r="AF49" t="s">
        <v>2129</v>
      </c>
      <c r="AG49" t="s">
        <v>2129</v>
      </c>
      <c r="AH49" t="s">
        <v>3632</v>
      </c>
      <c r="AI49" t="s">
        <v>3633</v>
      </c>
      <c r="AJ49" t="s">
        <v>3634</v>
      </c>
      <c r="AK49" t="s">
        <v>3635</v>
      </c>
      <c r="AL49" t="s">
        <v>3636</v>
      </c>
      <c r="AM49" t="s">
        <v>3637</v>
      </c>
      <c r="AN49" t="s">
        <v>3638</v>
      </c>
      <c r="AO49" t="s">
        <v>3639</v>
      </c>
      <c r="AP49" t="s">
        <v>3640</v>
      </c>
      <c r="AQ49" t="s">
        <v>3641</v>
      </c>
      <c r="AR49" t="s">
        <v>2129</v>
      </c>
      <c r="AS49" t="s">
        <v>2129</v>
      </c>
      <c r="AT49" t="s">
        <v>2129</v>
      </c>
      <c r="AU49" t="s">
        <v>2129</v>
      </c>
      <c r="AV49" t="s">
        <v>2129</v>
      </c>
      <c r="AW49" t="s">
        <v>2129</v>
      </c>
      <c r="AX49" t="s">
        <v>2129</v>
      </c>
      <c r="AY49" t="s">
        <v>2129</v>
      </c>
      <c r="AZ49" t="s">
        <v>2129</v>
      </c>
      <c r="BA49" t="s">
        <v>2129</v>
      </c>
      <c r="BB49" t="s">
        <v>2129</v>
      </c>
      <c r="BC49" t="s">
        <v>2129</v>
      </c>
      <c r="BD49" t="s">
        <v>2129</v>
      </c>
      <c r="BE49" t="s">
        <v>2129</v>
      </c>
      <c r="BF49" t="s">
        <v>2129</v>
      </c>
      <c r="BG49" t="s">
        <v>2129</v>
      </c>
      <c r="BH49" t="s">
        <v>2129</v>
      </c>
      <c r="BI49" t="s">
        <v>2129</v>
      </c>
      <c r="BJ49" t="s">
        <v>2129</v>
      </c>
      <c r="BK49" t="s">
        <v>2129</v>
      </c>
      <c r="BL49" t="s">
        <v>2129</v>
      </c>
      <c r="BM49" t="s">
        <v>2129</v>
      </c>
      <c r="BN49" t="s">
        <v>2129</v>
      </c>
      <c r="BO49" t="s">
        <v>2129</v>
      </c>
      <c r="BP49" t="s">
        <v>2129</v>
      </c>
      <c r="BQ49">
        <v>0</v>
      </c>
      <c r="BR49">
        <v>212400</v>
      </c>
      <c r="BS49" t="s">
        <v>2129</v>
      </c>
      <c r="BT49" t="s">
        <v>2129</v>
      </c>
      <c r="BU49">
        <v>0</v>
      </c>
      <c r="BV49">
        <v>212400</v>
      </c>
      <c r="BW49" t="s">
        <v>2129</v>
      </c>
      <c r="BX49" t="s">
        <v>2129</v>
      </c>
      <c r="BY49" t="s">
        <v>2129</v>
      </c>
      <c r="BZ49" t="s">
        <v>2129</v>
      </c>
      <c r="CA49" t="s">
        <v>2129</v>
      </c>
      <c r="CB49" t="s">
        <v>2129</v>
      </c>
      <c r="CC49" t="s">
        <v>2129</v>
      </c>
      <c r="CD49" t="s">
        <v>2129</v>
      </c>
      <c r="CE49" t="s">
        <v>2129</v>
      </c>
      <c r="CF49" t="s">
        <v>2129</v>
      </c>
      <c r="CG49" t="s">
        <v>2129</v>
      </c>
      <c r="CH49" t="s">
        <v>2129</v>
      </c>
      <c r="CI49" t="s">
        <v>2129</v>
      </c>
      <c r="CJ49" t="s">
        <v>2129</v>
      </c>
      <c r="CK49" t="s">
        <v>2129</v>
      </c>
      <c r="CL49" t="s">
        <v>2129</v>
      </c>
      <c r="CM49" t="s">
        <v>2129</v>
      </c>
      <c r="CN49" t="s">
        <v>2129</v>
      </c>
      <c r="CO49" t="s">
        <v>2129</v>
      </c>
      <c r="CP49" t="s">
        <v>2129</v>
      </c>
      <c r="CQ49" t="s">
        <v>2129</v>
      </c>
      <c r="CR49" t="s">
        <v>2129</v>
      </c>
      <c r="CS49" t="s">
        <v>2129</v>
      </c>
      <c r="CT49" t="s">
        <v>3642</v>
      </c>
      <c r="CU49" t="s">
        <v>2803</v>
      </c>
      <c r="CV49" t="s">
        <v>2937</v>
      </c>
      <c r="CW49" t="s">
        <v>3572</v>
      </c>
      <c r="CX49" t="s">
        <v>2129</v>
      </c>
      <c r="CY49" t="s">
        <v>2129</v>
      </c>
      <c r="CZ49" t="s">
        <v>2129</v>
      </c>
      <c r="DA49" t="s">
        <v>2129</v>
      </c>
      <c r="DB49" t="s">
        <v>2129</v>
      </c>
      <c r="DC49" t="s">
        <v>2129</v>
      </c>
      <c r="DD49" t="s">
        <v>2129</v>
      </c>
      <c r="DE49" t="s">
        <v>2129</v>
      </c>
      <c r="DF49" t="s">
        <v>2129</v>
      </c>
      <c r="DG49" t="s">
        <v>2129</v>
      </c>
      <c r="DH49" t="s">
        <v>2129</v>
      </c>
      <c r="DI49">
        <v>50</v>
      </c>
      <c r="DJ49" t="s">
        <v>2129</v>
      </c>
      <c r="DK49" t="s">
        <v>2129</v>
      </c>
      <c r="DL49" t="s">
        <v>3643</v>
      </c>
      <c r="DM49" t="s">
        <v>3644</v>
      </c>
      <c r="DN49" t="s">
        <v>3645</v>
      </c>
      <c r="DO49" t="s">
        <v>3646</v>
      </c>
      <c r="DP49" t="s">
        <v>3647</v>
      </c>
      <c r="DQ49" t="s">
        <v>3582</v>
      </c>
      <c r="DR49" t="s">
        <v>3583</v>
      </c>
      <c r="DS49" t="s">
        <v>3648</v>
      </c>
      <c r="DT49" t="s">
        <v>3649</v>
      </c>
      <c r="DU49" t="s">
        <v>3650</v>
      </c>
      <c r="DV49" t="s">
        <v>2129</v>
      </c>
      <c r="DW49" t="s">
        <v>2129</v>
      </c>
      <c r="DX49" t="s">
        <v>2129</v>
      </c>
      <c r="DY49" t="s">
        <v>2129</v>
      </c>
      <c r="DZ49" t="s">
        <v>2129</v>
      </c>
      <c r="EA49" t="s">
        <v>2129</v>
      </c>
      <c r="EB49" t="s">
        <v>2129</v>
      </c>
      <c r="EC49" t="s">
        <v>2129</v>
      </c>
      <c r="ED49" t="s">
        <v>2129</v>
      </c>
      <c r="EE49" t="s">
        <v>2129</v>
      </c>
      <c r="EF49" t="s">
        <v>2129</v>
      </c>
      <c r="EG49" t="s">
        <v>2129</v>
      </c>
      <c r="EH49" t="s">
        <v>2129</v>
      </c>
    </row>
    <row r="50" spans="1:138" x14ac:dyDescent="0.25">
      <c r="A50" t="s">
        <v>2738</v>
      </c>
      <c r="B50" t="s">
        <v>2737</v>
      </c>
      <c r="C50">
        <v>22914</v>
      </c>
      <c r="E50" t="s">
        <v>14</v>
      </c>
      <c r="F50" t="s">
        <v>16</v>
      </c>
      <c r="G50" t="s">
        <v>1620</v>
      </c>
      <c r="H50" t="s">
        <v>1643</v>
      </c>
      <c r="I50" t="s">
        <v>2127</v>
      </c>
      <c r="J50" t="s">
        <v>2141</v>
      </c>
      <c r="K50" t="s">
        <v>2129</v>
      </c>
      <c r="L50" t="s">
        <v>2129</v>
      </c>
      <c r="M50" t="s">
        <v>2130</v>
      </c>
      <c r="N50" t="s">
        <v>2153</v>
      </c>
      <c r="O50" t="s">
        <v>2150</v>
      </c>
      <c r="P50" t="s">
        <v>2145</v>
      </c>
      <c r="Q50" t="s">
        <v>2145</v>
      </c>
      <c r="R50" s="37">
        <v>46051.665972222225</v>
      </c>
      <c r="S50" s="37">
        <v>46099.548611111109</v>
      </c>
      <c r="T50" s="37">
        <v>46059.718055555553</v>
      </c>
      <c r="U50" s="37">
        <v>46069.602083333331</v>
      </c>
      <c r="V50" t="s">
        <v>3575</v>
      </c>
      <c r="W50" t="s">
        <v>2129</v>
      </c>
      <c r="X50" t="s">
        <v>2129</v>
      </c>
      <c r="Y50">
        <v>0</v>
      </c>
      <c r="Z50" t="s">
        <v>2129</v>
      </c>
      <c r="AA50" t="s">
        <v>3651</v>
      </c>
      <c r="AB50" t="s">
        <v>2129</v>
      </c>
      <c r="AC50" t="s">
        <v>2144</v>
      </c>
      <c r="AD50" t="s">
        <v>2141</v>
      </c>
      <c r="AE50" t="s">
        <v>2151</v>
      </c>
      <c r="AF50" t="s">
        <v>2145</v>
      </c>
      <c r="AG50" t="s">
        <v>2150</v>
      </c>
      <c r="AH50" t="s">
        <v>3652</v>
      </c>
      <c r="AI50" t="s">
        <v>3653</v>
      </c>
      <c r="AJ50" t="s">
        <v>3654</v>
      </c>
      <c r="AK50" t="s">
        <v>3655</v>
      </c>
      <c r="AL50" t="s">
        <v>3656</v>
      </c>
      <c r="AM50" t="s">
        <v>3657</v>
      </c>
      <c r="AN50" t="s">
        <v>3658</v>
      </c>
      <c r="AO50" t="s">
        <v>3659</v>
      </c>
      <c r="AP50" t="s">
        <v>2129</v>
      </c>
      <c r="AQ50" t="s">
        <v>2129</v>
      </c>
      <c r="AR50" t="s">
        <v>2129</v>
      </c>
      <c r="AS50" t="s">
        <v>2129</v>
      </c>
      <c r="AT50" t="s">
        <v>2129</v>
      </c>
      <c r="AU50" t="s">
        <v>2129</v>
      </c>
      <c r="AV50" t="s">
        <v>2129</v>
      </c>
      <c r="AW50" t="s">
        <v>2129</v>
      </c>
      <c r="AX50" t="s">
        <v>2129</v>
      </c>
      <c r="AY50" t="s">
        <v>2129</v>
      </c>
      <c r="AZ50" t="s">
        <v>2129</v>
      </c>
      <c r="BA50" t="s">
        <v>2129</v>
      </c>
      <c r="BB50" t="s">
        <v>2129</v>
      </c>
      <c r="BC50" t="s">
        <v>2129</v>
      </c>
      <c r="BD50" t="s">
        <v>2129</v>
      </c>
      <c r="BE50" t="s">
        <v>2129</v>
      </c>
      <c r="BF50" t="s">
        <v>2129</v>
      </c>
      <c r="BG50" t="s">
        <v>2129</v>
      </c>
      <c r="BH50" t="s">
        <v>2129</v>
      </c>
      <c r="BI50" t="s">
        <v>2129</v>
      </c>
      <c r="BJ50" t="s">
        <v>2129</v>
      </c>
      <c r="BK50" t="s">
        <v>2129</v>
      </c>
      <c r="BL50" t="s">
        <v>2129</v>
      </c>
      <c r="BM50" t="s">
        <v>2129</v>
      </c>
      <c r="BN50" t="s">
        <v>2129</v>
      </c>
      <c r="BO50" t="s">
        <v>2129</v>
      </c>
      <c r="BP50" t="s">
        <v>2129</v>
      </c>
      <c r="BQ50">
        <v>0</v>
      </c>
      <c r="BR50">
        <v>121500</v>
      </c>
      <c r="BS50" t="s">
        <v>2129</v>
      </c>
      <c r="BT50" t="s">
        <v>2129</v>
      </c>
      <c r="BU50">
        <v>0</v>
      </c>
      <c r="BV50">
        <v>121500</v>
      </c>
      <c r="BW50" t="s">
        <v>2129</v>
      </c>
      <c r="BX50" t="s">
        <v>2129</v>
      </c>
      <c r="BY50" t="s">
        <v>2129</v>
      </c>
      <c r="BZ50" t="s">
        <v>3660</v>
      </c>
      <c r="CA50" t="s">
        <v>2129</v>
      </c>
      <c r="CB50" t="s">
        <v>2129</v>
      </c>
      <c r="CC50" t="s">
        <v>2129</v>
      </c>
      <c r="CD50" t="s">
        <v>2129</v>
      </c>
      <c r="CE50" t="s">
        <v>2129</v>
      </c>
      <c r="CF50" t="s">
        <v>2129</v>
      </c>
      <c r="CG50" t="s">
        <v>2129</v>
      </c>
      <c r="CH50" t="s">
        <v>2129</v>
      </c>
      <c r="CI50" t="s">
        <v>2129</v>
      </c>
      <c r="CJ50" t="s">
        <v>2129</v>
      </c>
      <c r="CK50" t="s">
        <v>2129</v>
      </c>
      <c r="CL50" t="s">
        <v>2129</v>
      </c>
      <c r="CM50" t="s">
        <v>2129</v>
      </c>
      <c r="CN50" t="s">
        <v>2129</v>
      </c>
      <c r="CO50" t="s">
        <v>2129</v>
      </c>
      <c r="CP50" t="s">
        <v>2129</v>
      </c>
      <c r="CQ50" t="s">
        <v>2129</v>
      </c>
      <c r="CR50" t="s">
        <v>2129</v>
      </c>
      <c r="CS50" t="s">
        <v>2129</v>
      </c>
      <c r="CT50" t="s">
        <v>3661</v>
      </c>
      <c r="CU50" t="s">
        <v>3662</v>
      </c>
      <c r="CV50" t="s">
        <v>2803</v>
      </c>
      <c r="CW50" t="s">
        <v>2129</v>
      </c>
      <c r="CX50" t="s">
        <v>2129</v>
      </c>
      <c r="CY50" t="s">
        <v>2129</v>
      </c>
      <c r="CZ50" t="s">
        <v>2129</v>
      </c>
      <c r="DA50" t="s">
        <v>2129</v>
      </c>
      <c r="DB50" t="s">
        <v>2129</v>
      </c>
      <c r="DC50" t="s">
        <v>2129</v>
      </c>
      <c r="DD50" t="s">
        <v>2129</v>
      </c>
      <c r="DE50" t="s">
        <v>2129</v>
      </c>
      <c r="DF50" t="s">
        <v>2129</v>
      </c>
      <c r="DG50" t="s">
        <v>2129</v>
      </c>
      <c r="DH50" t="s">
        <v>2129</v>
      </c>
      <c r="DI50">
        <v>50</v>
      </c>
      <c r="DJ50" t="s">
        <v>2129</v>
      </c>
      <c r="DK50" t="s">
        <v>2129</v>
      </c>
      <c r="DL50" t="s">
        <v>3663</v>
      </c>
      <c r="DM50" t="s">
        <v>3664</v>
      </c>
      <c r="DN50" t="s">
        <v>3665</v>
      </c>
      <c r="DO50" t="s">
        <v>3666</v>
      </c>
      <c r="DP50" t="s">
        <v>3667</v>
      </c>
      <c r="DQ50" t="s">
        <v>3668</v>
      </c>
      <c r="DR50" t="s">
        <v>3669</v>
      </c>
      <c r="DS50" t="s">
        <v>3670</v>
      </c>
      <c r="DT50" t="s">
        <v>3671</v>
      </c>
      <c r="DU50" t="s">
        <v>3672</v>
      </c>
      <c r="DV50" t="s">
        <v>3673</v>
      </c>
      <c r="DW50" t="s">
        <v>3674</v>
      </c>
      <c r="DX50" t="s">
        <v>3675</v>
      </c>
      <c r="DY50" t="s">
        <v>3676</v>
      </c>
      <c r="DZ50" t="s">
        <v>3677</v>
      </c>
      <c r="EA50" t="s">
        <v>3678</v>
      </c>
      <c r="EB50" t="s">
        <v>3679</v>
      </c>
      <c r="EC50" t="s">
        <v>3680</v>
      </c>
      <c r="ED50" t="s">
        <v>3681</v>
      </c>
      <c r="EE50" t="s">
        <v>2129</v>
      </c>
      <c r="EF50" t="s">
        <v>2129</v>
      </c>
      <c r="EG50" t="s">
        <v>2129</v>
      </c>
      <c r="EH50" t="s">
        <v>2129</v>
      </c>
    </row>
    <row r="51" spans="1:138" x14ac:dyDescent="0.25">
      <c r="A51" t="s">
        <v>3682</v>
      </c>
      <c r="B51" t="s">
        <v>3683</v>
      </c>
      <c r="C51">
        <v>22030</v>
      </c>
      <c r="E51" t="s">
        <v>2154</v>
      </c>
      <c r="F51" t="s">
        <v>16</v>
      </c>
      <c r="G51" t="s">
        <v>1620</v>
      </c>
      <c r="H51" t="s">
        <v>1643</v>
      </c>
      <c r="I51" t="s">
        <v>2127</v>
      </c>
      <c r="J51" t="s">
        <v>2141</v>
      </c>
      <c r="K51" t="s">
        <v>2129</v>
      </c>
      <c r="L51" t="s">
        <v>2129</v>
      </c>
      <c r="M51" t="s">
        <v>2130</v>
      </c>
      <c r="N51" t="s">
        <v>16</v>
      </c>
      <c r="O51" t="s">
        <v>2141</v>
      </c>
      <c r="P51" t="s">
        <v>2145</v>
      </c>
      <c r="Q51" t="s">
        <v>3684</v>
      </c>
      <c r="R51" s="37">
        <v>45891.622916666667</v>
      </c>
      <c r="S51" s="37">
        <v>46099.443749999999</v>
      </c>
      <c r="T51" s="37">
        <v>46100.368750000001</v>
      </c>
      <c r="U51" s="37">
        <v>46099.443749999999</v>
      </c>
      <c r="V51" t="s">
        <v>3685</v>
      </c>
      <c r="W51" t="s">
        <v>2129</v>
      </c>
      <c r="X51" t="s">
        <v>2129</v>
      </c>
      <c r="Y51">
        <v>0</v>
      </c>
      <c r="Z51" t="s">
        <v>2129</v>
      </c>
      <c r="AA51" t="s">
        <v>2129</v>
      </c>
      <c r="AB51" t="s">
        <v>2129</v>
      </c>
      <c r="AC51" t="s">
        <v>3684</v>
      </c>
      <c r="AD51" t="s">
        <v>2129</v>
      </c>
      <c r="AE51" t="s">
        <v>2129</v>
      </c>
      <c r="AF51" t="s">
        <v>2129</v>
      </c>
      <c r="AG51" t="s">
        <v>2129</v>
      </c>
      <c r="AH51" t="s">
        <v>2129</v>
      </c>
      <c r="AI51" t="s">
        <v>2129</v>
      </c>
      <c r="AJ51" t="s">
        <v>2129</v>
      </c>
      <c r="AK51" t="s">
        <v>2129</v>
      </c>
      <c r="AL51" t="s">
        <v>2129</v>
      </c>
      <c r="AM51" t="s">
        <v>2129</v>
      </c>
      <c r="AN51" t="s">
        <v>2129</v>
      </c>
      <c r="AO51" t="s">
        <v>2129</v>
      </c>
      <c r="AP51" t="s">
        <v>2129</v>
      </c>
      <c r="AQ51" t="s">
        <v>2129</v>
      </c>
      <c r="AR51" t="s">
        <v>2129</v>
      </c>
      <c r="AS51" t="s">
        <v>2129</v>
      </c>
      <c r="AT51" t="s">
        <v>2129</v>
      </c>
      <c r="AU51" t="s">
        <v>2129</v>
      </c>
      <c r="AV51" t="s">
        <v>2129</v>
      </c>
      <c r="AW51" t="s">
        <v>2129</v>
      </c>
      <c r="AX51" t="s">
        <v>2129</v>
      </c>
      <c r="AY51" t="s">
        <v>2129</v>
      </c>
      <c r="AZ51" t="s">
        <v>2129</v>
      </c>
      <c r="BA51" t="s">
        <v>2129</v>
      </c>
      <c r="BB51" t="s">
        <v>2129</v>
      </c>
      <c r="BC51" t="s">
        <v>2129</v>
      </c>
      <c r="BD51" t="s">
        <v>2129</v>
      </c>
      <c r="BE51" t="s">
        <v>2129</v>
      </c>
      <c r="BF51" t="s">
        <v>2129</v>
      </c>
      <c r="BG51" t="s">
        <v>2129</v>
      </c>
      <c r="BH51" t="s">
        <v>2129</v>
      </c>
      <c r="BI51" t="s">
        <v>2129</v>
      </c>
      <c r="BJ51" t="s">
        <v>2129</v>
      </c>
      <c r="BK51" t="s">
        <v>2129</v>
      </c>
      <c r="BL51" t="s">
        <v>2129</v>
      </c>
      <c r="BM51" t="s">
        <v>2129</v>
      </c>
      <c r="BN51" t="s">
        <v>2129</v>
      </c>
      <c r="BO51" t="s">
        <v>2129</v>
      </c>
      <c r="BP51" t="s">
        <v>2129</v>
      </c>
      <c r="BS51" t="s">
        <v>2129</v>
      </c>
      <c r="BT51" t="s">
        <v>2129</v>
      </c>
      <c r="BW51" t="s">
        <v>2129</v>
      </c>
      <c r="BX51" t="s">
        <v>2129</v>
      </c>
      <c r="BY51" t="s">
        <v>2129</v>
      </c>
      <c r="BZ51" t="s">
        <v>2129</v>
      </c>
      <c r="CA51" t="s">
        <v>2129</v>
      </c>
      <c r="CB51" t="s">
        <v>2129</v>
      </c>
      <c r="CC51" t="s">
        <v>2129</v>
      </c>
      <c r="CD51" t="s">
        <v>2129</v>
      </c>
      <c r="CE51" t="s">
        <v>2129</v>
      </c>
      <c r="CF51" t="s">
        <v>2129</v>
      </c>
      <c r="CG51" t="s">
        <v>2129</v>
      </c>
      <c r="CH51" t="s">
        <v>2129</v>
      </c>
      <c r="CI51" t="s">
        <v>2129</v>
      </c>
      <c r="CJ51" t="s">
        <v>2129</v>
      </c>
      <c r="CK51" t="s">
        <v>2129</v>
      </c>
      <c r="CL51" t="s">
        <v>2129</v>
      </c>
      <c r="CM51" t="s">
        <v>2129</v>
      </c>
      <c r="CN51" t="s">
        <v>3686</v>
      </c>
      <c r="CO51" t="s">
        <v>10</v>
      </c>
      <c r="CP51" t="s">
        <v>2129</v>
      </c>
      <c r="CQ51" t="s">
        <v>2129</v>
      </c>
      <c r="CR51" t="s">
        <v>2129</v>
      </c>
      <c r="CS51" t="s">
        <v>2129</v>
      </c>
      <c r="CT51" t="s">
        <v>3687</v>
      </c>
      <c r="CU51" t="s">
        <v>2129</v>
      </c>
      <c r="CV51" t="s">
        <v>2129</v>
      </c>
      <c r="CW51" t="s">
        <v>2129</v>
      </c>
      <c r="CX51" t="s">
        <v>2129</v>
      </c>
      <c r="CY51" t="s">
        <v>2129</v>
      </c>
      <c r="CZ51" t="s">
        <v>2129</v>
      </c>
      <c r="DA51" t="s">
        <v>2129</v>
      </c>
      <c r="DB51" t="s">
        <v>2129</v>
      </c>
      <c r="DC51" t="s">
        <v>2129</v>
      </c>
      <c r="DD51" t="s">
        <v>2129</v>
      </c>
      <c r="DE51" t="s">
        <v>2129</v>
      </c>
      <c r="DF51" t="s">
        <v>2129</v>
      </c>
      <c r="DG51" t="s">
        <v>2129</v>
      </c>
      <c r="DH51" t="s">
        <v>2129</v>
      </c>
      <c r="DJ51" t="s">
        <v>2129</v>
      </c>
      <c r="DK51" t="s">
        <v>2129</v>
      </c>
      <c r="DL51" t="s">
        <v>2129</v>
      </c>
      <c r="DM51" t="s">
        <v>2129</v>
      </c>
      <c r="DN51" t="s">
        <v>2129</v>
      </c>
      <c r="DO51" t="s">
        <v>2129</v>
      </c>
      <c r="DP51" t="s">
        <v>2129</v>
      </c>
      <c r="DQ51" t="s">
        <v>2129</v>
      </c>
      <c r="DR51" t="s">
        <v>2129</v>
      </c>
      <c r="DS51" t="s">
        <v>2129</v>
      </c>
      <c r="DT51" t="s">
        <v>2129</v>
      </c>
      <c r="DU51" t="s">
        <v>2129</v>
      </c>
      <c r="DV51" t="s">
        <v>2129</v>
      </c>
      <c r="DW51" t="s">
        <v>2129</v>
      </c>
      <c r="DX51" t="s">
        <v>2129</v>
      </c>
      <c r="DY51" t="s">
        <v>2129</v>
      </c>
      <c r="DZ51" t="s">
        <v>2129</v>
      </c>
      <c r="EA51" t="s">
        <v>2129</v>
      </c>
      <c r="EB51" t="s">
        <v>2129</v>
      </c>
      <c r="EC51" t="s">
        <v>2129</v>
      </c>
      <c r="ED51" t="s">
        <v>2129</v>
      </c>
      <c r="EE51" t="s">
        <v>2129</v>
      </c>
      <c r="EF51" t="s">
        <v>2129</v>
      </c>
      <c r="EG51" t="s">
        <v>2129</v>
      </c>
      <c r="EH51" t="s">
        <v>2129</v>
      </c>
    </row>
    <row r="52" spans="1:138" x14ac:dyDescent="0.25">
      <c r="A52" t="s">
        <v>3168</v>
      </c>
      <c r="B52" t="s">
        <v>3688</v>
      </c>
      <c r="C52">
        <v>23189</v>
      </c>
      <c r="E52" t="s">
        <v>14</v>
      </c>
      <c r="F52" t="s">
        <v>16</v>
      </c>
      <c r="G52" t="s">
        <v>2155</v>
      </c>
      <c r="H52" t="s">
        <v>59</v>
      </c>
      <c r="I52" t="s">
        <v>2127</v>
      </c>
      <c r="J52" t="s">
        <v>2156</v>
      </c>
      <c r="K52" t="s">
        <v>2129</v>
      </c>
      <c r="L52" t="s">
        <v>2157</v>
      </c>
      <c r="M52" t="s">
        <v>2130</v>
      </c>
      <c r="N52" t="s">
        <v>2153</v>
      </c>
      <c r="O52" t="s">
        <v>2156</v>
      </c>
      <c r="P52" t="s">
        <v>2145</v>
      </c>
      <c r="Q52" t="s">
        <v>2145</v>
      </c>
      <c r="R52" s="37">
        <v>46098.645138888889</v>
      </c>
      <c r="S52" s="37">
        <v>46099.567361111112</v>
      </c>
      <c r="T52" s="37">
        <v>46100.368750000001</v>
      </c>
      <c r="U52" s="37">
        <v>46099.567361111112</v>
      </c>
      <c r="V52" t="s">
        <v>2129</v>
      </c>
      <c r="W52" t="s">
        <v>2129</v>
      </c>
      <c r="X52" t="s">
        <v>2129</v>
      </c>
      <c r="Y52">
        <v>0</v>
      </c>
      <c r="Z52" t="s">
        <v>2129</v>
      </c>
      <c r="AA52" t="s">
        <v>3689</v>
      </c>
      <c r="AB52" t="s">
        <v>2129</v>
      </c>
      <c r="AC52" t="s">
        <v>2158</v>
      </c>
      <c r="AD52" t="s">
        <v>2145</v>
      </c>
      <c r="AE52" t="s">
        <v>2156</v>
      </c>
      <c r="AF52" t="s">
        <v>2129</v>
      </c>
      <c r="AG52" t="s">
        <v>2129</v>
      </c>
      <c r="AH52" t="s">
        <v>3690</v>
      </c>
      <c r="AI52" t="s">
        <v>2129</v>
      </c>
      <c r="AJ52" t="s">
        <v>2129</v>
      </c>
      <c r="AK52" t="s">
        <v>2129</v>
      </c>
      <c r="AL52" t="s">
        <v>2129</v>
      </c>
      <c r="AM52" t="s">
        <v>2129</v>
      </c>
      <c r="AN52" t="s">
        <v>2129</v>
      </c>
      <c r="AO52" t="s">
        <v>2129</v>
      </c>
      <c r="AP52" t="s">
        <v>2129</v>
      </c>
      <c r="AQ52" t="s">
        <v>2129</v>
      </c>
      <c r="AR52" t="s">
        <v>2129</v>
      </c>
      <c r="AS52" t="s">
        <v>2129</v>
      </c>
      <c r="AT52" t="s">
        <v>2129</v>
      </c>
      <c r="AU52" t="s">
        <v>2129</v>
      </c>
      <c r="AV52" t="s">
        <v>2129</v>
      </c>
      <c r="AW52" t="s">
        <v>2129</v>
      </c>
      <c r="AX52" t="s">
        <v>2129</v>
      </c>
      <c r="AY52" t="s">
        <v>2129</v>
      </c>
      <c r="AZ52" t="s">
        <v>2129</v>
      </c>
      <c r="BA52" t="s">
        <v>2129</v>
      </c>
      <c r="BB52" t="s">
        <v>2129</v>
      </c>
      <c r="BC52" t="s">
        <v>2129</v>
      </c>
      <c r="BD52" t="s">
        <v>2129</v>
      </c>
      <c r="BE52" t="s">
        <v>2129</v>
      </c>
      <c r="BF52" t="s">
        <v>2129</v>
      </c>
      <c r="BG52" t="s">
        <v>2129</v>
      </c>
      <c r="BH52" t="s">
        <v>2129</v>
      </c>
      <c r="BI52" t="s">
        <v>2129</v>
      </c>
      <c r="BJ52" t="s">
        <v>2129</v>
      </c>
      <c r="BK52" t="s">
        <v>2129</v>
      </c>
      <c r="BL52" t="s">
        <v>2129</v>
      </c>
      <c r="BM52" t="s">
        <v>2129</v>
      </c>
      <c r="BN52" t="s">
        <v>2129</v>
      </c>
      <c r="BO52" t="s">
        <v>2129</v>
      </c>
      <c r="BP52" t="s">
        <v>2129</v>
      </c>
      <c r="BQ52">
        <v>0</v>
      </c>
      <c r="BR52">
        <v>3600</v>
      </c>
      <c r="BS52" t="s">
        <v>2129</v>
      </c>
      <c r="BT52" t="s">
        <v>2129</v>
      </c>
      <c r="BU52">
        <v>0</v>
      </c>
      <c r="BV52">
        <v>3600</v>
      </c>
      <c r="BW52" t="s">
        <v>2129</v>
      </c>
      <c r="BX52" t="s">
        <v>2129</v>
      </c>
      <c r="BY52" t="s">
        <v>2129</v>
      </c>
      <c r="BZ52" t="s">
        <v>2129</v>
      </c>
      <c r="CA52" t="s">
        <v>2129</v>
      </c>
      <c r="CB52" t="s">
        <v>2129</v>
      </c>
      <c r="CC52" t="s">
        <v>2129</v>
      </c>
      <c r="CD52" t="s">
        <v>2129</v>
      </c>
      <c r="CE52" t="s">
        <v>2129</v>
      </c>
      <c r="CF52" t="s">
        <v>2129</v>
      </c>
      <c r="CG52" t="s">
        <v>2129</v>
      </c>
      <c r="CH52" t="s">
        <v>2129</v>
      </c>
      <c r="CI52" t="s">
        <v>2129</v>
      </c>
      <c r="CJ52" t="s">
        <v>2129</v>
      </c>
      <c r="CK52" t="s">
        <v>2129</v>
      </c>
      <c r="CL52" t="s">
        <v>2129</v>
      </c>
      <c r="CM52" t="s">
        <v>2129</v>
      </c>
      <c r="CN52" t="s">
        <v>2129</v>
      </c>
      <c r="CO52" t="s">
        <v>2129</v>
      </c>
      <c r="CP52" t="s">
        <v>2129</v>
      </c>
      <c r="CQ52" t="s">
        <v>2129</v>
      </c>
      <c r="CR52" t="s">
        <v>2129</v>
      </c>
      <c r="CS52" t="s">
        <v>2129</v>
      </c>
      <c r="CT52" t="s">
        <v>3691</v>
      </c>
      <c r="CU52" t="s">
        <v>2941</v>
      </c>
      <c r="CV52" t="s">
        <v>2129</v>
      </c>
      <c r="CW52" t="s">
        <v>2129</v>
      </c>
      <c r="CX52" t="s">
        <v>2129</v>
      </c>
      <c r="CY52" t="s">
        <v>2129</v>
      </c>
      <c r="CZ52" t="s">
        <v>2129</v>
      </c>
      <c r="DA52" t="s">
        <v>2129</v>
      </c>
      <c r="DB52" t="s">
        <v>2129</v>
      </c>
      <c r="DC52" t="s">
        <v>2129</v>
      </c>
      <c r="DD52" t="s">
        <v>2129</v>
      </c>
      <c r="DE52" t="s">
        <v>2129</v>
      </c>
      <c r="DF52" t="s">
        <v>2129</v>
      </c>
      <c r="DG52" t="s">
        <v>2129</v>
      </c>
      <c r="DH52" t="s">
        <v>2129</v>
      </c>
      <c r="DI52">
        <v>20</v>
      </c>
      <c r="DJ52" t="s">
        <v>2129</v>
      </c>
      <c r="DK52" t="s">
        <v>2129</v>
      </c>
      <c r="DL52" t="s">
        <v>3692</v>
      </c>
      <c r="DM52" t="s">
        <v>3693</v>
      </c>
      <c r="DN52" t="s">
        <v>2129</v>
      </c>
      <c r="DO52" t="s">
        <v>2129</v>
      </c>
      <c r="DP52" t="s">
        <v>2129</v>
      </c>
      <c r="DQ52" t="s">
        <v>2129</v>
      </c>
      <c r="DR52" t="s">
        <v>2129</v>
      </c>
      <c r="DS52" t="s">
        <v>2129</v>
      </c>
      <c r="DT52" t="s">
        <v>2129</v>
      </c>
      <c r="DU52" t="s">
        <v>2129</v>
      </c>
      <c r="DV52" t="s">
        <v>2129</v>
      </c>
      <c r="DW52" t="s">
        <v>2129</v>
      </c>
      <c r="DX52" t="s">
        <v>2129</v>
      </c>
      <c r="DY52" t="s">
        <v>2129</v>
      </c>
      <c r="DZ52" t="s">
        <v>2129</v>
      </c>
      <c r="EA52" t="s">
        <v>2129</v>
      </c>
      <c r="EB52" t="s">
        <v>2129</v>
      </c>
      <c r="EC52" t="s">
        <v>2129</v>
      </c>
      <c r="ED52" t="s">
        <v>2129</v>
      </c>
      <c r="EE52" t="s">
        <v>2129</v>
      </c>
      <c r="EF52" t="s">
        <v>2129</v>
      </c>
      <c r="EG52" t="s">
        <v>2129</v>
      </c>
      <c r="EH52" t="s">
        <v>2129</v>
      </c>
    </row>
    <row r="53" spans="1:138" x14ac:dyDescent="0.25">
      <c r="A53" t="s">
        <v>2159</v>
      </c>
      <c r="B53" t="s">
        <v>3694</v>
      </c>
      <c r="C53">
        <v>23169</v>
      </c>
      <c r="E53" t="s">
        <v>2136</v>
      </c>
      <c r="F53" t="s">
        <v>10</v>
      </c>
      <c r="G53" t="s">
        <v>2155</v>
      </c>
      <c r="H53" t="s">
        <v>59</v>
      </c>
      <c r="I53" t="s">
        <v>2127</v>
      </c>
      <c r="J53" t="s">
        <v>2156</v>
      </c>
      <c r="K53" t="s">
        <v>2129</v>
      </c>
      <c r="L53" t="s">
        <v>2157</v>
      </c>
      <c r="M53" t="s">
        <v>2130</v>
      </c>
      <c r="N53" t="s">
        <v>2129</v>
      </c>
      <c r="O53" t="s">
        <v>2156</v>
      </c>
      <c r="P53" t="s">
        <v>2156</v>
      </c>
      <c r="Q53" t="s">
        <v>2156</v>
      </c>
      <c r="R53" s="37">
        <v>46098.42291666667</v>
      </c>
      <c r="S53" s="37">
        <v>46098.42291666667</v>
      </c>
      <c r="T53" s="37">
        <v>46100.368750000001</v>
      </c>
      <c r="U53" s="37"/>
      <c r="V53" t="s">
        <v>2129</v>
      </c>
      <c r="W53" t="s">
        <v>2129</v>
      </c>
      <c r="X53" t="s">
        <v>2129</v>
      </c>
      <c r="Y53">
        <v>0</v>
      </c>
      <c r="Z53" t="s">
        <v>2129</v>
      </c>
      <c r="AA53" t="s">
        <v>2129</v>
      </c>
      <c r="AB53" t="s">
        <v>2129</v>
      </c>
      <c r="AC53" t="s">
        <v>2156</v>
      </c>
      <c r="AD53" t="s">
        <v>2129</v>
      </c>
      <c r="AE53" t="s">
        <v>2129</v>
      </c>
      <c r="AF53" t="s">
        <v>2129</v>
      </c>
      <c r="AG53" t="s">
        <v>2129</v>
      </c>
      <c r="AH53" t="s">
        <v>2129</v>
      </c>
      <c r="AI53" t="s">
        <v>2129</v>
      </c>
      <c r="AJ53" t="s">
        <v>2129</v>
      </c>
      <c r="AK53" t="s">
        <v>2129</v>
      </c>
      <c r="AL53" t="s">
        <v>2129</v>
      </c>
      <c r="AM53" t="s">
        <v>2129</v>
      </c>
      <c r="AN53" t="s">
        <v>2129</v>
      </c>
      <c r="AO53" t="s">
        <v>2129</v>
      </c>
      <c r="AP53" t="s">
        <v>2129</v>
      </c>
      <c r="AQ53" t="s">
        <v>2129</v>
      </c>
      <c r="AR53" t="s">
        <v>2129</v>
      </c>
      <c r="AS53" t="s">
        <v>2129</v>
      </c>
      <c r="AT53" t="s">
        <v>2129</v>
      </c>
      <c r="AU53" t="s">
        <v>2129</v>
      </c>
      <c r="AV53" t="s">
        <v>2129</v>
      </c>
      <c r="AW53" t="s">
        <v>2129</v>
      </c>
      <c r="AX53" t="s">
        <v>2129</v>
      </c>
      <c r="AY53" t="s">
        <v>2129</v>
      </c>
      <c r="AZ53" t="s">
        <v>2129</v>
      </c>
      <c r="BA53" t="s">
        <v>2129</v>
      </c>
      <c r="BB53" t="s">
        <v>2129</v>
      </c>
      <c r="BC53" t="s">
        <v>2129</v>
      </c>
      <c r="BD53" t="s">
        <v>2129</v>
      </c>
      <c r="BE53" t="s">
        <v>2129</v>
      </c>
      <c r="BF53" t="s">
        <v>2129</v>
      </c>
      <c r="BG53" t="s">
        <v>2129</v>
      </c>
      <c r="BH53" t="s">
        <v>2129</v>
      </c>
      <c r="BI53" t="s">
        <v>2129</v>
      </c>
      <c r="BJ53" t="s">
        <v>2129</v>
      </c>
      <c r="BK53" t="s">
        <v>2129</v>
      </c>
      <c r="BL53" t="s">
        <v>2129</v>
      </c>
      <c r="BM53" t="s">
        <v>2129</v>
      </c>
      <c r="BN53" t="s">
        <v>2129</v>
      </c>
      <c r="BO53" t="s">
        <v>2129</v>
      </c>
      <c r="BP53" t="s">
        <v>2129</v>
      </c>
      <c r="BS53" t="s">
        <v>2129</v>
      </c>
      <c r="BT53" t="s">
        <v>2129</v>
      </c>
      <c r="BW53" t="s">
        <v>2129</v>
      </c>
      <c r="BX53" t="s">
        <v>2129</v>
      </c>
      <c r="BY53" t="s">
        <v>2129</v>
      </c>
      <c r="BZ53" t="s">
        <v>2129</v>
      </c>
      <c r="CA53" t="s">
        <v>2129</v>
      </c>
      <c r="CB53" t="s">
        <v>2129</v>
      </c>
      <c r="CC53" t="s">
        <v>2129</v>
      </c>
      <c r="CD53" t="s">
        <v>2129</v>
      </c>
      <c r="CE53" t="s">
        <v>2129</v>
      </c>
      <c r="CF53" t="s">
        <v>2129</v>
      </c>
      <c r="CG53" t="s">
        <v>2129</v>
      </c>
      <c r="CH53" t="s">
        <v>2129</v>
      </c>
      <c r="CI53" t="s">
        <v>2129</v>
      </c>
      <c r="CJ53" t="s">
        <v>2129</v>
      </c>
      <c r="CK53" t="s">
        <v>2129</v>
      </c>
      <c r="CL53" t="s">
        <v>2129</v>
      </c>
      <c r="CM53" t="s">
        <v>2129</v>
      </c>
      <c r="CN53" t="s">
        <v>2129</v>
      </c>
      <c r="CO53" t="s">
        <v>2129</v>
      </c>
      <c r="CP53" t="s">
        <v>2129</v>
      </c>
      <c r="CQ53" t="s">
        <v>2129</v>
      </c>
      <c r="CR53" t="s">
        <v>2129</v>
      </c>
      <c r="CS53" t="s">
        <v>2129</v>
      </c>
      <c r="CT53" t="s">
        <v>3695</v>
      </c>
      <c r="CU53" t="s">
        <v>3696</v>
      </c>
      <c r="CV53" t="s">
        <v>2129</v>
      </c>
      <c r="CW53" t="s">
        <v>2129</v>
      </c>
      <c r="CX53" t="s">
        <v>2129</v>
      </c>
      <c r="CY53" t="s">
        <v>2129</v>
      </c>
      <c r="CZ53" t="s">
        <v>2129</v>
      </c>
      <c r="DA53" t="s">
        <v>2129</v>
      </c>
      <c r="DB53" t="s">
        <v>2129</v>
      </c>
      <c r="DC53" t="s">
        <v>2129</v>
      </c>
      <c r="DD53" t="s">
        <v>2129</v>
      </c>
      <c r="DE53" t="s">
        <v>2129</v>
      </c>
      <c r="DF53" t="s">
        <v>2129</v>
      </c>
      <c r="DG53" t="s">
        <v>2129</v>
      </c>
      <c r="DH53" t="s">
        <v>2129</v>
      </c>
      <c r="DJ53" t="s">
        <v>2129</v>
      </c>
      <c r="DK53" t="s">
        <v>2129</v>
      </c>
      <c r="DL53" t="s">
        <v>2129</v>
      </c>
      <c r="DM53" t="s">
        <v>2129</v>
      </c>
      <c r="DN53" t="s">
        <v>2129</v>
      </c>
      <c r="DO53" t="s">
        <v>2129</v>
      </c>
      <c r="DP53" t="s">
        <v>2129</v>
      </c>
      <c r="DQ53" t="s">
        <v>2129</v>
      </c>
      <c r="DR53" t="s">
        <v>2129</v>
      </c>
      <c r="DS53" t="s">
        <v>2129</v>
      </c>
      <c r="DT53" t="s">
        <v>2129</v>
      </c>
      <c r="DU53" t="s">
        <v>2129</v>
      </c>
      <c r="DV53" t="s">
        <v>2129</v>
      </c>
      <c r="DW53" t="s">
        <v>2129</v>
      </c>
      <c r="DX53" t="s">
        <v>2129</v>
      </c>
      <c r="DY53" t="s">
        <v>2129</v>
      </c>
      <c r="DZ53" t="s">
        <v>2129</v>
      </c>
      <c r="EA53" t="s">
        <v>2129</v>
      </c>
      <c r="EB53" t="s">
        <v>2129</v>
      </c>
      <c r="EC53" t="s">
        <v>2129</v>
      </c>
      <c r="ED53" t="s">
        <v>2129</v>
      </c>
      <c r="EE53" t="s">
        <v>2129</v>
      </c>
      <c r="EF53" t="s">
        <v>2129</v>
      </c>
      <c r="EG53" t="s">
        <v>2129</v>
      </c>
      <c r="EH53" t="s">
        <v>2129</v>
      </c>
    </row>
    <row r="54" spans="1:138" x14ac:dyDescent="0.25">
      <c r="A54" t="s">
        <v>2159</v>
      </c>
      <c r="B54" t="s">
        <v>3697</v>
      </c>
      <c r="C54">
        <v>23168</v>
      </c>
      <c r="E54" t="s">
        <v>2136</v>
      </c>
      <c r="F54" t="s">
        <v>10</v>
      </c>
      <c r="G54" t="s">
        <v>2155</v>
      </c>
      <c r="H54" t="s">
        <v>59</v>
      </c>
      <c r="I54" t="s">
        <v>2127</v>
      </c>
      <c r="J54" t="s">
        <v>2156</v>
      </c>
      <c r="K54" t="s">
        <v>2129</v>
      </c>
      <c r="L54" t="s">
        <v>2157</v>
      </c>
      <c r="M54" t="s">
        <v>2130</v>
      </c>
      <c r="N54" t="s">
        <v>2129</v>
      </c>
      <c r="O54" t="s">
        <v>2156</v>
      </c>
      <c r="P54" t="s">
        <v>2156</v>
      </c>
      <c r="Q54" t="s">
        <v>2156</v>
      </c>
      <c r="R54" s="37">
        <v>46098.42291666667</v>
      </c>
      <c r="S54" s="37">
        <v>46098.42291666667</v>
      </c>
      <c r="T54" s="37">
        <v>46100.368750000001</v>
      </c>
      <c r="U54" s="37"/>
      <c r="V54" t="s">
        <v>2129</v>
      </c>
      <c r="W54" t="s">
        <v>2129</v>
      </c>
      <c r="X54" t="s">
        <v>2129</v>
      </c>
      <c r="Y54">
        <v>0</v>
      </c>
      <c r="Z54" t="s">
        <v>2129</v>
      </c>
      <c r="AA54" t="s">
        <v>2129</v>
      </c>
      <c r="AB54" t="s">
        <v>2129</v>
      </c>
      <c r="AC54" t="s">
        <v>2156</v>
      </c>
      <c r="AD54" t="s">
        <v>2129</v>
      </c>
      <c r="AE54" t="s">
        <v>2129</v>
      </c>
      <c r="AF54" t="s">
        <v>2129</v>
      </c>
      <c r="AG54" t="s">
        <v>2129</v>
      </c>
      <c r="AH54" t="s">
        <v>2129</v>
      </c>
      <c r="AI54" t="s">
        <v>2129</v>
      </c>
      <c r="AJ54" t="s">
        <v>2129</v>
      </c>
      <c r="AK54" t="s">
        <v>2129</v>
      </c>
      <c r="AL54" t="s">
        <v>2129</v>
      </c>
      <c r="AM54" t="s">
        <v>2129</v>
      </c>
      <c r="AN54" t="s">
        <v>2129</v>
      </c>
      <c r="AO54" t="s">
        <v>2129</v>
      </c>
      <c r="AP54" t="s">
        <v>2129</v>
      </c>
      <c r="AQ54" t="s">
        <v>2129</v>
      </c>
      <c r="AR54" t="s">
        <v>2129</v>
      </c>
      <c r="AS54" t="s">
        <v>2129</v>
      </c>
      <c r="AT54" t="s">
        <v>2129</v>
      </c>
      <c r="AU54" t="s">
        <v>2129</v>
      </c>
      <c r="AV54" t="s">
        <v>2129</v>
      </c>
      <c r="AW54" t="s">
        <v>2129</v>
      </c>
      <c r="AX54" t="s">
        <v>2129</v>
      </c>
      <c r="AY54" t="s">
        <v>2129</v>
      </c>
      <c r="AZ54" t="s">
        <v>2129</v>
      </c>
      <c r="BA54" t="s">
        <v>2129</v>
      </c>
      <c r="BB54" t="s">
        <v>2129</v>
      </c>
      <c r="BC54" t="s">
        <v>2129</v>
      </c>
      <c r="BD54" t="s">
        <v>2129</v>
      </c>
      <c r="BE54" t="s">
        <v>2129</v>
      </c>
      <c r="BF54" t="s">
        <v>2129</v>
      </c>
      <c r="BG54" t="s">
        <v>2129</v>
      </c>
      <c r="BH54" t="s">
        <v>2129</v>
      </c>
      <c r="BI54" t="s">
        <v>2129</v>
      </c>
      <c r="BJ54" t="s">
        <v>2129</v>
      </c>
      <c r="BK54" t="s">
        <v>2129</v>
      </c>
      <c r="BL54" t="s">
        <v>2129</v>
      </c>
      <c r="BM54" t="s">
        <v>2129</v>
      </c>
      <c r="BN54" t="s">
        <v>2129</v>
      </c>
      <c r="BO54" t="s">
        <v>2129</v>
      </c>
      <c r="BP54" t="s">
        <v>2129</v>
      </c>
      <c r="BS54" t="s">
        <v>2129</v>
      </c>
      <c r="BT54" t="s">
        <v>2129</v>
      </c>
      <c r="BW54" t="s">
        <v>2129</v>
      </c>
      <c r="BX54" t="s">
        <v>2129</v>
      </c>
      <c r="BY54" t="s">
        <v>2129</v>
      </c>
      <c r="BZ54" t="s">
        <v>2129</v>
      </c>
      <c r="CA54" t="s">
        <v>2129</v>
      </c>
      <c r="CB54" t="s">
        <v>2129</v>
      </c>
      <c r="CC54" t="s">
        <v>2129</v>
      </c>
      <c r="CD54" t="s">
        <v>2129</v>
      </c>
      <c r="CE54" t="s">
        <v>2129</v>
      </c>
      <c r="CF54" t="s">
        <v>2129</v>
      </c>
      <c r="CG54" t="s">
        <v>2129</v>
      </c>
      <c r="CH54" t="s">
        <v>2129</v>
      </c>
      <c r="CI54" t="s">
        <v>2129</v>
      </c>
      <c r="CJ54" t="s">
        <v>2129</v>
      </c>
      <c r="CK54" t="s">
        <v>2129</v>
      </c>
      <c r="CL54" t="s">
        <v>2129</v>
      </c>
      <c r="CM54" t="s">
        <v>2129</v>
      </c>
      <c r="CN54" t="s">
        <v>2129</v>
      </c>
      <c r="CO54" t="s">
        <v>2129</v>
      </c>
      <c r="CP54" t="s">
        <v>2129</v>
      </c>
      <c r="CQ54" t="s">
        <v>2129</v>
      </c>
      <c r="CR54" t="s">
        <v>2129</v>
      </c>
      <c r="CS54" t="s">
        <v>2129</v>
      </c>
      <c r="CT54" t="s">
        <v>3698</v>
      </c>
      <c r="CU54" t="s">
        <v>3696</v>
      </c>
      <c r="CV54" t="s">
        <v>2129</v>
      </c>
      <c r="CW54" t="s">
        <v>2129</v>
      </c>
      <c r="CX54" t="s">
        <v>2129</v>
      </c>
      <c r="CY54" t="s">
        <v>2129</v>
      </c>
      <c r="CZ54" t="s">
        <v>2129</v>
      </c>
      <c r="DA54" t="s">
        <v>2129</v>
      </c>
      <c r="DB54" t="s">
        <v>2129</v>
      </c>
      <c r="DC54" t="s">
        <v>2129</v>
      </c>
      <c r="DD54" t="s">
        <v>2129</v>
      </c>
      <c r="DE54" t="s">
        <v>2129</v>
      </c>
      <c r="DF54" t="s">
        <v>2129</v>
      </c>
      <c r="DG54" t="s">
        <v>2129</v>
      </c>
      <c r="DH54" t="s">
        <v>2129</v>
      </c>
      <c r="DJ54" t="s">
        <v>2129</v>
      </c>
      <c r="DK54" t="s">
        <v>2129</v>
      </c>
      <c r="DL54" t="s">
        <v>2129</v>
      </c>
      <c r="DM54" t="s">
        <v>2129</v>
      </c>
      <c r="DN54" t="s">
        <v>2129</v>
      </c>
      <c r="DO54" t="s">
        <v>2129</v>
      </c>
      <c r="DP54" t="s">
        <v>2129</v>
      </c>
      <c r="DQ54" t="s">
        <v>2129</v>
      </c>
      <c r="DR54" t="s">
        <v>2129</v>
      </c>
      <c r="DS54" t="s">
        <v>2129</v>
      </c>
      <c r="DT54" t="s">
        <v>2129</v>
      </c>
      <c r="DU54" t="s">
        <v>2129</v>
      </c>
      <c r="DV54" t="s">
        <v>2129</v>
      </c>
      <c r="DW54" t="s">
        <v>2129</v>
      </c>
      <c r="DX54" t="s">
        <v>2129</v>
      </c>
      <c r="DY54" t="s">
        <v>2129</v>
      </c>
      <c r="DZ54" t="s">
        <v>2129</v>
      </c>
      <c r="EA54" t="s">
        <v>2129</v>
      </c>
      <c r="EB54" t="s">
        <v>2129</v>
      </c>
      <c r="EC54" t="s">
        <v>2129</v>
      </c>
      <c r="ED54" t="s">
        <v>2129</v>
      </c>
      <c r="EE54" t="s">
        <v>2129</v>
      </c>
      <c r="EF54" t="s">
        <v>2129</v>
      </c>
      <c r="EG54" t="s">
        <v>2129</v>
      </c>
      <c r="EH54" t="s">
        <v>2129</v>
      </c>
    </row>
    <row r="55" spans="1:138" x14ac:dyDescent="0.25">
      <c r="A55" t="s">
        <v>3699</v>
      </c>
      <c r="B55" t="s">
        <v>3700</v>
      </c>
      <c r="C55">
        <v>23146</v>
      </c>
      <c r="D55">
        <v>23126</v>
      </c>
      <c r="E55" t="s">
        <v>1379</v>
      </c>
      <c r="F55" t="s">
        <v>16</v>
      </c>
      <c r="G55" t="s">
        <v>2155</v>
      </c>
      <c r="H55" t="s">
        <v>59</v>
      </c>
      <c r="I55" t="s">
        <v>2127</v>
      </c>
      <c r="J55" t="s">
        <v>2156</v>
      </c>
      <c r="K55" t="s">
        <v>2129</v>
      </c>
      <c r="L55" t="s">
        <v>2157</v>
      </c>
      <c r="M55" t="s">
        <v>2130</v>
      </c>
      <c r="N55" t="s">
        <v>2153</v>
      </c>
      <c r="O55" t="s">
        <v>2160</v>
      </c>
      <c r="P55" t="s">
        <v>2158</v>
      </c>
      <c r="Q55" t="s">
        <v>2158</v>
      </c>
      <c r="R55" s="37">
        <v>46091.7</v>
      </c>
      <c r="S55" s="37">
        <v>46098.355555555558</v>
      </c>
      <c r="T55" s="37">
        <v>46100.368750000001</v>
      </c>
      <c r="U55" s="37">
        <v>46098.355555555558</v>
      </c>
      <c r="V55" t="s">
        <v>2129</v>
      </c>
      <c r="W55" t="s">
        <v>2129</v>
      </c>
      <c r="X55" t="s">
        <v>2129</v>
      </c>
      <c r="Y55">
        <v>0</v>
      </c>
      <c r="Z55" t="s">
        <v>2129</v>
      </c>
      <c r="AA55" t="s">
        <v>2129</v>
      </c>
      <c r="AB55" t="s">
        <v>2129</v>
      </c>
      <c r="AC55" t="s">
        <v>2158</v>
      </c>
      <c r="AD55" t="s">
        <v>2129</v>
      </c>
      <c r="AE55" t="s">
        <v>2129</v>
      </c>
      <c r="AF55" t="s">
        <v>2129</v>
      </c>
      <c r="AG55" t="s">
        <v>2129</v>
      </c>
      <c r="AH55" t="s">
        <v>3701</v>
      </c>
      <c r="AI55" t="s">
        <v>3702</v>
      </c>
      <c r="AJ55" t="s">
        <v>3703</v>
      </c>
      <c r="AK55" t="s">
        <v>2129</v>
      </c>
      <c r="AL55" t="s">
        <v>2129</v>
      </c>
      <c r="AM55" t="s">
        <v>2129</v>
      </c>
      <c r="AN55" t="s">
        <v>2129</v>
      </c>
      <c r="AO55" t="s">
        <v>2129</v>
      </c>
      <c r="AP55" t="s">
        <v>2129</v>
      </c>
      <c r="AQ55" t="s">
        <v>2129</v>
      </c>
      <c r="AR55" t="s">
        <v>2129</v>
      </c>
      <c r="AS55" t="s">
        <v>2129</v>
      </c>
      <c r="AT55" t="s">
        <v>2129</v>
      </c>
      <c r="AU55" t="s">
        <v>2129</v>
      </c>
      <c r="AV55" t="s">
        <v>2129</v>
      </c>
      <c r="AW55" t="s">
        <v>2129</v>
      </c>
      <c r="AX55" t="s">
        <v>2129</v>
      </c>
      <c r="AY55" t="s">
        <v>2129</v>
      </c>
      <c r="AZ55" t="s">
        <v>2129</v>
      </c>
      <c r="BA55" t="s">
        <v>2129</v>
      </c>
      <c r="BB55" t="s">
        <v>2129</v>
      </c>
      <c r="BC55" t="s">
        <v>2129</v>
      </c>
      <c r="BD55" t="s">
        <v>2129</v>
      </c>
      <c r="BE55" t="s">
        <v>2129</v>
      </c>
      <c r="BF55" t="s">
        <v>2129</v>
      </c>
      <c r="BG55" t="s">
        <v>2129</v>
      </c>
      <c r="BH55" t="s">
        <v>2129</v>
      </c>
      <c r="BI55" t="s">
        <v>2129</v>
      </c>
      <c r="BJ55" t="s">
        <v>2129</v>
      </c>
      <c r="BK55" t="s">
        <v>2129</v>
      </c>
      <c r="BL55" t="s">
        <v>2129</v>
      </c>
      <c r="BM55" t="s">
        <v>2129</v>
      </c>
      <c r="BN55" t="s">
        <v>2129</v>
      </c>
      <c r="BO55" t="s">
        <v>2129</v>
      </c>
      <c r="BP55" t="s">
        <v>2129</v>
      </c>
      <c r="BQ55">
        <v>0</v>
      </c>
      <c r="BR55">
        <v>32400</v>
      </c>
      <c r="BS55" t="s">
        <v>2129</v>
      </c>
      <c r="BT55" t="s">
        <v>2129</v>
      </c>
      <c r="BU55">
        <v>0</v>
      </c>
      <c r="BV55">
        <v>32400</v>
      </c>
      <c r="BW55" t="s">
        <v>2129</v>
      </c>
      <c r="BX55" t="s">
        <v>2129</v>
      </c>
      <c r="BY55" t="s">
        <v>2129</v>
      </c>
      <c r="BZ55" t="s">
        <v>2129</v>
      </c>
      <c r="CA55" t="s">
        <v>2129</v>
      </c>
      <c r="CB55" t="s">
        <v>2129</v>
      </c>
      <c r="CC55" t="s">
        <v>2129</v>
      </c>
      <c r="CD55" t="s">
        <v>2129</v>
      </c>
      <c r="CE55" t="s">
        <v>2129</v>
      </c>
      <c r="CF55" t="s">
        <v>2129</v>
      </c>
      <c r="CG55" t="s">
        <v>2129</v>
      </c>
      <c r="CH55" t="s">
        <v>2129</v>
      </c>
      <c r="CI55" t="s">
        <v>2129</v>
      </c>
      <c r="CJ55" t="s">
        <v>2129</v>
      </c>
      <c r="CK55" t="s">
        <v>2129</v>
      </c>
      <c r="CL55" t="s">
        <v>2129</v>
      </c>
      <c r="CM55" t="s">
        <v>2129</v>
      </c>
      <c r="CN55" t="s">
        <v>2129</v>
      </c>
      <c r="CO55" t="s">
        <v>2129</v>
      </c>
      <c r="CP55" t="s">
        <v>2129</v>
      </c>
      <c r="CQ55" t="s">
        <v>2129</v>
      </c>
      <c r="CR55" t="s">
        <v>2129</v>
      </c>
      <c r="CS55" t="s">
        <v>2129</v>
      </c>
      <c r="CT55" t="s">
        <v>3704</v>
      </c>
      <c r="CU55" t="s">
        <v>2941</v>
      </c>
      <c r="CV55" t="s">
        <v>2129</v>
      </c>
      <c r="CW55" t="s">
        <v>2129</v>
      </c>
      <c r="CX55" t="s">
        <v>2129</v>
      </c>
      <c r="CY55" t="s">
        <v>2129</v>
      </c>
      <c r="CZ55" t="s">
        <v>2129</v>
      </c>
      <c r="DA55" t="s">
        <v>2129</v>
      </c>
      <c r="DB55" t="s">
        <v>2129</v>
      </c>
      <c r="DC55" t="s">
        <v>2129</v>
      </c>
      <c r="DD55" t="s">
        <v>2129</v>
      </c>
      <c r="DE55" t="s">
        <v>2129</v>
      </c>
      <c r="DF55" t="s">
        <v>2129</v>
      </c>
      <c r="DG55" t="s">
        <v>2129</v>
      </c>
      <c r="DH55" t="s">
        <v>2129</v>
      </c>
      <c r="DJ55" t="s">
        <v>2129</v>
      </c>
      <c r="DK55" t="s">
        <v>2129</v>
      </c>
      <c r="DL55" t="s">
        <v>2129</v>
      </c>
      <c r="DM55" t="s">
        <v>2129</v>
      </c>
      <c r="DN55" t="s">
        <v>2129</v>
      </c>
      <c r="DO55" t="s">
        <v>2129</v>
      </c>
      <c r="DP55" t="s">
        <v>2129</v>
      </c>
      <c r="DQ55" t="s">
        <v>2129</v>
      </c>
      <c r="DR55" t="s">
        <v>2129</v>
      </c>
      <c r="DS55" t="s">
        <v>2129</v>
      </c>
      <c r="DT55" t="s">
        <v>2129</v>
      </c>
      <c r="DU55" t="s">
        <v>2129</v>
      </c>
      <c r="DV55" t="s">
        <v>2129</v>
      </c>
      <c r="DW55" t="s">
        <v>2129</v>
      </c>
      <c r="DX55" t="s">
        <v>2129</v>
      </c>
      <c r="DY55" t="s">
        <v>2129</v>
      </c>
      <c r="DZ55" t="s">
        <v>2129</v>
      </c>
      <c r="EA55" t="s">
        <v>2129</v>
      </c>
      <c r="EB55" t="s">
        <v>2129</v>
      </c>
      <c r="EC55" t="s">
        <v>2129</v>
      </c>
      <c r="ED55" t="s">
        <v>2129</v>
      </c>
      <c r="EE55" t="s">
        <v>2129</v>
      </c>
      <c r="EF55" t="s">
        <v>2129</v>
      </c>
      <c r="EG55" t="s">
        <v>2129</v>
      </c>
      <c r="EH55" t="s">
        <v>2129</v>
      </c>
    </row>
    <row r="56" spans="1:138" x14ac:dyDescent="0.25">
      <c r="A56" t="s">
        <v>3225</v>
      </c>
      <c r="B56" t="s">
        <v>3216</v>
      </c>
      <c r="C56">
        <v>23126</v>
      </c>
      <c r="E56" t="s">
        <v>14</v>
      </c>
      <c r="F56" t="s">
        <v>16</v>
      </c>
      <c r="G56" t="s">
        <v>2155</v>
      </c>
      <c r="H56" t="s">
        <v>59</v>
      </c>
      <c r="I56" t="s">
        <v>2127</v>
      </c>
      <c r="J56" t="s">
        <v>2156</v>
      </c>
      <c r="K56" t="s">
        <v>2129</v>
      </c>
      <c r="L56" t="s">
        <v>2157</v>
      </c>
      <c r="M56" t="s">
        <v>2130</v>
      </c>
      <c r="N56" t="s">
        <v>2153</v>
      </c>
      <c r="O56" t="s">
        <v>2156</v>
      </c>
      <c r="P56" t="s">
        <v>2145</v>
      </c>
      <c r="Q56" t="s">
        <v>2145</v>
      </c>
      <c r="R56" s="37">
        <v>46090.381249999999</v>
      </c>
      <c r="S56" s="37">
        <v>46098.520833333336</v>
      </c>
      <c r="T56" s="37">
        <v>46100.368750000001</v>
      </c>
      <c r="U56" s="37">
        <v>46098.364583333336</v>
      </c>
      <c r="V56" t="s">
        <v>2129</v>
      </c>
      <c r="W56" t="s">
        <v>2129</v>
      </c>
      <c r="X56" t="s">
        <v>2129</v>
      </c>
      <c r="Y56">
        <v>0</v>
      </c>
      <c r="Z56" t="s">
        <v>2129</v>
      </c>
      <c r="AA56" t="s">
        <v>3705</v>
      </c>
      <c r="AB56" t="s">
        <v>2129</v>
      </c>
      <c r="AC56" t="s">
        <v>2158</v>
      </c>
      <c r="AD56" t="s">
        <v>2145</v>
      </c>
      <c r="AE56" t="s">
        <v>2129</v>
      </c>
      <c r="AF56" t="s">
        <v>2129</v>
      </c>
      <c r="AG56" t="s">
        <v>2129</v>
      </c>
      <c r="AH56" t="s">
        <v>3706</v>
      </c>
      <c r="AI56" t="s">
        <v>3707</v>
      </c>
      <c r="AJ56" t="s">
        <v>3708</v>
      </c>
      <c r="AK56" t="s">
        <v>2129</v>
      </c>
      <c r="AL56" t="s">
        <v>2129</v>
      </c>
      <c r="AM56" t="s">
        <v>2129</v>
      </c>
      <c r="AN56" t="s">
        <v>2129</v>
      </c>
      <c r="AO56" t="s">
        <v>2129</v>
      </c>
      <c r="AP56" t="s">
        <v>2129</v>
      </c>
      <c r="AQ56" t="s">
        <v>2129</v>
      </c>
      <c r="AR56" t="s">
        <v>2129</v>
      </c>
      <c r="AS56" t="s">
        <v>2129</v>
      </c>
      <c r="AT56" t="s">
        <v>2129</v>
      </c>
      <c r="AU56" t="s">
        <v>2129</v>
      </c>
      <c r="AV56" t="s">
        <v>2129</v>
      </c>
      <c r="AW56" t="s">
        <v>2129</v>
      </c>
      <c r="AX56" t="s">
        <v>2129</v>
      </c>
      <c r="AY56" t="s">
        <v>2129</v>
      </c>
      <c r="AZ56" t="s">
        <v>2129</v>
      </c>
      <c r="BA56" t="s">
        <v>2129</v>
      </c>
      <c r="BB56" t="s">
        <v>2129</v>
      </c>
      <c r="BC56" t="s">
        <v>2129</v>
      </c>
      <c r="BD56" t="s">
        <v>2129</v>
      </c>
      <c r="BE56" t="s">
        <v>2129</v>
      </c>
      <c r="BF56" t="s">
        <v>2129</v>
      </c>
      <c r="BG56" t="s">
        <v>2129</v>
      </c>
      <c r="BH56" t="s">
        <v>2129</v>
      </c>
      <c r="BI56" t="s">
        <v>2129</v>
      </c>
      <c r="BJ56" t="s">
        <v>2129</v>
      </c>
      <c r="BK56" t="s">
        <v>2129</v>
      </c>
      <c r="BL56" t="s">
        <v>2129</v>
      </c>
      <c r="BM56" t="s">
        <v>2129</v>
      </c>
      <c r="BN56" t="s">
        <v>2129</v>
      </c>
      <c r="BO56" t="s">
        <v>2129</v>
      </c>
      <c r="BP56" t="s">
        <v>2129</v>
      </c>
      <c r="BQ56">
        <v>0</v>
      </c>
      <c r="BR56">
        <v>57600</v>
      </c>
      <c r="BS56" t="s">
        <v>2129</v>
      </c>
      <c r="BT56" t="s">
        <v>2129</v>
      </c>
      <c r="BU56">
        <v>0</v>
      </c>
      <c r="BV56">
        <v>90000</v>
      </c>
      <c r="BW56" t="s">
        <v>2129</v>
      </c>
      <c r="BX56" t="s">
        <v>2129</v>
      </c>
      <c r="BY56" t="s">
        <v>2129</v>
      </c>
      <c r="BZ56" t="s">
        <v>3709</v>
      </c>
      <c r="CA56" t="s">
        <v>3710</v>
      </c>
      <c r="CB56" t="s">
        <v>2129</v>
      </c>
      <c r="CC56" t="s">
        <v>2129</v>
      </c>
      <c r="CD56" t="s">
        <v>2129</v>
      </c>
      <c r="CE56" t="s">
        <v>2129</v>
      </c>
      <c r="CF56" t="s">
        <v>2129</v>
      </c>
      <c r="CG56" t="s">
        <v>2129</v>
      </c>
      <c r="CH56" t="s">
        <v>2129</v>
      </c>
      <c r="CI56" t="s">
        <v>2129</v>
      </c>
      <c r="CJ56" t="s">
        <v>2129</v>
      </c>
      <c r="CK56" t="s">
        <v>2129</v>
      </c>
      <c r="CL56" t="s">
        <v>2129</v>
      </c>
      <c r="CM56" t="s">
        <v>2913</v>
      </c>
      <c r="CN56" t="s">
        <v>2129</v>
      </c>
      <c r="CO56" t="s">
        <v>2129</v>
      </c>
      <c r="CP56" t="s">
        <v>2129</v>
      </c>
      <c r="CQ56" t="s">
        <v>2129</v>
      </c>
      <c r="CR56" t="s">
        <v>2129</v>
      </c>
      <c r="CS56" t="s">
        <v>2129</v>
      </c>
      <c r="CT56" t="s">
        <v>3711</v>
      </c>
      <c r="CU56" t="s">
        <v>2941</v>
      </c>
      <c r="CV56" t="s">
        <v>2129</v>
      </c>
      <c r="CW56" t="s">
        <v>2129</v>
      </c>
      <c r="CX56" t="s">
        <v>2129</v>
      </c>
      <c r="CY56" t="s">
        <v>2129</v>
      </c>
      <c r="CZ56" t="s">
        <v>2129</v>
      </c>
      <c r="DA56" t="s">
        <v>2129</v>
      </c>
      <c r="DB56" t="s">
        <v>2129</v>
      </c>
      <c r="DC56" t="s">
        <v>2129</v>
      </c>
      <c r="DD56" t="s">
        <v>2129</v>
      </c>
      <c r="DE56" t="s">
        <v>2129</v>
      </c>
      <c r="DF56" t="s">
        <v>2129</v>
      </c>
      <c r="DG56" t="s">
        <v>2129</v>
      </c>
      <c r="DH56" t="s">
        <v>2129</v>
      </c>
      <c r="DI56">
        <v>30</v>
      </c>
      <c r="DJ56" t="s">
        <v>2129</v>
      </c>
      <c r="DK56" t="s">
        <v>2129</v>
      </c>
      <c r="DL56" t="s">
        <v>3712</v>
      </c>
      <c r="DM56" t="s">
        <v>2129</v>
      </c>
      <c r="DN56" t="s">
        <v>2129</v>
      </c>
      <c r="DO56" t="s">
        <v>2129</v>
      </c>
      <c r="DP56" t="s">
        <v>2129</v>
      </c>
      <c r="DQ56" t="s">
        <v>2129</v>
      </c>
      <c r="DR56" t="s">
        <v>2129</v>
      </c>
      <c r="DS56" t="s">
        <v>2129</v>
      </c>
      <c r="DT56" t="s">
        <v>2129</v>
      </c>
      <c r="DU56" t="s">
        <v>2129</v>
      </c>
      <c r="DV56" t="s">
        <v>2129</v>
      </c>
      <c r="DW56" t="s">
        <v>2129</v>
      </c>
      <c r="DX56" t="s">
        <v>2129</v>
      </c>
      <c r="DY56" t="s">
        <v>2129</v>
      </c>
      <c r="DZ56" t="s">
        <v>2129</v>
      </c>
      <c r="EA56" t="s">
        <v>2129</v>
      </c>
      <c r="EB56" t="s">
        <v>2129</v>
      </c>
      <c r="EC56" t="s">
        <v>2129</v>
      </c>
      <c r="ED56" t="s">
        <v>2129</v>
      </c>
      <c r="EE56" t="s">
        <v>2129</v>
      </c>
      <c r="EF56" t="s">
        <v>2129</v>
      </c>
      <c r="EG56" t="s">
        <v>2129</v>
      </c>
      <c r="EH56" t="s">
        <v>2129</v>
      </c>
    </row>
    <row r="57" spans="1:138" x14ac:dyDescent="0.25">
      <c r="A57" t="s">
        <v>2159</v>
      </c>
      <c r="B57" t="s">
        <v>2939</v>
      </c>
      <c r="C57">
        <v>23097</v>
      </c>
      <c r="E57" t="s">
        <v>2136</v>
      </c>
      <c r="F57" t="s">
        <v>10</v>
      </c>
      <c r="G57" t="s">
        <v>2155</v>
      </c>
      <c r="H57" t="s">
        <v>59</v>
      </c>
      <c r="I57" t="s">
        <v>2127</v>
      </c>
      <c r="J57" t="s">
        <v>2156</v>
      </c>
      <c r="K57" t="s">
        <v>2129</v>
      </c>
      <c r="L57" t="s">
        <v>2157</v>
      </c>
      <c r="M57" t="s">
        <v>2130</v>
      </c>
      <c r="N57" t="s">
        <v>2129</v>
      </c>
      <c r="O57" t="s">
        <v>2158</v>
      </c>
      <c r="P57" t="s">
        <v>2156</v>
      </c>
      <c r="Q57" t="s">
        <v>2156</v>
      </c>
      <c r="R57" s="37">
        <v>46084.541666666664</v>
      </c>
      <c r="S57" s="37">
        <v>46090.699305555558</v>
      </c>
      <c r="T57" s="37">
        <v>46100.368750000001</v>
      </c>
      <c r="U57" s="37"/>
      <c r="V57" t="s">
        <v>2129</v>
      </c>
      <c r="W57" t="s">
        <v>2129</v>
      </c>
      <c r="X57" t="s">
        <v>2129</v>
      </c>
      <c r="Y57">
        <v>0</v>
      </c>
      <c r="Z57" t="s">
        <v>2129</v>
      </c>
      <c r="AA57" t="s">
        <v>2129</v>
      </c>
      <c r="AB57" t="s">
        <v>2129</v>
      </c>
      <c r="AC57" t="s">
        <v>2156</v>
      </c>
      <c r="AD57" t="s">
        <v>2129</v>
      </c>
      <c r="AE57" t="s">
        <v>2129</v>
      </c>
      <c r="AF57" t="s">
        <v>2129</v>
      </c>
      <c r="AG57" t="s">
        <v>2129</v>
      </c>
      <c r="AH57" t="s">
        <v>3713</v>
      </c>
      <c r="AI57" t="s">
        <v>2129</v>
      </c>
      <c r="AJ57" t="s">
        <v>2129</v>
      </c>
      <c r="AK57" t="s">
        <v>2129</v>
      </c>
      <c r="AL57" t="s">
        <v>2129</v>
      </c>
      <c r="AM57" t="s">
        <v>2129</v>
      </c>
      <c r="AN57" t="s">
        <v>2129</v>
      </c>
      <c r="AO57" t="s">
        <v>2129</v>
      </c>
      <c r="AP57" t="s">
        <v>2129</v>
      </c>
      <c r="AQ57" t="s">
        <v>2129</v>
      </c>
      <c r="AR57" t="s">
        <v>2129</v>
      </c>
      <c r="AS57" t="s">
        <v>2129</v>
      </c>
      <c r="AT57" t="s">
        <v>2129</v>
      </c>
      <c r="AU57" t="s">
        <v>2129</v>
      </c>
      <c r="AV57" t="s">
        <v>2129</v>
      </c>
      <c r="AW57" t="s">
        <v>2129</v>
      </c>
      <c r="AX57" t="s">
        <v>2129</v>
      </c>
      <c r="AY57" t="s">
        <v>2129</v>
      </c>
      <c r="AZ57" t="s">
        <v>2129</v>
      </c>
      <c r="BA57" t="s">
        <v>2129</v>
      </c>
      <c r="BB57" t="s">
        <v>2129</v>
      </c>
      <c r="BC57" t="s">
        <v>2129</v>
      </c>
      <c r="BD57" t="s">
        <v>2129</v>
      </c>
      <c r="BE57" t="s">
        <v>2129</v>
      </c>
      <c r="BF57" t="s">
        <v>2129</v>
      </c>
      <c r="BG57" t="s">
        <v>2129</v>
      </c>
      <c r="BH57" t="s">
        <v>2129</v>
      </c>
      <c r="BI57" t="s">
        <v>2129</v>
      </c>
      <c r="BJ57" t="s">
        <v>2129</v>
      </c>
      <c r="BK57" t="s">
        <v>2129</v>
      </c>
      <c r="BL57" t="s">
        <v>2129</v>
      </c>
      <c r="BM57" t="s">
        <v>2129</v>
      </c>
      <c r="BN57" t="s">
        <v>2129</v>
      </c>
      <c r="BO57" t="s">
        <v>2129</v>
      </c>
      <c r="BP57" t="s">
        <v>2129</v>
      </c>
      <c r="BQ57">
        <v>0</v>
      </c>
      <c r="BR57">
        <v>1800</v>
      </c>
      <c r="BS57" t="s">
        <v>2129</v>
      </c>
      <c r="BT57" t="s">
        <v>2129</v>
      </c>
      <c r="BU57">
        <v>0</v>
      </c>
      <c r="BV57">
        <v>1800</v>
      </c>
      <c r="BW57" t="s">
        <v>2129</v>
      </c>
      <c r="BX57" t="s">
        <v>2129</v>
      </c>
      <c r="BY57" t="s">
        <v>2129</v>
      </c>
      <c r="BZ57" t="s">
        <v>2129</v>
      </c>
      <c r="CA57" t="s">
        <v>2129</v>
      </c>
      <c r="CB57" t="s">
        <v>2129</v>
      </c>
      <c r="CC57" t="s">
        <v>2129</v>
      </c>
      <c r="CD57" t="s">
        <v>2129</v>
      </c>
      <c r="CE57" t="s">
        <v>2129</v>
      </c>
      <c r="CF57" t="s">
        <v>2129</v>
      </c>
      <c r="CG57" t="s">
        <v>2129</v>
      </c>
      <c r="CH57" t="s">
        <v>2129</v>
      </c>
      <c r="CI57" t="s">
        <v>2129</v>
      </c>
      <c r="CJ57" t="s">
        <v>2129</v>
      </c>
      <c r="CK57" t="s">
        <v>2129</v>
      </c>
      <c r="CL57" t="s">
        <v>2129</v>
      </c>
      <c r="CM57" t="s">
        <v>2129</v>
      </c>
      <c r="CN57" t="s">
        <v>2129</v>
      </c>
      <c r="CO57" t="s">
        <v>2129</v>
      </c>
      <c r="CP57" t="s">
        <v>2129</v>
      </c>
      <c r="CQ57" t="s">
        <v>2129</v>
      </c>
      <c r="CR57" t="s">
        <v>2129</v>
      </c>
      <c r="CS57" t="s">
        <v>2129</v>
      </c>
      <c r="CT57" t="s">
        <v>2940</v>
      </c>
      <c r="CU57" t="s">
        <v>2941</v>
      </c>
      <c r="CV57" t="s">
        <v>2129</v>
      </c>
      <c r="CW57" t="s">
        <v>2129</v>
      </c>
      <c r="CX57" t="s">
        <v>2129</v>
      </c>
      <c r="CY57" t="s">
        <v>2129</v>
      </c>
      <c r="CZ57" t="s">
        <v>2129</v>
      </c>
      <c r="DA57" t="s">
        <v>2129</v>
      </c>
      <c r="DB57" t="s">
        <v>2129</v>
      </c>
      <c r="DC57" t="s">
        <v>2129</v>
      </c>
      <c r="DD57" t="s">
        <v>2129</v>
      </c>
      <c r="DE57" t="s">
        <v>2129</v>
      </c>
      <c r="DF57" t="s">
        <v>2129</v>
      </c>
      <c r="DG57" t="s">
        <v>2129</v>
      </c>
      <c r="DH57" t="s">
        <v>2129</v>
      </c>
      <c r="DJ57" t="s">
        <v>2129</v>
      </c>
      <c r="DK57" t="s">
        <v>2129</v>
      </c>
      <c r="DL57" t="s">
        <v>2129</v>
      </c>
      <c r="DM57" t="s">
        <v>2129</v>
      </c>
      <c r="DN57" t="s">
        <v>2129</v>
      </c>
      <c r="DO57" t="s">
        <v>2129</v>
      </c>
      <c r="DP57" t="s">
        <v>2129</v>
      </c>
      <c r="DQ57" t="s">
        <v>2129</v>
      </c>
      <c r="DR57" t="s">
        <v>2129</v>
      </c>
      <c r="DS57" t="s">
        <v>2129</v>
      </c>
      <c r="DT57" t="s">
        <v>2129</v>
      </c>
      <c r="DU57" t="s">
        <v>2129</v>
      </c>
      <c r="DV57" t="s">
        <v>2129</v>
      </c>
      <c r="DW57" t="s">
        <v>2129</v>
      </c>
      <c r="DX57" t="s">
        <v>2129</v>
      </c>
      <c r="DY57" t="s">
        <v>2129</v>
      </c>
      <c r="DZ57" t="s">
        <v>2129</v>
      </c>
      <c r="EA57" t="s">
        <v>2129</v>
      </c>
      <c r="EB57" t="s">
        <v>2129</v>
      </c>
      <c r="EC57" t="s">
        <v>2129</v>
      </c>
      <c r="ED57" t="s">
        <v>2129</v>
      </c>
      <c r="EE57" t="s">
        <v>2129</v>
      </c>
      <c r="EF57" t="s">
        <v>2129</v>
      </c>
      <c r="EG57" t="s">
        <v>2129</v>
      </c>
      <c r="EH57" t="s">
        <v>2129</v>
      </c>
    </row>
    <row r="58" spans="1:138" x14ac:dyDescent="0.25">
      <c r="A58" t="s">
        <v>2159</v>
      </c>
      <c r="B58" t="s">
        <v>2942</v>
      </c>
      <c r="C58">
        <v>23096</v>
      </c>
      <c r="E58" t="s">
        <v>2136</v>
      </c>
      <c r="F58" t="s">
        <v>10</v>
      </c>
      <c r="G58" t="s">
        <v>2155</v>
      </c>
      <c r="H58" t="s">
        <v>59</v>
      </c>
      <c r="I58" t="s">
        <v>2127</v>
      </c>
      <c r="J58" t="s">
        <v>2156</v>
      </c>
      <c r="K58" t="s">
        <v>2129</v>
      </c>
      <c r="L58" t="s">
        <v>2157</v>
      </c>
      <c r="M58" t="s">
        <v>2130</v>
      </c>
      <c r="N58" t="s">
        <v>2129</v>
      </c>
      <c r="O58" t="s">
        <v>2160</v>
      </c>
      <c r="P58" t="s">
        <v>2156</v>
      </c>
      <c r="Q58" t="s">
        <v>2156</v>
      </c>
      <c r="R58" s="37">
        <v>46084.540972222225</v>
      </c>
      <c r="S58" s="37">
        <v>46098.724999999999</v>
      </c>
      <c r="T58" s="37">
        <v>46100.368750000001</v>
      </c>
      <c r="U58" s="37"/>
      <c r="V58" t="s">
        <v>2129</v>
      </c>
      <c r="W58" t="s">
        <v>2129</v>
      </c>
      <c r="X58" t="s">
        <v>2129</v>
      </c>
      <c r="Y58">
        <v>0</v>
      </c>
      <c r="Z58" t="s">
        <v>2129</v>
      </c>
      <c r="AA58" t="s">
        <v>2129</v>
      </c>
      <c r="AB58" t="s">
        <v>2129</v>
      </c>
      <c r="AC58" t="s">
        <v>2156</v>
      </c>
      <c r="AD58" t="s">
        <v>2129</v>
      </c>
      <c r="AE58" t="s">
        <v>2129</v>
      </c>
      <c r="AF58" t="s">
        <v>2129</v>
      </c>
      <c r="AG58" t="s">
        <v>2129</v>
      </c>
      <c r="AH58" t="s">
        <v>3714</v>
      </c>
      <c r="AI58" t="s">
        <v>2129</v>
      </c>
      <c r="AJ58" t="s">
        <v>2129</v>
      </c>
      <c r="AK58" t="s">
        <v>2129</v>
      </c>
      <c r="AL58" t="s">
        <v>2129</v>
      </c>
      <c r="AM58" t="s">
        <v>2129</v>
      </c>
      <c r="AN58" t="s">
        <v>2129</v>
      </c>
      <c r="AO58" t="s">
        <v>2129</v>
      </c>
      <c r="AP58" t="s">
        <v>2129</v>
      </c>
      <c r="AQ58" t="s">
        <v>2129</v>
      </c>
      <c r="AR58" t="s">
        <v>2129</v>
      </c>
      <c r="AS58" t="s">
        <v>2129</v>
      </c>
      <c r="AT58" t="s">
        <v>2129</v>
      </c>
      <c r="AU58" t="s">
        <v>2129</v>
      </c>
      <c r="AV58" t="s">
        <v>2129</v>
      </c>
      <c r="AW58" t="s">
        <v>2129</v>
      </c>
      <c r="AX58" t="s">
        <v>2129</v>
      </c>
      <c r="AY58" t="s">
        <v>2129</v>
      </c>
      <c r="AZ58" t="s">
        <v>2129</v>
      </c>
      <c r="BA58" t="s">
        <v>2129</v>
      </c>
      <c r="BB58" t="s">
        <v>2129</v>
      </c>
      <c r="BC58" t="s">
        <v>2129</v>
      </c>
      <c r="BD58" t="s">
        <v>2129</v>
      </c>
      <c r="BE58" t="s">
        <v>2129</v>
      </c>
      <c r="BF58" t="s">
        <v>2129</v>
      </c>
      <c r="BG58" t="s">
        <v>2129</v>
      </c>
      <c r="BH58" t="s">
        <v>2129</v>
      </c>
      <c r="BI58" t="s">
        <v>2129</v>
      </c>
      <c r="BJ58" t="s">
        <v>2129</v>
      </c>
      <c r="BK58" t="s">
        <v>2129</v>
      </c>
      <c r="BL58" t="s">
        <v>2129</v>
      </c>
      <c r="BM58" t="s">
        <v>2129</v>
      </c>
      <c r="BN58" t="s">
        <v>2129</v>
      </c>
      <c r="BO58" t="s">
        <v>2129</v>
      </c>
      <c r="BP58" t="s">
        <v>2129</v>
      </c>
      <c r="BQ58">
        <v>0</v>
      </c>
      <c r="BR58">
        <v>2700</v>
      </c>
      <c r="BS58" t="s">
        <v>2129</v>
      </c>
      <c r="BT58" t="s">
        <v>2129</v>
      </c>
      <c r="BU58">
        <v>0</v>
      </c>
      <c r="BV58">
        <v>2700</v>
      </c>
      <c r="BW58" t="s">
        <v>2129</v>
      </c>
      <c r="BX58" t="s">
        <v>2129</v>
      </c>
      <c r="BY58" t="s">
        <v>2129</v>
      </c>
      <c r="BZ58" t="s">
        <v>2129</v>
      </c>
      <c r="CA58" t="s">
        <v>2129</v>
      </c>
      <c r="CB58" t="s">
        <v>2129</v>
      </c>
      <c r="CC58" t="s">
        <v>2129</v>
      </c>
      <c r="CD58" t="s">
        <v>2129</v>
      </c>
      <c r="CE58" t="s">
        <v>2129</v>
      </c>
      <c r="CF58" t="s">
        <v>2129</v>
      </c>
      <c r="CG58" t="s">
        <v>2129</v>
      </c>
      <c r="CH58" t="s">
        <v>2129</v>
      </c>
      <c r="CI58" t="s">
        <v>2129</v>
      </c>
      <c r="CJ58" t="s">
        <v>2129</v>
      </c>
      <c r="CK58" t="s">
        <v>2129</v>
      </c>
      <c r="CL58" t="s">
        <v>2129</v>
      </c>
      <c r="CM58" t="s">
        <v>2129</v>
      </c>
      <c r="CN58" t="s">
        <v>2129</v>
      </c>
      <c r="CO58" t="s">
        <v>2129</v>
      </c>
      <c r="CP58" t="s">
        <v>2129</v>
      </c>
      <c r="CQ58" t="s">
        <v>2129</v>
      </c>
      <c r="CR58" t="s">
        <v>2129</v>
      </c>
      <c r="CS58" t="s">
        <v>2129</v>
      </c>
      <c r="CT58" t="s">
        <v>2943</v>
      </c>
      <c r="CU58" t="s">
        <v>2941</v>
      </c>
      <c r="CV58" t="s">
        <v>2129</v>
      </c>
      <c r="CW58" t="s">
        <v>2129</v>
      </c>
      <c r="CX58" t="s">
        <v>2129</v>
      </c>
      <c r="CY58" t="s">
        <v>2129</v>
      </c>
      <c r="CZ58" t="s">
        <v>2129</v>
      </c>
      <c r="DA58" t="s">
        <v>2129</v>
      </c>
      <c r="DB58" t="s">
        <v>2129</v>
      </c>
      <c r="DC58" t="s">
        <v>2129</v>
      </c>
      <c r="DD58" t="s">
        <v>2129</v>
      </c>
      <c r="DE58" t="s">
        <v>2129</v>
      </c>
      <c r="DF58" t="s">
        <v>2129</v>
      </c>
      <c r="DG58" t="s">
        <v>2129</v>
      </c>
      <c r="DH58" t="s">
        <v>2129</v>
      </c>
      <c r="DJ58" t="s">
        <v>2129</v>
      </c>
      <c r="DK58" t="s">
        <v>2129</v>
      </c>
      <c r="DL58" t="s">
        <v>2129</v>
      </c>
      <c r="DM58" t="s">
        <v>2129</v>
      </c>
      <c r="DN58" t="s">
        <v>2129</v>
      </c>
      <c r="DO58" t="s">
        <v>2129</v>
      </c>
      <c r="DP58" t="s">
        <v>2129</v>
      </c>
      <c r="DQ58" t="s">
        <v>2129</v>
      </c>
      <c r="DR58" t="s">
        <v>2129</v>
      </c>
      <c r="DS58" t="s">
        <v>2129</v>
      </c>
      <c r="DT58" t="s">
        <v>2129</v>
      </c>
      <c r="DU58" t="s">
        <v>2129</v>
      </c>
      <c r="DV58" t="s">
        <v>2129</v>
      </c>
      <c r="DW58" t="s">
        <v>2129</v>
      </c>
      <c r="DX58" t="s">
        <v>2129</v>
      </c>
      <c r="DY58" t="s">
        <v>2129</v>
      </c>
      <c r="DZ58" t="s">
        <v>2129</v>
      </c>
      <c r="EA58" t="s">
        <v>2129</v>
      </c>
      <c r="EB58" t="s">
        <v>2129</v>
      </c>
      <c r="EC58" t="s">
        <v>2129</v>
      </c>
      <c r="ED58" t="s">
        <v>2129</v>
      </c>
      <c r="EE58" t="s">
        <v>2129</v>
      </c>
      <c r="EF58" t="s">
        <v>2129</v>
      </c>
      <c r="EG58" t="s">
        <v>2129</v>
      </c>
      <c r="EH58" t="s">
        <v>2129</v>
      </c>
    </row>
    <row r="59" spans="1:138" x14ac:dyDescent="0.25">
      <c r="A59" t="s">
        <v>2988</v>
      </c>
      <c r="B59" t="s">
        <v>3222</v>
      </c>
      <c r="C59">
        <v>23066</v>
      </c>
      <c r="E59" t="s">
        <v>14</v>
      </c>
      <c r="F59" t="s">
        <v>10</v>
      </c>
      <c r="G59" t="s">
        <v>2155</v>
      </c>
      <c r="H59" t="s">
        <v>59</v>
      </c>
      <c r="I59" t="s">
        <v>2127</v>
      </c>
      <c r="J59" t="s">
        <v>2156</v>
      </c>
      <c r="K59" t="s">
        <v>2129</v>
      </c>
      <c r="L59" t="s">
        <v>2157</v>
      </c>
      <c r="M59" t="s">
        <v>2130</v>
      </c>
      <c r="N59" t="s">
        <v>2129</v>
      </c>
      <c r="O59" t="s">
        <v>2158</v>
      </c>
      <c r="P59" t="s">
        <v>2145</v>
      </c>
      <c r="Q59" t="s">
        <v>2145</v>
      </c>
      <c r="R59" s="37">
        <v>46083.402777777781</v>
      </c>
      <c r="S59" s="37">
        <v>46098.671527777777</v>
      </c>
      <c r="T59" s="37">
        <v>46100.368750000001</v>
      </c>
      <c r="U59" s="37"/>
      <c r="V59" t="s">
        <v>2129</v>
      </c>
      <c r="W59" t="s">
        <v>2129</v>
      </c>
      <c r="X59" t="s">
        <v>2129</v>
      </c>
      <c r="Y59">
        <v>0</v>
      </c>
      <c r="Z59" t="s">
        <v>2129</v>
      </c>
      <c r="AA59" t="s">
        <v>3715</v>
      </c>
      <c r="AB59" t="s">
        <v>2129</v>
      </c>
      <c r="AC59" t="s">
        <v>2145</v>
      </c>
      <c r="AD59" t="s">
        <v>2129</v>
      </c>
      <c r="AE59" t="s">
        <v>2129</v>
      </c>
      <c r="AF59" t="s">
        <v>2129</v>
      </c>
      <c r="AG59" t="s">
        <v>2129</v>
      </c>
      <c r="AH59" t="s">
        <v>2129</v>
      </c>
      <c r="AI59" t="s">
        <v>2129</v>
      </c>
      <c r="AJ59" t="s">
        <v>2129</v>
      </c>
      <c r="AK59" t="s">
        <v>2129</v>
      </c>
      <c r="AL59" t="s">
        <v>2129</v>
      </c>
      <c r="AM59" t="s">
        <v>2129</v>
      </c>
      <c r="AN59" t="s">
        <v>2129</v>
      </c>
      <c r="AO59" t="s">
        <v>2129</v>
      </c>
      <c r="AP59" t="s">
        <v>2129</v>
      </c>
      <c r="AQ59" t="s">
        <v>2129</v>
      </c>
      <c r="AR59" t="s">
        <v>2129</v>
      </c>
      <c r="AS59" t="s">
        <v>2129</v>
      </c>
      <c r="AT59" t="s">
        <v>2129</v>
      </c>
      <c r="AU59" t="s">
        <v>2129</v>
      </c>
      <c r="AV59" t="s">
        <v>2129</v>
      </c>
      <c r="AW59" t="s">
        <v>2129</v>
      </c>
      <c r="AX59" t="s">
        <v>2129</v>
      </c>
      <c r="AY59" t="s">
        <v>2129</v>
      </c>
      <c r="AZ59" t="s">
        <v>2129</v>
      </c>
      <c r="BA59" t="s">
        <v>2129</v>
      </c>
      <c r="BB59" t="s">
        <v>2129</v>
      </c>
      <c r="BC59" t="s">
        <v>2129</v>
      </c>
      <c r="BD59" t="s">
        <v>2129</v>
      </c>
      <c r="BE59" t="s">
        <v>2129</v>
      </c>
      <c r="BF59" t="s">
        <v>2129</v>
      </c>
      <c r="BG59" t="s">
        <v>2129</v>
      </c>
      <c r="BH59" t="s">
        <v>2129</v>
      </c>
      <c r="BI59" t="s">
        <v>2129</v>
      </c>
      <c r="BJ59" t="s">
        <v>2129</v>
      </c>
      <c r="BK59" t="s">
        <v>2129</v>
      </c>
      <c r="BL59" t="s">
        <v>2129</v>
      </c>
      <c r="BM59" t="s">
        <v>2129</v>
      </c>
      <c r="BN59" t="s">
        <v>2129</v>
      </c>
      <c r="BO59" t="s">
        <v>2129</v>
      </c>
      <c r="BP59" t="s">
        <v>2129</v>
      </c>
      <c r="BS59" t="s">
        <v>2129</v>
      </c>
      <c r="BT59" t="s">
        <v>2129</v>
      </c>
      <c r="BW59" t="s">
        <v>2129</v>
      </c>
      <c r="BX59" t="s">
        <v>2129</v>
      </c>
      <c r="BY59" t="s">
        <v>2129</v>
      </c>
      <c r="BZ59" t="s">
        <v>2129</v>
      </c>
      <c r="CA59" t="s">
        <v>2129</v>
      </c>
      <c r="CB59" t="s">
        <v>2129</v>
      </c>
      <c r="CC59" t="s">
        <v>2129</v>
      </c>
      <c r="CD59" t="s">
        <v>2129</v>
      </c>
      <c r="CE59" t="s">
        <v>2129</v>
      </c>
      <c r="CF59" t="s">
        <v>2129</v>
      </c>
      <c r="CG59" t="s">
        <v>2129</v>
      </c>
      <c r="CH59" t="s">
        <v>2129</v>
      </c>
      <c r="CI59" t="s">
        <v>2129</v>
      </c>
      <c r="CJ59" t="s">
        <v>2129</v>
      </c>
      <c r="CK59" t="s">
        <v>2129</v>
      </c>
      <c r="CL59" t="s">
        <v>2129</v>
      </c>
      <c r="CM59" t="s">
        <v>2913</v>
      </c>
      <c r="CN59" t="s">
        <v>2129</v>
      </c>
      <c r="CO59" t="s">
        <v>2129</v>
      </c>
      <c r="CP59" t="s">
        <v>2129</v>
      </c>
      <c r="CQ59" t="s">
        <v>2129</v>
      </c>
      <c r="CR59" t="s">
        <v>2129</v>
      </c>
      <c r="CS59" t="s">
        <v>2129</v>
      </c>
      <c r="CT59" t="s">
        <v>3716</v>
      </c>
      <c r="CU59" t="s">
        <v>3696</v>
      </c>
      <c r="CV59" t="s">
        <v>2129</v>
      </c>
      <c r="CW59" t="s">
        <v>2129</v>
      </c>
      <c r="CX59" t="s">
        <v>2129</v>
      </c>
      <c r="CY59" t="s">
        <v>2129</v>
      </c>
      <c r="CZ59" t="s">
        <v>2129</v>
      </c>
      <c r="DA59" t="s">
        <v>2129</v>
      </c>
      <c r="DB59" t="s">
        <v>2129</v>
      </c>
      <c r="DC59" t="s">
        <v>2129</v>
      </c>
      <c r="DD59" t="s">
        <v>2129</v>
      </c>
      <c r="DE59" t="s">
        <v>2129</v>
      </c>
      <c r="DF59" t="s">
        <v>2129</v>
      </c>
      <c r="DG59" t="s">
        <v>2129</v>
      </c>
      <c r="DH59" t="s">
        <v>2129</v>
      </c>
      <c r="DI59">
        <v>80</v>
      </c>
      <c r="DJ59" t="s">
        <v>2129</v>
      </c>
      <c r="DK59" t="s">
        <v>2129</v>
      </c>
      <c r="DL59" t="s">
        <v>2129</v>
      </c>
      <c r="DM59" t="s">
        <v>2129</v>
      </c>
      <c r="DN59" t="s">
        <v>2129</v>
      </c>
      <c r="DO59" t="s">
        <v>2129</v>
      </c>
      <c r="DP59" t="s">
        <v>2129</v>
      </c>
      <c r="DQ59" t="s">
        <v>2129</v>
      </c>
      <c r="DR59" t="s">
        <v>2129</v>
      </c>
      <c r="DS59" t="s">
        <v>2129</v>
      </c>
      <c r="DT59" t="s">
        <v>2129</v>
      </c>
      <c r="DU59" t="s">
        <v>2129</v>
      </c>
      <c r="DV59" t="s">
        <v>2129</v>
      </c>
      <c r="DW59" t="s">
        <v>2129</v>
      </c>
      <c r="DX59" t="s">
        <v>2129</v>
      </c>
      <c r="DY59" t="s">
        <v>2129</v>
      </c>
      <c r="DZ59" t="s">
        <v>2129</v>
      </c>
      <c r="EA59" t="s">
        <v>2129</v>
      </c>
      <c r="EB59" t="s">
        <v>2129</v>
      </c>
      <c r="EC59" t="s">
        <v>2129</v>
      </c>
      <c r="ED59" t="s">
        <v>2129</v>
      </c>
      <c r="EE59" t="s">
        <v>2129</v>
      </c>
      <c r="EF59" t="s">
        <v>2129</v>
      </c>
      <c r="EG59" t="s">
        <v>2129</v>
      </c>
      <c r="EH59" t="s">
        <v>2129</v>
      </c>
    </row>
    <row r="60" spans="1:138" x14ac:dyDescent="0.25">
      <c r="A60" t="s">
        <v>2159</v>
      </c>
      <c r="B60" t="s">
        <v>2944</v>
      </c>
      <c r="C60">
        <v>23006</v>
      </c>
      <c r="E60" t="s">
        <v>2136</v>
      </c>
      <c r="F60" t="s">
        <v>16</v>
      </c>
      <c r="G60" t="s">
        <v>2155</v>
      </c>
      <c r="H60" t="s">
        <v>59</v>
      </c>
      <c r="I60" t="s">
        <v>2127</v>
      </c>
      <c r="J60" t="s">
        <v>2156</v>
      </c>
      <c r="K60" t="s">
        <v>2129</v>
      </c>
      <c r="L60" t="s">
        <v>2157</v>
      </c>
      <c r="M60" t="s">
        <v>2130</v>
      </c>
      <c r="N60" t="s">
        <v>16</v>
      </c>
      <c r="O60" t="s">
        <v>2156</v>
      </c>
      <c r="P60" t="s">
        <v>2156</v>
      </c>
      <c r="Q60" t="s">
        <v>2156</v>
      </c>
      <c r="R60" s="37">
        <v>46073.394444444442</v>
      </c>
      <c r="S60" s="37">
        <v>46090.329861111109</v>
      </c>
      <c r="T60" s="37">
        <v>46100.368750000001</v>
      </c>
      <c r="U60" s="37">
        <v>46090.329861111109</v>
      </c>
      <c r="V60" t="s">
        <v>2129</v>
      </c>
      <c r="W60" t="s">
        <v>2129</v>
      </c>
      <c r="X60" t="s">
        <v>2129</v>
      </c>
      <c r="Y60">
        <v>0</v>
      </c>
      <c r="Z60" t="s">
        <v>2129</v>
      </c>
      <c r="AA60" t="s">
        <v>2129</v>
      </c>
      <c r="AB60" t="s">
        <v>2129</v>
      </c>
      <c r="AC60" t="s">
        <v>2156</v>
      </c>
      <c r="AD60" t="s">
        <v>2129</v>
      </c>
      <c r="AE60" t="s">
        <v>2129</v>
      </c>
      <c r="AF60" t="s">
        <v>2129</v>
      </c>
      <c r="AG60" t="s">
        <v>2129</v>
      </c>
      <c r="AH60" t="s">
        <v>2129</v>
      </c>
      <c r="AI60" t="s">
        <v>2129</v>
      </c>
      <c r="AJ60" t="s">
        <v>2129</v>
      </c>
      <c r="AK60" t="s">
        <v>2129</v>
      </c>
      <c r="AL60" t="s">
        <v>2129</v>
      </c>
      <c r="AM60" t="s">
        <v>2129</v>
      </c>
      <c r="AN60" t="s">
        <v>2129</v>
      </c>
      <c r="AO60" t="s">
        <v>2129</v>
      </c>
      <c r="AP60" t="s">
        <v>2129</v>
      </c>
      <c r="AQ60" t="s">
        <v>2129</v>
      </c>
      <c r="AR60" t="s">
        <v>2129</v>
      </c>
      <c r="AS60" t="s">
        <v>2129</v>
      </c>
      <c r="AT60" t="s">
        <v>2129</v>
      </c>
      <c r="AU60" t="s">
        <v>2129</v>
      </c>
      <c r="AV60" t="s">
        <v>2129</v>
      </c>
      <c r="AW60" t="s">
        <v>2129</v>
      </c>
      <c r="AX60" t="s">
        <v>2129</v>
      </c>
      <c r="AY60" t="s">
        <v>2129</v>
      </c>
      <c r="AZ60" t="s">
        <v>2129</v>
      </c>
      <c r="BA60" t="s">
        <v>2129</v>
      </c>
      <c r="BB60" t="s">
        <v>2129</v>
      </c>
      <c r="BC60" t="s">
        <v>2129</v>
      </c>
      <c r="BD60" t="s">
        <v>2129</v>
      </c>
      <c r="BE60" t="s">
        <v>2129</v>
      </c>
      <c r="BF60" t="s">
        <v>2129</v>
      </c>
      <c r="BG60" t="s">
        <v>2129</v>
      </c>
      <c r="BH60" t="s">
        <v>2129</v>
      </c>
      <c r="BI60" t="s">
        <v>2129</v>
      </c>
      <c r="BJ60" t="s">
        <v>2129</v>
      </c>
      <c r="BK60" t="s">
        <v>2129</v>
      </c>
      <c r="BL60" t="s">
        <v>2129</v>
      </c>
      <c r="BM60" t="s">
        <v>2129</v>
      </c>
      <c r="BN60" t="s">
        <v>2129</v>
      </c>
      <c r="BO60" t="s">
        <v>2129</v>
      </c>
      <c r="BP60" t="s">
        <v>2129</v>
      </c>
      <c r="BS60" t="s">
        <v>2129</v>
      </c>
      <c r="BT60" t="s">
        <v>2129</v>
      </c>
      <c r="BW60" t="s">
        <v>2129</v>
      </c>
      <c r="BX60" t="s">
        <v>2129</v>
      </c>
      <c r="BY60" t="s">
        <v>2129</v>
      </c>
      <c r="BZ60" t="s">
        <v>2129</v>
      </c>
      <c r="CA60" t="s">
        <v>2129</v>
      </c>
      <c r="CB60" t="s">
        <v>2129</v>
      </c>
      <c r="CC60" t="s">
        <v>2129</v>
      </c>
      <c r="CD60" t="s">
        <v>2129</v>
      </c>
      <c r="CE60" t="s">
        <v>2129</v>
      </c>
      <c r="CF60" t="s">
        <v>2129</v>
      </c>
      <c r="CG60" t="s">
        <v>2129</v>
      </c>
      <c r="CH60" t="s">
        <v>2129</v>
      </c>
      <c r="CI60" t="s">
        <v>2129</v>
      </c>
      <c r="CJ60" t="s">
        <v>2129</v>
      </c>
      <c r="CK60" t="s">
        <v>2129</v>
      </c>
      <c r="CL60" t="s">
        <v>2129</v>
      </c>
      <c r="CM60" t="s">
        <v>2129</v>
      </c>
      <c r="CN60" t="s">
        <v>2129</v>
      </c>
      <c r="CO60" t="s">
        <v>2129</v>
      </c>
      <c r="CP60" t="s">
        <v>2129</v>
      </c>
      <c r="CQ60" t="s">
        <v>2129</v>
      </c>
      <c r="CR60" t="s">
        <v>2129</v>
      </c>
      <c r="CS60" t="s">
        <v>2129</v>
      </c>
      <c r="CT60" t="s">
        <v>2945</v>
      </c>
      <c r="CU60" t="s">
        <v>2946</v>
      </c>
      <c r="CV60" t="s">
        <v>2129</v>
      </c>
      <c r="CW60" t="s">
        <v>2129</v>
      </c>
      <c r="CX60" t="s">
        <v>2129</v>
      </c>
      <c r="CY60" t="s">
        <v>2129</v>
      </c>
      <c r="CZ60" t="s">
        <v>2129</v>
      </c>
      <c r="DA60" t="s">
        <v>2129</v>
      </c>
      <c r="DB60" t="s">
        <v>2129</v>
      </c>
      <c r="DC60" t="s">
        <v>2129</v>
      </c>
      <c r="DD60" t="s">
        <v>2129</v>
      </c>
      <c r="DE60" t="s">
        <v>2129</v>
      </c>
      <c r="DF60" t="s">
        <v>2129</v>
      </c>
      <c r="DG60" t="s">
        <v>2129</v>
      </c>
      <c r="DH60" t="s">
        <v>2129</v>
      </c>
      <c r="DJ60" t="s">
        <v>2129</v>
      </c>
      <c r="DK60" t="s">
        <v>2129</v>
      </c>
      <c r="DL60" t="s">
        <v>2129</v>
      </c>
      <c r="DM60" t="s">
        <v>2129</v>
      </c>
      <c r="DN60" t="s">
        <v>2129</v>
      </c>
      <c r="DO60" t="s">
        <v>2129</v>
      </c>
      <c r="DP60" t="s">
        <v>2129</v>
      </c>
      <c r="DQ60" t="s">
        <v>2129</v>
      </c>
      <c r="DR60" t="s">
        <v>2129</v>
      </c>
      <c r="DS60" t="s">
        <v>2129</v>
      </c>
      <c r="DT60" t="s">
        <v>2129</v>
      </c>
      <c r="DU60" t="s">
        <v>2129</v>
      </c>
      <c r="DV60" t="s">
        <v>2129</v>
      </c>
      <c r="DW60" t="s">
        <v>2129</v>
      </c>
      <c r="DX60" t="s">
        <v>2129</v>
      </c>
      <c r="DY60" t="s">
        <v>2129</v>
      </c>
      <c r="DZ60" t="s">
        <v>2129</v>
      </c>
      <c r="EA60" t="s">
        <v>2129</v>
      </c>
      <c r="EB60" t="s">
        <v>2129</v>
      </c>
      <c r="EC60" t="s">
        <v>2129</v>
      </c>
      <c r="ED60" t="s">
        <v>2129</v>
      </c>
      <c r="EE60" t="s">
        <v>2129</v>
      </c>
      <c r="EF60" t="s">
        <v>2129</v>
      </c>
      <c r="EG60" t="s">
        <v>2129</v>
      </c>
      <c r="EH60" t="s">
        <v>2129</v>
      </c>
    </row>
    <row r="61" spans="1:138" x14ac:dyDescent="0.25">
      <c r="A61" t="s">
        <v>3717</v>
      </c>
      <c r="B61" t="s">
        <v>3718</v>
      </c>
      <c r="C61">
        <v>23005</v>
      </c>
      <c r="E61" t="s">
        <v>2136</v>
      </c>
      <c r="F61" t="s">
        <v>16</v>
      </c>
      <c r="G61" t="s">
        <v>2155</v>
      </c>
      <c r="H61" t="s">
        <v>59</v>
      </c>
      <c r="I61" t="s">
        <v>2127</v>
      </c>
      <c r="J61" t="s">
        <v>2156</v>
      </c>
      <c r="K61" t="s">
        <v>2129</v>
      </c>
      <c r="L61" t="s">
        <v>2157</v>
      </c>
      <c r="M61" t="s">
        <v>2130</v>
      </c>
      <c r="N61" t="s">
        <v>16</v>
      </c>
      <c r="O61" t="s">
        <v>2156</v>
      </c>
      <c r="P61" t="s">
        <v>2156</v>
      </c>
      <c r="Q61" t="s">
        <v>2156</v>
      </c>
      <c r="R61" s="37">
        <v>46073.394444444442</v>
      </c>
      <c r="S61" s="37">
        <v>46090.329861111109</v>
      </c>
      <c r="T61" s="37">
        <v>46100.368750000001</v>
      </c>
      <c r="U61" s="37">
        <v>46090.329861111109</v>
      </c>
      <c r="V61" t="s">
        <v>2129</v>
      </c>
      <c r="W61" t="s">
        <v>2129</v>
      </c>
      <c r="X61" t="s">
        <v>2129</v>
      </c>
      <c r="Y61">
        <v>0</v>
      </c>
      <c r="Z61" t="s">
        <v>2129</v>
      </c>
      <c r="AA61" t="s">
        <v>2129</v>
      </c>
      <c r="AB61" t="s">
        <v>2129</v>
      </c>
      <c r="AC61" t="s">
        <v>2156</v>
      </c>
      <c r="AD61" t="s">
        <v>2129</v>
      </c>
      <c r="AE61" t="s">
        <v>2129</v>
      </c>
      <c r="AF61" t="s">
        <v>2129</v>
      </c>
      <c r="AG61" t="s">
        <v>2129</v>
      </c>
      <c r="AH61" t="s">
        <v>3719</v>
      </c>
      <c r="AI61" t="s">
        <v>3720</v>
      </c>
      <c r="AJ61" t="s">
        <v>3721</v>
      </c>
      <c r="AK61" t="s">
        <v>2129</v>
      </c>
      <c r="AL61" t="s">
        <v>2129</v>
      </c>
      <c r="AM61" t="s">
        <v>2129</v>
      </c>
      <c r="AN61" t="s">
        <v>2129</v>
      </c>
      <c r="AO61" t="s">
        <v>2129</v>
      </c>
      <c r="AP61" t="s">
        <v>2129</v>
      </c>
      <c r="AQ61" t="s">
        <v>2129</v>
      </c>
      <c r="AR61" t="s">
        <v>2129</v>
      </c>
      <c r="AS61" t="s">
        <v>2129</v>
      </c>
      <c r="AT61" t="s">
        <v>2129</v>
      </c>
      <c r="AU61" t="s">
        <v>2129</v>
      </c>
      <c r="AV61" t="s">
        <v>2129</v>
      </c>
      <c r="AW61" t="s">
        <v>2129</v>
      </c>
      <c r="AX61" t="s">
        <v>2129</v>
      </c>
      <c r="AY61" t="s">
        <v>2129</v>
      </c>
      <c r="AZ61" t="s">
        <v>2129</v>
      </c>
      <c r="BA61" t="s">
        <v>2129</v>
      </c>
      <c r="BB61" t="s">
        <v>2129</v>
      </c>
      <c r="BC61" t="s">
        <v>2129</v>
      </c>
      <c r="BD61" t="s">
        <v>2129</v>
      </c>
      <c r="BE61" t="s">
        <v>2129</v>
      </c>
      <c r="BF61" t="s">
        <v>2129</v>
      </c>
      <c r="BG61" t="s">
        <v>2129</v>
      </c>
      <c r="BH61" t="s">
        <v>2129</v>
      </c>
      <c r="BI61" t="s">
        <v>2129</v>
      </c>
      <c r="BJ61" t="s">
        <v>2129</v>
      </c>
      <c r="BK61" t="s">
        <v>2129</v>
      </c>
      <c r="BL61" t="s">
        <v>2129</v>
      </c>
      <c r="BM61" t="s">
        <v>2129</v>
      </c>
      <c r="BN61" t="s">
        <v>2129</v>
      </c>
      <c r="BO61" t="s">
        <v>2129</v>
      </c>
      <c r="BP61" t="s">
        <v>2129</v>
      </c>
      <c r="BQ61">
        <v>0</v>
      </c>
      <c r="BR61">
        <v>39600</v>
      </c>
      <c r="BS61" t="s">
        <v>2129</v>
      </c>
      <c r="BT61" t="s">
        <v>2129</v>
      </c>
      <c r="BU61">
        <v>0</v>
      </c>
      <c r="BV61">
        <v>39600</v>
      </c>
      <c r="BW61" t="s">
        <v>2129</v>
      </c>
      <c r="BX61" t="s">
        <v>2129</v>
      </c>
      <c r="BY61" t="s">
        <v>2129</v>
      </c>
      <c r="BZ61" t="s">
        <v>2129</v>
      </c>
      <c r="CA61" t="s">
        <v>2129</v>
      </c>
      <c r="CB61" t="s">
        <v>2129</v>
      </c>
      <c r="CC61" t="s">
        <v>2129</v>
      </c>
      <c r="CD61" t="s">
        <v>2129</v>
      </c>
      <c r="CE61" t="s">
        <v>2129</v>
      </c>
      <c r="CF61" t="s">
        <v>2129</v>
      </c>
      <c r="CG61" t="s">
        <v>2129</v>
      </c>
      <c r="CH61" t="s">
        <v>2129</v>
      </c>
      <c r="CI61" t="s">
        <v>2129</v>
      </c>
      <c r="CJ61" t="s">
        <v>2129</v>
      </c>
      <c r="CK61" t="s">
        <v>2129</v>
      </c>
      <c r="CL61" t="s">
        <v>2129</v>
      </c>
      <c r="CM61" t="s">
        <v>2129</v>
      </c>
      <c r="CN61" t="s">
        <v>2129</v>
      </c>
      <c r="CO61" t="s">
        <v>2129</v>
      </c>
      <c r="CP61" t="s">
        <v>2129</v>
      </c>
      <c r="CQ61" t="s">
        <v>2129</v>
      </c>
      <c r="CR61" t="s">
        <v>2129</v>
      </c>
      <c r="CS61" t="s">
        <v>2129</v>
      </c>
      <c r="CT61" t="s">
        <v>3722</v>
      </c>
      <c r="CU61" t="s">
        <v>2946</v>
      </c>
      <c r="CV61" t="s">
        <v>2129</v>
      </c>
      <c r="CW61" t="s">
        <v>2129</v>
      </c>
      <c r="CX61" t="s">
        <v>2129</v>
      </c>
      <c r="CY61" t="s">
        <v>2129</v>
      </c>
      <c r="CZ61" t="s">
        <v>2129</v>
      </c>
      <c r="DA61" t="s">
        <v>2129</v>
      </c>
      <c r="DB61" t="s">
        <v>2129</v>
      </c>
      <c r="DC61" t="s">
        <v>2129</v>
      </c>
      <c r="DD61" t="s">
        <v>2129</v>
      </c>
      <c r="DE61" t="s">
        <v>2129</v>
      </c>
      <c r="DF61" t="s">
        <v>2129</v>
      </c>
      <c r="DG61" t="s">
        <v>2129</v>
      </c>
      <c r="DH61" t="s">
        <v>2129</v>
      </c>
      <c r="DJ61" t="s">
        <v>2129</v>
      </c>
      <c r="DK61" t="s">
        <v>2129</v>
      </c>
      <c r="DL61" t="s">
        <v>2129</v>
      </c>
      <c r="DM61" t="s">
        <v>2129</v>
      </c>
      <c r="DN61" t="s">
        <v>2129</v>
      </c>
      <c r="DO61" t="s">
        <v>2129</v>
      </c>
      <c r="DP61" t="s">
        <v>2129</v>
      </c>
      <c r="DQ61" t="s">
        <v>2129</v>
      </c>
      <c r="DR61" t="s">
        <v>2129</v>
      </c>
      <c r="DS61" t="s">
        <v>2129</v>
      </c>
      <c r="DT61" t="s">
        <v>2129</v>
      </c>
      <c r="DU61" t="s">
        <v>2129</v>
      </c>
      <c r="DV61" t="s">
        <v>2129</v>
      </c>
      <c r="DW61" t="s">
        <v>2129</v>
      </c>
      <c r="DX61" t="s">
        <v>2129</v>
      </c>
      <c r="DY61" t="s">
        <v>2129</v>
      </c>
      <c r="DZ61" t="s">
        <v>2129</v>
      </c>
      <c r="EA61" t="s">
        <v>2129</v>
      </c>
      <c r="EB61" t="s">
        <v>2129</v>
      </c>
      <c r="EC61" t="s">
        <v>2129</v>
      </c>
      <c r="ED61" t="s">
        <v>2129</v>
      </c>
      <c r="EE61" t="s">
        <v>2129</v>
      </c>
      <c r="EF61" t="s">
        <v>2129</v>
      </c>
      <c r="EG61" t="s">
        <v>2129</v>
      </c>
      <c r="EH61" t="s">
        <v>2129</v>
      </c>
    </row>
    <row r="62" spans="1:138" x14ac:dyDescent="0.25">
      <c r="A62" t="s">
        <v>1723</v>
      </c>
      <c r="B62" t="s">
        <v>3723</v>
      </c>
      <c r="C62">
        <v>23132</v>
      </c>
      <c r="E62" t="s">
        <v>2136</v>
      </c>
      <c r="F62" t="s">
        <v>10</v>
      </c>
      <c r="G62" t="s">
        <v>2947</v>
      </c>
      <c r="H62" t="s">
        <v>455</v>
      </c>
      <c r="I62" t="s">
        <v>2127</v>
      </c>
      <c r="J62" t="s">
        <v>2141</v>
      </c>
      <c r="K62" t="s">
        <v>2129</v>
      </c>
      <c r="L62" t="s">
        <v>2129</v>
      </c>
      <c r="M62" t="s">
        <v>2130</v>
      </c>
      <c r="N62" t="s">
        <v>2129</v>
      </c>
      <c r="O62" t="s">
        <v>2143</v>
      </c>
      <c r="P62" t="s">
        <v>2141</v>
      </c>
      <c r="Q62" t="s">
        <v>2141</v>
      </c>
      <c r="R62" s="37">
        <v>46090.451388888891</v>
      </c>
      <c r="S62" s="37">
        <v>46090.451388888891</v>
      </c>
      <c r="T62" s="37">
        <v>46100.368750000001</v>
      </c>
      <c r="U62" s="37"/>
      <c r="V62" t="s">
        <v>2129</v>
      </c>
      <c r="W62" t="s">
        <v>2129</v>
      </c>
      <c r="X62" t="s">
        <v>2129</v>
      </c>
      <c r="Y62">
        <v>0</v>
      </c>
      <c r="Z62" t="s">
        <v>2129</v>
      </c>
      <c r="AA62" t="s">
        <v>2129</v>
      </c>
      <c r="AB62" t="s">
        <v>2129</v>
      </c>
      <c r="AC62" t="s">
        <v>2141</v>
      </c>
      <c r="AD62" t="s">
        <v>2129</v>
      </c>
      <c r="AE62" t="s">
        <v>2129</v>
      </c>
      <c r="AF62" t="s">
        <v>2129</v>
      </c>
      <c r="AG62" t="s">
        <v>2129</v>
      </c>
      <c r="AH62" t="s">
        <v>2129</v>
      </c>
      <c r="AI62" t="s">
        <v>2129</v>
      </c>
      <c r="AJ62" t="s">
        <v>2129</v>
      </c>
      <c r="AK62" t="s">
        <v>2129</v>
      </c>
      <c r="AL62" t="s">
        <v>2129</v>
      </c>
      <c r="AM62" t="s">
        <v>2129</v>
      </c>
      <c r="AN62" t="s">
        <v>2129</v>
      </c>
      <c r="AO62" t="s">
        <v>2129</v>
      </c>
      <c r="AP62" t="s">
        <v>2129</v>
      </c>
      <c r="AQ62" t="s">
        <v>2129</v>
      </c>
      <c r="AR62" t="s">
        <v>2129</v>
      </c>
      <c r="AS62" t="s">
        <v>2129</v>
      </c>
      <c r="AT62" t="s">
        <v>2129</v>
      </c>
      <c r="AU62" t="s">
        <v>2129</v>
      </c>
      <c r="AV62" t="s">
        <v>2129</v>
      </c>
      <c r="AW62" t="s">
        <v>2129</v>
      </c>
      <c r="AX62" t="s">
        <v>2129</v>
      </c>
      <c r="AY62" t="s">
        <v>2129</v>
      </c>
      <c r="AZ62" t="s">
        <v>2129</v>
      </c>
      <c r="BA62" t="s">
        <v>2129</v>
      </c>
      <c r="BB62" t="s">
        <v>2129</v>
      </c>
      <c r="BC62" t="s">
        <v>2129</v>
      </c>
      <c r="BD62" t="s">
        <v>2129</v>
      </c>
      <c r="BE62" t="s">
        <v>2129</v>
      </c>
      <c r="BF62" t="s">
        <v>2129</v>
      </c>
      <c r="BG62" t="s">
        <v>2129</v>
      </c>
      <c r="BH62" t="s">
        <v>2129</v>
      </c>
      <c r="BI62" t="s">
        <v>2129</v>
      </c>
      <c r="BJ62" t="s">
        <v>2129</v>
      </c>
      <c r="BK62" t="s">
        <v>2129</v>
      </c>
      <c r="BL62" t="s">
        <v>2129</v>
      </c>
      <c r="BM62" t="s">
        <v>2129</v>
      </c>
      <c r="BN62" t="s">
        <v>2129</v>
      </c>
      <c r="BO62" t="s">
        <v>2129</v>
      </c>
      <c r="BP62" t="s">
        <v>2129</v>
      </c>
      <c r="BS62" t="s">
        <v>2129</v>
      </c>
      <c r="BT62" t="s">
        <v>2129</v>
      </c>
      <c r="BW62" t="s">
        <v>2129</v>
      </c>
      <c r="BX62" t="s">
        <v>2129</v>
      </c>
      <c r="BY62" t="s">
        <v>2129</v>
      </c>
      <c r="BZ62" t="s">
        <v>2129</v>
      </c>
      <c r="CA62" t="s">
        <v>2129</v>
      </c>
      <c r="CB62" t="s">
        <v>2129</v>
      </c>
      <c r="CC62" t="s">
        <v>2129</v>
      </c>
      <c r="CD62" t="s">
        <v>2129</v>
      </c>
      <c r="CE62" t="s">
        <v>2129</v>
      </c>
      <c r="CF62" t="s">
        <v>2129</v>
      </c>
      <c r="CG62" t="s">
        <v>2129</v>
      </c>
      <c r="CH62" t="s">
        <v>2129</v>
      </c>
      <c r="CI62" t="s">
        <v>2129</v>
      </c>
      <c r="CJ62" t="s">
        <v>2129</v>
      </c>
      <c r="CK62" t="s">
        <v>2129</v>
      </c>
      <c r="CL62" t="s">
        <v>2129</v>
      </c>
      <c r="CM62" t="s">
        <v>2129</v>
      </c>
      <c r="CN62" t="s">
        <v>2129</v>
      </c>
      <c r="CO62" t="s">
        <v>2129</v>
      </c>
      <c r="CP62" t="s">
        <v>2129</v>
      </c>
      <c r="CQ62" t="s">
        <v>2129</v>
      </c>
      <c r="CR62" t="s">
        <v>2129</v>
      </c>
      <c r="CS62" t="s">
        <v>2129</v>
      </c>
      <c r="CT62" t="s">
        <v>3724</v>
      </c>
      <c r="CU62" t="s">
        <v>3725</v>
      </c>
      <c r="CV62" t="s">
        <v>2129</v>
      </c>
      <c r="CW62" t="s">
        <v>2129</v>
      </c>
      <c r="CX62" t="s">
        <v>2129</v>
      </c>
      <c r="CY62" t="s">
        <v>2129</v>
      </c>
      <c r="CZ62" t="s">
        <v>2129</v>
      </c>
      <c r="DA62" t="s">
        <v>2129</v>
      </c>
      <c r="DB62" t="s">
        <v>2129</v>
      </c>
      <c r="DC62" t="s">
        <v>2129</v>
      </c>
      <c r="DD62" t="s">
        <v>2129</v>
      </c>
      <c r="DE62" t="s">
        <v>2129</v>
      </c>
      <c r="DF62" t="s">
        <v>2129</v>
      </c>
      <c r="DG62" t="s">
        <v>2129</v>
      </c>
      <c r="DH62" t="s">
        <v>2129</v>
      </c>
      <c r="DJ62" t="s">
        <v>2129</v>
      </c>
      <c r="DK62" t="s">
        <v>2129</v>
      </c>
      <c r="DL62" t="s">
        <v>2129</v>
      </c>
      <c r="DM62" t="s">
        <v>2129</v>
      </c>
      <c r="DN62" t="s">
        <v>2129</v>
      </c>
      <c r="DO62" t="s">
        <v>2129</v>
      </c>
      <c r="DP62" t="s">
        <v>2129</v>
      </c>
      <c r="DQ62" t="s">
        <v>2129</v>
      </c>
      <c r="DR62" t="s">
        <v>2129</v>
      </c>
      <c r="DS62" t="s">
        <v>2129</v>
      </c>
      <c r="DT62" t="s">
        <v>2129</v>
      </c>
      <c r="DU62" t="s">
        <v>2129</v>
      </c>
      <c r="DV62" t="s">
        <v>2129</v>
      </c>
      <c r="DW62" t="s">
        <v>2129</v>
      </c>
      <c r="DX62" t="s">
        <v>2129</v>
      </c>
      <c r="DY62" t="s">
        <v>2129</v>
      </c>
      <c r="DZ62" t="s">
        <v>2129</v>
      </c>
      <c r="EA62" t="s">
        <v>2129</v>
      </c>
      <c r="EB62" t="s">
        <v>2129</v>
      </c>
      <c r="EC62" t="s">
        <v>2129</v>
      </c>
      <c r="ED62" t="s">
        <v>2129</v>
      </c>
      <c r="EE62" t="s">
        <v>2129</v>
      </c>
      <c r="EF62" t="s">
        <v>2129</v>
      </c>
      <c r="EG62" t="s">
        <v>2129</v>
      </c>
      <c r="EH62" t="s">
        <v>2129</v>
      </c>
    </row>
    <row r="63" spans="1:138" x14ac:dyDescent="0.25">
      <c r="A63" t="s">
        <v>2988</v>
      </c>
      <c r="B63" t="s">
        <v>3203</v>
      </c>
      <c r="C63">
        <v>23067</v>
      </c>
      <c r="E63" t="s">
        <v>14</v>
      </c>
      <c r="F63" t="s">
        <v>1820</v>
      </c>
      <c r="G63" t="s">
        <v>2947</v>
      </c>
      <c r="H63" t="s">
        <v>455</v>
      </c>
      <c r="I63" t="s">
        <v>2127</v>
      </c>
      <c r="J63" t="s">
        <v>2141</v>
      </c>
      <c r="K63" t="s">
        <v>2129</v>
      </c>
      <c r="L63" t="s">
        <v>2129</v>
      </c>
      <c r="M63" t="s">
        <v>2130</v>
      </c>
      <c r="N63" t="s">
        <v>2129</v>
      </c>
      <c r="O63" t="s">
        <v>2143</v>
      </c>
      <c r="P63" t="s">
        <v>2145</v>
      </c>
      <c r="Q63" t="s">
        <v>2145</v>
      </c>
      <c r="R63" s="37">
        <v>46083.40347222222</v>
      </c>
      <c r="S63" s="37">
        <v>46091.336805555555</v>
      </c>
      <c r="T63" s="37">
        <v>46100.368750000001</v>
      </c>
      <c r="U63" s="37"/>
      <c r="V63" t="s">
        <v>2129</v>
      </c>
      <c r="W63" t="s">
        <v>2129</v>
      </c>
      <c r="X63" t="s">
        <v>2129</v>
      </c>
      <c r="Y63">
        <v>0</v>
      </c>
      <c r="Z63" t="s">
        <v>2129</v>
      </c>
      <c r="AA63" t="s">
        <v>3726</v>
      </c>
      <c r="AB63" t="s">
        <v>2129</v>
      </c>
      <c r="AC63" t="s">
        <v>2141</v>
      </c>
      <c r="AD63" t="s">
        <v>2145</v>
      </c>
      <c r="AE63" t="s">
        <v>2129</v>
      </c>
      <c r="AF63" t="s">
        <v>2129</v>
      </c>
      <c r="AG63" t="s">
        <v>2129</v>
      </c>
      <c r="AH63" t="s">
        <v>2129</v>
      </c>
      <c r="AI63" t="s">
        <v>2129</v>
      </c>
      <c r="AJ63" t="s">
        <v>2129</v>
      </c>
      <c r="AK63" t="s">
        <v>2129</v>
      </c>
      <c r="AL63" t="s">
        <v>2129</v>
      </c>
      <c r="AM63" t="s">
        <v>2129</v>
      </c>
      <c r="AN63" t="s">
        <v>2129</v>
      </c>
      <c r="AO63" t="s">
        <v>2129</v>
      </c>
      <c r="AP63" t="s">
        <v>2129</v>
      </c>
      <c r="AQ63" t="s">
        <v>2129</v>
      </c>
      <c r="AR63" t="s">
        <v>2129</v>
      </c>
      <c r="AS63" t="s">
        <v>2129</v>
      </c>
      <c r="AT63" t="s">
        <v>2129</v>
      </c>
      <c r="AU63" t="s">
        <v>2129</v>
      </c>
      <c r="AV63" t="s">
        <v>2129</v>
      </c>
      <c r="AW63" t="s">
        <v>2129</v>
      </c>
      <c r="AX63" t="s">
        <v>2129</v>
      </c>
      <c r="AY63" t="s">
        <v>2129</v>
      </c>
      <c r="AZ63" t="s">
        <v>2129</v>
      </c>
      <c r="BA63" t="s">
        <v>2129</v>
      </c>
      <c r="BB63" t="s">
        <v>2129</v>
      </c>
      <c r="BC63" t="s">
        <v>2129</v>
      </c>
      <c r="BD63" t="s">
        <v>2129</v>
      </c>
      <c r="BE63" t="s">
        <v>2129</v>
      </c>
      <c r="BF63" t="s">
        <v>2129</v>
      </c>
      <c r="BG63" t="s">
        <v>2129</v>
      </c>
      <c r="BH63" t="s">
        <v>2129</v>
      </c>
      <c r="BI63" t="s">
        <v>2129</v>
      </c>
      <c r="BJ63" t="s">
        <v>2129</v>
      </c>
      <c r="BK63" t="s">
        <v>2129</v>
      </c>
      <c r="BL63" t="s">
        <v>2129</v>
      </c>
      <c r="BM63" t="s">
        <v>2129</v>
      </c>
      <c r="BN63" t="s">
        <v>2129</v>
      </c>
      <c r="BO63" t="s">
        <v>2129</v>
      </c>
      <c r="BP63" t="s">
        <v>2129</v>
      </c>
      <c r="BS63" t="s">
        <v>2129</v>
      </c>
      <c r="BT63" t="s">
        <v>2129</v>
      </c>
      <c r="BW63" t="s">
        <v>2129</v>
      </c>
      <c r="BX63" t="s">
        <v>2129</v>
      </c>
      <c r="BY63" t="s">
        <v>2129</v>
      </c>
      <c r="BZ63" t="s">
        <v>2129</v>
      </c>
      <c r="CA63" t="s">
        <v>2129</v>
      </c>
      <c r="CB63" t="s">
        <v>2129</v>
      </c>
      <c r="CC63" t="s">
        <v>2129</v>
      </c>
      <c r="CD63" t="s">
        <v>2129</v>
      </c>
      <c r="CE63" t="s">
        <v>2129</v>
      </c>
      <c r="CF63" t="s">
        <v>2129</v>
      </c>
      <c r="CG63" t="s">
        <v>2129</v>
      </c>
      <c r="CH63" t="s">
        <v>2129</v>
      </c>
      <c r="CI63" t="s">
        <v>2129</v>
      </c>
      <c r="CJ63" t="s">
        <v>2129</v>
      </c>
      <c r="CK63" t="s">
        <v>2129</v>
      </c>
      <c r="CL63" t="s">
        <v>2129</v>
      </c>
      <c r="CM63" t="s">
        <v>2913</v>
      </c>
      <c r="CN63" t="s">
        <v>2129</v>
      </c>
      <c r="CO63" t="s">
        <v>2129</v>
      </c>
      <c r="CP63" t="s">
        <v>2129</v>
      </c>
      <c r="CQ63" t="s">
        <v>2129</v>
      </c>
      <c r="CR63" t="s">
        <v>2129</v>
      </c>
      <c r="CS63" t="s">
        <v>2129</v>
      </c>
      <c r="CT63" t="s">
        <v>3727</v>
      </c>
      <c r="CU63" t="s">
        <v>3725</v>
      </c>
      <c r="CV63" t="s">
        <v>2129</v>
      </c>
      <c r="CW63" t="s">
        <v>2129</v>
      </c>
      <c r="CX63" t="s">
        <v>2129</v>
      </c>
      <c r="CY63" t="s">
        <v>2129</v>
      </c>
      <c r="CZ63" t="s">
        <v>2129</v>
      </c>
      <c r="DA63" t="s">
        <v>2129</v>
      </c>
      <c r="DB63" t="s">
        <v>2129</v>
      </c>
      <c r="DC63" t="s">
        <v>2129</v>
      </c>
      <c r="DD63" t="s">
        <v>2129</v>
      </c>
      <c r="DE63" t="s">
        <v>2129</v>
      </c>
      <c r="DF63" t="s">
        <v>2129</v>
      </c>
      <c r="DG63" t="s">
        <v>2129</v>
      </c>
      <c r="DH63" t="s">
        <v>2129</v>
      </c>
      <c r="DI63">
        <v>30</v>
      </c>
      <c r="DJ63" t="s">
        <v>2129</v>
      </c>
      <c r="DK63" t="s">
        <v>2129</v>
      </c>
      <c r="DL63" t="s">
        <v>3728</v>
      </c>
      <c r="DM63" t="s">
        <v>2129</v>
      </c>
      <c r="DN63" t="s">
        <v>2129</v>
      </c>
      <c r="DO63" t="s">
        <v>2129</v>
      </c>
      <c r="DP63" t="s">
        <v>2129</v>
      </c>
      <c r="DQ63" t="s">
        <v>2129</v>
      </c>
      <c r="DR63" t="s">
        <v>2129</v>
      </c>
      <c r="DS63" t="s">
        <v>2129</v>
      </c>
      <c r="DT63" t="s">
        <v>2129</v>
      </c>
      <c r="DU63" t="s">
        <v>2129</v>
      </c>
      <c r="DV63" t="s">
        <v>2129</v>
      </c>
      <c r="DW63" t="s">
        <v>2129</v>
      </c>
      <c r="DX63" t="s">
        <v>2129</v>
      </c>
      <c r="DY63" t="s">
        <v>2129</v>
      </c>
      <c r="DZ63" t="s">
        <v>2129</v>
      </c>
      <c r="EA63" t="s">
        <v>2129</v>
      </c>
      <c r="EB63" t="s">
        <v>2129</v>
      </c>
      <c r="EC63" t="s">
        <v>2129</v>
      </c>
      <c r="ED63" t="s">
        <v>2129</v>
      </c>
      <c r="EE63" t="s">
        <v>2129</v>
      </c>
      <c r="EF63" t="s">
        <v>2129</v>
      </c>
      <c r="EG63" t="s">
        <v>2129</v>
      </c>
      <c r="EH63" t="s">
        <v>2129</v>
      </c>
    </row>
    <row r="64" spans="1:138" x14ac:dyDescent="0.25">
      <c r="A64" t="s">
        <v>3729</v>
      </c>
      <c r="B64" t="s">
        <v>3233</v>
      </c>
      <c r="C64">
        <v>23199</v>
      </c>
      <c r="E64" t="s">
        <v>14</v>
      </c>
      <c r="F64" t="s">
        <v>10</v>
      </c>
      <c r="G64" t="s">
        <v>2163</v>
      </c>
      <c r="H64" t="s">
        <v>56</v>
      </c>
      <c r="I64" t="s">
        <v>2127</v>
      </c>
      <c r="J64" t="s">
        <v>2156</v>
      </c>
      <c r="K64" t="s">
        <v>2129</v>
      </c>
      <c r="L64" t="s">
        <v>2129</v>
      </c>
      <c r="M64" t="s">
        <v>2130</v>
      </c>
      <c r="N64" t="s">
        <v>2129</v>
      </c>
      <c r="O64" t="s">
        <v>3730</v>
      </c>
      <c r="P64" t="s">
        <v>2145</v>
      </c>
      <c r="Q64" t="s">
        <v>2145</v>
      </c>
      <c r="R64" s="37">
        <v>46099.418749999997</v>
      </c>
      <c r="S64" s="37">
        <v>46099.53402777778</v>
      </c>
      <c r="T64" s="37">
        <v>46100.368750000001</v>
      </c>
      <c r="U64" s="37"/>
      <c r="V64" t="s">
        <v>2129</v>
      </c>
      <c r="W64" t="s">
        <v>2129</v>
      </c>
      <c r="X64" t="s">
        <v>2129</v>
      </c>
      <c r="Y64">
        <v>0</v>
      </c>
      <c r="Z64" t="s">
        <v>2129</v>
      </c>
      <c r="AA64" t="s">
        <v>3731</v>
      </c>
      <c r="AB64" t="s">
        <v>2129</v>
      </c>
      <c r="AC64" t="s">
        <v>2145</v>
      </c>
      <c r="AD64" t="s">
        <v>2129</v>
      </c>
      <c r="AE64" t="s">
        <v>2129</v>
      </c>
      <c r="AF64" t="s">
        <v>2129</v>
      </c>
      <c r="AG64" t="s">
        <v>2129</v>
      </c>
      <c r="AH64" t="s">
        <v>2129</v>
      </c>
      <c r="AI64" t="s">
        <v>2129</v>
      </c>
      <c r="AJ64" t="s">
        <v>2129</v>
      </c>
      <c r="AK64" t="s">
        <v>2129</v>
      </c>
      <c r="AL64" t="s">
        <v>2129</v>
      </c>
      <c r="AM64" t="s">
        <v>2129</v>
      </c>
      <c r="AN64" t="s">
        <v>2129</v>
      </c>
      <c r="AO64" t="s">
        <v>2129</v>
      </c>
      <c r="AP64" t="s">
        <v>2129</v>
      </c>
      <c r="AQ64" t="s">
        <v>2129</v>
      </c>
      <c r="AR64" t="s">
        <v>2129</v>
      </c>
      <c r="AS64" t="s">
        <v>2129</v>
      </c>
      <c r="AT64" t="s">
        <v>2129</v>
      </c>
      <c r="AU64" t="s">
        <v>2129</v>
      </c>
      <c r="AV64" t="s">
        <v>2129</v>
      </c>
      <c r="AW64" t="s">
        <v>2129</v>
      </c>
      <c r="AX64" t="s">
        <v>2129</v>
      </c>
      <c r="AY64" t="s">
        <v>2129</v>
      </c>
      <c r="AZ64" t="s">
        <v>2129</v>
      </c>
      <c r="BA64" t="s">
        <v>2129</v>
      </c>
      <c r="BB64" t="s">
        <v>2129</v>
      </c>
      <c r="BC64" t="s">
        <v>2129</v>
      </c>
      <c r="BD64" t="s">
        <v>2129</v>
      </c>
      <c r="BE64" t="s">
        <v>2129</v>
      </c>
      <c r="BF64" t="s">
        <v>2129</v>
      </c>
      <c r="BG64" t="s">
        <v>2129</v>
      </c>
      <c r="BH64" t="s">
        <v>2129</v>
      </c>
      <c r="BI64" t="s">
        <v>2129</v>
      </c>
      <c r="BJ64" t="s">
        <v>2129</v>
      </c>
      <c r="BK64" t="s">
        <v>2129</v>
      </c>
      <c r="BL64" t="s">
        <v>2129</v>
      </c>
      <c r="BM64" t="s">
        <v>2129</v>
      </c>
      <c r="BN64" t="s">
        <v>2129</v>
      </c>
      <c r="BO64" t="s">
        <v>2129</v>
      </c>
      <c r="BP64" t="s">
        <v>2129</v>
      </c>
      <c r="BS64" t="s">
        <v>2129</v>
      </c>
      <c r="BT64" t="s">
        <v>2129</v>
      </c>
      <c r="BW64" t="s">
        <v>2129</v>
      </c>
      <c r="BX64" t="s">
        <v>2129</v>
      </c>
      <c r="BY64" t="s">
        <v>2129</v>
      </c>
      <c r="BZ64" t="s">
        <v>2129</v>
      </c>
      <c r="CA64" t="s">
        <v>2129</v>
      </c>
      <c r="CB64" t="s">
        <v>2129</v>
      </c>
      <c r="CC64" t="s">
        <v>2129</v>
      </c>
      <c r="CD64" t="s">
        <v>2129</v>
      </c>
      <c r="CE64" t="s">
        <v>2129</v>
      </c>
      <c r="CF64" t="s">
        <v>2129</v>
      </c>
      <c r="CG64" t="s">
        <v>2129</v>
      </c>
      <c r="CH64" t="s">
        <v>2129</v>
      </c>
      <c r="CI64" t="s">
        <v>2129</v>
      </c>
      <c r="CJ64" t="s">
        <v>2129</v>
      </c>
      <c r="CK64" t="s">
        <v>2129</v>
      </c>
      <c r="CL64" t="s">
        <v>2129</v>
      </c>
      <c r="CM64" t="s">
        <v>2129</v>
      </c>
      <c r="CN64" t="s">
        <v>2129</v>
      </c>
      <c r="CO64" t="s">
        <v>2129</v>
      </c>
      <c r="CP64" t="s">
        <v>2129</v>
      </c>
      <c r="CQ64" t="s">
        <v>2129</v>
      </c>
      <c r="CR64" t="s">
        <v>2129</v>
      </c>
      <c r="CS64" t="s">
        <v>2129</v>
      </c>
      <c r="CT64" t="s">
        <v>3732</v>
      </c>
      <c r="CU64" t="s">
        <v>3733</v>
      </c>
      <c r="CV64" t="s">
        <v>2129</v>
      </c>
      <c r="CW64" t="s">
        <v>2129</v>
      </c>
      <c r="CX64" t="s">
        <v>2129</v>
      </c>
      <c r="CY64" t="s">
        <v>2129</v>
      </c>
      <c r="CZ64" t="s">
        <v>2129</v>
      </c>
      <c r="DA64" t="s">
        <v>2129</v>
      </c>
      <c r="DB64" t="s">
        <v>2129</v>
      </c>
      <c r="DC64" t="s">
        <v>2129</v>
      </c>
      <c r="DD64" t="s">
        <v>2129</v>
      </c>
      <c r="DE64" t="s">
        <v>2129</v>
      </c>
      <c r="DF64" t="s">
        <v>2129</v>
      </c>
      <c r="DG64" t="s">
        <v>2129</v>
      </c>
      <c r="DH64" t="s">
        <v>2129</v>
      </c>
      <c r="DI64">
        <v>130</v>
      </c>
      <c r="DJ64" t="s">
        <v>2129</v>
      </c>
      <c r="DK64" t="s">
        <v>2129</v>
      </c>
      <c r="DL64" t="s">
        <v>3734</v>
      </c>
      <c r="DM64" t="s">
        <v>2129</v>
      </c>
      <c r="DN64" t="s">
        <v>2129</v>
      </c>
      <c r="DO64" t="s">
        <v>2129</v>
      </c>
      <c r="DP64" t="s">
        <v>2129</v>
      </c>
      <c r="DQ64" t="s">
        <v>2129</v>
      </c>
      <c r="DR64" t="s">
        <v>2129</v>
      </c>
      <c r="DS64" t="s">
        <v>2129</v>
      </c>
      <c r="DT64" t="s">
        <v>2129</v>
      </c>
      <c r="DU64" t="s">
        <v>2129</v>
      </c>
      <c r="DV64" t="s">
        <v>2129</v>
      </c>
      <c r="DW64" t="s">
        <v>2129</v>
      </c>
      <c r="DX64" t="s">
        <v>2129</v>
      </c>
      <c r="DY64" t="s">
        <v>2129</v>
      </c>
      <c r="DZ64" t="s">
        <v>2129</v>
      </c>
      <c r="EA64" t="s">
        <v>2129</v>
      </c>
      <c r="EB64" t="s">
        <v>2129</v>
      </c>
      <c r="EC64" t="s">
        <v>2129</v>
      </c>
      <c r="ED64" t="s">
        <v>2129</v>
      </c>
      <c r="EE64" t="s">
        <v>2129</v>
      </c>
      <c r="EF64" t="s">
        <v>2129</v>
      </c>
      <c r="EG64" t="s">
        <v>2129</v>
      </c>
      <c r="EH64" t="s">
        <v>2129</v>
      </c>
    </row>
    <row r="65" spans="1:138" x14ac:dyDescent="0.25">
      <c r="A65" t="s">
        <v>3241</v>
      </c>
      <c r="B65" t="s">
        <v>3234</v>
      </c>
      <c r="C65">
        <v>23198</v>
      </c>
      <c r="E65" t="s">
        <v>14</v>
      </c>
      <c r="F65" t="s">
        <v>10</v>
      </c>
      <c r="G65" t="s">
        <v>2163</v>
      </c>
      <c r="H65" t="s">
        <v>56</v>
      </c>
      <c r="I65" t="s">
        <v>2127</v>
      </c>
      <c r="J65" t="s">
        <v>2156</v>
      </c>
      <c r="K65" t="s">
        <v>2129</v>
      </c>
      <c r="L65" t="s">
        <v>2129</v>
      </c>
      <c r="M65" t="s">
        <v>2130</v>
      </c>
      <c r="N65" t="s">
        <v>2129</v>
      </c>
      <c r="O65" t="s">
        <v>2180</v>
      </c>
      <c r="P65" t="s">
        <v>2145</v>
      </c>
      <c r="Q65" t="s">
        <v>2145</v>
      </c>
      <c r="R65" s="37">
        <v>46099.415972222225</v>
      </c>
      <c r="S65" s="37">
        <v>46099.536111111112</v>
      </c>
      <c r="T65" s="37">
        <v>46100.368750000001</v>
      </c>
      <c r="U65" s="37"/>
      <c r="V65" t="s">
        <v>2129</v>
      </c>
      <c r="W65" t="s">
        <v>2129</v>
      </c>
      <c r="X65" t="s">
        <v>2129</v>
      </c>
      <c r="Y65">
        <v>0</v>
      </c>
      <c r="Z65" t="s">
        <v>2129</v>
      </c>
      <c r="AA65" t="s">
        <v>3735</v>
      </c>
      <c r="AB65" t="s">
        <v>2129</v>
      </c>
      <c r="AC65" t="s">
        <v>2145</v>
      </c>
      <c r="AD65" t="s">
        <v>2129</v>
      </c>
      <c r="AE65" t="s">
        <v>2129</v>
      </c>
      <c r="AF65" t="s">
        <v>2129</v>
      </c>
      <c r="AG65" t="s">
        <v>2129</v>
      </c>
      <c r="AH65" t="s">
        <v>2129</v>
      </c>
      <c r="AI65" t="s">
        <v>2129</v>
      </c>
      <c r="AJ65" t="s">
        <v>2129</v>
      </c>
      <c r="AK65" t="s">
        <v>2129</v>
      </c>
      <c r="AL65" t="s">
        <v>2129</v>
      </c>
      <c r="AM65" t="s">
        <v>2129</v>
      </c>
      <c r="AN65" t="s">
        <v>2129</v>
      </c>
      <c r="AO65" t="s">
        <v>2129</v>
      </c>
      <c r="AP65" t="s">
        <v>2129</v>
      </c>
      <c r="AQ65" t="s">
        <v>2129</v>
      </c>
      <c r="AR65" t="s">
        <v>2129</v>
      </c>
      <c r="AS65" t="s">
        <v>2129</v>
      </c>
      <c r="AT65" t="s">
        <v>2129</v>
      </c>
      <c r="AU65" t="s">
        <v>2129</v>
      </c>
      <c r="AV65" t="s">
        <v>2129</v>
      </c>
      <c r="AW65" t="s">
        <v>2129</v>
      </c>
      <c r="AX65" t="s">
        <v>2129</v>
      </c>
      <c r="AY65" t="s">
        <v>2129</v>
      </c>
      <c r="AZ65" t="s">
        <v>2129</v>
      </c>
      <c r="BA65" t="s">
        <v>2129</v>
      </c>
      <c r="BB65" t="s">
        <v>2129</v>
      </c>
      <c r="BC65" t="s">
        <v>2129</v>
      </c>
      <c r="BD65" t="s">
        <v>2129</v>
      </c>
      <c r="BE65" t="s">
        <v>2129</v>
      </c>
      <c r="BF65" t="s">
        <v>2129</v>
      </c>
      <c r="BG65" t="s">
        <v>2129</v>
      </c>
      <c r="BH65" t="s">
        <v>2129</v>
      </c>
      <c r="BI65" t="s">
        <v>2129</v>
      </c>
      <c r="BJ65" t="s">
        <v>2129</v>
      </c>
      <c r="BK65" t="s">
        <v>2129</v>
      </c>
      <c r="BL65" t="s">
        <v>2129</v>
      </c>
      <c r="BM65" t="s">
        <v>2129</v>
      </c>
      <c r="BN65" t="s">
        <v>2129</v>
      </c>
      <c r="BO65" t="s">
        <v>2129</v>
      </c>
      <c r="BP65" t="s">
        <v>2129</v>
      </c>
      <c r="BS65" t="s">
        <v>2129</v>
      </c>
      <c r="BT65" t="s">
        <v>2129</v>
      </c>
      <c r="BW65" t="s">
        <v>2129</v>
      </c>
      <c r="BX65" t="s">
        <v>2129</v>
      </c>
      <c r="BY65" t="s">
        <v>2129</v>
      </c>
      <c r="BZ65" t="s">
        <v>2129</v>
      </c>
      <c r="CA65" t="s">
        <v>2129</v>
      </c>
      <c r="CB65" t="s">
        <v>2129</v>
      </c>
      <c r="CC65" t="s">
        <v>2129</v>
      </c>
      <c r="CD65" t="s">
        <v>2129</v>
      </c>
      <c r="CE65" t="s">
        <v>2129</v>
      </c>
      <c r="CF65" t="s">
        <v>2129</v>
      </c>
      <c r="CG65" t="s">
        <v>2129</v>
      </c>
      <c r="CH65" t="s">
        <v>2129</v>
      </c>
      <c r="CI65" t="s">
        <v>2129</v>
      </c>
      <c r="CJ65" t="s">
        <v>2129</v>
      </c>
      <c r="CK65" t="s">
        <v>2129</v>
      </c>
      <c r="CL65" t="s">
        <v>2129</v>
      </c>
      <c r="CM65" t="s">
        <v>2129</v>
      </c>
      <c r="CN65" t="s">
        <v>2129</v>
      </c>
      <c r="CO65" t="s">
        <v>2129</v>
      </c>
      <c r="CP65" t="s">
        <v>2129</v>
      </c>
      <c r="CQ65" t="s">
        <v>2129</v>
      </c>
      <c r="CR65" t="s">
        <v>2129</v>
      </c>
      <c r="CS65" t="s">
        <v>2129</v>
      </c>
      <c r="CT65" t="s">
        <v>3736</v>
      </c>
      <c r="CU65" t="s">
        <v>3733</v>
      </c>
      <c r="CV65" t="s">
        <v>2129</v>
      </c>
      <c r="CW65" t="s">
        <v>2129</v>
      </c>
      <c r="CX65" t="s">
        <v>2129</v>
      </c>
      <c r="CY65" t="s">
        <v>2129</v>
      </c>
      <c r="CZ65" t="s">
        <v>2129</v>
      </c>
      <c r="DA65" t="s">
        <v>2129</v>
      </c>
      <c r="DB65" t="s">
        <v>2129</v>
      </c>
      <c r="DC65" t="s">
        <v>2129</v>
      </c>
      <c r="DD65" t="s">
        <v>2129</v>
      </c>
      <c r="DE65" t="s">
        <v>2129</v>
      </c>
      <c r="DF65" t="s">
        <v>2129</v>
      </c>
      <c r="DG65" t="s">
        <v>2129</v>
      </c>
      <c r="DH65" t="s">
        <v>2129</v>
      </c>
      <c r="DI65">
        <v>30</v>
      </c>
      <c r="DJ65" t="s">
        <v>2129</v>
      </c>
      <c r="DK65" t="s">
        <v>2129</v>
      </c>
      <c r="DL65" t="s">
        <v>3737</v>
      </c>
      <c r="DM65" t="s">
        <v>2129</v>
      </c>
      <c r="DN65" t="s">
        <v>2129</v>
      </c>
      <c r="DO65" t="s">
        <v>2129</v>
      </c>
      <c r="DP65" t="s">
        <v>2129</v>
      </c>
      <c r="DQ65" t="s">
        <v>2129</v>
      </c>
      <c r="DR65" t="s">
        <v>2129</v>
      </c>
      <c r="DS65" t="s">
        <v>2129</v>
      </c>
      <c r="DT65" t="s">
        <v>2129</v>
      </c>
      <c r="DU65" t="s">
        <v>2129</v>
      </c>
      <c r="DV65" t="s">
        <v>2129</v>
      </c>
      <c r="DW65" t="s">
        <v>2129</v>
      </c>
      <c r="DX65" t="s">
        <v>2129</v>
      </c>
      <c r="DY65" t="s">
        <v>2129</v>
      </c>
      <c r="DZ65" t="s">
        <v>2129</v>
      </c>
      <c r="EA65" t="s">
        <v>2129</v>
      </c>
      <c r="EB65" t="s">
        <v>2129</v>
      </c>
      <c r="EC65" t="s">
        <v>2129</v>
      </c>
      <c r="ED65" t="s">
        <v>2129</v>
      </c>
      <c r="EE65" t="s">
        <v>2129</v>
      </c>
      <c r="EF65" t="s">
        <v>2129</v>
      </c>
      <c r="EG65" t="s">
        <v>2129</v>
      </c>
      <c r="EH65" t="s">
        <v>2129</v>
      </c>
    </row>
    <row r="66" spans="1:138" x14ac:dyDescent="0.25">
      <c r="A66" t="s">
        <v>3242</v>
      </c>
      <c r="B66" t="s">
        <v>3235</v>
      </c>
      <c r="C66">
        <v>23197</v>
      </c>
      <c r="E66" t="s">
        <v>14</v>
      </c>
      <c r="F66" t="s">
        <v>10</v>
      </c>
      <c r="G66" t="s">
        <v>2163</v>
      </c>
      <c r="H66" t="s">
        <v>56</v>
      </c>
      <c r="I66" t="s">
        <v>2127</v>
      </c>
      <c r="J66" t="s">
        <v>2156</v>
      </c>
      <c r="K66" t="s">
        <v>2129</v>
      </c>
      <c r="L66" t="s">
        <v>2129</v>
      </c>
      <c r="M66" t="s">
        <v>2130</v>
      </c>
      <c r="N66" t="s">
        <v>2129</v>
      </c>
      <c r="O66" t="s">
        <v>3730</v>
      </c>
      <c r="P66" t="s">
        <v>2145</v>
      </c>
      <c r="Q66" t="s">
        <v>2145</v>
      </c>
      <c r="R66" s="37">
        <v>46099.406944444447</v>
      </c>
      <c r="S66" s="37">
        <v>46099.534722222219</v>
      </c>
      <c r="T66" s="37">
        <v>46100.368750000001</v>
      </c>
      <c r="U66" s="37"/>
      <c r="V66" t="s">
        <v>2129</v>
      </c>
      <c r="W66" t="s">
        <v>2129</v>
      </c>
      <c r="X66" t="s">
        <v>2129</v>
      </c>
      <c r="Y66">
        <v>0</v>
      </c>
      <c r="Z66" t="s">
        <v>2129</v>
      </c>
      <c r="AA66" t="s">
        <v>3738</v>
      </c>
      <c r="AB66" t="s">
        <v>2129</v>
      </c>
      <c r="AC66" t="s">
        <v>2145</v>
      </c>
      <c r="AD66" t="s">
        <v>2129</v>
      </c>
      <c r="AE66" t="s">
        <v>2129</v>
      </c>
      <c r="AF66" t="s">
        <v>2129</v>
      </c>
      <c r="AG66" t="s">
        <v>2129</v>
      </c>
      <c r="AH66" t="s">
        <v>2129</v>
      </c>
      <c r="AI66" t="s">
        <v>2129</v>
      </c>
      <c r="AJ66" t="s">
        <v>2129</v>
      </c>
      <c r="AK66" t="s">
        <v>2129</v>
      </c>
      <c r="AL66" t="s">
        <v>2129</v>
      </c>
      <c r="AM66" t="s">
        <v>2129</v>
      </c>
      <c r="AN66" t="s">
        <v>2129</v>
      </c>
      <c r="AO66" t="s">
        <v>2129</v>
      </c>
      <c r="AP66" t="s">
        <v>2129</v>
      </c>
      <c r="AQ66" t="s">
        <v>2129</v>
      </c>
      <c r="AR66" t="s">
        <v>2129</v>
      </c>
      <c r="AS66" t="s">
        <v>2129</v>
      </c>
      <c r="AT66" t="s">
        <v>2129</v>
      </c>
      <c r="AU66" t="s">
        <v>2129</v>
      </c>
      <c r="AV66" t="s">
        <v>2129</v>
      </c>
      <c r="AW66" t="s">
        <v>2129</v>
      </c>
      <c r="AX66" t="s">
        <v>2129</v>
      </c>
      <c r="AY66" t="s">
        <v>2129</v>
      </c>
      <c r="AZ66" t="s">
        <v>2129</v>
      </c>
      <c r="BA66" t="s">
        <v>2129</v>
      </c>
      <c r="BB66" t="s">
        <v>2129</v>
      </c>
      <c r="BC66" t="s">
        <v>2129</v>
      </c>
      <c r="BD66" t="s">
        <v>2129</v>
      </c>
      <c r="BE66" t="s">
        <v>2129</v>
      </c>
      <c r="BF66" t="s">
        <v>2129</v>
      </c>
      <c r="BG66" t="s">
        <v>2129</v>
      </c>
      <c r="BH66" t="s">
        <v>2129</v>
      </c>
      <c r="BI66" t="s">
        <v>2129</v>
      </c>
      <c r="BJ66" t="s">
        <v>2129</v>
      </c>
      <c r="BK66" t="s">
        <v>2129</v>
      </c>
      <c r="BL66" t="s">
        <v>2129</v>
      </c>
      <c r="BM66" t="s">
        <v>2129</v>
      </c>
      <c r="BN66" t="s">
        <v>2129</v>
      </c>
      <c r="BO66" t="s">
        <v>2129</v>
      </c>
      <c r="BP66" t="s">
        <v>2129</v>
      </c>
      <c r="BS66" t="s">
        <v>2129</v>
      </c>
      <c r="BT66" t="s">
        <v>2129</v>
      </c>
      <c r="BW66" t="s">
        <v>2129</v>
      </c>
      <c r="BX66" t="s">
        <v>2129</v>
      </c>
      <c r="BY66" t="s">
        <v>2129</v>
      </c>
      <c r="BZ66" t="s">
        <v>2129</v>
      </c>
      <c r="CA66" t="s">
        <v>2129</v>
      </c>
      <c r="CB66" t="s">
        <v>2129</v>
      </c>
      <c r="CC66" t="s">
        <v>2129</v>
      </c>
      <c r="CD66" t="s">
        <v>2129</v>
      </c>
      <c r="CE66" t="s">
        <v>2129</v>
      </c>
      <c r="CF66" t="s">
        <v>2129</v>
      </c>
      <c r="CG66" t="s">
        <v>2129</v>
      </c>
      <c r="CH66" t="s">
        <v>2129</v>
      </c>
      <c r="CI66" t="s">
        <v>2129</v>
      </c>
      <c r="CJ66" t="s">
        <v>2129</v>
      </c>
      <c r="CK66" t="s">
        <v>2129</v>
      </c>
      <c r="CL66" t="s">
        <v>2129</v>
      </c>
      <c r="CM66" t="s">
        <v>2129</v>
      </c>
      <c r="CN66" t="s">
        <v>2129</v>
      </c>
      <c r="CO66" t="s">
        <v>2129</v>
      </c>
      <c r="CP66" t="s">
        <v>2129</v>
      </c>
      <c r="CQ66" t="s">
        <v>2129</v>
      </c>
      <c r="CR66" t="s">
        <v>2129</v>
      </c>
      <c r="CS66" t="s">
        <v>2129</v>
      </c>
      <c r="CT66" t="s">
        <v>3739</v>
      </c>
      <c r="CU66" t="s">
        <v>3733</v>
      </c>
      <c r="CV66" t="s">
        <v>2129</v>
      </c>
      <c r="CW66" t="s">
        <v>2129</v>
      </c>
      <c r="CX66" t="s">
        <v>2129</v>
      </c>
      <c r="CY66" t="s">
        <v>2129</v>
      </c>
      <c r="CZ66" t="s">
        <v>2129</v>
      </c>
      <c r="DA66" t="s">
        <v>2129</v>
      </c>
      <c r="DB66" t="s">
        <v>2129</v>
      </c>
      <c r="DC66" t="s">
        <v>2129</v>
      </c>
      <c r="DD66" t="s">
        <v>2129</v>
      </c>
      <c r="DE66" t="s">
        <v>2129</v>
      </c>
      <c r="DF66" t="s">
        <v>2129</v>
      </c>
      <c r="DG66" t="s">
        <v>2129</v>
      </c>
      <c r="DH66" t="s">
        <v>2129</v>
      </c>
      <c r="DI66">
        <v>50</v>
      </c>
      <c r="DJ66" t="s">
        <v>2129</v>
      </c>
      <c r="DK66" t="s">
        <v>2129</v>
      </c>
      <c r="DL66" t="s">
        <v>2129</v>
      </c>
      <c r="DM66" t="s">
        <v>2129</v>
      </c>
      <c r="DN66" t="s">
        <v>2129</v>
      </c>
      <c r="DO66" t="s">
        <v>2129</v>
      </c>
      <c r="DP66" t="s">
        <v>2129</v>
      </c>
      <c r="DQ66" t="s">
        <v>2129</v>
      </c>
      <c r="DR66" t="s">
        <v>2129</v>
      </c>
      <c r="DS66" t="s">
        <v>2129</v>
      </c>
      <c r="DT66" t="s">
        <v>2129</v>
      </c>
      <c r="DU66" t="s">
        <v>2129</v>
      </c>
      <c r="DV66" t="s">
        <v>2129</v>
      </c>
      <c r="DW66" t="s">
        <v>2129</v>
      </c>
      <c r="DX66" t="s">
        <v>2129</v>
      </c>
      <c r="DY66" t="s">
        <v>2129</v>
      </c>
      <c r="DZ66" t="s">
        <v>2129</v>
      </c>
      <c r="EA66" t="s">
        <v>2129</v>
      </c>
      <c r="EB66" t="s">
        <v>2129</v>
      </c>
      <c r="EC66" t="s">
        <v>2129</v>
      </c>
      <c r="ED66" t="s">
        <v>2129</v>
      </c>
      <c r="EE66" t="s">
        <v>2129</v>
      </c>
      <c r="EF66" t="s">
        <v>2129</v>
      </c>
      <c r="EG66" t="s">
        <v>2129</v>
      </c>
      <c r="EH66" t="s">
        <v>2129</v>
      </c>
    </row>
    <row r="67" spans="1:138" x14ac:dyDescent="0.25">
      <c r="A67" t="s">
        <v>3244</v>
      </c>
      <c r="B67" t="s">
        <v>3236</v>
      </c>
      <c r="C67">
        <v>23195</v>
      </c>
      <c r="E67" t="s">
        <v>14</v>
      </c>
      <c r="F67" t="s">
        <v>10</v>
      </c>
      <c r="G67" t="s">
        <v>2163</v>
      </c>
      <c r="H67" t="s">
        <v>56</v>
      </c>
      <c r="I67" t="s">
        <v>2127</v>
      </c>
      <c r="J67" t="s">
        <v>2156</v>
      </c>
      <c r="K67" t="s">
        <v>2129</v>
      </c>
      <c r="L67" t="s">
        <v>2129</v>
      </c>
      <c r="M67" t="s">
        <v>2130</v>
      </c>
      <c r="N67" t="s">
        <v>2129</v>
      </c>
      <c r="O67" t="s">
        <v>2150</v>
      </c>
      <c r="P67" t="s">
        <v>2145</v>
      </c>
      <c r="Q67" t="s">
        <v>2145</v>
      </c>
      <c r="R67" s="37">
        <v>46099.359722222223</v>
      </c>
      <c r="S67" s="37">
        <v>46099.402777777781</v>
      </c>
      <c r="T67" s="37">
        <v>46100.368750000001</v>
      </c>
      <c r="U67" s="37"/>
      <c r="V67" t="s">
        <v>2129</v>
      </c>
      <c r="W67" t="s">
        <v>2129</v>
      </c>
      <c r="X67" t="s">
        <v>2129</v>
      </c>
      <c r="Y67">
        <v>0</v>
      </c>
      <c r="Z67" t="s">
        <v>2129</v>
      </c>
      <c r="AA67" t="s">
        <v>3740</v>
      </c>
      <c r="AB67" t="s">
        <v>2129</v>
      </c>
      <c r="AC67" t="s">
        <v>2145</v>
      </c>
      <c r="AD67" t="s">
        <v>2129</v>
      </c>
      <c r="AE67" t="s">
        <v>2129</v>
      </c>
      <c r="AF67" t="s">
        <v>2129</v>
      </c>
      <c r="AG67" t="s">
        <v>2129</v>
      </c>
      <c r="AH67" t="s">
        <v>2129</v>
      </c>
      <c r="AI67" t="s">
        <v>2129</v>
      </c>
      <c r="AJ67" t="s">
        <v>2129</v>
      </c>
      <c r="AK67" t="s">
        <v>2129</v>
      </c>
      <c r="AL67" t="s">
        <v>2129</v>
      </c>
      <c r="AM67" t="s">
        <v>2129</v>
      </c>
      <c r="AN67" t="s">
        <v>2129</v>
      </c>
      <c r="AO67" t="s">
        <v>2129</v>
      </c>
      <c r="AP67" t="s">
        <v>2129</v>
      </c>
      <c r="AQ67" t="s">
        <v>2129</v>
      </c>
      <c r="AR67" t="s">
        <v>2129</v>
      </c>
      <c r="AS67" t="s">
        <v>2129</v>
      </c>
      <c r="AT67" t="s">
        <v>2129</v>
      </c>
      <c r="AU67" t="s">
        <v>2129</v>
      </c>
      <c r="AV67" t="s">
        <v>2129</v>
      </c>
      <c r="AW67" t="s">
        <v>2129</v>
      </c>
      <c r="AX67" t="s">
        <v>2129</v>
      </c>
      <c r="AY67" t="s">
        <v>2129</v>
      </c>
      <c r="AZ67" t="s">
        <v>2129</v>
      </c>
      <c r="BA67" t="s">
        <v>2129</v>
      </c>
      <c r="BB67" t="s">
        <v>2129</v>
      </c>
      <c r="BC67" t="s">
        <v>2129</v>
      </c>
      <c r="BD67" t="s">
        <v>2129</v>
      </c>
      <c r="BE67" t="s">
        <v>2129</v>
      </c>
      <c r="BF67" t="s">
        <v>2129</v>
      </c>
      <c r="BG67" t="s">
        <v>2129</v>
      </c>
      <c r="BH67" t="s">
        <v>2129</v>
      </c>
      <c r="BI67" t="s">
        <v>2129</v>
      </c>
      <c r="BJ67" t="s">
        <v>2129</v>
      </c>
      <c r="BK67" t="s">
        <v>2129</v>
      </c>
      <c r="BL67" t="s">
        <v>2129</v>
      </c>
      <c r="BM67" t="s">
        <v>2129</v>
      </c>
      <c r="BN67" t="s">
        <v>2129</v>
      </c>
      <c r="BO67" t="s">
        <v>2129</v>
      </c>
      <c r="BP67" t="s">
        <v>2129</v>
      </c>
      <c r="BS67" t="s">
        <v>2129</v>
      </c>
      <c r="BT67" t="s">
        <v>2129</v>
      </c>
      <c r="BW67" t="s">
        <v>2129</v>
      </c>
      <c r="BX67" t="s">
        <v>2129</v>
      </c>
      <c r="BY67" t="s">
        <v>2129</v>
      </c>
      <c r="BZ67" t="s">
        <v>2129</v>
      </c>
      <c r="CA67" t="s">
        <v>2129</v>
      </c>
      <c r="CB67" t="s">
        <v>2129</v>
      </c>
      <c r="CC67" t="s">
        <v>2129</v>
      </c>
      <c r="CD67" t="s">
        <v>2129</v>
      </c>
      <c r="CE67" t="s">
        <v>2129</v>
      </c>
      <c r="CF67" t="s">
        <v>2129</v>
      </c>
      <c r="CG67" t="s">
        <v>2129</v>
      </c>
      <c r="CH67" t="s">
        <v>2129</v>
      </c>
      <c r="CI67" t="s">
        <v>2129</v>
      </c>
      <c r="CJ67" t="s">
        <v>2129</v>
      </c>
      <c r="CK67" t="s">
        <v>2129</v>
      </c>
      <c r="CL67" t="s">
        <v>2129</v>
      </c>
      <c r="CM67" t="s">
        <v>2129</v>
      </c>
      <c r="CN67" t="s">
        <v>2129</v>
      </c>
      <c r="CO67" t="s">
        <v>2129</v>
      </c>
      <c r="CP67" t="s">
        <v>2129</v>
      </c>
      <c r="CQ67" t="s">
        <v>2129</v>
      </c>
      <c r="CR67" t="s">
        <v>2129</v>
      </c>
      <c r="CS67" t="s">
        <v>2129</v>
      </c>
      <c r="CT67" t="s">
        <v>2952</v>
      </c>
      <c r="CU67" t="s">
        <v>3733</v>
      </c>
      <c r="CV67" t="s">
        <v>2129</v>
      </c>
      <c r="CW67" t="s">
        <v>2129</v>
      </c>
      <c r="CX67" t="s">
        <v>2129</v>
      </c>
      <c r="CY67" t="s">
        <v>2129</v>
      </c>
      <c r="CZ67" t="s">
        <v>2129</v>
      </c>
      <c r="DA67" t="s">
        <v>2129</v>
      </c>
      <c r="DB67" t="s">
        <v>2129</v>
      </c>
      <c r="DC67" t="s">
        <v>2129</v>
      </c>
      <c r="DD67" t="s">
        <v>2129</v>
      </c>
      <c r="DE67" t="s">
        <v>2129</v>
      </c>
      <c r="DF67" t="s">
        <v>2129</v>
      </c>
      <c r="DG67" t="s">
        <v>2129</v>
      </c>
      <c r="DH67" t="s">
        <v>2129</v>
      </c>
      <c r="DJ67" t="s">
        <v>2129</v>
      </c>
      <c r="DK67" t="s">
        <v>2129</v>
      </c>
      <c r="DL67" t="s">
        <v>2129</v>
      </c>
      <c r="DM67" t="s">
        <v>2129</v>
      </c>
      <c r="DN67" t="s">
        <v>2129</v>
      </c>
      <c r="DO67" t="s">
        <v>2129</v>
      </c>
      <c r="DP67" t="s">
        <v>2129</v>
      </c>
      <c r="DQ67" t="s">
        <v>2129</v>
      </c>
      <c r="DR67" t="s">
        <v>2129</v>
      </c>
      <c r="DS67" t="s">
        <v>2129</v>
      </c>
      <c r="DT67" t="s">
        <v>2129</v>
      </c>
      <c r="DU67" t="s">
        <v>2129</v>
      </c>
      <c r="DV67" t="s">
        <v>2129</v>
      </c>
      <c r="DW67" t="s">
        <v>2129</v>
      </c>
      <c r="DX67" t="s">
        <v>2129</v>
      </c>
      <c r="DY67" t="s">
        <v>2129</v>
      </c>
      <c r="DZ67" t="s">
        <v>2129</v>
      </c>
      <c r="EA67" t="s">
        <v>2129</v>
      </c>
      <c r="EB67" t="s">
        <v>2129</v>
      </c>
      <c r="EC67" t="s">
        <v>2129</v>
      </c>
      <c r="ED67" t="s">
        <v>2129</v>
      </c>
      <c r="EE67" t="s">
        <v>2129</v>
      </c>
      <c r="EF67" t="s">
        <v>2129</v>
      </c>
      <c r="EG67" t="s">
        <v>2129</v>
      </c>
      <c r="EH67" t="s">
        <v>2129</v>
      </c>
    </row>
    <row r="68" spans="1:138" x14ac:dyDescent="0.25">
      <c r="A68" t="s">
        <v>3741</v>
      </c>
      <c r="B68" t="s">
        <v>3220</v>
      </c>
      <c r="C68">
        <v>23156</v>
      </c>
      <c r="E68" t="s">
        <v>77</v>
      </c>
      <c r="F68" t="s">
        <v>16</v>
      </c>
      <c r="G68" t="s">
        <v>2163</v>
      </c>
      <c r="H68" t="s">
        <v>56</v>
      </c>
      <c r="I68" t="s">
        <v>2127</v>
      </c>
      <c r="J68" t="s">
        <v>2156</v>
      </c>
      <c r="K68" t="s">
        <v>2129</v>
      </c>
      <c r="L68" t="s">
        <v>2129</v>
      </c>
      <c r="M68" t="s">
        <v>2130</v>
      </c>
      <c r="N68" t="s">
        <v>2153</v>
      </c>
      <c r="O68" t="s">
        <v>3730</v>
      </c>
      <c r="P68" t="s">
        <v>2156</v>
      </c>
      <c r="Q68" t="s">
        <v>2156</v>
      </c>
      <c r="R68" s="37">
        <v>46093.609027777777</v>
      </c>
      <c r="S68" s="37">
        <v>46099.46597222222</v>
      </c>
      <c r="T68" s="37">
        <v>46097.406944444447</v>
      </c>
      <c r="U68" s="37">
        <v>46099.46597222222</v>
      </c>
      <c r="V68" t="s">
        <v>2129</v>
      </c>
      <c r="W68" t="s">
        <v>2129</v>
      </c>
      <c r="X68" t="s">
        <v>2129</v>
      </c>
      <c r="Y68">
        <v>0</v>
      </c>
      <c r="Z68" t="s">
        <v>2129</v>
      </c>
      <c r="AA68" t="s">
        <v>3742</v>
      </c>
      <c r="AB68" t="s">
        <v>2129</v>
      </c>
      <c r="AC68" t="s">
        <v>2156</v>
      </c>
      <c r="AD68" t="s">
        <v>2129</v>
      </c>
      <c r="AE68" t="s">
        <v>2129</v>
      </c>
      <c r="AF68" t="s">
        <v>2129</v>
      </c>
      <c r="AG68" t="s">
        <v>2129</v>
      </c>
      <c r="AH68" t="s">
        <v>3743</v>
      </c>
      <c r="AI68" t="s">
        <v>3744</v>
      </c>
      <c r="AJ68" t="s">
        <v>3745</v>
      </c>
      <c r="AK68" t="s">
        <v>2129</v>
      </c>
      <c r="AL68" t="s">
        <v>2129</v>
      </c>
      <c r="AM68" t="s">
        <v>2129</v>
      </c>
      <c r="AN68" t="s">
        <v>2129</v>
      </c>
      <c r="AO68" t="s">
        <v>2129</v>
      </c>
      <c r="AP68" t="s">
        <v>2129</v>
      </c>
      <c r="AQ68" t="s">
        <v>2129</v>
      </c>
      <c r="AR68" t="s">
        <v>2129</v>
      </c>
      <c r="AS68" t="s">
        <v>2129</v>
      </c>
      <c r="AT68" t="s">
        <v>2129</v>
      </c>
      <c r="AU68" t="s">
        <v>2129</v>
      </c>
      <c r="AV68" t="s">
        <v>2129</v>
      </c>
      <c r="AW68" t="s">
        <v>2129</v>
      </c>
      <c r="AX68" t="s">
        <v>2129</v>
      </c>
      <c r="AY68" t="s">
        <v>2129</v>
      </c>
      <c r="AZ68" t="s">
        <v>2129</v>
      </c>
      <c r="BA68" t="s">
        <v>2129</v>
      </c>
      <c r="BB68" t="s">
        <v>2129</v>
      </c>
      <c r="BC68" t="s">
        <v>2129</v>
      </c>
      <c r="BD68" t="s">
        <v>2129</v>
      </c>
      <c r="BE68" t="s">
        <v>2129</v>
      </c>
      <c r="BF68" t="s">
        <v>2129</v>
      </c>
      <c r="BG68" t="s">
        <v>2129</v>
      </c>
      <c r="BH68" t="s">
        <v>2129</v>
      </c>
      <c r="BI68" t="s">
        <v>2129</v>
      </c>
      <c r="BJ68" t="s">
        <v>2129</v>
      </c>
      <c r="BK68" t="s">
        <v>2129</v>
      </c>
      <c r="BL68" t="s">
        <v>2129</v>
      </c>
      <c r="BM68" t="s">
        <v>2129</v>
      </c>
      <c r="BN68" t="s">
        <v>2129</v>
      </c>
      <c r="BO68" t="s">
        <v>2129</v>
      </c>
      <c r="BP68" t="s">
        <v>2129</v>
      </c>
      <c r="BQ68">
        <v>0</v>
      </c>
      <c r="BR68">
        <v>61200</v>
      </c>
      <c r="BS68" t="s">
        <v>2129</v>
      </c>
      <c r="BT68" t="s">
        <v>2129</v>
      </c>
      <c r="BU68">
        <v>0</v>
      </c>
      <c r="BV68">
        <v>61200</v>
      </c>
      <c r="BW68" t="s">
        <v>2129</v>
      </c>
      <c r="BX68" t="s">
        <v>2129</v>
      </c>
      <c r="BY68" t="s">
        <v>2129</v>
      </c>
      <c r="BZ68" t="s">
        <v>2129</v>
      </c>
      <c r="CA68" t="s">
        <v>2129</v>
      </c>
      <c r="CB68" t="s">
        <v>2129</v>
      </c>
      <c r="CC68" t="s">
        <v>2129</v>
      </c>
      <c r="CD68" t="s">
        <v>2129</v>
      </c>
      <c r="CE68" t="s">
        <v>2129</v>
      </c>
      <c r="CF68" t="s">
        <v>2129</v>
      </c>
      <c r="CG68" t="s">
        <v>2129</v>
      </c>
      <c r="CH68" t="s">
        <v>2129</v>
      </c>
      <c r="CI68" t="s">
        <v>2129</v>
      </c>
      <c r="CJ68" t="s">
        <v>2129</v>
      </c>
      <c r="CK68" t="s">
        <v>2129</v>
      </c>
      <c r="CL68" t="s">
        <v>2129</v>
      </c>
      <c r="CM68" t="s">
        <v>2129</v>
      </c>
      <c r="CN68" t="s">
        <v>2129</v>
      </c>
      <c r="CO68" t="s">
        <v>2129</v>
      </c>
      <c r="CP68" t="s">
        <v>2129</v>
      </c>
      <c r="CQ68" t="s">
        <v>2129</v>
      </c>
      <c r="CR68" t="s">
        <v>2129</v>
      </c>
      <c r="CS68" t="s">
        <v>2129</v>
      </c>
      <c r="CT68" t="s">
        <v>3746</v>
      </c>
      <c r="CU68" t="s">
        <v>2950</v>
      </c>
      <c r="CV68" t="s">
        <v>2129</v>
      </c>
      <c r="CW68" t="s">
        <v>2129</v>
      </c>
      <c r="CX68" t="s">
        <v>2129</v>
      </c>
      <c r="CY68" t="s">
        <v>2129</v>
      </c>
      <c r="CZ68" t="s">
        <v>2129</v>
      </c>
      <c r="DA68" t="s">
        <v>2129</v>
      </c>
      <c r="DB68" t="s">
        <v>2129</v>
      </c>
      <c r="DC68" t="s">
        <v>2129</v>
      </c>
      <c r="DD68" t="s">
        <v>2129</v>
      </c>
      <c r="DE68" t="s">
        <v>2129</v>
      </c>
      <c r="DF68" t="s">
        <v>2129</v>
      </c>
      <c r="DG68" t="s">
        <v>2129</v>
      </c>
      <c r="DH68" t="s">
        <v>2129</v>
      </c>
      <c r="DI68">
        <v>30</v>
      </c>
      <c r="DJ68" t="s">
        <v>2129</v>
      </c>
      <c r="DK68" t="s">
        <v>2129</v>
      </c>
      <c r="DL68" t="s">
        <v>2129</v>
      </c>
      <c r="DM68" t="s">
        <v>2129</v>
      </c>
      <c r="DN68" t="s">
        <v>2129</v>
      </c>
      <c r="DO68" t="s">
        <v>2129</v>
      </c>
      <c r="DP68" t="s">
        <v>2129</v>
      </c>
      <c r="DQ68" t="s">
        <v>2129</v>
      </c>
      <c r="DR68" t="s">
        <v>2129</v>
      </c>
      <c r="DS68" t="s">
        <v>2129</v>
      </c>
      <c r="DT68" t="s">
        <v>2129</v>
      </c>
      <c r="DU68" t="s">
        <v>2129</v>
      </c>
      <c r="DV68" t="s">
        <v>2129</v>
      </c>
      <c r="DW68" t="s">
        <v>2129</v>
      </c>
      <c r="DX68" t="s">
        <v>2129</v>
      </c>
      <c r="DY68" t="s">
        <v>2129</v>
      </c>
      <c r="DZ68" t="s">
        <v>2129</v>
      </c>
      <c r="EA68" t="s">
        <v>2129</v>
      </c>
      <c r="EB68" t="s">
        <v>2129</v>
      </c>
      <c r="EC68" t="s">
        <v>2129</v>
      </c>
      <c r="ED68" t="s">
        <v>2129</v>
      </c>
      <c r="EE68" t="s">
        <v>2129</v>
      </c>
      <c r="EF68" t="s">
        <v>2129</v>
      </c>
      <c r="EG68" t="s">
        <v>2129</v>
      </c>
      <c r="EH68" t="s">
        <v>2129</v>
      </c>
    </row>
    <row r="69" spans="1:138" x14ac:dyDescent="0.25">
      <c r="A69" t="s">
        <v>2377</v>
      </c>
      <c r="B69" t="s">
        <v>3219</v>
      </c>
      <c r="C69">
        <v>23147</v>
      </c>
      <c r="E69" t="s">
        <v>14</v>
      </c>
      <c r="F69" t="s">
        <v>16</v>
      </c>
      <c r="G69" t="s">
        <v>2163</v>
      </c>
      <c r="H69" t="s">
        <v>56</v>
      </c>
      <c r="I69" t="s">
        <v>2127</v>
      </c>
      <c r="J69" t="s">
        <v>2156</v>
      </c>
      <c r="K69" t="s">
        <v>2129</v>
      </c>
      <c r="L69" t="s">
        <v>2129</v>
      </c>
      <c r="M69" t="s">
        <v>2130</v>
      </c>
      <c r="N69" t="s">
        <v>2153</v>
      </c>
      <c r="O69" t="s">
        <v>2150</v>
      </c>
      <c r="P69" t="s">
        <v>2145</v>
      </c>
      <c r="Q69" t="s">
        <v>2145</v>
      </c>
      <c r="R69" s="37">
        <v>46092.384027777778</v>
      </c>
      <c r="S69" s="37">
        <v>46097.703472222223</v>
      </c>
      <c r="T69" s="37">
        <v>46100.368750000001</v>
      </c>
      <c r="U69" s="37">
        <v>46097.571527777778</v>
      </c>
      <c r="V69" t="s">
        <v>3747</v>
      </c>
      <c r="W69" t="s">
        <v>2129</v>
      </c>
      <c r="X69" t="s">
        <v>2129</v>
      </c>
      <c r="Y69">
        <v>0</v>
      </c>
      <c r="Z69" t="s">
        <v>2129</v>
      </c>
      <c r="AA69" t="s">
        <v>3748</v>
      </c>
      <c r="AB69" t="s">
        <v>2129</v>
      </c>
      <c r="AC69" t="s">
        <v>2145</v>
      </c>
      <c r="AD69" t="s">
        <v>2150</v>
      </c>
      <c r="AE69" t="s">
        <v>2129</v>
      </c>
      <c r="AF69" t="s">
        <v>2129</v>
      </c>
      <c r="AG69" t="s">
        <v>2129</v>
      </c>
      <c r="AH69" t="s">
        <v>3749</v>
      </c>
      <c r="AI69" t="s">
        <v>3750</v>
      </c>
      <c r="AJ69" t="s">
        <v>3751</v>
      </c>
      <c r="AK69" t="s">
        <v>2129</v>
      </c>
      <c r="AL69" t="s">
        <v>2129</v>
      </c>
      <c r="AM69" t="s">
        <v>2129</v>
      </c>
      <c r="AN69" t="s">
        <v>2129</v>
      </c>
      <c r="AO69" t="s">
        <v>2129</v>
      </c>
      <c r="AP69" t="s">
        <v>2129</v>
      </c>
      <c r="AQ69" t="s">
        <v>2129</v>
      </c>
      <c r="AR69" t="s">
        <v>2129</v>
      </c>
      <c r="AS69" t="s">
        <v>2129</v>
      </c>
      <c r="AT69" t="s">
        <v>2129</v>
      </c>
      <c r="AU69" t="s">
        <v>2129</v>
      </c>
      <c r="AV69" t="s">
        <v>2129</v>
      </c>
      <c r="AW69" t="s">
        <v>2129</v>
      </c>
      <c r="AX69" t="s">
        <v>2129</v>
      </c>
      <c r="AY69" t="s">
        <v>2129</v>
      </c>
      <c r="AZ69" t="s">
        <v>2129</v>
      </c>
      <c r="BA69" t="s">
        <v>2129</v>
      </c>
      <c r="BB69" t="s">
        <v>2129</v>
      </c>
      <c r="BC69" t="s">
        <v>2129</v>
      </c>
      <c r="BD69" t="s">
        <v>2129</v>
      </c>
      <c r="BE69" t="s">
        <v>2129</v>
      </c>
      <c r="BF69" t="s">
        <v>2129</v>
      </c>
      <c r="BG69" t="s">
        <v>2129</v>
      </c>
      <c r="BH69" t="s">
        <v>2129</v>
      </c>
      <c r="BI69" t="s">
        <v>2129</v>
      </c>
      <c r="BJ69" t="s">
        <v>2129</v>
      </c>
      <c r="BK69" t="s">
        <v>2129</v>
      </c>
      <c r="BL69" t="s">
        <v>2129</v>
      </c>
      <c r="BM69" t="s">
        <v>2129</v>
      </c>
      <c r="BN69" t="s">
        <v>2129</v>
      </c>
      <c r="BO69" t="s">
        <v>2129</v>
      </c>
      <c r="BP69" t="s">
        <v>2129</v>
      </c>
      <c r="BQ69">
        <v>0</v>
      </c>
      <c r="BR69">
        <v>46800</v>
      </c>
      <c r="BS69" t="s">
        <v>2129</v>
      </c>
      <c r="BT69" t="s">
        <v>2129</v>
      </c>
      <c r="BU69">
        <v>0</v>
      </c>
      <c r="BV69">
        <v>46800</v>
      </c>
      <c r="BW69" t="s">
        <v>2129</v>
      </c>
      <c r="BX69" t="s">
        <v>2378</v>
      </c>
      <c r="BY69" t="s">
        <v>2129</v>
      </c>
      <c r="BZ69" t="s">
        <v>3752</v>
      </c>
      <c r="CA69" t="s">
        <v>2129</v>
      </c>
      <c r="CB69" t="s">
        <v>2129</v>
      </c>
      <c r="CC69" t="s">
        <v>2129</v>
      </c>
      <c r="CD69" t="s">
        <v>2129</v>
      </c>
      <c r="CE69" t="s">
        <v>2129</v>
      </c>
      <c r="CF69" t="s">
        <v>2129</v>
      </c>
      <c r="CG69" t="s">
        <v>2129</v>
      </c>
      <c r="CH69" t="s">
        <v>2129</v>
      </c>
      <c r="CI69" t="s">
        <v>2129</v>
      </c>
      <c r="CJ69" t="s">
        <v>2129</v>
      </c>
      <c r="CK69" t="s">
        <v>2129</v>
      </c>
      <c r="CL69" t="s">
        <v>2129</v>
      </c>
      <c r="CM69" t="s">
        <v>2129</v>
      </c>
      <c r="CN69" t="s">
        <v>2129</v>
      </c>
      <c r="CO69" t="s">
        <v>2129</v>
      </c>
      <c r="CP69" t="s">
        <v>2129</v>
      </c>
      <c r="CQ69" t="s">
        <v>2129</v>
      </c>
      <c r="CR69" t="s">
        <v>2129</v>
      </c>
      <c r="CS69" t="s">
        <v>2129</v>
      </c>
      <c r="CT69" t="s">
        <v>3753</v>
      </c>
      <c r="CU69" t="s">
        <v>2950</v>
      </c>
      <c r="CV69" t="s">
        <v>2129</v>
      </c>
      <c r="CW69" t="s">
        <v>2129</v>
      </c>
      <c r="CX69" t="s">
        <v>2129</v>
      </c>
      <c r="CY69" t="s">
        <v>2129</v>
      </c>
      <c r="CZ69" t="s">
        <v>2129</v>
      </c>
      <c r="DA69" t="s">
        <v>2129</v>
      </c>
      <c r="DB69" t="s">
        <v>2129</v>
      </c>
      <c r="DC69" t="s">
        <v>2129</v>
      </c>
      <c r="DD69" t="s">
        <v>2129</v>
      </c>
      <c r="DE69" t="s">
        <v>2129</v>
      </c>
      <c r="DF69" t="s">
        <v>2129</v>
      </c>
      <c r="DG69" t="s">
        <v>2129</v>
      </c>
      <c r="DH69" t="s">
        <v>2129</v>
      </c>
      <c r="DI69">
        <v>50</v>
      </c>
      <c r="DJ69" t="s">
        <v>2129</v>
      </c>
      <c r="DK69" t="s">
        <v>2129</v>
      </c>
      <c r="DL69" t="s">
        <v>3754</v>
      </c>
      <c r="DM69" t="s">
        <v>2129</v>
      </c>
      <c r="DN69" t="s">
        <v>2129</v>
      </c>
      <c r="DO69" t="s">
        <v>2129</v>
      </c>
      <c r="DP69" t="s">
        <v>2129</v>
      </c>
      <c r="DQ69" t="s">
        <v>2129</v>
      </c>
      <c r="DR69" t="s">
        <v>2129</v>
      </c>
      <c r="DS69" t="s">
        <v>2129</v>
      </c>
      <c r="DT69" t="s">
        <v>2129</v>
      </c>
      <c r="DU69" t="s">
        <v>2129</v>
      </c>
      <c r="DV69" t="s">
        <v>2129</v>
      </c>
      <c r="DW69" t="s">
        <v>2129</v>
      </c>
      <c r="DX69" t="s">
        <v>2129</v>
      </c>
      <c r="DY69" t="s">
        <v>2129</v>
      </c>
      <c r="DZ69" t="s">
        <v>2129</v>
      </c>
      <c r="EA69" t="s">
        <v>2129</v>
      </c>
      <c r="EB69" t="s">
        <v>2129</v>
      </c>
      <c r="EC69" t="s">
        <v>2129</v>
      </c>
      <c r="ED69" t="s">
        <v>2129</v>
      </c>
      <c r="EE69" t="s">
        <v>2129</v>
      </c>
      <c r="EF69" t="s">
        <v>2129</v>
      </c>
      <c r="EG69" t="s">
        <v>2129</v>
      </c>
      <c r="EH69" t="s">
        <v>2129</v>
      </c>
    </row>
    <row r="70" spans="1:138" x14ac:dyDescent="0.25">
      <c r="A70" t="s">
        <v>3227</v>
      </c>
      <c r="B70" t="s">
        <v>3218</v>
      </c>
      <c r="C70">
        <v>23145</v>
      </c>
      <c r="E70" t="s">
        <v>77</v>
      </c>
      <c r="F70" t="s">
        <v>16</v>
      </c>
      <c r="G70" t="s">
        <v>2163</v>
      </c>
      <c r="H70" t="s">
        <v>56</v>
      </c>
      <c r="I70" t="s">
        <v>2127</v>
      </c>
      <c r="J70" t="s">
        <v>2156</v>
      </c>
      <c r="K70" t="s">
        <v>2129</v>
      </c>
      <c r="L70" t="s">
        <v>2129</v>
      </c>
      <c r="M70" t="s">
        <v>2130</v>
      </c>
      <c r="N70" t="s">
        <v>2153</v>
      </c>
      <c r="O70" t="s">
        <v>2150</v>
      </c>
      <c r="P70" t="s">
        <v>2156</v>
      </c>
      <c r="Q70" t="s">
        <v>2156</v>
      </c>
      <c r="R70" s="37">
        <v>46091.661111111112</v>
      </c>
      <c r="S70" s="37">
        <v>46099.423611111109</v>
      </c>
      <c r="T70" s="37">
        <v>46100.368750000001</v>
      </c>
      <c r="U70" s="37">
        <v>46097.637499999997</v>
      </c>
      <c r="V70" t="s">
        <v>3747</v>
      </c>
      <c r="W70" t="s">
        <v>2129</v>
      </c>
      <c r="X70" t="s">
        <v>2129</v>
      </c>
      <c r="Y70">
        <v>0</v>
      </c>
      <c r="Z70" t="s">
        <v>2129</v>
      </c>
      <c r="AA70" t="s">
        <v>3755</v>
      </c>
      <c r="AB70" t="s">
        <v>2129</v>
      </c>
      <c r="AC70" t="s">
        <v>2150</v>
      </c>
      <c r="AD70" t="s">
        <v>2156</v>
      </c>
      <c r="AE70" t="s">
        <v>2129</v>
      </c>
      <c r="AF70" t="s">
        <v>2129</v>
      </c>
      <c r="AG70" t="s">
        <v>2129</v>
      </c>
      <c r="AH70" t="s">
        <v>3756</v>
      </c>
      <c r="AI70" t="s">
        <v>3757</v>
      </c>
      <c r="AJ70" t="s">
        <v>3758</v>
      </c>
      <c r="AK70" t="s">
        <v>2129</v>
      </c>
      <c r="AL70" t="s">
        <v>2129</v>
      </c>
      <c r="AM70" t="s">
        <v>2129</v>
      </c>
      <c r="AN70" t="s">
        <v>2129</v>
      </c>
      <c r="AO70" t="s">
        <v>2129</v>
      </c>
      <c r="AP70" t="s">
        <v>2129</v>
      </c>
      <c r="AQ70" t="s">
        <v>2129</v>
      </c>
      <c r="AR70" t="s">
        <v>2129</v>
      </c>
      <c r="AS70" t="s">
        <v>2129</v>
      </c>
      <c r="AT70" t="s">
        <v>2129</v>
      </c>
      <c r="AU70" t="s">
        <v>2129</v>
      </c>
      <c r="AV70" t="s">
        <v>2129</v>
      </c>
      <c r="AW70" t="s">
        <v>2129</v>
      </c>
      <c r="AX70" t="s">
        <v>2129</v>
      </c>
      <c r="AY70" t="s">
        <v>2129</v>
      </c>
      <c r="AZ70" t="s">
        <v>2129</v>
      </c>
      <c r="BA70" t="s">
        <v>2129</v>
      </c>
      <c r="BB70" t="s">
        <v>2129</v>
      </c>
      <c r="BC70" t="s">
        <v>2129</v>
      </c>
      <c r="BD70" t="s">
        <v>2129</v>
      </c>
      <c r="BE70" t="s">
        <v>2129</v>
      </c>
      <c r="BF70" t="s">
        <v>2129</v>
      </c>
      <c r="BG70" t="s">
        <v>2129</v>
      </c>
      <c r="BH70" t="s">
        <v>2129</v>
      </c>
      <c r="BI70" t="s">
        <v>2129</v>
      </c>
      <c r="BJ70" t="s">
        <v>2129</v>
      </c>
      <c r="BK70" t="s">
        <v>2129</v>
      </c>
      <c r="BL70" t="s">
        <v>2129</v>
      </c>
      <c r="BM70" t="s">
        <v>2129</v>
      </c>
      <c r="BN70" t="s">
        <v>2129</v>
      </c>
      <c r="BO70" t="s">
        <v>2129</v>
      </c>
      <c r="BP70" t="s">
        <v>2129</v>
      </c>
      <c r="BQ70">
        <v>0</v>
      </c>
      <c r="BR70">
        <v>64800</v>
      </c>
      <c r="BS70" t="s">
        <v>2129</v>
      </c>
      <c r="BT70" t="s">
        <v>2129</v>
      </c>
      <c r="BU70">
        <v>0</v>
      </c>
      <c r="BV70">
        <v>64800</v>
      </c>
      <c r="BW70" t="s">
        <v>2129</v>
      </c>
      <c r="BX70" t="s">
        <v>2129</v>
      </c>
      <c r="BY70" t="s">
        <v>2129</v>
      </c>
      <c r="BZ70" t="s">
        <v>2129</v>
      </c>
      <c r="CA70" t="s">
        <v>2129</v>
      </c>
      <c r="CB70" t="s">
        <v>2129</v>
      </c>
      <c r="CC70" t="s">
        <v>2129</v>
      </c>
      <c r="CD70" t="s">
        <v>2129</v>
      </c>
      <c r="CE70" t="s">
        <v>2129</v>
      </c>
      <c r="CF70" t="s">
        <v>2129</v>
      </c>
      <c r="CG70" t="s">
        <v>2129</v>
      </c>
      <c r="CH70" t="s">
        <v>2129</v>
      </c>
      <c r="CI70" t="s">
        <v>2129</v>
      </c>
      <c r="CJ70" t="s">
        <v>2129</v>
      </c>
      <c r="CK70" t="s">
        <v>2129</v>
      </c>
      <c r="CL70" t="s">
        <v>2129</v>
      </c>
      <c r="CM70" t="s">
        <v>2129</v>
      </c>
      <c r="CN70" t="s">
        <v>2129</v>
      </c>
      <c r="CO70" t="s">
        <v>2129</v>
      </c>
      <c r="CP70" t="s">
        <v>2129</v>
      </c>
      <c r="CQ70" t="s">
        <v>2129</v>
      </c>
      <c r="CR70" t="s">
        <v>2129</v>
      </c>
      <c r="CS70" t="s">
        <v>2129</v>
      </c>
      <c r="CT70" t="s">
        <v>3759</v>
      </c>
      <c r="CU70" t="s">
        <v>2950</v>
      </c>
      <c r="CV70" t="s">
        <v>2129</v>
      </c>
      <c r="CW70" t="s">
        <v>2129</v>
      </c>
      <c r="CX70" t="s">
        <v>2129</v>
      </c>
      <c r="CY70" t="s">
        <v>2129</v>
      </c>
      <c r="CZ70" t="s">
        <v>2129</v>
      </c>
      <c r="DA70" t="s">
        <v>2129</v>
      </c>
      <c r="DB70" t="s">
        <v>2129</v>
      </c>
      <c r="DC70" t="s">
        <v>2129</v>
      </c>
      <c r="DD70" t="s">
        <v>2129</v>
      </c>
      <c r="DE70" t="s">
        <v>2129</v>
      </c>
      <c r="DF70" t="s">
        <v>2129</v>
      </c>
      <c r="DG70" t="s">
        <v>2129</v>
      </c>
      <c r="DH70" t="s">
        <v>2129</v>
      </c>
      <c r="DI70">
        <v>30</v>
      </c>
      <c r="DJ70" t="s">
        <v>2129</v>
      </c>
      <c r="DK70" t="s">
        <v>2129</v>
      </c>
      <c r="DL70" t="s">
        <v>3760</v>
      </c>
      <c r="DM70" t="s">
        <v>2129</v>
      </c>
      <c r="DN70" t="s">
        <v>2129</v>
      </c>
      <c r="DO70" t="s">
        <v>2129</v>
      </c>
      <c r="DP70" t="s">
        <v>2129</v>
      </c>
      <c r="DQ70" t="s">
        <v>2129</v>
      </c>
      <c r="DR70" t="s">
        <v>2129</v>
      </c>
      <c r="DS70" t="s">
        <v>2129</v>
      </c>
      <c r="DT70" t="s">
        <v>2129</v>
      </c>
      <c r="DU70" t="s">
        <v>2129</v>
      </c>
      <c r="DV70" t="s">
        <v>2129</v>
      </c>
      <c r="DW70" t="s">
        <v>2129</v>
      </c>
      <c r="DX70" t="s">
        <v>2129</v>
      </c>
      <c r="DY70" t="s">
        <v>2129</v>
      </c>
      <c r="DZ70" t="s">
        <v>2129</v>
      </c>
      <c r="EA70" t="s">
        <v>2129</v>
      </c>
      <c r="EB70" t="s">
        <v>2129</v>
      </c>
      <c r="EC70" t="s">
        <v>2129</v>
      </c>
      <c r="ED70" t="s">
        <v>2129</v>
      </c>
      <c r="EE70" t="s">
        <v>2129</v>
      </c>
      <c r="EF70" t="s">
        <v>2129</v>
      </c>
      <c r="EG70" t="s">
        <v>2129</v>
      </c>
      <c r="EH70" t="s">
        <v>2129</v>
      </c>
    </row>
    <row r="71" spans="1:138" x14ac:dyDescent="0.25">
      <c r="A71" t="s">
        <v>2861</v>
      </c>
      <c r="B71" t="s">
        <v>2871</v>
      </c>
      <c r="C71">
        <v>23107</v>
      </c>
      <c r="E71" t="s">
        <v>14</v>
      </c>
      <c r="F71" t="s">
        <v>16</v>
      </c>
      <c r="G71" t="s">
        <v>2163</v>
      </c>
      <c r="H71" t="s">
        <v>56</v>
      </c>
      <c r="I71" t="s">
        <v>2127</v>
      </c>
      <c r="J71" t="s">
        <v>2156</v>
      </c>
      <c r="K71" t="s">
        <v>2129</v>
      </c>
      <c r="L71" t="s">
        <v>2129</v>
      </c>
      <c r="M71" t="s">
        <v>2130</v>
      </c>
      <c r="N71" t="s">
        <v>2153</v>
      </c>
      <c r="O71" t="s">
        <v>2150</v>
      </c>
      <c r="P71" t="s">
        <v>2145</v>
      </c>
      <c r="Q71" t="s">
        <v>2145</v>
      </c>
      <c r="R71" s="37">
        <v>46087.415277777778</v>
      </c>
      <c r="S71" s="37">
        <v>46099.423611111109</v>
      </c>
      <c r="T71" s="37">
        <v>46100.368750000001</v>
      </c>
      <c r="U71" s="37">
        <v>46097.665972222225</v>
      </c>
      <c r="V71" t="s">
        <v>3747</v>
      </c>
      <c r="W71" t="s">
        <v>2129</v>
      </c>
      <c r="X71" t="s">
        <v>2129</v>
      </c>
      <c r="Y71">
        <v>0</v>
      </c>
      <c r="Z71" t="s">
        <v>2129</v>
      </c>
      <c r="AA71" t="s">
        <v>3761</v>
      </c>
      <c r="AB71" t="s">
        <v>2129</v>
      </c>
      <c r="AC71" t="s">
        <v>2145</v>
      </c>
      <c r="AD71" t="s">
        <v>2150</v>
      </c>
      <c r="AE71" t="s">
        <v>2156</v>
      </c>
      <c r="AF71" t="s">
        <v>2129</v>
      </c>
      <c r="AG71" t="s">
        <v>2129</v>
      </c>
      <c r="AH71" t="s">
        <v>3762</v>
      </c>
      <c r="AI71" t="s">
        <v>3763</v>
      </c>
      <c r="AJ71" t="s">
        <v>3764</v>
      </c>
      <c r="AK71" t="s">
        <v>2129</v>
      </c>
      <c r="AL71" t="s">
        <v>2129</v>
      </c>
      <c r="AM71" t="s">
        <v>2129</v>
      </c>
      <c r="AN71" t="s">
        <v>2129</v>
      </c>
      <c r="AO71" t="s">
        <v>2129</v>
      </c>
      <c r="AP71" t="s">
        <v>2129</v>
      </c>
      <c r="AQ71" t="s">
        <v>2129</v>
      </c>
      <c r="AR71" t="s">
        <v>2129</v>
      </c>
      <c r="AS71" t="s">
        <v>2129</v>
      </c>
      <c r="AT71" t="s">
        <v>2129</v>
      </c>
      <c r="AU71" t="s">
        <v>2129</v>
      </c>
      <c r="AV71" t="s">
        <v>2129</v>
      </c>
      <c r="AW71" t="s">
        <v>2129</v>
      </c>
      <c r="AX71" t="s">
        <v>2129</v>
      </c>
      <c r="AY71" t="s">
        <v>2129</v>
      </c>
      <c r="AZ71" t="s">
        <v>2129</v>
      </c>
      <c r="BA71" t="s">
        <v>2129</v>
      </c>
      <c r="BB71" t="s">
        <v>2129</v>
      </c>
      <c r="BC71" t="s">
        <v>2129</v>
      </c>
      <c r="BD71" t="s">
        <v>2129</v>
      </c>
      <c r="BE71" t="s">
        <v>2129</v>
      </c>
      <c r="BF71" t="s">
        <v>2129</v>
      </c>
      <c r="BG71" t="s">
        <v>2129</v>
      </c>
      <c r="BH71" t="s">
        <v>2129</v>
      </c>
      <c r="BI71" t="s">
        <v>2129</v>
      </c>
      <c r="BJ71" t="s">
        <v>2129</v>
      </c>
      <c r="BK71" t="s">
        <v>2129</v>
      </c>
      <c r="BL71" t="s">
        <v>2129</v>
      </c>
      <c r="BM71" t="s">
        <v>2129</v>
      </c>
      <c r="BN71" t="s">
        <v>2129</v>
      </c>
      <c r="BO71" t="s">
        <v>2129</v>
      </c>
      <c r="BP71" t="s">
        <v>2129</v>
      </c>
      <c r="BQ71">
        <v>0</v>
      </c>
      <c r="BR71">
        <v>68400</v>
      </c>
      <c r="BS71" t="s">
        <v>2129</v>
      </c>
      <c r="BT71" t="s">
        <v>2129</v>
      </c>
      <c r="BU71">
        <v>0</v>
      </c>
      <c r="BV71">
        <v>68400</v>
      </c>
      <c r="BW71" t="s">
        <v>2129</v>
      </c>
      <c r="BX71" t="s">
        <v>2129</v>
      </c>
      <c r="BY71" t="s">
        <v>2129</v>
      </c>
      <c r="BZ71" t="s">
        <v>2129</v>
      </c>
      <c r="CA71" t="s">
        <v>2129</v>
      </c>
      <c r="CB71" t="s">
        <v>2129</v>
      </c>
      <c r="CC71" t="s">
        <v>2129</v>
      </c>
      <c r="CD71" t="s">
        <v>2129</v>
      </c>
      <c r="CE71" t="s">
        <v>2129</v>
      </c>
      <c r="CF71" t="s">
        <v>2129</v>
      </c>
      <c r="CG71" t="s">
        <v>2129</v>
      </c>
      <c r="CH71" t="s">
        <v>2129</v>
      </c>
      <c r="CI71" t="s">
        <v>2129</v>
      </c>
      <c r="CJ71" t="s">
        <v>2129</v>
      </c>
      <c r="CK71" t="s">
        <v>2129</v>
      </c>
      <c r="CL71" t="s">
        <v>2129</v>
      </c>
      <c r="CM71" t="s">
        <v>2801</v>
      </c>
      <c r="CN71" t="s">
        <v>2129</v>
      </c>
      <c r="CO71" t="s">
        <v>2129</v>
      </c>
      <c r="CP71" t="s">
        <v>2129</v>
      </c>
      <c r="CQ71" t="s">
        <v>2129</v>
      </c>
      <c r="CR71" t="s">
        <v>2129</v>
      </c>
      <c r="CS71" t="s">
        <v>2129</v>
      </c>
      <c r="CT71" t="s">
        <v>3765</v>
      </c>
      <c r="CU71" t="s">
        <v>2950</v>
      </c>
      <c r="CV71" t="s">
        <v>2129</v>
      </c>
      <c r="CW71" t="s">
        <v>2129</v>
      </c>
      <c r="CX71" t="s">
        <v>2129</v>
      </c>
      <c r="CY71" t="s">
        <v>2129</v>
      </c>
      <c r="CZ71" t="s">
        <v>2129</v>
      </c>
      <c r="DA71" t="s">
        <v>2129</v>
      </c>
      <c r="DB71" t="s">
        <v>2129</v>
      </c>
      <c r="DC71" t="s">
        <v>2129</v>
      </c>
      <c r="DD71" t="s">
        <v>2129</v>
      </c>
      <c r="DE71" t="s">
        <v>2129</v>
      </c>
      <c r="DF71" t="s">
        <v>2129</v>
      </c>
      <c r="DG71" t="s">
        <v>2129</v>
      </c>
      <c r="DH71" t="s">
        <v>2129</v>
      </c>
      <c r="DI71">
        <v>80</v>
      </c>
      <c r="DJ71" t="s">
        <v>2129</v>
      </c>
      <c r="DK71" t="s">
        <v>2129</v>
      </c>
      <c r="DL71" t="s">
        <v>3766</v>
      </c>
      <c r="DM71" t="s">
        <v>3767</v>
      </c>
      <c r="DN71" t="s">
        <v>2129</v>
      </c>
      <c r="DO71" t="s">
        <v>2129</v>
      </c>
      <c r="DP71" t="s">
        <v>2129</v>
      </c>
      <c r="DQ71" t="s">
        <v>2129</v>
      </c>
      <c r="DR71" t="s">
        <v>2129</v>
      </c>
      <c r="DS71" t="s">
        <v>2129</v>
      </c>
      <c r="DT71" t="s">
        <v>2129</v>
      </c>
      <c r="DU71" t="s">
        <v>2129</v>
      </c>
      <c r="DV71" t="s">
        <v>2129</v>
      </c>
      <c r="DW71" t="s">
        <v>2129</v>
      </c>
      <c r="DX71" t="s">
        <v>2129</v>
      </c>
      <c r="DY71" t="s">
        <v>2129</v>
      </c>
      <c r="DZ71" t="s">
        <v>2129</v>
      </c>
      <c r="EA71" t="s">
        <v>2129</v>
      </c>
      <c r="EB71" t="s">
        <v>2129</v>
      </c>
      <c r="EC71" t="s">
        <v>2129</v>
      </c>
      <c r="ED71" t="s">
        <v>2129</v>
      </c>
      <c r="EE71" t="s">
        <v>2129</v>
      </c>
      <c r="EF71" t="s">
        <v>2129</v>
      </c>
      <c r="EG71" t="s">
        <v>2129</v>
      </c>
      <c r="EH71" t="s">
        <v>2129</v>
      </c>
    </row>
    <row r="72" spans="1:138" x14ac:dyDescent="0.25">
      <c r="A72" t="s">
        <v>1723</v>
      </c>
      <c r="B72" t="s">
        <v>3768</v>
      </c>
      <c r="C72">
        <v>23089</v>
      </c>
      <c r="E72" t="s">
        <v>2136</v>
      </c>
      <c r="F72" t="s">
        <v>10</v>
      </c>
      <c r="G72" t="s">
        <v>2163</v>
      </c>
      <c r="H72" t="s">
        <v>56</v>
      </c>
      <c r="I72" t="s">
        <v>2127</v>
      </c>
      <c r="J72" t="s">
        <v>2156</v>
      </c>
      <c r="K72" t="s">
        <v>2129</v>
      </c>
      <c r="L72" t="s">
        <v>2129</v>
      </c>
      <c r="M72" t="s">
        <v>2130</v>
      </c>
      <c r="N72" t="s">
        <v>2129</v>
      </c>
      <c r="O72" t="s">
        <v>2156</v>
      </c>
      <c r="P72" t="s">
        <v>2156</v>
      </c>
      <c r="Q72" t="s">
        <v>2156</v>
      </c>
      <c r="R72" s="37">
        <v>46084.537499999999</v>
      </c>
      <c r="S72" s="37">
        <v>46098.424305555556</v>
      </c>
      <c r="T72" s="37">
        <v>46100.368750000001</v>
      </c>
      <c r="U72" s="37"/>
      <c r="V72" t="s">
        <v>2129</v>
      </c>
      <c r="W72" t="s">
        <v>2129</v>
      </c>
      <c r="X72" t="s">
        <v>2129</v>
      </c>
      <c r="Y72">
        <v>0</v>
      </c>
      <c r="Z72" t="s">
        <v>2129</v>
      </c>
      <c r="AA72" t="s">
        <v>2129</v>
      </c>
      <c r="AB72" t="s">
        <v>2129</v>
      </c>
      <c r="AC72" t="s">
        <v>2156</v>
      </c>
      <c r="AD72" t="s">
        <v>2129</v>
      </c>
      <c r="AE72" t="s">
        <v>2129</v>
      </c>
      <c r="AF72" t="s">
        <v>2129</v>
      </c>
      <c r="AG72" t="s">
        <v>2129</v>
      </c>
      <c r="AH72" t="s">
        <v>2129</v>
      </c>
      <c r="AI72" t="s">
        <v>2129</v>
      </c>
      <c r="AJ72" t="s">
        <v>2129</v>
      </c>
      <c r="AK72" t="s">
        <v>2129</v>
      </c>
      <c r="AL72" t="s">
        <v>2129</v>
      </c>
      <c r="AM72" t="s">
        <v>2129</v>
      </c>
      <c r="AN72" t="s">
        <v>2129</v>
      </c>
      <c r="AO72" t="s">
        <v>2129</v>
      </c>
      <c r="AP72" t="s">
        <v>2129</v>
      </c>
      <c r="AQ72" t="s">
        <v>2129</v>
      </c>
      <c r="AR72" t="s">
        <v>2129</v>
      </c>
      <c r="AS72" t="s">
        <v>2129</v>
      </c>
      <c r="AT72" t="s">
        <v>2129</v>
      </c>
      <c r="AU72" t="s">
        <v>2129</v>
      </c>
      <c r="AV72" t="s">
        <v>2129</v>
      </c>
      <c r="AW72" t="s">
        <v>2129</v>
      </c>
      <c r="AX72" t="s">
        <v>2129</v>
      </c>
      <c r="AY72" t="s">
        <v>2129</v>
      </c>
      <c r="AZ72" t="s">
        <v>2129</v>
      </c>
      <c r="BA72" t="s">
        <v>2129</v>
      </c>
      <c r="BB72" t="s">
        <v>2129</v>
      </c>
      <c r="BC72" t="s">
        <v>2129</v>
      </c>
      <c r="BD72" t="s">
        <v>2129</v>
      </c>
      <c r="BE72" t="s">
        <v>2129</v>
      </c>
      <c r="BF72" t="s">
        <v>2129</v>
      </c>
      <c r="BG72" t="s">
        <v>2129</v>
      </c>
      <c r="BH72" t="s">
        <v>2129</v>
      </c>
      <c r="BI72" t="s">
        <v>2129</v>
      </c>
      <c r="BJ72" t="s">
        <v>2129</v>
      </c>
      <c r="BK72" t="s">
        <v>2129</v>
      </c>
      <c r="BL72" t="s">
        <v>2129</v>
      </c>
      <c r="BM72" t="s">
        <v>2129</v>
      </c>
      <c r="BN72" t="s">
        <v>2129</v>
      </c>
      <c r="BO72" t="s">
        <v>2129</v>
      </c>
      <c r="BP72" t="s">
        <v>2129</v>
      </c>
      <c r="BS72" t="s">
        <v>2129</v>
      </c>
      <c r="BT72" t="s">
        <v>2129</v>
      </c>
      <c r="BW72" t="s">
        <v>2129</v>
      </c>
      <c r="BX72" t="s">
        <v>2129</v>
      </c>
      <c r="BY72" t="s">
        <v>2129</v>
      </c>
      <c r="BZ72" t="s">
        <v>2129</v>
      </c>
      <c r="CA72" t="s">
        <v>2129</v>
      </c>
      <c r="CB72" t="s">
        <v>2129</v>
      </c>
      <c r="CC72" t="s">
        <v>2129</v>
      </c>
      <c r="CD72" t="s">
        <v>2129</v>
      </c>
      <c r="CE72" t="s">
        <v>2129</v>
      </c>
      <c r="CF72" t="s">
        <v>2129</v>
      </c>
      <c r="CG72" t="s">
        <v>2129</v>
      </c>
      <c r="CH72" t="s">
        <v>2129</v>
      </c>
      <c r="CI72" t="s">
        <v>2129</v>
      </c>
      <c r="CJ72" t="s">
        <v>2129</v>
      </c>
      <c r="CK72" t="s">
        <v>2129</v>
      </c>
      <c r="CL72" t="s">
        <v>2129</v>
      </c>
      <c r="CM72" t="s">
        <v>2129</v>
      </c>
      <c r="CN72" t="s">
        <v>2129</v>
      </c>
      <c r="CO72" t="s">
        <v>2129</v>
      </c>
      <c r="CP72" t="s">
        <v>2129</v>
      </c>
      <c r="CQ72" t="s">
        <v>2129</v>
      </c>
      <c r="CR72" t="s">
        <v>2129</v>
      </c>
      <c r="CS72" t="s">
        <v>2129</v>
      </c>
      <c r="CT72" t="s">
        <v>3769</v>
      </c>
      <c r="CU72" t="s">
        <v>3733</v>
      </c>
      <c r="CV72" t="s">
        <v>2129</v>
      </c>
      <c r="CW72" t="s">
        <v>2129</v>
      </c>
      <c r="CX72" t="s">
        <v>2129</v>
      </c>
      <c r="CY72" t="s">
        <v>2129</v>
      </c>
      <c r="CZ72" t="s">
        <v>2129</v>
      </c>
      <c r="DA72" t="s">
        <v>2129</v>
      </c>
      <c r="DB72" t="s">
        <v>2129</v>
      </c>
      <c r="DC72" t="s">
        <v>2129</v>
      </c>
      <c r="DD72" t="s">
        <v>2129</v>
      </c>
      <c r="DE72" t="s">
        <v>2129</v>
      </c>
      <c r="DF72" t="s">
        <v>2129</v>
      </c>
      <c r="DG72" t="s">
        <v>2129</v>
      </c>
      <c r="DH72" t="s">
        <v>2129</v>
      </c>
      <c r="DJ72" t="s">
        <v>2129</v>
      </c>
      <c r="DK72" t="s">
        <v>2129</v>
      </c>
      <c r="DL72" t="s">
        <v>2129</v>
      </c>
      <c r="DM72" t="s">
        <v>2129</v>
      </c>
      <c r="DN72" t="s">
        <v>2129</v>
      </c>
      <c r="DO72" t="s">
        <v>2129</v>
      </c>
      <c r="DP72" t="s">
        <v>2129</v>
      </c>
      <c r="DQ72" t="s">
        <v>2129</v>
      </c>
      <c r="DR72" t="s">
        <v>2129</v>
      </c>
      <c r="DS72" t="s">
        <v>2129</v>
      </c>
      <c r="DT72" t="s">
        <v>2129</v>
      </c>
      <c r="DU72" t="s">
        <v>2129</v>
      </c>
      <c r="DV72" t="s">
        <v>2129</v>
      </c>
      <c r="DW72" t="s">
        <v>2129</v>
      </c>
      <c r="DX72" t="s">
        <v>2129</v>
      </c>
      <c r="DY72" t="s">
        <v>2129</v>
      </c>
      <c r="DZ72" t="s">
        <v>2129</v>
      </c>
      <c r="EA72" t="s">
        <v>2129</v>
      </c>
      <c r="EB72" t="s">
        <v>2129</v>
      </c>
      <c r="EC72" t="s">
        <v>2129</v>
      </c>
      <c r="ED72" t="s">
        <v>2129</v>
      </c>
      <c r="EE72" t="s">
        <v>2129</v>
      </c>
      <c r="EF72" t="s">
        <v>2129</v>
      </c>
      <c r="EG72" t="s">
        <v>2129</v>
      </c>
      <c r="EH72" t="s">
        <v>2129</v>
      </c>
    </row>
    <row r="73" spans="1:138" x14ac:dyDescent="0.25">
      <c r="A73" t="s">
        <v>1723</v>
      </c>
      <c r="B73" t="s">
        <v>2948</v>
      </c>
      <c r="C73">
        <v>23088</v>
      </c>
      <c r="E73" t="s">
        <v>2136</v>
      </c>
      <c r="F73" t="s">
        <v>10</v>
      </c>
      <c r="G73" t="s">
        <v>2163</v>
      </c>
      <c r="H73" t="s">
        <v>56</v>
      </c>
      <c r="I73" t="s">
        <v>2127</v>
      </c>
      <c r="J73" t="s">
        <v>2156</v>
      </c>
      <c r="K73" t="s">
        <v>2129</v>
      </c>
      <c r="L73" t="s">
        <v>2129</v>
      </c>
      <c r="M73" t="s">
        <v>2130</v>
      </c>
      <c r="N73" t="s">
        <v>2129</v>
      </c>
      <c r="O73" t="s">
        <v>3730</v>
      </c>
      <c r="P73" t="s">
        <v>2156</v>
      </c>
      <c r="Q73" t="s">
        <v>2156</v>
      </c>
      <c r="R73" s="37">
        <v>46084.537499999999</v>
      </c>
      <c r="S73" s="37">
        <v>46099.707638888889</v>
      </c>
      <c r="T73" s="37">
        <v>46100.368750000001</v>
      </c>
      <c r="U73" s="37"/>
      <c r="V73" t="s">
        <v>2129</v>
      </c>
      <c r="W73" t="s">
        <v>2129</v>
      </c>
      <c r="X73" t="s">
        <v>2129</v>
      </c>
      <c r="Y73">
        <v>0</v>
      </c>
      <c r="Z73" t="s">
        <v>2129</v>
      </c>
      <c r="AA73" t="s">
        <v>2129</v>
      </c>
      <c r="AB73" t="s">
        <v>2129</v>
      </c>
      <c r="AC73" t="s">
        <v>2156</v>
      </c>
      <c r="AD73" t="s">
        <v>2129</v>
      </c>
      <c r="AE73" t="s">
        <v>2129</v>
      </c>
      <c r="AF73" t="s">
        <v>2129</v>
      </c>
      <c r="AG73" t="s">
        <v>2129</v>
      </c>
      <c r="AH73" t="s">
        <v>3770</v>
      </c>
      <c r="AI73" t="s">
        <v>2129</v>
      </c>
      <c r="AJ73" t="s">
        <v>2129</v>
      </c>
      <c r="AK73" t="s">
        <v>2129</v>
      </c>
      <c r="AL73" t="s">
        <v>2129</v>
      </c>
      <c r="AM73" t="s">
        <v>2129</v>
      </c>
      <c r="AN73" t="s">
        <v>2129</v>
      </c>
      <c r="AO73" t="s">
        <v>2129</v>
      </c>
      <c r="AP73" t="s">
        <v>2129</v>
      </c>
      <c r="AQ73" t="s">
        <v>2129</v>
      </c>
      <c r="AR73" t="s">
        <v>2129</v>
      </c>
      <c r="AS73" t="s">
        <v>2129</v>
      </c>
      <c r="AT73" t="s">
        <v>2129</v>
      </c>
      <c r="AU73" t="s">
        <v>2129</v>
      </c>
      <c r="AV73" t="s">
        <v>2129</v>
      </c>
      <c r="AW73" t="s">
        <v>2129</v>
      </c>
      <c r="AX73" t="s">
        <v>2129</v>
      </c>
      <c r="AY73" t="s">
        <v>2129</v>
      </c>
      <c r="AZ73" t="s">
        <v>2129</v>
      </c>
      <c r="BA73" t="s">
        <v>2129</v>
      </c>
      <c r="BB73" t="s">
        <v>2129</v>
      </c>
      <c r="BC73" t="s">
        <v>2129</v>
      </c>
      <c r="BD73" t="s">
        <v>2129</v>
      </c>
      <c r="BE73" t="s">
        <v>2129</v>
      </c>
      <c r="BF73" t="s">
        <v>2129</v>
      </c>
      <c r="BG73" t="s">
        <v>2129</v>
      </c>
      <c r="BH73" t="s">
        <v>2129</v>
      </c>
      <c r="BI73" t="s">
        <v>2129</v>
      </c>
      <c r="BJ73" t="s">
        <v>2129</v>
      </c>
      <c r="BK73" t="s">
        <v>2129</v>
      </c>
      <c r="BL73" t="s">
        <v>2129</v>
      </c>
      <c r="BM73" t="s">
        <v>2129</v>
      </c>
      <c r="BN73" t="s">
        <v>2129</v>
      </c>
      <c r="BO73" t="s">
        <v>2129</v>
      </c>
      <c r="BP73" t="s">
        <v>2129</v>
      </c>
      <c r="BQ73">
        <v>0</v>
      </c>
      <c r="BR73">
        <v>32400</v>
      </c>
      <c r="BS73" t="s">
        <v>2129</v>
      </c>
      <c r="BT73" t="s">
        <v>2129</v>
      </c>
      <c r="BU73">
        <v>0</v>
      </c>
      <c r="BV73">
        <v>32400</v>
      </c>
      <c r="BW73" t="s">
        <v>2129</v>
      </c>
      <c r="BX73" t="s">
        <v>2129</v>
      </c>
      <c r="BY73" t="s">
        <v>2129</v>
      </c>
      <c r="BZ73" t="s">
        <v>2129</v>
      </c>
      <c r="CA73" t="s">
        <v>2129</v>
      </c>
      <c r="CB73" t="s">
        <v>2129</v>
      </c>
      <c r="CC73" t="s">
        <v>2129</v>
      </c>
      <c r="CD73" t="s">
        <v>2129</v>
      </c>
      <c r="CE73" t="s">
        <v>2129</v>
      </c>
      <c r="CF73" t="s">
        <v>2129</v>
      </c>
      <c r="CG73" t="s">
        <v>2129</v>
      </c>
      <c r="CH73" t="s">
        <v>2129</v>
      </c>
      <c r="CI73" t="s">
        <v>2129</v>
      </c>
      <c r="CJ73" t="s">
        <v>2129</v>
      </c>
      <c r="CK73" t="s">
        <v>2129</v>
      </c>
      <c r="CL73" t="s">
        <v>2129</v>
      </c>
      <c r="CM73" t="s">
        <v>2129</v>
      </c>
      <c r="CN73" t="s">
        <v>2129</v>
      </c>
      <c r="CO73" t="s">
        <v>2129</v>
      </c>
      <c r="CP73" t="s">
        <v>2129</v>
      </c>
      <c r="CQ73" t="s">
        <v>2129</v>
      </c>
      <c r="CR73" t="s">
        <v>2129</v>
      </c>
      <c r="CS73" t="s">
        <v>2129</v>
      </c>
      <c r="CT73" t="s">
        <v>2949</v>
      </c>
      <c r="CU73" t="s">
        <v>2950</v>
      </c>
      <c r="CV73" t="s">
        <v>2129</v>
      </c>
      <c r="CW73" t="s">
        <v>2129</v>
      </c>
      <c r="CX73" t="s">
        <v>2129</v>
      </c>
      <c r="CY73" t="s">
        <v>2129</v>
      </c>
      <c r="CZ73" t="s">
        <v>2129</v>
      </c>
      <c r="DA73" t="s">
        <v>2129</v>
      </c>
      <c r="DB73" t="s">
        <v>2129</v>
      </c>
      <c r="DC73" t="s">
        <v>2129</v>
      </c>
      <c r="DD73" t="s">
        <v>2129</v>
      </c>
      <c r="DE73" t="s">
        <v>2129</v>
      </c>
      <c r="DF73" t="s">
        <v>2129</v>
      </c>
      <c r="DG73" t="s">
        <v>2129</v>
      </c>
      <c r="DH73" t="s">
        <v>2129</v>
      </c>
      <c r="DJ73" t="s">
        <v>2129</v>
      </c>
      <c r="DK73" t="s">
        <v>2129</v>
      </c>
      <c r="DL73" t="s">
        <v>2129</v>
      </c>
      <c r="DM73" t="s">
        <v>2129</v>
      </c>
      <c r="DN73" t="s">
        <v>2129</v>
      </c>
      <c r="DO73" t="s">
        <v>2129</v>
      </c>
      <c r="DP73" t="s">
        <v>2129</v>
      </c>
      <c r="DQ73" t="s">
        <v>2129</v>
      </c>
      <c r="DR73" t="s">
        <v>2129</v>
      </c>
      <c r="DS73" t="s">
        <v>2129</v>
      </c>
      <c r="DT73" t="s">
        <v>2129</v>
      </c>
      <c r="DU73" t="s">
        <v>2129</v>
      </c>
      <c r="DV73" t="s">
        <v>2129</v>
      </c>
      <c r="DW73" t="s">
        <v>2129</v>
      </c>
      <c r="DX73" t="s">
        <v>2129</v>
      </c>
      <c r="DY73" t="s">
        <v>2129</v>
      </c>
      <c r="DZ73" t="s">
        <v>2129</v>
      </c>
      <c r="EA73" t="s">
        <v>2129</v>
      </c>
      <c r="EB73" t="s">
        <v>2129</v>
      </c>
      <c r="EC73" t="s">
        <v>2129</v>
      </c>
      <c r="ED73" t="s">
        <v>2129</v>
      </c>
      <c r="EE73" t="s">
        <v>2129</v>
      </c>
      <c r="EF73" t="s">
        <v>2129</v>
      </c>
      <c r="EG73" t="s">
        <v>2129</v>
      </c>
      <c r="EH73" t="s">
        <v>2129</v>
      </c>
    </row>
    <row r="74" spans="1:138" x14ac:dyDescent="0.25">
      <c r="A74" t="s">
        <v>2878</v>
      </c>
      <c r="B74" t="s">
        <v>2951</v>
      </c>
      <c r="C74">
        <v>23072</v>
      </c>
      <c r="E74" t="s">
        <v>14</v>
      </c>
      <c r="F74" t="s">
        <v>10</v>
      </c>
      <c r="G74" t="s">
        <v>2163</v>
      </c>
      <c r="H74" t="s">
        <v>56</v>
      </c>
      <c r="I74" t="s">
        <v>2127</v>
      </c>
      <c r="J74" t="s">
        <v>2156</v>
      </c>
      <c r="K74" t="s">
        <v>2129</v>
      </c>
      <c r="L74" t="s">
        <v>2129</v>
      </c>
      <c r="M74" t="s">
        <v>2130</v>
      </c>
      <c r="N74" t="s">
        <v>2129</v>
      </c>
      <c r="O74" t="s">
        <v>2156</v>
      </c>
      <c r="P74" t="s">
        <v>2145</v>
      </c>
      <c r="Q74" t="s">
        <v>2145</v>
      </c>
      <c r="R74" s="37">
        <v>46083.421527777777</v>
      </c>
      <c r="S74" s="37">
        <v>46099.355555555558</v>
      </c>
      <c r="T74" s="37">
        <v>46100.368750000001</v>
      </c>
      <c r="U74" s="37"/>
      <c r="V74" t="s">
        <v>2129</v>
      </c>
      <c r="W74" t="s">
        <v>2129</v>
      </c>
      <c r="X74" t="s">
        <v>2129</v>
      </c>
      <c r="Y74">
        <v>0</v>
      </c>
      <c r="Z74" t="s">
        <v>2129</v>
      </c>
      <c r="AA74" t="s">
        <v>2938</v>
      </c>
      <c r="AB74" t="s">
        <v>2129</v>
      </c>
      <c r="AC74" t="s">
        <v>2145</v>
      </c>
      <c r="AD74" t="s">
        <v>2129</v>
      </c>
      <c r="AE74" t="s">
        <v>2129</v>
      </c>
      <c r="AF74" t="s">
        <v>2129</v>
      </c>
      <c r="AG74" t="s">
        <v>2129</v>
      </c>
      <c r="AH74" t="s">
        <v>2129</v>
      </c>
      <c r="AI74" t="s">
        <v>2129</v>
      </c>
      <c r="AJ74" t="s">
        <v>2129</v>
      </c>
      <c r="AK74" t="s">
        <v>2129</v>
      </c>
      <c r="AL74" t="s">
        <v>2129</v>
      </c>
      <c r="AM74" t="s">
        <v>2129</v>
      </c>
      <c r="AN74" t="s">
        <v>2129</v>
      </c>
      <c r="AO74" t="s">
        <v>2129</v>
      </c>
      <c r="AP74" t="s">
        <v>2129</v>
      </c>
      <c r="AQ74" t="s">
        <v>2129</v>
      </c>
      <c r="AR74" t="s">
        <v>2129</v>
      </c>
      <c r="AS74" t="s">
        <v>2129</v>
      </c>
      <c r="AT74" t="s">
        <v>2129</v>
      </c>
      <c r="AU74" t="s">
        <v>2129</v>
      </c>
      <c r="AV74" t="s">
        <v>2129</v>
      </c>
      <c r="AW74" t="s">
        <v>2129</v>
      </c>
      <c r="AX74" t="s">
        <v>2129</v>
      </c>
      <c r="AY74" t="s">
        <v>2129</v>
      </c>
      <c r="AZ74" t="s">
        <v>2129</v>
      </c>
      <c r="BA74" t="s">
        <v>2129</v>
      </c>
      <c r="BB74" t="s">
        <v>2129</v>
      </c>
      <c r="BC74" t="s">
        <v>2129</v>
      </c>
      <c r="BD74" t="s">
        <v>2129</v>
      </c>
      <c r="BE74" t="s">
        <v>2129</v>
      </c>
      <c r="BF74" t="s">
        <v>2129</v>
      </c>
      <c r="BG74" t="s">
        <v>2129</v>
      </c>
      <c r="BH74" t="s">
        <v>2129</v>
      </c>
      <c r="BI74" t="s">
        <v>2129</v>
      </c>
      <c r="BJ74" t="s">
        <v>2129</v>
      </c>
      <c r="BK74" t="s">
        <v>2129</v>
      </c>
      <c r="BL74" t="s">
        <v>2129</v>
      </c>
      <c r="BM74" t="s">
        <v>2129</v>
      </c>
      <c r="BN74" t="s">
        <v>2129</v>
      </c>
      <c r="BO74" t="s">
        <v>2129</v>
      </c>
      <c r="BP74" t="s">
        <v>2129</v>
      </c>
      <c r="BS74" t="s">
        <v>2129</v>
      </c>
      <c r="BT74" t="s">
        <v>2129</v>
      </c>
      <c r="BW74" t="s">
        <v>2129</v>
      </c>
      <c r="BX74" t="s">
        <v>2129</v>
      </c>
      <c r="BY74" t="s">
        <v>2129</v>
      </c>
      <c r="BZ74" t="s">
        <v>2129</v>
      </c>
      <c r="CA74" t="s">
        <v>2129</v>
      </c>
      <c r="CB74" t="s">
        <v>2129</v>
      </c>
      <c r="CC74" t="s">
        <v>2129</v>
      </c>
      <c r="CD74" t="s">
        <v>2129</v>
      </c>
      <c r="CE74" t="s">
        <v>2129</v>
      </c>
      <c r="CF74" t="s">
        <v>2129</v>
      </c>
      <c r="CG74" t="s">
        <v>2129</v>
      </c>
      <c r="CH74" t="s">
        <v>2129</v>
      </c>
      <c r="CI74" t="s">
        <v>2129</v>
      </c>
      <c r="CJ74" t="s">
        <v>2129</v>
      </c>
      <c r="CK74" t="s">
        <v>2129</v>
      </c>
      <c r="CL74" t="s">
        <v>2129</v>
      </c>
      <c r="CM74" t="s">
        <v>2913</v>
      </c>
      <c r="CN74" t="s">
        <v>2129</v>
      </c>
      <c r="CO74" t="s">
        <v>2129</v>
      </c>
      <c r="CP74" t="s">
        <v>2129</v>
      </c>
      <c r="CQ74" t="s">
        <v>2129</v>
      </c>
      <c r="CR74" t="s">
        <v>2129</v>
      </c>
      <c r="CS74" t="s">
        <v>2129</v>
      </c>
      <c r="CT74" t="s">
        <v>3771</v>
      </c>
      <c r="CU74" t="s">
        <v>2129</v>
      </c>
      <c r="CV74" t="s">
        <v>2129</v>
      </c>
      <c r="CW74" t="s">
        <v>2129</v>
      </c>
      <c r="CX74" t="s">
        <v>2129</v>
      </c>
      <c r="CY74" t="s">
        <v>2129</v>
      </c>
      <c r="CZ74" t="s">
        <v>2129</v>
      </c>
      <c r="DA74" t="s">
        <v>2129</v>
      </c>
      <c r="DB74" t="s">
        <v>2129</v>
      </c>
      <c r="DC74" t="s">
        <v>2129</v>
      </c>
      <c r="DD74" t="s">
        <v>2129</v>
      </c>
      <c r="DE74" t="s">
        <v>2129</v>
      </c>
      <c r="DF74" t="s">
        <v>2129</v>
      </c>
      <c r="DG74" t="s">
        <v>2129</v>
      </c>
      <c r="DH74" t="s">
        <v>2129</v>
      </c>
      <c r="DJ74" t="s">
        <v>2129</v>
      </c>
      <c r="DK74" t="s">
        <v>2129</v>
      </c>
      <c r="DL74" t="s">
        <v>2129</v>
      </c>
      <c r="DM74" t="s">
        <v>2129</v>
      </c>
      <c r="DN74" t="s">
        <v>2129</v>
      </c>
      <c r="DO74" t="s">
        <v>2129</v>
      </c>
      <c r="DP74" t="s">
        <v>2129</v>
      </c>
      <c r="DQ74" t="s">
        <v>2129</v>
      </c>
      <c r="DR74" t="s">
        <v>2129</v>
      </c>
      <c r="DS74" t="s">
        <v>2129</v>
      </c>
      <c r="DT74" t="s">
        <v>2129</v>
      </c>
      <c r="DU74" t="s">
        <v>2129</v>
      </c>
      <c r="DV74" t="s">
        <v>2129</v>
      </c>
      <c r="DW74" t="s">
        <v>2129</v>
      </c>
      <c r="DX74" t="s">
        <v>2129</v>
      </c>
      <c r="DY74" t="s">
        <v>2129</v>
      </c>
      <c r="DZ74" t="s">
        <v>2129</v>
      </c>
      <c r="EA74" t="s">
        <v>2129</v>
      </c>
      <c r="EB74" t="s">
        <v>2129</v>
      </c>
      <c r="EC74" t="s">
        <v>2129</v>
      </c>
      <c r="ED74" t="s">
        <v>2129</v>
      </c>
      <c r="EE74" t="s">
        <v>2129</v>
      </c>
      <c r="EF74" t="s">
        <v>2129</v>
      </c>
      <c r="EG74" t="s">
        <v>2129</v>
      </c>
      <c r="EH74" t="s">
        <v>2129</v>
      </c>
    </row>
    <row r="75" spans="1:138" x14ac:dyDescent="0.25">
      <c r="A75" t="s">
        <v>2993</v>
      </c>
      <c r="B75" t="s">
        <v>3772</v>
      </c>
      <c r="C75">
        <v>23002</v>
      </c>
      <c r="E75" t="s">
        <v>2136</v>
      </c>
      <c r="F75" t="s">
        <v>16</v>
      </c>
      <c r="G75" t="s">
        <v>2163</v>
      </c>
      <c r="H75" t="s">
        <v>56</v>
      </c>
      <c r="I75" t="s">
        <v>2127</v>
      </c>
      <c r="J75" t="s">
        <v>2156</v>
      </c>
      <c r="K75" t="s">
        <v>2129</v>
      </c>
      <c r="L75" t="s">
        <v>2129</v>
      </c>
      <c r="M75" t="s">
        <v>2130</v>
      </c>
      <c r="N75" t="s">
        <v>16</v>
      </c>
      <c r="O75" t="s">
        <v>2156</v>
      </c>
      <c r="P75" t="s">
        <v>2156</v>
      </c>
      <c r="Q75" t="s">
        <v>2156</v>
      </c>
      <c r="R75" s="37">
        <v>46073.393055555556</v>
      </c>
      <c r="S75" s="37">
        <v>46090.327777777777</v>
      </c>
      <c r="T75" s="37">
        <v>46100.368750000001</v>
      </c>
      <c r="U75" s="37">
        <v>46090.327777777777</v>
      </c>
      <c r="V75" t="s">
        <v>2129</v>
      </c>
      <c r="W75" t="s">
        <v>2129</v>
      </c>
      <c r="X75" t="s">
        <v>2129</v>
      </c>
      <c r="Y75">
        <v>0</v>
      </c>
      <c r="Z75" t="s">
        <v>2129</v>
      </c>
      <c r="AA75" t="s">
        <v>2129</v>
      </c>
      <c r="AB75" t="s">
        <v>2129</v>
      </c>
      <c r="AC75" t="s">
        <v>2156</v>
      </c>
      <c r="AD75" t="s">
        <v>2129</v>
      </c>
      <c r="AE75" t="s">
        <v>2129</v>
      </c>
      <c r="AF75" t="s">
        <v>2129</v>
      </c>
      <c r="AG75" t="s">
        <v>2129</v>
      </c>
      <c r="AH75" t="s">
        <v>3773</v>
      </c>
      <c r="AI75" t="s">
        <v>3774</v>
      </c>
      <c r="AJ75" t="s">
        <v>3775</v>
      </c>
      <c r="AK75" t="s">
        <v>3776</v>
      </c>
      <c r="AL75" t="s">
        <v>2129</v>
      </c>
      <c r="AM75" t="s">
        <v>2129</v>
      </c>
      <c r="AN75" t="s">
        <v>2129</v>
      </c>
      <c r="AO75" t="s">
        <v>2129</v>
      </c>
      <c r="AP75" t="s">
        <v>2129</v>
      </c>
      <c r="AQ75" t="s">
        <v>2129</v>
      </c>
      <c r="AR75" t="s">
        <v>2129</v>
      </c>
      <c r="AS75" t="s">
        <v>2129</v>
      </c>
      <c r="AT75" t="s">
        <v>2129</v>
      </c>
      <c r="AU75" t="s">
        <v>2129</v>
      </c>
      <c r="AV75" t="s">
        <v>2129</v>
      </c>
      <c r="AW75" t="s">
        <v>2129</v>
      </c>
      <c r="AX75" t="s">
        <v>2129</v>
      </c>
      <c r="AY75" t="s">
        <v>2129</v>
      </c>
      <c r="AZ75" t="s">
        <v>2129</v>
      </c>
      <c r="BA75" t="s">
        <v>2129</v>
      </c>
      <c r="BB75" t="s">
        <v>2129</v>
      </c>
      <c r="BC75" t="s">
        <v>2129</v>
      </c>
      <c r="BD75" t="s">
        <v>2129</v>
      </c>
      <c r="BE75" t="s">
        <v>2129</v>
      </c>
      <c r="BF75" t="s">
        <v>2129</v>
      </c>
      <c r="BG75" t="s">
        <v>2129</v>
      </c>
      <c r="BH75" t="s">
        <v>2129</v>
      </c>
      <c r="BI75" t="s">
        <v>2129</v>
      </c>
      <c r="BJ75" t="s">
        <v>2129</v>
      </c>
      <c r="BK75" t="s">
        <v>2129</v>
      </c>
      <c r="BL75" t="s">
        <v>2129</v>
      </c>
      <c r="BM75" t="s">
        <v>2129</v>
      </c>
      <c r="BN75" t="s">
        <v>2129</v>
      </c>
      <c r="BO75" t="s">
        <v>2129</v>
      </c>
      <c r="BP75" t="s">
        <v>2129</v>
      </c>
      <c r="BQ75">
        <v>0</v>
      </c>
      <c r="BR75">
        <v>100800</v>
      </c>
      <c r="BS75" t="s">
        <v>2129</v>
      </c>
      <c r="BT75" t="s">
        <v>2129</v>
      </c>
      <c r="BU75">
        <v>0</v>
      </c>
      <c r="BV75">
        <v>100800</v>
      </c>
      <c r="BW75" t="s">
        <v>2129</v>
      </c>
      <c r="BX75" t="s">
        <v>2129</v>
      </c>
      <c r="BY75" t="s">
        <v>2129</v>
      </c>
      <c r="BZ75" t="s">
        <v>2129</v>
      </c>
      <c r="CA75" t="s">
        <v>2129</v>
      </c>
      <c r="CB75" t="s">
        <v>2129</v>
      </c>
      <c r="CC75" t="s">
        <v>2129</v>
      </c>
      <c r="CD75" t="s">
        <v>2129</v>
      </c>
      <c r="CE75" t="s">
        <v>2129</v>
      </c>
      <c r="CF75" t="s">
        <v>2129</v>
      </c>
      <c r="CG75" t="s">
        <v>2129</v>
      </c>
      <c r="CH75" t="s">
        <v>2129</v>
      </c>
      <c r="CI75" t="s">
        <v>2129</v>
      </c>
      <c r="CJ75" t="s">
        <v>2129</v>
      </c>
      <c r="CK75" t="s">
        <v>2129</v>
      </c>
      <c r="CL75" t="s">
        <v>2129</v>
      </c>
      <c r="CM75" t="s">
        <v>2129</v>
      </c>
      <c r="CN75" t="s">
        <v>2129</v>
      </c>
      <c r="CO75" t="s">
        <v>2129</v>
      </c>
      <c r="CP75" t="s">
        <v>2129</v>
      </c>
      <c r="CQ75" t="s">
        <v>2129</v>
      </c>
      <c r="CR75" t="s">
        <v>2129</v>
      </c>
      <c r="CS75" t="s">
        <v>2129</v>
      </c>
      <c r="CT75" t="s">
        <v>3777</v>
      </c>
      <c r="CU75" t="s">
        <v>2957</v>
      </c>
      <c r="CV75" t="s">
        <v>2129</v>
      </c>
      <c r="CW75" t="s">
        <v>2129</v>
      </c>
      <c r="CX75" t="s">
        <v>2129</v>
      </c>
      <c r="CY75" t="s">
        <v>2129</v>
      </c>
      <c r="CZ75" t="s">
        <v>2129</v>
      </c>
      <c r="DA75" t="s">
        <v>2129</v>
      </c>
      <c r="DB75" t="s">
        <v>2129</v>
      </c>
      <c r="DC75" t="s">
        <v>2129</v>
      </c>
      <c r="DD75" t="s">
        <v>2129</v>
      </c>
      <c r="DE75" t="s">
        <v>2129</v>
      </c>
      <c r="DF75" t="s">
        <v>2129</v>
      </c>
      <c r="DG75" t="s">
        <v>2129</v>
      </c>
      <c r="DH75" t="s">
        <v>2129</v>
      </c>
      <c r="DJ75" t="s">
        <v>2129</v>
      </c>
      <c r="DK75" t="s">
        <v>2129</v>
      </c>
      <c r="DL75" t="s">
        <v>2129</v>
      </c>
      <c r="DM75" t="s">
        <v>2129</v>
      </c>
      <c r="DN75" t="s">
        <v>2129</v>
      </c>
      <c r="DO75" t="s">
        <v>2129</v>
      </c>
      <c r="DP75" t="s">
        <v>2129</v>
      </c>
      <c r="DQ75" t="s">
        <v>2129</v>
      </c>
      <c r="DR75" t="s">
        <v>2129</v>
      </c>
      <c r="DS75" t="s">
        <v>2129</v>
      </c>
      <c r="DT75" t="s">
        <v>2129</v>
      </c>
      <c r="DU75" t="s">
        <v>2129</v>
      </c>
      <c r="DV75" t="s">
        <v>2129</v>
      </c>
      <c r="DW75" t="s">
        <v>2129</v>
      </c>
      <c r="DX75" t="s">
        <v>2129</v>
      </c>
      <c r="DY75" t="s">
        <v>2129</v>
      </c>
      <c r="DZ75" t="s">
        <v>2129</v>
      </c>
      <c r="EA75" t="s">
        <v>2129</v>
      </c>
      <c r="EB75" t="s">
        <v>2129</v>
      </c>
      <c r="EC75" t="s">
        <v>2129</v>
      </c>
      <c r="ED75" t="s">
        <v>2129</v>
      </c>
      <c r="EE75" t="s">
        <v>2129</v>
      </c>
      <c r="EF75" t="s">
        <v>2129</v>
      </c>
      <c r="EG75" t="s">
        <v>2129</v>
      </c>
      <c r="EH75" t="s">
        <v>2129</v>
      </c>
    </row>
    <row r="76" spans="1:138" x14ac:dyDescent="0.25">
      <c r="A76" t="s">
        <v>2759</v>
      </c>
      <c r="B76" t="s">
        <v>2753</v>
      </c>
      <c r="C76">
        <v>22992</v>
      </c>
      <c r="E76" t="s">
        <v>77</v>
      </c>
      <c r="F76" t="s">
        <v>16</v>
      </c>
      <c r="G76" t="s">
        <v>2163</v>
      </c>
      <c r="H76" t="s">
        <v>56</v>
      </c>
      <c r="I76" t="s">
        <v>2127</v>
      </c>
      <c r="J76" t="s">
        <v>2156</v>
      </c>
      <c r="K76" t="s">
        <v>2129</v>
      </c>
      <c r="L76" t="s">
        <v>2129</v>
      </c>
      <c r="M76" t="s">
        <v>2130</v>
      </c>
      <c r="N76" t="s">
        <v>2153</v>
      </c>
      <c r="O76" t="s">
        <v>2150</v>
      </c>
      <c r="P76" t="s">
        <v>2156</v>
      </c>
      <c r="Q76" t="s">
        <v>2156</v>
      </c>
      <c r="R76" s="37">
        <v>46072.595833333333</v>
      </c>
      <c r="S76" s="37">
        <v>46099.424305555556</v>
      </c>
      <c r="T76" s="37">
        <v>46100.368750000001</v>
      </c>
      <c r="U76" s="37">
        <v>46083.700694444444</v>
      </c>
      <c r="V76" t="s">
        <v>3747</v>
      </c>
      <c r="W76" t="s">
        <v>2129</v>
      </c>
      <c r="X76" t="s">
        <v>2129</v>
      </c>
      <c r="Y76">
        <v>0</v>
      </c>
      <c r="Z76" t="s">
        <v>2129</v>
      </c>
      <c r="AA76" t="s">
        <v>2953</v>
      </c>
      <c r="AB76" t="s">
        <v>2129</v>
      </c>
      <c r="AC76" t="s">
        <v>2150</v>
      </c>
      <c r="AD76" t="s">
        <v>2156</v>
      </c>
      <c r="AE76" t="s">
        <v>2129</v>
      </c>
      <c r="AF76" t="s">
        <v>2129</v>
      </c>
      <c r="AG76" t="s">
        <v>2129</v>
      </c>
      <c r="AH76" t="s">
        <v>2954</v>
      </c>
      <c r="AI76" t="s">
        <v>2955</v>
      </c>
      <c r="AJ76" t="s">
        <v>2129</v>
      </c>
      <c r="AK76" t="s">
        <v>2129</v>
      </c>
      <c r="AL76" t="s">
        <v>2129</v>
      </c>
      <c r="AM76" t="s">
        <v>2129</v>
      </c>
      <c r="AN76" t="s">
        <v>2129</v>
      </c>
      <c r="AO76" t="s">
        <v>2129</v>
      </c>
      <c r="AP76" t="s">
        <v>2129</v>
      </c>
      <c r="AQ76" t="s">
        <v>2129</v>
      </c>
      <c r="AR76" t="s">
        <v>2129</v>
      </c>
      <c r="AS76" t="s">
        <v>2129</v>
      </c>
      <c r="AT76" t="s">
        <v>2129</v>
      </c>
      <c r="AU76" t="s">
        <v>2129</v>
      </c>
      <c r="AV76" t="s">
        <v>2129</v>
      </c>
      <c r="AW76" t="s">
        <v>2129</v>
      </c>
      <c r="AX76" t="s">
        <v>2129</v>
      </c>
      <c r="AY76" t="s">
        <v>2129</v>
      </c>
      <c r="AZ76" t="s">
        <v>2129</v>
      </c>
      <c r="BA76" t="s">
        <v>2129</v>
      </c>
      <c r="BB76" t="s">
        <v>2129</v>
      </c>
      <c r="BC76" t="s">
        <v>2129</v>
      </c>
      <c r="BD76" t="s">
        <v>2129</v>
      </c>
      <c r="BE76" t="s">
        <v>2129</v>
      </c>
      <c r="BF76" t="s">
        <v>2129</v>
      </c>
      <c r="BG76" t="s">
        <v>2129</v>
      </c>
      <c r="BH76" t="s">
        <v>2129</v>
      </c>
      <c r="BI76" t="s">
        <v>2129</v>
      </c>
      <c r="BJ76" t="s">
        <v>2129</v>
      </c>
      <c r="BK76" t="s">
        <v>2129</v>
      </c>
      <c r="BL76" t="s">
        <v>2129</v>
      </c>
      <c r="BM76" t="s">
        <v>2129</v>
      </c>
      <c r="BN76" t="s">
        <v>2129</v>
      </c>
      <c r="BO76" t="s">
        <v>2129</v>
      </c>
      <c r="BP76" t="s">
        <v>2129</v>
      </c>
      <c r="BQ76">
        <v>0</v>
      </c>
      <c r="BR76">
        <v>33000</v>
      </c>
      <c r="BS76" t="s">
        <v>2129</v>
      </c>
      <c r="BT76" t="s">
        <v>2129</v>
      </c>
      <c r="BU76">
        <v>0</v>
      </c>
      <c r="BV76">
        <v>33000</v>
      </c>
      <c r="BW76" t="s">
        <v>2129</v>
      </c>
      <c r="BX76" t="s">
        <v>2129</v>
      </c>
      <c r="BY76" t="s">
        <v>2129</v>
      </c>
      <c r="BZ76" t="s">
        <v>2129</v>
      </c>
      <c r="CA76" t="s">
        <v>2129</v>
      </c>
      <c r="CB76" t="s">
        <v>2129</v>
      </c>
      <c r="CC76" t="s">
        <v>2129</v>
      </c>
      <c r="CD76" t="s">
        <v>2129</v>
      </c>
      <c r="CE76" t="s">
        <v>2129</v>
      </c>
      <c r="CF76" t="s">
        <v>2129</v>
      </c>
      <c r="CG76" t="s">
        <v>2129</v>
      </c>
      <c r="CH76" t="s">
        <v>2129</v>
      </c>
      <c r="CI76" t="s">
        <v>2129</v>
      </c>
      <c r="CJ76" t="s">
        <v>2129</v>
      </c>
      <c r="CK76" t="s">
        <v>2129</v>
      </c>
      <c r="CL76" t="s">
        <v>2129</v>
      </c>
      <c r="CM76" t="s">
        <v>2129</v>
      </c>
      <c r="CN76" t="s">
        <v>2129</v>
      </c>
      <c r="CO76" t="s">
        <v>2129</v>
      </c>
      <c r="CP76" t="s">
        <v>2129</v>
      </c>
      <c r="CQ76" t="s">
        <v>2129</v>
      </c>
      <c r="CR76" t="s">
        <v>2129</v>
      </c>
      <c r="CS76" t="s">
        <v>2129</v>
      </c>
      <c r="CT76" t="s">
        <v>2956</v>
      </c>
      <c r="CU76" t="s">
        <v>2957</v>
      </c>
      <c r="CV76" t="s">
        <v>2129</v>
      </c>
      <c r="CW76" t="s">
        <v>2129</v>
      </c>
      <c r="CX76" t="s">
        <v>2129</v>
      </c>
      <c r="CY76" t="s">
        <v>2129</v>
      </c>
      <c r="CZ76" t="s">
        <v>2129</v>
      </c>
      <c r="DA76" t="s">
        <v>2129</v>
      </c>
      <c r="DB76" t="s">
        <v>2129</v>
      </c>
      <c r="DC76" t="s">
        <v>2129</v>
      </c>
      <c r="DD76" t="s">
        <v>2129</v>
      </c>
      <c r="DE76" t="s">
        <v>2129</v>
      </c>
      <c r="DF76" t="s">
        <v>2129</v>
      </c>
      <c r="DG76" t="s">
        <v>2129</v>
      </c>
      <c r="DH76" t="s">
        <v>2129</v>
      </c>
      <c r="DI76">
        <v>30</v>
      </c>
      <c r="DJ76" t="s">
        <v>2129</v>
      </c>
      <c r="DK76" t="s">
        <v>2129</v>
      </c>
      <c r="DL76" t="s">
        <v>2958</v>
      </c>
      <c r="DM76" t="s">
        <v>2129</v>
      </c>
      <c r="DN76" t="s">
        <v>2129</v>
      </c>
      <c r="DO76" t="s">
        <v>2129</v>
      </c>
      <c r="DP76" t="s">
        <v>2129</v>
      </c>
      <c r="DQ76" t="s">
        <v>2129</v>
      </c>
      <c r="DR76" t="s">
        <v>2129</v>
      </c>
      <c r="DS76" t="s">
        <v>2129</v>
      </c>
      <c r="DT76" t="s">
        <v>2129</v>
      </c>
      <c r="DU76" t="s">
        <v>2129</v>
      </c>
      <c r="DV76" t="s">
        <v>2129</v>
      </c>
      <c r="DW76" t="s">
        <v>2129</v>
      </c>
      <c r="DX76" t="s">
        <v>2129</v>
      </c>
      <c r="DY76" t="s">
        <v>2129</v>
      </c>
      <c r="DZ76" t="s">
        <v>2129</v>
      </c>
      <c r="EA76" t="s">
        <v>2129</v>
      </c>
      <c r="EB76" t="s">
        <v>2129</v>
      </c>
      <c r="EC76" t="s">
        <v>2129</v>
      </c>
      <c r="ED76" t="s">
        <v>2129</v>
      </c>
      <c r="EE76" t="s">
        <v>2129</v>
      </c>
      <c r="EF76" t="s">
        <v>2129</v>
      </c>
      <c r="EG76" t="s">
        <v>2129</v>
      </c>
      <c r="EH76" t="s">
        <v>2129</v>
      </c>
    </row>
    <row r="77" spans="1:138" x14ac:dyDescent="0.25">
      <c r="A77" t="s">
        <v>2757</v>
      </c>
      <c r="B77" t="s">
        <v>2751</v>
      </c>
      <c r="C77">
        <v>22991</v>
      </c>
      <c r="E77" t="s">
        <v>77</v>
      </c>
      <c r="F77" t="s">
        <v>16</v>
      </c>
      <c r="G77" t="s">
        <v>2163</v>
      </c>
      <c r="H77" t="s">
        <v>56</v>
      </c>
      <c r="I77" t="s">
        <v>2127</v>
      </c>
      <c r="J77" t="s">
        <v>2156</v>
      </c>
      <c r="K77" t="s">
        <v>2129</v>
      </c>
      <c r="L77" t="s">
        <v>2129</v>
      </c>
      <c r="M77" t="s">
        <v>2130</v>
      </c>
      <c r="N77" t="s">
        <v>2153</v>
      </c>
      <c r="O77" t="s">
        <v>2150</v>
      </c>
      <c r="P77" t="s">
        <v>2156</v>
      </c>
      <c r="Q77" t="s">
        <v>2156</v>
      </c>
      <c r="R77" s="37">
        <v>46072.595138888886</v>
      </c>
      <c r="S77" s="37">
        <v>46099.425000000003</v>
      </c>
      <c r="T77" s="37">
        <v>46100.368750000001</v>
      </c>
      <c r="U77" s="37">
        <v>46083.699305555558</v>
      </c>
      <c r="V77" t="s">
        <v>3747</v>
      </c>
      <c r="W77" t="s">
        <v>2129</v>
      </c>
      <c r="X77" t="s">
        <v>2129</v>
      </c>
      <c r="Y77">
        <v>0</v>
      </c>
      <c r="Z77" t="s">
        <v>2129</v>
      </c>
      <c r="AA77" t="s">
        <v>2959</v>
      </c>
      <c r="AB77" t="s">
        <v>2129</v>
      </c>
      <c r="AC77" t="s">
        <v>2150</v>
      </c>
      <c r="AD77" t="s">
        <v>2156</v>
      </c>
      <c r="AE77" t="s">
        <v>2129</v>
      </c>
      <c r="AF77" t="s">
        <v>2129</v>
      </c>
      <c r="AG77" t="s">
        <v>2129</v>
      </c>
      <c r="AH77" t="s">
        <v>2960</v>
      </c>
      <c r="AI77" t="s">
        <v>2961</v>
      </c>
      <c r="AJ77" t="s">
        <v>2962</v>
      </c>
      <c r="AK77" t="s">
        <v>2963</v>
      </c>
      <c r="AL77" t="s">
        <v>2129</v>
      </c>
      <c r="AM77" t="s">
        <v>2129</v>
      </c>
      <c r="AN77" t="s">
        <v>2129</v>
      </c>
      <c r="AO77" t="s">
        <v>2129</v>
      </c>
      <c r="AP77" t="s">
        <v>2129</v>
      </c>
      <c r="AQ77" t="s">
        <v>2129</v>
      </c>
      <c r="AR77" t="s">
        <v>2129</v>
      </c>
      <c r="AS77" t="s">
        <v>2129</v>
      </c>
      <c r="AT77" t="s">
        <v>2129</v>
      </c>
      <c r="AU77" t="s">
        <v>2129</v>
      </c>
      <c r="AV77" t="s">
        <v>2129</v>
      </c>
      <c r="AW77" t="s">
        <v>2129</v>
      </c>
      <c r="AX77" t="s">
        <v>2129</v>
      </c>
      <c r="AY77" t="s">
        <v>2129</v>
      </c>
      <c r="AZ77" t="s">
        <v>2129</v>
      </c>
      <c r="BA77" t="s">
        <v>2129</v>
      </c>
      <c r="BB77" t="s">
        <v>2129</v>
      </c>
      <c r="BC77" t="s">
        <v>2129</v>
      </c>
      <c r="BD77" t="s">
        <v>2129</v>
      </c>
      <c r="BE77" t="s">
        <v>2129</v>
      </c>
      <c r="BF77" t="s">
        <v>2129</v>
      </c>
      <c r="BG77" t="s">
        <v>2129</v>
      </c>
      <c r="BH77" t="s">
        <v>2129</v>
      </c>
      <c r="BI77" t="s">
        <v>2129</v>
      </c>
      <c r="BJ77" t="s">
        <v>2129</v>
      </c>
      <c r="BK77" t="s">
        <v>2129</v>
      </c>
      <c r="BL77" t="s">
        <v>2129</v>
      </c>
      <c r="BM77" t="s">
        <v>2129</v>
      </c>
      <c r="BN77" t="s">
        <v>2129</v>
      </c>
      <c r="BO77" t="s">
        <v>2129</v>
      </c>
      <c r="BP77" t="s">
        <v>2129</v>
      </c>
      <c r="BQ77">
        <v>0</v>
      </c>
      <c r="BR77">
        <v>72600</v>
      </c>
      <c r="BS77" t="s">
        <v>2129</v>
      </c>
      <c r="BT77" t="s">
        <v>2129</v>
      </c>
      <c r="BU77">
        <v>0</v>
      </c>
      <c r="BV77">
        <v>72600</v>
      </c>
      <c r="BW77" t="s">
        <v>2129</v>
      </c>
      <c r="BX77" t="s">
        <v>2129</v>
      </c>
      <c r="BY77" t="s">
        <v>2129</v>
      </c>
      <c r="BZ77" t="s">
        <v>2129</v>
      </c>
      <c r="CA77" t="s">
        <v>2129</v>
      </c>
      <c r="CB77" t="s">
        <v>2129</v>
      </c>
      <c r="CC77" t="s">
        <v>2129</v>
      </c>
      <c r="CD77" t="s">
        <v>2129</v>
      </c>
      <c r="CE77" t="s">
        <v>2129</v>
      </c>
      <c r="CF77" t="s">
        <v>2129</v>
      </c>
      <c r="CG77" t="s">
        <v>2129</v>
      </c>
      <c r="CH77" t="s">
        <v>2129</v>
      </c>
      <c r="CI77" t="s">
        <v>2129</v>
      </c>
      <c r="CJ77" t="s">
        <v>2129</v>
      </c>
      <c r="CK77" t="s">
        <v>2129</v>
      </c>
      <c r="CL77" t="s">
        <v>2129</v>
      </c>
      <c r="CM77" t="s">
        <v>2129</v>
      </c>
      <c r="CN77" t="s">
        <v>2129</v>
      </c>
      <c r="CO77" t="s">
        <v>2129</v>
      </c>
      <c r="CP77" t="s">
        <v>2129</v>
      </c>
      <c r="CQ77" t="s">
        <v>2129</v>
      </c>
      <c r="CR77" t="s">
        <v>2129</v>
      </c>
      <c r="CS77" t="s">
        <v>2129</v>
      </c>
      <c r="CT77" t="s">
        <v>2964</v>
      </c>
      <c r="CU77" t="s">
        <v>2957</v>
      </c>
      <c r="CV77" t="s">
        <v>2129</v>
      </c>
      <c r="CW77" t="s">
        <v>2129</v>
      </c>
      <c r="CX77" t="s">
        <v>2129</v>
      </c>
      <c r="CY77" t="s">
        <v>2129</v>
      </c>
      <c r="CZ77" t="s">
        <v>2129</v>
      </c>
      <c r="DA77" t="s">
        <v>2129</v>
      </c>
      <c r="DB77" t="s">
        <v>2129</v>
      </c>
      <c r="DC77" t="s">
        <v>2129</v>
      </c>
      <c r="DD77" t="s">
        <v>2129</v>
      </c>
      <c r="DE77" t="s">
        <v>2129</v>
      </c>
      <c r="DF77" t="s">
        <v>2129</v>
      </c>
      <c r="DG77" t="s">
        <v>2129</v>
      </c>
      <c r="DH77" t="s">
        <v>2129</v>
      </c>
      <c r="DI77">
        <v>30</v>
      </c>
      <c r="DJ77" t="s">
        <v>2129</v>
      </c>
      <c r="DK77" t="s">
        <v>2129</v>
      </c>
      <c r="DL77" t="s">
        <v>2965</v>
      </c>
      <c r="DM77" t="s">
        <v>2129</v>
      </c>
      <c r="DN77" t="s">
        <v>2129</v>
      </c>
      <c r="DO77" t="s">
        <v>2129</v>
      </c>
      <c r="DP77" t="s">
        <v>2129</v>
      </c>
      <c r="DQ77" t="s">
        <v>2129</v>
      </c>
      <c r="DR77" t="s">
        <v>2129</v>
      </c>
      <c r="DS77" t="s">
        <v>2129</v>
      </c>
      <c r="DT77" t="s">
        <v>2129</v>
      </c>
      <c r="DU77" t="s">
        <v>2129</v>
      </c>
      <c r="DV77" t="s">
        <v>2129</v>
      </c>
      <c r="DW77" t="s">
        <v>2129</v>
      </c>
      <c r="DX77" t="s">
        <v>2129</v>
      </c>
      <c r="DY77" t="s">
        <v>2129</v>
      </c>
      <c r="DZ77" t="s">
        <v>2129</v>
      </c>
      <c r="EA77" t="s">
        <v>2129</v>
      </c>
      <c r="EB77" t="s">
        <v>2129</v>
      </c>
      <c r="EC77" t="s">
        <v>2129</v>
      </c>
      <c r="ED77" t="s">
        <v>2129</v>
      </c>
      <c r="EE77" t="s">
        <v>2129</v>
      </c>
      <c r="EF77" t="s">
        <v>2129</v>
      </c>
      <c r="EG77" t="s">
        <v>2129</v>
      </c>
      <c r="EH77" t="s">
        <v>2129</v>
      </c>
    </row>
    <row r="78" spans="1:138" x14ac:dyDescent="0.25">
      <c r="A78" t="s">
        <v>2758</v>
      </c>
      <c r="B78" t="s">
        <v>2752</v>
      </c>
      <c r="C78">
        <v>22990</v>
      </c>
      <c r="E78" t="s">
        <v>77</v>
      </c>
      <c r="F78" t="s">
        <v>16</v>
      </c>
      <c r="G78" t="s">
        <v>2163</v>
      </c>
      <c r="H78" t="s">
        <v>56</v>
      </c>
      <c r="I78" t="s">
        <v>2127</v>
      </c>
      <c r="J78" t="s">
        <v>2156</v>
      </c>
      <c r="K78" t="s">
        <v>2129</v>
      </c>
      <c r="L78" t="s">
        <v>2129</v>
      </c>
      <c r="M78" t="s">
        <v>2130</v>
      </c>
      <c r="N78" t="s">
        <v>2153</v>
      </c>
      <c r="O78" t="s">
        <v>2150</v>
      </c>
      <c r="P78" t="s">
        <v>2156</v>
      </c>
      <c r="Q78" t="s">
        <v>2156</v>
      </c>
      <c r="R78" s="37">
        <v>46072.593055555553</v>
      </c>
      <c r="S78" s="37">
        <v>46099.424305555556</v>
      </c>
      <c r="T78" s="37">
        <v>46100.368750000001</v>
      </c>
      <c r="U78" s="37">
        <v>46084.546527777777</v>
      </c>
      <c r="V78" t="s">
        <v>3747</v>
      </c>
      <c r="W78" t="s">
        <v>2129</v>
      </c>
      <c r="X78" t="s">
        <v>2129</v>
      </c>
      <c r="Y78">
        <v>0</v>
      </c>
      <c r="Z78" t="s">
        <v>2129</v>
      </c>
      <c r="AA78" t="s">
        <v>2966</v>
      </c>
      <c r="AB78" t="s">
        <v>2129</v>
      </c>
      <c r="AC78" t="s">
        <v>2150</v>
      </c>
      <c r="AD78" t="s">
        <v>2156</v>
      </c>
      <c r="AE78" t="s">
        <v>2129</v>
      </c>
      <c r="AF78" t="s">
        <v>2129</v>
      </c>
      <c r="AG78" t="s">
        <v>2129</v>
      </c>
      <c r="AH78" t="s">
        <v>2967</v>
      </c>
      <c r="AI78" t="s">
        <v>2968</v>
      </c>
      <c r="AJ78" t="s">
        <v>2969</v>
      </c>
      <c r="AK78" t="s">
        <v>2970</v>
      </c>
      <c r="AL78" t="s">
        <v>2971</v>
      </c>
      <c r="AM78" t="s">
        <v>2129</v>
      </c>
      <c r="AN78" t="s">
        <v>2129</v>
      </c>
      <c r="AO78" t="s">
        <v>2129</v>
      </c>
      <c r="AP78" t="s">
        <v>2129</v>
      </c>
      <c r="AQ78" t="s">
        <v>2129</v>
      </c>
      <c r="AR78" t="s">
        <v>2129</v>
      </c>
      <c r="AS78" t="s">
        <v>2129</v>
      </c>
      <c r="AT78" t="s">
        <v>2129</v>
      </c>
      <c r="AU78" t="s">
        <v>2129</v>
      </c>
      <c r="AV78" t="s">
        <v>2129</v>
      </c>
      <c r="AW78" t="s">
        <v>2129</v>
      </c>
      <c r="AX78" t="s">
        <v>2129</v>
      </c>
      <c r="AY78" t="s">
        <v>2129</v>
      </c>
      <c r="AZ78" t="s">
        <v>2129</v>
      </c>
      <c r="BA78" t="s">
        <v>2129</v>
      </c>
      <c r="BB78" t="s">
        <v>2129</v>
      </c>
      <c r="BC78" t="s">
        <v>2129</v>
      </c>
      <c r="BD78" t="s">
        <v>2129</v>
      </c>
      <c r="BE78" t="s">
        <v>2129</v>
      </c>
      <c r="BF78" t="s">
        <v>2129</v>
      </c>
      <c r="BG78" t="s">
        <v>2129</v>
      </c>
      <c r="BH78" t="s">
        <v>2129</v>
      </c>
      <c r="BI78" t="s">
        <v>2129</v>
      </c>
      <c r="BJ78" t="s">
        <v>2129</v>
      </c>
      <c r="BK78" t="s">
        <v>2129</v>
      </c>
      <c r="BL78" t="s">
        <v>2129</v>
      </c>
      <c r="BM78" t="s">
        <v>2129</v>
      </c>
      <c r="BN78" t="s">
        <v>2129</v>
      </c>
      <c r="BO78" t="s">
        <v>2129</v>
      </c>
      <c r="BP78" t="s">
        <v>2129</v>
      </c>
      <c r="BQ78">
        <v>0</v>
      </c>
      <c r="BR78">
        <v>48600</v>
      </c>
      <c r="BS78" t="s">
        <v>2129</v>
      </c>
      <c r="BT78" t="s">
        <v>2129</v>
      </c>
      <c r="BU78">
        <v>0</v>
      </c>
      <c r="BV78">
        <v>48600</v>
      </c>
      <c r="BW78" t="s">
        <v>2129</v>
      </c>
      <c r="BX78" t="s">
        <v>2129</v>
      </c>
      <c r="BY78" t="s">
        <v>2129</v>
      </c>
      <c r="BZ78" t="s">
        <v>2129</v>
      </c>
      <c r="CA78" t="s">
        <v>2129</v>
      </c>
      <c r="CB78" t="s">
        <v>2129</v>
      </c>
      <c r="CC78" t="s">
        <v>2129</v>
      </c>
      <c r="CD78" t="s">
        <v>2129</v>
      </c>
      <c r="CE78" t="s">
        <v>2129</v>
      </c>
      <c r="CF78" t="s">
        <v>2129</v>
      </c>
      <c r="CG78" t="s">
        <v>2129</v>
      </c>
      <c r="CH78" t="s">
        <v>2129</v>
      </c>
      <c r="CI78" t="s">
        <v>2129</v>
      </c>
      <c r="CJ78" t="s">
        <v>2129</v>
      </c>
      <c r="CK78" t="s">
        <v>2129</v>
      </c>
      <c r="CL78" t="s">
        <v>2129</v>
      </c>
      <c r="CM78" t="s">
        <v>2129</v>
      </c>
      <c r="CN78" t="s">
        <v>2129</v>
      </c>
      <c r="CO78" t="s">
        <v>2129</v>
      </c>
      <c r="CP78" t="s">
        <v>2129</v>
      </c>
      <c r="CQ78" t="s">
        <v>2129</v>
      </c>
      <c r="CR78" t="s">
        <v>2129</v>
      </c>
      <c r="CS78" t="s">
        <v>2129</v>
      </c>
      <c r="CT78" t="s">
        <v>2972</v>
      </c>
      <c r="CU78" t="s">
        <v>2957</v>
      </c>
      <c r="CV78" t="s">
        <v>2129</v>
      </c>
      <c r="CW78" t="s">
        <v>2129</v>
      </c>
      <c r="CX78" t="s">
        <v>2129</v>
      </c>
      <c r="CY78" t="s">
        <v>2129</v>
      </c>
      <c r="CZ78" t="s">
        <v>2129</v>
      </c>
      <c r="DA78" t="s">
        <v>2129</v>
      </c>
      <c r="DB78" t="s">
        <v>2129</v>
      </c>
      <c r="DC78" t="s">
        <v>2129</v>
      </c>
      <c r="DD78" t="s">
        <v>2129</v>
      </c>
      <c r="DE78" t="s">
        <v>2129</v>
      </c>
      <c r="DF78" t="s">
        <v>2129</v>
      </c>
      <c r="DG78" t="s">
        <v>2129</v>
      </c>
      <c r="DH78" t="s">
        <v>2129</v>
      </c>
      <c r="DI78">
        <v>30</v>
      </c>
      <c r="DJ78" t="s">
        <v>2129</v>
      </c>
      <c r="DK78" t="s">
        <v>2129</v>
      </c>
      <c r="DL78" t="s">
        <v>2973</v>
      </c>
      <c r="DM78" t="s">
        <v>2974</v>
      </c>
      <c r="DN78" t="s">
        <v>2129</v>
      </c>
      <c r="DO78" t="s">
        <v>2129</v>
      </c>
      <c r="DP78" t="s">
        <v>2129</v>
      </c>
      <c r="DQ78" t="s">
        <v>2129</v>
      </c>
      <c r="DR78" t="s">
        <v>2129</v>
      </c>
      <c r="DS78" t="s">
        <v>2129</v>
      </c>
      <c r="DT78" t="s">
        <v>2129</v>
      </c>
      <c r="DU78" t="s">
        <v>2129</v>
      </c>
      <c r="DV78" t="s">
        <v>2129</v>
      </c>
      <c r="DW78" t="s">
        <v>2129</v>
      </c>
      <c r="DX78" t="s">
        <v>2129</v>
      </c>
      <c r="DY78" t="s">
        <v>2129</v>
      </c>
      <c r="DZ78" t="s">
        <v>2129</v>
      </c>
      <c r="EA78" t="s">
        <v>2129</v>
      </c>
      <c r="EB78" t="s">
        <v>2129</v>
      </c>
      <c r="EC78" t="s">
        <v>2129</v>
      </c>
      <c r="ED78" t="s">
        <v>2129</v>
      </c>
      <c r="EE78" t="s">
        <v>2129</v>
      </c>
      <c r="EF78" t="s">
        <v>2129</v>
      </c>
      <c r="EG78" t="s">
        <v>2129</v>
      </c>
      <c r="EH78" t="s">
        <v>2129</v>
      </c>
    </row>
    <row r="79" spans="1:138" x14ac:dyDescent="0.25">
      <c r="A79" t="s">
        <v>2749</v>
      </c>
      <c r="B79" t="s">
        <v>2747</v>
      </c>
      <c r="C79">
        <v>22970</v>
      </c>
      <c r="E79" t="s">
        <v>14</v>
      </c>
      <c r="F79" t="s">
        <v>16</v>
      </c>
      <c r="G79" t="s">
        <v>2163</v>
      </c>
      <c r="H79" t="s">
        <v>56</v>
      </c>
      <c r="I79" t="s">
        <v>2127</v>
      </c>
      <c r="J79" t="s">
        <v>2156</v>
      </c>
      <c r="K79" t="s">
        <v>2129</v>
      </c>
      <c r="L79" t="s">
        <v>2129</v>
      </c>
      <c r="M79" t="s">
        <v>2130</v>
      </c>
      <c r="N79" t="s">
        <v>2153</v>
      </c>
      <c r="O79" t="s">
        <v>2150</v>
      </c>
      <c r="P79" t="s">
        <v>2145</v>
      </c>
      <c r="Q79" t="s">
        <v>2145</v>
      </c>
      <c r="R79" s="37">
        <v>46064.61041666667</v>
      </c>
      <c r="S79" s="37">
        <v>46099.424305555556</v>
      </c>
      <c r="T79" s="37">
        <v>46100.368750000001</v>
      </c>
      <c r="U79" s="37">
        <v>46083.658333333333</v>
      </c>
      <c r="V79" t="s">
        <v>3747</v>
      </c>
      <c r="W79" t="s">
        <v>2129</v>
      </c>
      <c r="X79" t="s">
        <v>2129</v>
      </c>
      <c r="Y79">
        <v>0</v>
      </c>
      <c r="Z79" t="s">
        <v>2804</v>
      </c>
      <c r="AA79" t="s">
        <v>2975</v>
      </c>
      <c r="AB79" t="s">
        <v>2129</v>
      </c>
      <c r="AC79" t="s">
        <v>2145</v>
      </c>
      <c r="AD79" t="s">
        <v>2150</v>
      </c>
      <c r="AE79" t="s">
        <v>2129</v>
      </c>
      <c r="AF79" t="s">
        <v>2129</v>
      </c>
      <c r="AG79" t="s">
        <v>2129</v>
      </c>
      <c r="AH79" t="s">
        <v>2805</v>
      </c>
      <c r="AI79" t="s">
        <v>2806</v>
      </c>
      <c r="AJ79" t="s">
        <v>2807</v>
      </c>
      <c r="AK79" t="s">
        <v>2976</v>
      </c>
      <c r="AL79" t="s">
        <v>2977</v>
      </c>
      <c r="AM79" t="s">
        <v>2978</v>
      </c>
      <c r="AN79" t="s">
        <v>2129</v>
      </c>
      <c r="AO79" t="s">
        <v>2129</v>
      </c>
      <c r="AP79" t="s">
        <v>2129</v>
      </c>
      <c r="AQ79" t="s">
        <v>2129</v>
      </c>
      <c r="AR79" t="s">
        <v>2129</v>
      </c>
      <c r="AS79" t="s">
        <v>2129</v>
      </c>
      <c r="AT79" t="s">
        <v>2129</v>
      </c>
      <c r="AU79" t="s">
        <v>2129</v>
      </c>
      <c r="AV79" t="s">
        <v>2129</v>
      </c>
      <c r="AW79" t="s">
        <v>2129</v>
      </c>
      <c r="AX79" t="s">
        <v>2129</v>
      </c>
      <c r="AY79" t="s">
        <v>2129</v>
      </c>
      <c r="AZ79" t="s">
        <v>2129</v>
      </c>
      <c r="BA79" t="s">
        <v>2129</v>
      </c>
      <c r="BB79" t="s">
        <v>2129</v>
      </c>
      <c r="BC79" t="s">
        <v>2129</v>
      </c>
      <c r="BD79" t="s">
        <v>2129</v>
      </c>
      <c r="BE79" t="s">
        <v>2129</v>
      </c>
      <c r="BF79" t="s">
        <v>2129</v>
      </c>
      <c r="BG79" t="s">
        <v>2129</v>
      </c>
      <c r="BH79" t="s">
        <v>2129</v>
      </c>
      <c r="BI79" t="s">
        <v>2129</v>
      </c>
      <c r="BJ79" t="s">
        <v>2129</v>
      </c>
      <c r="BK79" t="s">
        <v>2129</v>
      </c>
      <c r="BL79" t="s">
        <v>2129</v>
      </c>
      <c r="BM79" t="s">
        <v>2129</v>
      </c>
      <c r="BN79" t="s">
        <v>2129</v>
      </c>
      <c r="BO79" t="s">
        <v>2129</v>
      </c>
      <c r="BP79" t="s">
        <v>2129</v>
      </c>
      <c r="BQ79">
        <v>0</v>
      </c>
      <c r="BR79">
        <v>151200</v>
      </c>
      <c r="BS79" t="s">
        <v>2129</v>
      </c>
      <c r="BT79" t="s">
        <v>2129</v>
      </c>
      <c r="BU79">
        <v>0</v>
      </c>
      <c r="BV79">
        <v>151200</v>
      </c>
      <c r="BW79" t="s">
        <v>2129</v>
      </c>
      <c r="BX79" t="s">
        <v>2129</v>
      </c>
      <c r="BY79" t="s">
        <v>1586</v>
      </c>
      <c r="BZ79" t="s">
        <v>2808</v>
      </c>
      <c r="CA79" t="s">
        <v>2809</v>
      </c>
      <c r="CB79" t="s">
        <v>2810</v>
      </c>
      <c r="CC79" t="s">
        <v>2811</v>
      </c>
      <c r="CD79" t="s">
        <v>2812</v>
      </c>
      <c r="CE79" t="s">
        <v>2813</v>
      </c>
      <c r="CF79" t="s">
        <v>2814</v>
      </c>
      <c r="CG79" t="s">
        <v>2815</v>
      </c>
      <c r="CH79" t="s">
        <v>2816</v>
      </c>
      <c r="CI79" t="s">
        <v>2817</v>
      </c>
      <c r="CJ79" t="s">
        <v>2129</v>
      </c>
      <c r="CK79" t="s">
        <v>2129</v>
      </c>
      <c r="CL79" t="s">
        <v>2129</v>
      </c>
      <c r="CM79" t="s">
        <v>2129</v>
      </c>
      <c r="CN79" t="s">
        <v>2129</v>
      </c>
      <c r="CO79" t="s">
        <v>2129</v>
      </c>
      <c r="CP79" t="s">
        <v>2129</v>
      </c>
      <c r="CQ79" t="s">
        <v>2129</v>
      </c>
      <c r="CR79" t="s">
        <v>2129</v>
      </c>
      <c r="CS79" t="s">
        <v>2129</v>
      </c>
      <c r="CT79" t="s">
        <v>2818</v>
      </c>
      <c r="CU79" t="s">
        <v>2819</v>
      </c>
      <c r="CV79" t="s">
        <v>2957</v>
      </c>
      <c r="CW79" t="s">
        <v>2129</v>
      </c>
      <c r="CX79" t="s">
        <v>2129</v>
      </c>
      <c r="CY79" t="s">
        <v>2129</v>
      </c>
      <c r="CZ79" t="s">
        <v>2129</v>
      </c>
      <c r="DA79" t="s">
        <v>2129</v>
      </c>
      <c r="DB79" t="s">
        <v>2129</v>
      </c>
      <c r="DC79" t="s">
        <v>2129</v>
      </c>
      <c r="DD79" t="s">
        <v>2129</v>
      </c>
      <c r="DE79" t="s">
        <v>2129</v>
      </c>
      <c r="DF79" t="s">
        <v>2129</v>
      </c>
      <c r="DG79" t="s">
        <v>2129</v>
      </c>
      <c r="DH79" t="s">
        <v>2129</v>
      </c>
      <c r="DI79">
        <v>30</v>
      </c>
      <c r="DJ79" t="s">
        <v>2129</v>
      </c>
      <c r="DK79" t="s">
        <v>2129</v>
      </c>
      <c r="DL79" t="s">
        <v>2979</v>
      </c>
      <c r="DM79" t="s">
        <v>2129</v>
      </c>
      <c r="DN79" t="s">
        <v>2129</v>
      </c>
      <c r="DO79" t="s">
        <v>2129</v>
      </c>
      <c r="DP79" t="s">
        <v>2129</v>
      </c>
      <c r="DQ79" t="s">
        <v>2129</v>
      </c>
      <c r="DR79" t="s">
        <v>2129</v>
      </c>
      <c r="DS79" t="s">
        <v>2129</v>
      </c>
      <c r="DT79" t="s">
        <v>2129</v>
      </c>
      <c r="DU79" t="s">
        <v>2129</v>
      </c>
      <c r="DV79" t="s">
        <v>2129</v>
      </c>
      <c r="DW79" t="s">
        <v>2129</v>
      </c>
      <c r="DX79" t="s">
        <v>2129</v>
      </c>
      <c r="DY79" t="s">
        <v>2129</v>
      </c>
      <c r="DZ79" t="s">
        <v>2129</v>
      </c>
      <c r="EA79" t="s">
        <v>2129</v>
      </c>
      <c r="EB79" t="s">
        <v>2129</v>
      </c>
      <c r="EC79" t="s">
        <v>2129</v>
      </c>
      <c r="ED79" t="s">
        <v>2129</v>
      </c>
      <c r="EE79" t="s">
        <v>2129</v>
      </c>
      <c r="EF79" t="s">
        <v>2129</v>
      </c>
      <c r="EG79" t="s">
        <v>2129</v>
      </c>
      <c r="EH79" t="s">
        <v>2129</v>
      </c>
    </row>
    <row r="80" spans="1:138" x14ac:dyDescent="0.25">
      <c r="A80" t="s">
        <v>3778</v>
      </c>
      <c r="B80" t="s">
        <v>2660</v>
      </c>
      <c r="C80">
        <v>22911</v>
      </c>
      <c r="E80" t="s">
        <v>14</v>
      </c>
      <c r="F80" t="s">
        <v>16</v>
      </c>
      <c r="G80" t="s">
        <v>2163</v>
      </c>
      <c r="H80" t="s">
        <v>56</v>
      </c>
      <c r="I80" t="s">
        <v>2127</v>
      </c>
      <c r="J80" t="s">
        <v>2156</v>
      </c>
      <c r="K80" t="s">
        <v>2129</v>
      </c>
      <c r="L80" t="s">
        <v>2129</v>
      </c>
      <c r="M80" t="s">
        <v>2130</v>
      </c>
      <c r="N80" t="s">
        <v>2153</v>
      </c>
      <c r="O80" t="s">
        <v>2150</v>
      </c>
      <c r="P80" t="s">
        <v>2145</v>
      </c>
      <c r="Q80" t="s">
        <v>2145</v>
      </c>
      <c r="R80" s="37">
        <v>46051.611111111109</v>
      </c>
      <c r="S80" s="37">
        <v>46099.428472222222</v>
      </c>
      <c r="T80" s="37">
        <v>46100.368750000001</v>
      </c>
      <c r="U80" s="37">
        <v>46055.591666666667</v>
      </c>
      <c r="V80" t="s">
        <v>3747</v>
      </c>
      <c r="W80" t="s">
        <v>2129</v>
      </c>
      <c r="X80" t="s">
        <v>2129</v>
      </c>
      <c r="Y80">
        <v>0</v>
      </c>
      <c r="Z80" t="s">
        <v>2129</v>
      </c>
      <c r="AA80" t="s">
        <v>3779</v>
      </c>
      <c r="AB80" t="s">
        <v>2129</v>
      </c>
      <c r="AC80" t="s">
        <v>2145</v>
      </c>
      <c r="AD80" t="s">
        <v>2150</v>
      </c>
      <c r="AE80" t="s">
        <v>2129</v>
      </c>
      <c r="AF80" t="s">
        <v>2129</v>
      </c>
      <c r="AG80" t="s">
        <v>2129</v>
      </c>
      <c r="AH80" t="s">
        <v>3780</v>
      </c>
      <c r="AI80" t="s">
        <v>3781</v>
      </c>
      <c r="AJ80" t="s">
        <v>2129</v>
      </c>
      <c r="AK80" t="s">
        <v>2129</v>
      </c>
      <c r="AL80" t="s">
        <v>2129</v>
      </c>
      <c r="AM80" t="s">
        <v>2129</v>
      </c>
      <c r="AN80" t="s">
        <v>2129</v>
      </c>
      <c r="AO80" t="s">
        <v>2129</v>
      </c>
      <c r="AP80" t="s">
        <v>2129</v>
      </c>
      <c r="AQ80" t="s">
        <v>2129</v>
      </c>
      <c r="AR80" t="s">
        <v>2129</v>
      </c>
      <c r="AS80" t="s">
        <v>2129</v>
      </c>
      <c r="AT80" t="s">
        <v>2129</v>
      </c>
      <c r="AU80" t="s">
        <v>2129</v>
      </c>
      <c r="AV80" t="s">
        <v>2129</v>
      </c>
      <c r="AW80" t="s">
        <v>2129</v>
      </c>
      <c r="AX80" t="s">
        <v>2129</v>
      </c>
      <c r="AY80" t="s">
        <v>2129</v>
      </c>
      <c r="AZ80" t="s">
        <v>2129</v>
      </c>
      <c r="BA80" t="s">
        <v>2129</v>
      </c>
      <c r="BB80" t="s">
        <v>2129</v>
      </c>
      <c r="BC80" t="s">
        <v>2129</v>
      </c>
      <c r="BD80" t="s">
        <v>2129</v>
      </c>
      <c r="BE80" t="s">
        <v>2129</v>
      </c>
      <c r="BF80" t="s">
        <v>2129</v>
      </c>
      <c r="BG80" t="s">
        <v>2129</v>
      </c>
      <c r="BH80" t="s">
        <v>2129</v>
      </c>
      <c r="BI80" t="s">
        <v>2129</v>
      </c>
      <c r="BJ80" t="s">
        <v>2129</v>
      </c>
      <c r="BK80" t="s">
        <v>2129</v>
      </c>
      <c r="BL80" t="s">
        <v>2129</v>
      </c>
      <c r="BM80" t="s">
        <v>2129</v>
      </c>
      <c r="BN80" t="s">
        <v>2129</v>
      </c>
      <c r="BO80" t="s">
        <v>2129</v>
      </c>
      <c r="BP80" t="s">
        <v>2129</v>
      </c>
      <c r="BQ80">
        <v>0</v>
      </c>
      <c r="BR80">
        <v>4500</v>
      </c>
      <c r="BS80" t="s">
        <v>2129</v>
      </c>
      <c r="BT80" t="s">
        <v>2129</v>
      </c>
      <c r="BU80">
        <v>0</v>
      </c>
      <c r="BV80">
        <v>4500</v>
      </c>
      <c r="BW80" t="s">
        <v>2129</v>
      </c>
      <c r="BX80" t="s">
        <v>2129</v>
      </c>
      <c r="BY80" t="s">
        <v>2129</v>
      </c>
      <c r="BZ80" t="s">
        <v>2129</v>
      </c>
      <c r="CA80" t="s">
        <v>2129</v>
      </c>
      <c r="CB80" t="s">
        <v>2129</v>
      </c>
      <c r="CC80" t="s">
        <v>2129</v>
      </c>
      <c r="CD80" t="s">
        <v>2129</v>
      </c>
      <c r="CE80" t="s">
        <v>2129</v>
      </c>
      <c r="CF80" t="s">
        <v>2129</v>
      </c>
      <c r="CG80" t="s">
        <v>2129</v>
      </c>
      <c r="CH80" t="s">
        <v>2129</v>
      </c>
      <c r="CI80" t="s">
        <v>2129</v>
      </c>
      <c r="CJ80" t="s">
        <v>2129</v>
      </c>
      <c r="CK80" t="s">
        <v>2129</v>
      </c>
      <c r="CL80" t="s">
        <v>2129</v>
      </c>
      <c r="CM80" t="s">
        <v>2129</v>
      </c>
      <c r="CN80" t="s">
        <v>2129</v>
      </c>
      <c r="CO80" t="s">
        <v>2129</v>
      </c>
      <c r="CP80" t="s">
        <v>2129</v>
      </c>
      <c r="CQ80" t="s">
        <v>2129</v>
      </c>
      <c r="CR80" t="s">
        <v>2129</v>
      </c>
      <c r="CS80" t="s">
        <v>2129</v>
      </c>
      <c r="CT80" t="s">
        <v>3782</v>
      </c>
      <c r="CU80" t="s">
        <v>3783</v>
      </c>
      <c r="CV80" t="s">
        <v>2129</v>
      </c>
      <c r="CW80" t="s">
        <v>2129</v>
      </c>
      <c r="CX80" t="s">
        <v>2129</v>
      </c>
      <c r="CY80" t="s">
        <v>2129</v>
      </c>
      <c r="CZ80" t="s">
        <v>2129</v>
      </c>
      <c r="DA80" t="s">
        <v>2129</v>
      </c>
      <c r="DB80" t="s">
        <v>2129</v>
      </c>
      <c r="DC80" t="s">
        <v>2129</v>
      </c>
      <c r="DD80" t="s">
        <v>2129</v>
      </c>
      <c r="DE80" t="s">
        <v>2129</v>
      </c>
      <c r="DF80" t="s">
        <v>2129</v>
      </c>
      <c r="DG80" t="s">
        <v>2129</v>
      </c>
      <c r="DH80" t="s">
        <v>2129</v>
      </c>
      <c r="DI80">
        <v>10</v>
      </c>
      <c r="DJ80" t="s">
        <v>2129</v>
      </c>
      <c r="DK80" t="s">
        <v>2129</v>
      </c>
      <c r="DL80" t="s">
        <v>3784</v>
      </c>
      <c r="DM80" t="s">
        <v>2129</v>
      </c>
      <c r="DN80" t="s">
        <v>2129</v>
      </c>
      <c r="DO80" t="s">
        <v>2129</v>
      </c>
      <c r="DP80" t="s">
        <v>2129</v>
      </c>
      <c r="DQ80" t="s">
        <v>2129</v>
      </c>
      <c r="DR80" t="s">
        <v>2129</v>
      </c>
      <c r="DS80" t="s">
        <v>2129</v>
      </c>
      <c r="DT80" t="s">
        <v>2129</v>
      </c>
      <c r="DU80" t="s">
        <v>2129</v>
      </c>
      <c r="DV80" t="s">
        <v>2129</v>
      </c>
      <c r="DW80" t="s">
        <v>2129</v>
      </c>
      <c r="DX80" t="s">
        <v>2129</v>
      </c>
      <c r="DY80" t="s">
        <v>2129</v>
      </c>
      <c r="DZ80" t="s">
        <v>2129</v>
      </c>
      <c r="EA80" t="s">
        <v>2129</v>
      </c>
      <c r="EB80" t="s">
        <v>2129</v>
      </c>
      <c r="EC80" t="s">
        <v>2129</v>
      </c>
      <c r="ED80" t="s">
        <v>2129</v>
      </c>
      <c r="EE80" t="s">
        <v>2129</v>
      </c>
      <c r="EF80" t="s">
        <v>2129</v>
      </c>
      <c r="EG80" t="s">
        <v>2129</v>
      </c>
      <c r="EH80" t="s">
        <v>2129</v>
      </c>
    </row>
    <row r="81" spans="1:138" x14ac:dyDescent="0.25">
      <c r="A81" t="s">
        <v>2670</v>
      </c>
      <c r="B81" t="s">
        <v>2661</v>
      </c>
      <c r="C81">
        <v>22910</v>
      </c>
      <c r="E81" t="s">
        <v>14</v>
      </c>
      <c r="F81" t="s">
        <v>16</v>
      </c>
      <c r="G81" t="s">
        <v>2163</v>
      </c>
      <c r="H81" t="s">
        <v>56</v>
      </c>
      <c r="I81" t="s">
        <v>2127</v>
      </c>
      <c r="J81" t="s">
        <v>2156</v>
      </c>
      <c r="K81" t="s">
        <v>2129</v>
      </c>
      <c r="L81" t="s">
        <v>2129</v>
      </c>
      <c r="M81" t="s">
        <v>2130</v>
      </c>
      <c r="N81" t="s">
        <v>2153</v>
      </c>
      <c r="O81" t="s">
        <v>2150</v>
      </c>
      <c r="P81" t="s">
        <v>2145</v>
      </c>
      <c r="Q81" t="s">
        <v>2145</v>
      </c>
      <c r="R81" s="37">
        <v>46051.604861111111</v>
      </c>
      <c r="S81" s="37">
        <v>46099.427777777775</v>
      </c>
      <c r="T81" s="37">
        <v>46100.368750000001</v>
      </c>
      <c r="U81" s="37">
        <v>46055.617361111108</v>
      </c>
      <c r="V81" t="s">
        <v>3747</v>
      </c>
      <c r="W81" t="s">
        <v>2129</v>
      </c>
      <c r="X81" t="s">
        <v>2129</v>
      </c>
      <c r="Y81">
        <v>0</v>
      </c>
      <c r="Z81" t="s">
        <v>2129</v>
      </c>
      <c r="AA81" t="s">
        <v>2129</v>
      </c>
      <c r="AB81" t="s">
        <v>2129</v>
      </c>
      <c r="AC81" t="s">
        <v>2145</v>
      </c>
      <c r="AD81" t="s">
        <v>2150</v>
      </c>
      <c r="AE81" t="s">
        <v>2129</v>
      </c>
      <c r="AF81" t="s">
        <v>2129</v>
      </c>
      <c r="AG81" t="s">
        <v>2129</v>
      </c>
      <c r="AH81" t="s">
        <v>3785</v>
      </c>
      <c r="AI81" t="s">
        <v>3786</v>
      </c>
      <c r="AJ81" t="s">
        <v>2129</v>
      </c>
      <c r="AK81" t="s">
        <v>2129</v>
      </c>
      <c r="AL81" t="s">
        <v>2129</v>
      </c>
      <c r="AM81" t="s">
        <v>2129</v>
      </c>
      <c r="AN81" t="s">
        <v>2129</v>
      </c>
      <c r="AO81" t="s">
        <v>2129</v>
      </c>
      <c r="AP81" t="s">
        <v>2129</v>
      </c>
      <c r="AQ81" t="s">
        <v>2129</v>
      </c>
      <c r="AR81" t="s">
        <v>2129</v>
      </c>
      <c r="AS81" t="s">
        <v>2129</v>
      </c>
      <c r="AT81" t="s">
        <v>2129</v>
      </c>
      <c r="AU81" t="s">
        <v>2129</v>
      </c>
      <c r="AV81" t="s">
        <v>2129</v>
      </c>
      <c r="AW81" t="s">
        <v>2129</v>
      </c>
      <c r="AX81" t="s">
        <v>2129</v>
      </c>
      <c r="AY81" t="s">
        <v>2129</v>
      </c>
      <c r="AZ81" t="s">
        <v>2129</v>
      </c>
      <c r="BA81" t="s">
        <v>2129</v>
      </c>
      <c r="BB81" t="s">
        <v>2129</v>
      </c>
      <c r="BC81" t="s">
        <v>2129</v>
      </c>
      <c r="BD81" t="s">
        <v>2129</v>
      </c>
      <c r="BE81" t="s">
        <v>2129</v>
      </c>
      <c r="BF81" t="s">
        <v>2129</v>
      </c>
      <c r="BG81" t="s">
        <v>2129</v>
      </c>
      <c r="BH81" t="s">
        <v>2129</v>
      </c>
      <c r="BI81" t="s">
        <v>2129</v>
      </c>
      <c r="BJ81" t="s">
        <v>2129</v>
      </c>
      <c r="BK81" t="s">
        <v>2129</v>
      </c>
      <c r="BL81" t="s">
        <v>2129</v>
      </c>
      <c r="BM81" t="s">
        <v>2129</v>
      </c>
      <c r="BN81" t="s">
        <v>2129</v>
      </c>
      <c r="BO81" t="s">
        <v>2129</v>
      </c>
      <c r="BP81" t="s">
        <v>2129</v>
      </c>
      <c r="BQ81">
        <v>0</v>
      </c>
      <c r="BR81">
        <v>8100</v>
      </c>
      <c r="BS81" t="s">
        <v>2129</v>
      </c>
      <c r="BT81" t="s">
        <v>2129</v>
      </c>
      <c r="BU81">
        <v>0</v>
      </c>
      <c r="BV81">
        <v>8100</v>
      </c>
      <c r="BW81" t="s">
        <v>2129</v>
      </c>
      <c r="BX81" t="s">
        <v>2129</v>
      </c>
      <c r="BY81" t="s">
        <v>2129</v>
      </c>
      <c r="BZ81" t="s">
        <v>2129</v>
      </c>
      <c r="CA81" t="s">
        <v>2129</v>
      </c>
      <c r="CB81" t="s">
        <v>2129</v>
      </c>
      <c r="CC81" t="s">
        <v>2129</v>
      </c>
      <c r="CD81" t="s">
        <v>2129</v>
      </c>
      <c r="CE81" t="s">
        <v>2129</v>
      </c>
      <c r="CF81" t="s">
        <v>2129</v>
      </c>
      <c r="CG81" t="s">
        <v>2129</v>
      </c>
      <c r="CH81" t="s">
        <v>2129</v>
      </c>
      <c r="CI81" t="s">
        <v>2129</v>
      </c>
      <c r="CJ81" t="s">
        <v>2129</v>
      </c>
      <c r="CK81" t="s">
        <v>2129</v>
      </c>
      <c r="CL81" t="s">
        <v>2129</v>
      </c>
      <c r="CM81" t="s">
        <v>2129</v>
      </c>
      <c r="CN81" t="s">
        <v>2129</v>
      </c>
      <c r="CO81" t="s">
        <v>2129</v>
      </c>
      <c r="CP81" t="s">
        <v>2129</v>
      </c>
      <c r="CQ81" t="s">
        <v>2129</v>
      </c>
      <c r="CR81" t="s">
        <v>2129</v>
      </c>
      <c r="CS81" t="s">
        <v>2129</v>
      </c>
      <c r="CT81" t="s">
        <v>3787</v>
      </c>
      <c r="CU81" t="s">
        <v>3783</v>
      </c>
      <c r="CV81" t="s">
        <v>2129</v>
      </c>
      <c r="CW81" t="s">
        <v>2129</v>
      </c>
      <c r="CX81" t="s">
        <v>2129</v>
      </c>
      <c r="CY81" t="s">
        <v>2129</v>
      </c>
      <c r="CZ81" t="s">
        <v>2129</v>
      </c>
      <c r="DA81" t="s">
        <v>2129</v>
      </c>
      <c r="DB81" t="s">
        <v>2129</v>
      </c>
      <c r="DC81" t="s">
        <v>2129</v>
      </c>
      <c r="DD81" t="s">
        <v>2129</v>
      </c>
      <c r="DE81" t="s">
        <v>2129</v>
      </c>
      <c r="DF81" t="s">
        <v>2129</v>
      </c>
      <c r="DG81" t="s">
        <v>2129</v>
      </c>
      <c r="DH81" t="s">
        <v>2129</v>
      </c>
      <c r="DI81">
        <v>10</v>
      </c>
      <c r="DJ81" t="s">
        <v>2129</v>
      </c>
      <c r="DK81" t="s">
        <v>2129</v>
      </c>
      <c r="DL81" t="s">
        <v>3788</v>
      </c>
      <c r="DM81" t="s">
        <v>2129</v>
      </c>
      <c r="DN81" t="s">
        <v>2129</v>
      </c>
      <c r="DO81" t="s">
        <v>2129</v>
      </c>
      <c r="DP81" t="s">
        <v>2129</v>
      </c>
      <c r="DQ81" t="s">
        <v>2129</v>
      </c>
      <c r="DR81" t="s">
        <v>2129</v>
      </c>
      <c r="DS81" t="s">
        <v>2129</v>
      </c>
      <c r="DT81" t="s">
        <v>2129</v>
      </c>
      <c r="DU81" t="s">
        <v>2129</v>
      </c>
      <c r="DV81" t="s">
        <v>2129</v>
      </c>
      <c r="DW81" t="s">
        <v>2129</v>
      </c>
      <c r="DX81" t="s">
        <v>2129</v>
      </c>
      <c r="DY81" t="s">
        <v>2129</v>
      </c>
      <c r="DZ81" t="s">
        <v>2129</v>
      </c>
      <c r="EA81" t="s">
        <v>2129</v>
      </c>
      <c r="EB81" t="s">
        <v>2129</v>
      </c>
      <c r="EC81" t="s">
        <v>2129</v>
      </c>
      <c r="ED81" t="s">
        <v>2129</v>
      </c>
      <c r="EE81" t="s">
        <v>2129</v>
      </c>
      <c r="EF81" t="s">
        <v>2129</v>
      </c>
      <c r="EG81" t="s">
        <v>2129</v>
      </c>
      <c r="EH81" t="s">
        <v>2129</v>
      </c>
    </row>
    <row r="82" spans="1:138" x14ac:dyDescent="0.25">
      <c r="A82" t="s">
        <v>2656</v>
      </c>
      <c r="B82" t="s">
        <v>2655</v>
      </c>
      <c r="C82">
        <v>22873</v>
      </c>
      <c r="E82" t="s">
        <v>14</v>
      </c>
      <c r="F82" t="s">
        <v>16</v>
      </c>
      <c r="G82" t="s">
        <v>2163</v>
      </c>
      <c r="H82" t="s">
        <v>56</v>
      </c>
      <c r="I82" t="s">
        <v>2127</v>
      </c>
      <c r="J82" t="s">
        <v>2156</v>
      </c>
      <c r="K82" t="s">
        <v>2129</v>
      </c>
      <c r="L82" t="s">
        <v>2129</v>
      </c>
      <c r="M82" t="s">
        <v>2130</v>
      </c>
      <c r="N82" t="s">
        <v>2153</v>
      </c>
      <c r="O82" t="s">
        <v>2150</v>
      </c>
      <c r="P82" t="s">
        <v>2145</v>
      </c>
      <c r="Q82" t="s">
        <v>2145</v>
      </c>
      <c r="R82" s="37">
        <v>46045.40902777778</v>
      </c>
      <c r="S82" s="37">
        <v>46099.427777777775</v>
      </c>
      <c r="T82" s="37">
        <v>46100.368750000001</v>
      </c>
      <c r="U82" s="37">
        <v>46055.601388888892</v>
      </c>
      <c r="V82" t="s">
        <v>3747</v>
      </c>
      <c r="W82" t="s">
        <v>2129</v>
      </c>
      <c r="X82" t="s">
        <v>2129</v>
      </c>
      <c r="Y82">
        <v>0</v>
      </c>
      <c r="Z82" t="s">
        <v>2129</v>
      </c>
      <c r="AA82" t="s">
        <v>3789</v>
      </c>
      <c r="AB82" t="s">
        <v>2129</v>
      </c>
      <c r="AC82" t="s">
        <v>2145</v>
      </c>
      <c r="AD82" t="s">
        <v>2150</v>
      </c>
      <c r="AE82" t="s">
        <v>2129</v>
      </c>
      <c r="AF82" t="s">
        <v>2129</v>
      </c>
      <c r="AG82" t="s">
        <v>2129</v>
      </c>
      <c r="AH82" t="s">
        <v>3790</v>
      </c>
      <c r="AI82" t="s">
        <v>3791</v>
      </c>
      <c r="AJ82" t="s">
        <v>2129</v>
      </c>
      <c r="AK82" t="s">
        <v>2129</v>
      </c>
      <c r="AL82" t="s">
        <v>2129</v>
      </c>
      <c r="AM82" t="s">
        <v>2129</v>
      </c>
      <c r="AN82" t="s">
        <v>2129</v>
      </c>
      <c r="AO82" t="s">
        <v>2129</v>
      </c>
      <c r="AP82" t="s">
        <v>2129</v>
      </c>
      <c r="AQ82" t="s">
        <v>2129</v>
      </c>
      <c r="AR82" t="s">
        <v>2129</v>
      </c>
      <c r="AS82" t="s">
        <v>2129</v>
      </c>
      <c r="AT82" t="s">
        <v>2129</v>
      </c>
      <c r="AU82" t="s">
        <v>2129</v>
      </c>
      <c r="AV82" t="s">
        <v>2129</v>
      </c>
      <c r="AW82" t="s">
        <v>2129</v>
      </c>
      <c r="AX82" t="s">
        <v>2129</v>
      </c>
      <c r="AY82" t="s">
        <v>2129</v>
      </c>
      <c r="AZ82" t="s">
        <v>2129</v>
      </c>
      <c r="BA82" t="s">
        <v>2129</v>
      </c>
      <c r="BB82" t="s">
        <v>2129</v>
      </c>
      <c r="BC82" t="s">
        <v>2129</v>
      </c>
      <c r="BD82" t="s">
        <v>2129</v>
      </c>
      <c r="BE82" t="s">
        <v>2129</v>
      </c>
      <c r="BF82" t="s">
        <v>2129</v>
      </c>
      <c r="BG82" t="s">
        <v>2129</v>
      </c>
      <c r="BH82" t="s">
        <v>2129</v>
      </c>
      <c r="BI82" t="s">
        <v>2129</v>
      </c>
      <c r="BJ82" t="s">
        <v>2129</v>
      </c>
      <c r="BK82" t="s">
        <v>2129</v>
      </c>
      <c r="BL82" t="s">
        <v>2129</v>
      </c>
      <c r="BM82" t="s">
        <v>2129</v>
      </c>
      <c r="BN82" t="s">
        <v>2129</v>
      </c>
      <c r="BO82" t="s">
        <v>2129</v>
      </c>
      <c r="BP82" t="s">
        <v>2129</v>
      </c>
      <c r="BQ82">
        <v>0</v>
      </c>
      <c r="BR82">
        <v>22500</v>
      </c>
      <c r="BS82" t="s">
        <v>2129</v>
      </c>
      <c r="BT82" t="s">
        <v>2129</v>
      </c>
      <c r="BU82">
        <v>0</v>
      </c>
      <c r="BV82">
        <v>22500</v>
      </c>
      <c r="BW82" t="s">
        <v>2129</v>
      </c>
      <c r="BX82" t="s">
        <v>2129</v>
      </c>
      <c r="BY82" t="s">
        <v>2129</v>
      </c>
      <c r="BZ82" t="s">
        <v>2129</v>
      </c>
      <c r="CA82" t="s">
        <v>2129</v>
      </c>
      <c r="CB82" t="s">
        <v>2129</v>
      </c>
      <c r="CC82" t="s">
        <v>2129</v>
      </c>
      <c r="CD82" t="s">
        <v>2129</v>
      </c>
      <c r="CE82" t="s">
        <v>2129</v>
      </c>
      <c r="CF82" t="s">
        <v>2129</v>
      </c>
      <c r="CG82" t="s">
        <v>2129</v>
      </c>
      <c r="CH82" t="s">
        <v>2129</v>
      </c>
      <c r="CI82" t="s">
        <v>2129</v>
      </c>
      <c r="CJ82" t="s">
        <v>2129</v>
      </c>
      <c r="CK82" t="s">
        <v>2129</v>
      </c>
      <c r="CL82" t="s">
        <v>2129</v>
      </c>
      <c r="CM82" t="s">
        <v>2129</v>
      </c>
      <c r="CN82" t="s">
        <v>2129</v>
      </c>
      <c r="CO82" t="s">
        <v>2129</v>
      </c>
      <c r="CP82" t="s">
        <v>2129</v>
      </c>
      <c r="CQ82" t="s">
        <v>2129</v>
      </c>
      <c r="CR82" t="s">
        <v>2129</v>
      </c>
      <c r="CS82" t="s">
        <v>2129</v>
      </c>
      <c r="CT82" t="s">
        <v>3792</v>
      </c>
      <c r="CU82" t="s">
        <v>3783</v>
      </c>
      <c r="CV82" t="s">
        <v>2129</v>
      </c>
      <c r="CW82" t="s">
        <v>2129</v>
      </c>
      <c r="CX82" t="s">
        <v>2129</v>
      </c>
      <c r="CY82" t="s">
        <v>2129</v>
      </c>
      <c r="CZ82" t="s">
        <v>2129</v>
      </c>
      <c r="DA82" t="s">
        <v>2129</v>
      </c>
      <c r="DB82" t="s">
        <v>2129</v>
      </c>
      <c r="DC82" t="s">
        <v>2129</v>
      </c>
      <c r="DD82" t="s">
        <v>2129</v>
      </c>
      <c r="DE82" t="s">
        <v>2129</v>
      </c>
      <c r="DF82" t="s">
        <v>2129</v>
      </c>
      <c r="DG82" t="s">
        <v>2129</v>
      </c>
      <c r="DH82" t="s">
        <v>2129</v>
      </c>
      <c r="DI82">
        <v>50</v>
      </c>
      <c r="DJ82" t="s">
        <v>2129</v>
      </c>
      <c r="DK82" t="s">
        <v>2129</v>
      </c>
      <c r="DL82" t="s">
        <v>3793</v>
      </c>
      <c r="DM82" t="s">
        <v>2129</v>
      </c>
      <c r="DN82" t="s">
        <v>2129</v>
      </c>
      <c r="DO82" t="s">
        <v>2129</v>
      </c>
      <c r="DP82" t="s">
        <v>2129</v>
      </c>
      <c r="DQ82" t="s">
        <v>2129</v>
      </c>
      <c r="DR82" t="s">
        <v>2129</v>
      </c>
      <c r="DS82" t="s">
        <v>2129</v>
      </c>
      <c r="DT82" t="s">
        <v>2129</v>
      </c>
      <c r="DU82" t="s">
        <v>2129</v>
      </c>
      <c r="DV82" t="s">
        <v>2129</v>
      </c>
      <c r="DW82" t="s">
        <v>2129</v>
      </c>
      <c r="DX82" t="s">
        <v>2129</v>
      </c>
      <c r="DY82" t="s">
        <v>2129</v>
      </c>
      <c r="DZ82" t="s">
        <v>2129</v>
      </c>
      <c r="EA82" t="s">
        <v>2129</v>
      </c>
      <c r="EB82" t="s">
        <v>2129</v>
      </c>
      <c r="EC82" t="s">
        <v>2129</v>
      </c>
      <c r="ED82" t="s">
        <v>2129</v>
      </c>
      <c r="EE82" t="s">
        <v>2129</v>
      </c>
      <c r="EF82" t="s">
        <v>2129</v>
      </c>
      <c r="EG82" t="s">
        <v>2129</v>
      </c>
      <c r="EH82" t="s">
        <v>2129</v>
      </c>
    </row>
    <row r="83" spans="1:138" x14ac:dyDescent="0.25">
      <c r="A83" t="s">
        <v>2602</v>
      </c>
      <c r="B83" t="s">
        <v>2603</v>
      </c>
      <c r="C83">
        <v>22861</v>
      </c>
      <c r="E83" t="s">
        <v>14</v>
      </c>
      <c r="F83" t="s">
        <v>16</v>
      </c>
      <c r="G83" t="s">
        <v>2163</v>
      </c>
      <c r="H83" t="s">
        <v>56</v>
      </c>
      <c r="I83" t="s">
        <v>2127</v>
      </c>
      <c r="J83" t="s">
        <v>2156</v>
      </c>
      <c r="K83" t="s">
        <v>2129</v>
      </c>
      <c r="L83" t="s">
        <v>2129</v>
      </c>
      <c r="M83" t="s">
        <v>2130</v>
      </c>
      <c r="N83" t="s">
        <v>2153</v>
      </c>
      <c r="O83" t="s">
        <v>2150</v>
      </c>
      <c r="P83" t="s">
        <v>2145</v>
      </c>
      <c r="Q83" t="s">
        <v>2145</v>
      </c>
      <c r="R83" s="37">
        <v>46042.748611111114</v>
      </c>
      <c r="S83" s="37">
        <v>46099.428472222222</v>
      </c>
      <c r="T83" s="37">
        <v>46100.368750000001</v>
      </c>
      <c r="U83" s="37">
        <v>46044.669444444444</v>
      </c>
      <c r="V83" t="s">
        <v>3747</v>
      </c>
      <c r="W83" t="s">
        <v>2129</v>
      </c>
      <c r="X83" t="s">
        <v>2129</v>
      </c>
      <c r="Y83">
        <v>0</v>
      </c>
      <c r="Z83" t="s">
        <v>2129</v>
      </c>
      <c r="AA83" t="s">
        <v>3794</v>
      </c>
      <c r="AB83" t="s">
        <v>2129</v>
      </c>
      <c r="AC83" t="s">
        <v>2145</v>
      </c>
      <c r="AD83" t="s">
        <v>2150</v>
      </c>
      <c r="AE83" t="s">
        <v>2129</v>
      </c>
      <c r="AF83" t="s">
        <v>2129</v>
      </c>
      <c r="AG83" t="s">
        <v>2129</v>
      </c>
      <c r="AH83" t="s">
        <v>3795</v>
      </c>
      <c r="AI83" t="s">
        <v>3796</v>
      </c>
      <c r="AJ83" t="s">
        <v>2129</v>
      </c>
      <c r="AK83" t="s">
        <v>2129</v>
      </c>
      <c r="AL83" t="s">
        <v>2129</v>
      </c>
      <c r="AM83" t="s">
        <v>2129</v>
      </c>
      <c r="AN83" t="s">
        <v>2129</v>
      </c>
      <c r="AO83" t="s">
        <v>2129</v>
      </c>
      <c r="AP83" t="s">
        <v>2129</v>
      </c>
      <c r="AQ83" t="s">
        <v>2129</v>
      </c>
      <c r="AR83" t="s">
        <v>2129</v>
      </c>
      <c r="AS83" t="s">
        <v>2129</v>
      </c>
      <c r="AT83" t="s">
        <v>2129</v>
      </c>
      <c r="AU83" t="s">
        <v>2129</v>
      </c>
      <c r="AV83" t="s">
        <v>2129</v>
      </c>
      <c r="AW83" t="s">
        <v>2129</v>
      </c>
      <c r="AX83" t="s">
        <v>2129</v>
      </c>
      <c r="AY83" t="s">
        <v>2129</v>
      </c>
      <c r="AZ83" t="s">
        <v>2129</v>
      </c>
      <c r="BA83" t="s">
        <v>2129</v>
      </c>
      <c r="BB83" t="s">
        <v>2129</v>
      </c>
      <c r="BC83" t="s">
        <v>2129</v>
      </c>
      <c r="BD83" t="s">
        <v>2129</v>
      </c>
      <c r="BE83" t="s">
        <v>2129</v>
      </c>
      <c r="BF83" t="s">
        <v>2129</v>
      </c>
      <c r="BG83" t="s">
        <v>2129</v>
      </c>
      <c r="BH83" t="s">
        <v>2129</v>
      </c>
      <c r="BI83" t="s">
        <v>2129</v>
      </c>
      <c r="BJ83" t="s">
        <v>2129</v>
      </c>
      <c r="BK83" t="s">
        <v>2129</v>
      </c>
      <c r="BL83" t="s">
        <v>2129</v>
      </c>
      <c r="BM83" t="s">
        <v>2129</v>
      </c>
      <c r="BN83" t="s">
        <v>2129</v>
      </c>
      <c r="BO83" t="s">
        <v>2129</v>
      </c>
      <c r="BP83" t="s">
        <v>2129</v>
      </c>
      <c r="BQ83">
        <v>0</v>
      </c>
      <c r="BR83">
        <v>4500</v>
      </c>
      <c r="BS83" t="s">
        <v>2129</v>
      </c>
      <c r="BT83" t="s">
        <v>2129</v>
      </c>
      <c r="BU83">
        <v>0</v>
      </c>
      <c r="BV83">
        <v>4500</v>
      </c>
      <c r="BW83" t="s">
        <v>2129</v>
      </c>
      <c r="BX83" t="s">
        <v>2129</v>
      </c>
      <c r="BY83" t="s">
        <v>2129</v>
      </c>
      <c r="BZ83" t="s">
        <v>2129</v>
      </c>
      <c r="CA83" t="s">
        <v>2129</v>
      </c>
      <c r="CB83" t="s">
        <v>2129</v>
      </c>
      <c r="CC83" t="s">
        <v>2129</v>
      </c>
      <c r="CD83" t="s">
        <v>2129</v>
      </c>
      <c r="CE83" t="s">
        <v>2129</v>
      </c>
      <c r="CF83" t="s">
        <v>2129</v>
      </c>
      <c r="CG83" t="s">
        <v>2129</v>
      </c>
      <c r="CH83" t="s">
        <v>2129</v>
      </c>
      <c r="CI83" t="s">
        <v>2129</v>
      </c>
      <c r="CJ83" t="s">
        <v>2129</v>
      </c>
      <c r="CK83" t="s">
        <v>2129</v>
      </c>
      <c r="CL83" t="s">
        <v>2129</v>
      </c>
      <c r="CM83" t="s">
        <v>2129</v>
      </c>
      <c r="CN83" t="s">
        <v>2129</v>
      </c>
      <c r="CO83" t="s">
        <v>2129</v>
      </c>
      <c r="CP83" t="s">
        <v>2129</v>
      </c>
      <c r="CQ83" t="s">
        <v>2129</v>
      </c>
      <c r="CR83" t="s">
        <v>2129</v>
      </c>
      <c r="CS83" t="s">
        <v>2129</v>
      </c>
      <c r="CT83" t="s">
        <v>3797</v>
      </c>
      <c r="CU83" t="s">
        <v>3798</v>
      </c>
      <c r="CV83" t="s">
        <v>2129</v>
      </c>
      <c r="CW83" t="s">
        <v>2129</v>
      </c>
      <c r="CX83" t="s">
        <v>2129</v>
      </c>
      <c r="CY83" t="s">
        <v>2129</v>
      </c>
      <c r="CZ83" t="s">
        <v>2129</v>
      </c>
      <c r="DA83" t="s">
        <v>2129</v>
      </c>
      <c r="DB83" t="s">
        <v>2129</v>
      </c>
      <c r="DC83" t="s">
        <v>2129</v>
      </c>
      <c r="DD83" t="s">
        <v>2129</v>
      </c>
      <c r="DE83" t="s">
        <v>2129</v>
      </c>
      <c r="DF83" t="s">
        <v>2129</v>
      </c>
      <c r="DG83" t="s">
        <v>2129</v>
      </c>
      <c r="DH83" t="s">
        <v>2129</v>
      </c>
      <c r="DI83">
        <v>10</v>
      </c>
      <c r="DJ83" t="s">
        <v>2129</v>
      </c>
      <c r="DK83" t="s">
        <v>2129</v>
      </c>
      <c r="DL83" t="s">
        <v>3799</v>
      </c>
      <c r="DM83" t="s">
        <v>2129</v>
      </c>
      <c r="DN83" t="s">
        <v>2129</v>
      </c>
      <c r="DO83" t="s">
        <v>2129</v>
      </c>
      <c r="DP83" t="s">
        <v>2129</v>
      </c>
      <c r="DQ83" t="s">
        <v>2129</v>
      </c>
      <c r="DR83" t="s">
        <v>2129</v>
      </c>
      <c r="DS83" t="s">
        <v>2129</v>
      </c>
      <c r="DT83" t="s">
        <v>2129</v>
      </c>
      <c r="DU83" t="s">
        <v>2129</v>
      </c>
      <c r="DV83" t="s">
        <v>2129</v>
      </c>
      <c r="DW83" t="s">
        <v>2129</v>
      </c>
      <c r="DX83" t="s">
        <v>2129</v>
      </c>
      <c r="DY83" t="s">
        <v>2129</v>
      </c>
      <c r="DZ83" t="s">
        <v>2129</v>
      </c>
      <c r="EA83" t="s">
        <v>2129</v>
      </c>
      <c r="EB83" t="s">
        <v>2129</v>
      </c>
      <c r="EC83" t="s">
        <v>2129</v>
      </c>
      <c r="ED83" t="s">
        <v>2129</v>
      </c>
      <c r="EE83" t="s">
        <v>2129</v>
      </c>
      <c r="EF83" t="s">
        <v>2129</v>
      </c>
      <c r="EG83" t="s">
        <v>2129</v>
      </c>
      <c r="EH83" t="s">
        <v>2129</v>
      </c>
    </row>
    <row r="84" spans="1:138" x14ac:dyDescent="0.25">
      <c r="A84" t="s">
        <v>2604</v>
      </c>
      <c r="B84" t="s">
        <v>2605</v>
      </c>
      <c r="C84">
        <v>22830</v>
      </c>
      <c r="E84" t="s">
        <v>14</v>
      </c>
      <c r="F84" t="s">
        <v>16</v>
      </c>
      <c r="G84" t="s">
        <v>2163</v>
      </c>
      <c r="H84" t="s">
        <v>56</v>
      </c>
      <c r="I84" t="s">
        <v>2127</v>
      </c>
      <c r="J84" t="s">
        <v>2156</v>
      </c>
      <c r="K84" t="s">
        <v>2129</v>
      </c>
      <c r="L84" t="s">
        <v>2129</v>
      </c>
      <c r="M84" t="s">
        <v>2130</v>
      </c>
      <c r="N84" t="s">
        <v>2153</v>
      </c>
      <c r="O84" t="s">
        <v>2150</v>
      </c>
      <c r="P84" t="s">
        <v>2190</v>
      </c>
      <c r="Q84" t="s">
        <v>2190</v>
      </c>
      <c r="R84" s="37">
        <v>46035.620833333334</v>
      </c>
      <c r="S84" s="37">
        <v>46099.428472222222</v>
      </c>
      <c r="T84" s="37">
        <v>46059.718055555553</v>
      </c>
      <c r="U84" s="37">
        <v>46041.46597222222</v>
      </c>
      <c r="V84" t="s">
        <v>3747</v>
      </c>
      <c r="W84" t="s">
        <v>2129</v>
      </c>
      <c r="X84" t="s">
        <v>2129</v>
      </c>
      <c r="Y84">
        <v>0</v>
      </c>
      <c r="Z84" t="s">
        <v>2129</v>
      </c>
      <c r="AA84" t="s">
        <v>3800</v>
      </c>
      <c r="AB84" t="s">
        <v>2129</v>
      </c>
      <c r="AC84" t="s">
        <v>2190</v>
      </c>
      <c r="AD84" t="s">
        <v>2150</v>
      </c>
      <c r="AE84" t="s">
        <v>2129</v>
      </c>
      <c r="AF84" t="s">
        <v>2129</v>
      </c>
      <c r="AG84" t="s">
        <v>2129</v>
      </c>
      <c r="AH84" t="s">
        <v>3801</v>
      </c>
      <c r="AI84" t="s">
        <v>3802</v>
      </c>
      <c r="AJ84" t="s">
        <v>2129</v>
      </c>
      <c r="AK84" t="s">
        <v>2129</v>
      </c>
      <c r="AL84" t="s">
        <v>2129</v>
      </c>
      <c r="AM84" t="s">
        <v>2129</v>
      </c>
      <c r="AN84" t="s">
        <v>2129</v>
      </c>
      <c r="AO84" t="s">
        <v>2129</v>
      </c>
      <c r="AP84" t="s">
        <v>2129</v>
      </c>
      <c r="AQ84" t="s">
        <v>2129</v>
      </c>
      <c r="AR84" t="s">
        <v>2129</v>
      </c>
      <c r="AS84" t="s">
        <v>2129</v>
      </c>
      <c r="AT84" t="s">
        <v>2129</v>
      </c>
      <c r="AU84" t="s">
        <v>2129</v>
      </c>
      <c r="AV84" t="s">
        <v>2129</v>
      </c>
      <c r="AW84" t="s">
        <v>2129</v>
      </c>
      <c r="AX84" t="s">
        <v>2129</v>
      </c>
      <c r="AY84" t="s">
        <v>2129</v>
      </c>
      <c r="AZ84" t="s">
        <v>2129</v>
      </c>
      <c r="BA84" t="s">
        <v>2129</v>
      </c>
      <c r="BB84" t="s">
        <v>2129</v>
      </c>
      <c r="BC84" t="s">
        <v>2129</v>
      </c>
      <c r="BD84" t="s">
        <v>2129</v>
      </c>
      <c r="BE84" t="s">
        <v>2129</v>
      </c>
      <c r="BF84" t="s">
        <v>2129</v>
      </c>
      <c r="BG84" t="s">
        <v>2129</v>
      </c>
      <c r="BH84" t="s">
        <v>2129</v>
      </c>
      <c r="BI84" t="s">
        <v>2129</v>
      </c>
      <c r="BJ84" t="s">
        <v>2129</v>
      </c>
      <c r="BK84" t="s">
        <v>2129</v>
      </c>
      <c r="BL84" t="s">
        <v>2129</v>
      </c>
      <c r="BM84" t="s">
        <v>2129</v>
      </c>
      <c r="BN84" t="s">
        <v>2129</v>
      </c>
      <c r="BO84" t="s">
        <v>2129</v>
      </c>
      <c r="BP84" t="s">
        <v>2129</v>
      </c>
      <c r="BQ84">
        <v>0</v>
      </c>
      <c r="BR84">
        <v>11700</v>
      </c>
      <c r="BS84" t="s">
        <v>2129</v>
      </c>
      <c r="BT84" t="s">
        <v>2129</v>
      </c>
      <c r="BU84">
        <v>0</v>
      </c>
      <c r="BV84">
        <v>11700</v>
      </c>
      <c r="BW84" t="s">
        <v>2129</v>
      </c>
      <c r="BX84" t="s">
        <v>2129</v>
      </c>
      <c r="BY84" t="s">
        <v>2129</v>
      </c>
      <c r="BZ84" t="s">
        <v>2129</v>
      </c>
      <c r="CA84" t="s">
        <v>2129</v>
      </c>
      <c r="CB84" t="s">
        <v>2129</v>
      </c>
      <c r="CC84" t="s">
        <v>2129</v>
      </c>
      <c r="CD84" t="s">
        <v>2129</v>
      </c>
      <c r="CE84" t="s">
        <v>2129</v>
      </c>
      <c r="CF84" t="s">
        <v>2129</v>
      </c>
      <c r="CG84" t="s">
        <v>2129</v>
      </c>
      <c r="CH84" t="s">
        <v>2129</v>
      </c>
      <c r="CI84" t="s">
        <v>2129</v>
      </c>
      <c r="CJ84" t="s">
        <v>2129</v>
      </c>
      <c r="CK84" t="s">
        <v>2129</v>
      </c>
      <c r="CL84" t="s">
        <v>2129</v>
      </c>
      <c r="CM84" t="s">
        <v>2129</v>
      </c>
      <c r="CN84" t="s">
        <v>2129</v>
      </c>
      <c r="CO84" t="s">
        <v>2129</v>
      </c>
      <c r="CP84" t="s">
        <v>2129</v>
      </c>
      <c r="CQ84" t="s">
        <v>2129</v>
      </c>
      <c r="CR84" t="s">
        <v>2129</v>
      </c>
      <c r="CS84" t="s">
        <v>2129</v>
      </c>
      <c r="CT84" t="s">
        <v>3803</v>
      </c>
      <c r="CU84" t="s">
        <v>3798</v>
      </c>
      <c r="CV84" t="s">
        <v>2129</v>
      </c>
      <c r="CW84" t="s">
        <v>2129</v>
      </c>
      <c r="CX84" t="s">
        <v>2129</v>
      </c>
      <c r="CY84" t="s">
        <v>2129</v>
      </c>
      <c r="CZ84" t="s">
        <v>2129</v>
      </c>
      <c r="DA84" t="s">
        <v>2129</v>
      </c>
      <c r="DB84" t="s">
        <v>2129</v>
      </c>
      <c r="DC84" t="s">
        <v>2129</v>
      </c>
      <c r="DD84" t="s">
        <v>2129</v>
      </c>
      <c r="DE84" t="s">
        <v>2129</v>
      </c>
      <c r="DF84" t="s">
        <v>2129</v>
      </c>
      <c r="DG84" t="s">
        <v>2129</v>
      </c>
      <c r="DH84" t="s">
        <v>2129</v>
      </c>
      <c r="DI84">
        <v>30</v>
      </c>
      <c r="DJ84" t="s">
        <v>2129</v>
      </c>
      <c r="DK84" t="s">
        <v>2129</v>
      </c>
      <c r="DL84" t="s">
        <v>3804</v>
      </c>
      <c r="DM84" t="s">
        <v>2129</v>
      </c>
      <c r="DN84" t="s">
        <v>2129</v>
      </c>
      <c r="DO84" t="s">
        <v>2129</v>
      </c>
      <c r="DP84" t="s">
        <v>2129</v>
      </c>
      <c r="DQ84" t="s">
        <v>2129</v>
      </c>
      <c r="DR84" t="s">
        <v>2129</v>
      </c>
      <c r="DS84" t="s">
        <v>2129</v>
      </c>
      <c r="DT84" t="s">
        <v>2129</v>
      </c>
      <c r="DU84" t="s">
        <v>2129</v>
      </c>
      <c r="DV84" t="s">
        <v>2129</v>
      </c>
      <c r="DW84" t="s">
        <v>2129</v>
      </c>
      <c r="DX84" t="s">
        <v>2129</v>
      </c>
      <c r="DY84" t="s">
        <v>2129</v>
      </c>
      <c r="DZ84" t="s">
        <v>2129</v>
      </c>
      <c r="EA84" t="s">
        <v>2129</v>
      </c>
      <c r="EB84" t="s">
        <v>2129</v>
      </c>
      <c r="EC84" t="s">
        <v>2129</v>
      </c>
      <c r="ED84" t="s">
        <v>2129</v>
      </c>
      <c r="EE84" t="s">
        <v>2129</v>
      </c>
      <c r="EF84" t="s">
        <v>2129</v>
      </c>
      <c r="EG84" t="s">
        <v>2129</v>
      </c>
      <c r="EH84" t="s">
        <v>2129</v>
      </c>
    </row>
    <row r="85" spans="1:138" x14ac:dyDescent="0.25">
      <c r="A85" t="s">
        <v>2523</v>
      </c>
      <c r="B85" t="s">
        <v>2524</v>
      </c>
      <c r="C85">
        <v>22774</v>
      </c>
      <c r="E85" t="s">
        <v>77</v>
      </c>
      <c r="F85" t="s">
        <v>16</v>
      </c>
      <c r="G85" t="s">
        <v>2163</v>
      </c>
      <c r="H85" t="s">
        <v>56</v>
      </c>
      <c r="I85" t="s">
        <v>2127</v>
      </c>
      <c r="J85" t="s">
        <v>2156</v>
      </c>
      <c r="K85" t="s">
        <v>2129</v>
      </c>
      <c r="L85" t="s">
        <v>2129</v>
      </c>
      <c r="M85" t="s">
        <v>2130</v>
      </c>
      <c r="N85" t="s">
        <v>2153</v>
      </c>
      <c r="O85" t="s">
        <v>2150</v>
      </c>
      <c r="P85" t="s">
        <v>2156</v>
      </c>
      <c r="Q85" t="s">
        <v>2156</v>
      </c>
      <c r="R85" s="37">
        <v>46030.568055555559</v>
      </c>
      <c r="S85" s="37">
        <v>46099.424305555556</v>
      </c>
      <c r="T85" s="37">
        <v>46100.368750000001</v>
      </c>
      <c r="U85" s="37">
        <v>46083.6875</v>
      </c>
      <c r="V85" t="s">
        <v>3747</v>
      </c>
      <c r="W85" t="s">
        <v>2129</v>
      </c>
      <c r="X85" t="s">
        <v>2129</v>
      </c>
      <c r="Y85">
        <v>0</v>
      </c>
      <c r="Z85" t="s">
        <v>2129</v>
      </c>
      <c r="AA85" t="s">
        <v>2820</v>
      </c>
      <c r="AB85" t="s">
        <v>2129</v>
      </c>
      <c r="AC85" t="s">
        <v>2150</v>
      </c>
      <c r="AD85" t="s">
        <v>2156</v>
      </c>
      <c r="AE85" t="s">
        <v>2129</v>
      </c>
      <c r="AF85" t="s">
        <v>2129</v>
      </c>
      <c r="AG85" t="s">
        <v>2129</v>
      </c>
      <c r="AH85" t="s">
        <v>2980</v>
      </c>
      <c r="AI85" t="s">
        <v>2129</v>
      </c>
      <c r="AJ85" t="s">
        <v>2129</v>
      </c>
      <c r="AK85" t="s">
        <v>2129</v>
      </c>
      <c r="AL85" t="s">
        <v>2129</v>
      </c>
      <c r="AM85" t="s">
        <v>2129</v>
      </c>
      <c r="AN85" t="s">
        <v>2129</v>
      </c>
      <c r="AO85" t="s">
        <v>2129</v>
      </c>
      <c r="AP85" t="s">
        <v>2129</v>
      </c>
      <c r="AQ85" t="s">
        <v>2129</v>
      </c>
      <c r="AR85" t="s">
        <v>2129</v>
      </c>
      <c r="AS85" t="s">
        <v>2129</v>
      </c>
      <c r="AT85" t="s">
        <v>2129</v>
      </c>
      <c r="AU85" t="s">
        <v>2129</v>
      </c>
      <c r="AV85" t="s">
        <v>2129</v>
      </c>
      <c r="AW85" t="s">
        <v>2129</v>
      </c>
      <c r="AX85" t="s">
        <v>2129</v>
      </c>
      <c r="AY85" t="s">
        <v>2129</v>
      </c>
      <c r="AZ85" t="s">
        <v>2129</v>
      </c>
      <c r="BA85" t="s">
        <v>2129</v>
      </c>
      <c r="BB85" t="s">
        <v>2129</v>
      </c>
      <c r="BC85" t="s">
        <v>2129</v>
      </c>
      <c r="BD85" t="s">
        <v>2129</v>
      </c>
      <c r="BE85" t="s">
        <v>2129</v>
      </c>
      <c r="BF85" t="s">
        <v>2129</v>
      </c>
      <c r="BG85" t="s">
        <v>2129</v>
      </c>
      <c r="BH85" t="s">
        <v>2129</v>
      </c>
      <c r="BI85" t="s">
        <v>2129</v>
      </c>
      <c r="BJ85" t="s">
        <v>2129</v>
      </c>
      <c r="BK85" t="s">
        <v>2129</v>
      </c>
      <c r="BL85" t="s">
        <v>2129</v>
      </c>
      <c r="BM85" t="s">
        <v>2129</v>
      </c>
      <c r="BN85" t="s">
        <v>2129</v>
      </c>
      <c r="BO85" t="s">
        <v>2129</v>
      </c>
      <c r="BP85" t="s">
        <v>2129</v>
      </c>
      <c r="BQ85">
        <v>0</v>
      </c>
      <c r="BR85">
        <v>10800</v>
      </c>
      <c r="BS85" t="s">
        <v>2129</v>
      </c>
      <c r="BT85" t="s">
        <v>2129</v>
      </c>
      <c r="BU85">
        <v>0</v>
      </c>
      <c r="BV85">
        <v>10800</v>
      </c>
      <c r="BW85" t="s">
        <v>2129</v>
      </c>
      <c r="BX85" t="s">
        <v>2129</v>
      </c>
      <c r="BY85" t="s">
        <v>2129</v>
      </c>
      <c r="BZ85" t="s">
        <v>2129</v>
      </c>
      <c r="CA85" t="s">
        <v>2129</v>
      </c>
      <c r="CB85" t="s">
        <v>2129</v>
      </c>
      <c r="CC85" t="s">
        <v>2129</v>
      </c>
      <c r="CD85" t="s">
        <v>2129</v>
      </c>
      <c r="CE85" t="s">
        <v>2129</v>
      </c>
      <c r="CF85" t="s">
        <v>2129</v>
      </c>
      <c r="CG85" t="s">
        <v>2129</v>
      </c>
      <c r="CH85" t="s">
        <v>2129</v>
      </c>
      <c r="CI85" t="s">
        <v>2129</v>
      </c>
      <c r="CJ85" t="s">
        <v>2129</v>
      </c>
      <c r="CK85" t="s">
        <v>2129</v>
      </c>
      <c r="CL85" t="s">
        <v>2129</v>
      </c>
      <c r="CM85" t="s">
        <v>2129</v>
      </c>
      <c r="CN85" t="s">
        <v>2129</v>
      </c>
      <c r="CO85" t="s">
        <v>2129</v>
      </c>
      <c r="CP85" t="s">
        <v>2129</v>
      </c>
      <c r="CQ85" t="s">
        <v>2129</v>
      </c>
      <c r="CR85" t="s">
        <v>2129</v>
      </c>
      <c r="CS85" t="s">
        <v>2129</v>
      </c>
      <c r="CT85" t="s">
        <v>2821</v>
      </c>
      <c r="CU85" t="s">
        <v>2819</v>
      </c>
      <c r="CV85" t="s">
        <v>2957</v>
      </c>
      <c r="CW85" t="s">
        <v>2129</v>
      </c>
      <c r="CX85" t="s">
        <v>2129</v>
      </c>
      <c r="CY85" t="s">
        <v>2129</v>
      </c>
      <c r="CZ85" t="s">
        <v>2129</v>
      </c>
      <c r="DA85" t="s">
        <v>2129</v>
      </c>
      <c r="DB85" t="s">
        <v>2129</v>
      </c>
      <c r="DC85" t="s">
        <v>2129</v>
      </c>
      <c r="DD85" t="s">
        <v>2129</v>
      </c>
      <c r="DE85" t="s">
        <v>2129</v>
      </c>
      <c r="DF85" t="s">
        <v>2129</v>
      </c>
      <c r="DG85" t="s">
        <v>2129</v>
      </c>
      <c r="DH85" t="s">
        <v>2129</v>
      </c>
      <c r="DJ85" t="s">
        <v>2129</v>
      </c>
      <c r="DK85" t="s">
        <v>2129</v>
      </c>
      <c r="DL85" t="s">
        <v>2822</v>
      </c>
      <c r="DM85" t="s">
        <v>2981</v>
      </c>
      <c r="DN85" t="s">
        <v>2129</v>
      </c>
      <c r="DO85" t="s">
        <v>2129</v>
      </c>
      <c r="DP85" t="s">
        <v>2129</v>
      </c>
      <c r="DQ85" t="s">
        <v>2129</v>
      </c>
      <c r="DR85" t="s">
        <v>2129</v>
      </c>
      <c r="DS85" t="s">
        <v>2129</v>
      </c>
      <c r="DT85" t="s">
        <v>2129</v>
      </c>
      <c r="DU85" t="s">
        <v>2129</v>
      </c>
      <c r="DV85" t="s">
        <v>2129</v>
      </c>
      <c r="DW85" t="s">
        <v>2129</v>
      </c>
      <c r="DX85" t="s">
        <v>2129</v>
      </c>
      <c r="DY85" t="s">
        <v>2129</v>
      </c>
      <c r="DZ85" t="s">
        <v>2129</v>
      </c>
      <c r="EA85" t="s">
        <v>2129</v>
      </c>
      <c r="EB85" t="s">
        <v>2129</v>
      </c>
      <c r="EC85" t="s">
        <v>2129</v>
      </c>
      <c r="ED85" t="s">
        <v>2129</v>
      </c>
      <c r="EE85" t="s">
        <v>2129</v>
      </c>
      <c r="EF85" t="s">
        <v>2129</v>
      </c>
      <c r="EG85" t="s">
        <v>2129</v>
      </c>
      <c r="EH85" t="s">
        <v>2129</v>
      </c>
    </row>
    <row r="86" spans="1:138" x14ac:dyDescent="0.25">
      <c r="A86" t="s">
        <v>2525</v>
      </c>
      <c r="B86" t="s">
        <v>2526</v>
      </c>
      <c r="C86">
        <v>22771</v>
      </c>
      <c r="E86" t="s">
        <v>77</v>
      </c>
      <c r="F86" t="s">
        <v>16</v>
      </c>
      <c r="G86" t="s">
        <v>2163</v>
      </c>
      <c r="H86" t="s">
        <v>56</v>
      </c>
      <c r="I86" t="s">
        <v>2127</v>
      </c>
      <c r="J86" t="s">
        <v>2156</v>
      </c>
      <c r="K86" t="s">
        <v>2129</v>
      </c>
      <c r="L86" t="s">
        <v>2129</v>
      </c>
      <c r="M86" t="s">
        <v>2130</v>
      </c>
      <c r="N86" t="s">
        <v>16</v>
      </c>
      <c r="O86" t="s">
        <v>2156</v>
      </c>
      <c r="P86" t="s">
        <v>2156</v>
      </c>
      <c r="Q86" t="s">
        <v>2156</v>
      </c>
      <c r="R86" s="37">
        <v>46030.546527777777</v>
      </c>
      <c r="S86" s="37">
        <v>46099.427083333336</v>
      </c>
      <c r="T86" s="37">
        <v>46100.368750000001</v>
      </c>
      <c r="U86" s="37">
        <v>46071.408333333333</v>
      </c>
      <c r="V86" t="s">
        <v>3747</v>
      </c>
      <c r="W86" t="s">
        <v>2129</v>
      </c>
      <c r="X86" t="s">
        <v>2129</v>
      </c>
      <c r="Y86">
        <v>0</v>
      </c>
      <c r="Z86" t="s">
        <v>2129</v>
      </c>
      <c r="AA86" t="s">
        <v>3805</v>
      </c>
      <c r="AB86" t="s">
        <v>2129</v>
      </c>
      <c r="AC86" t="s">
        <v>2156</v>
      </c>
      <c r="AD86" t="s">
        <v>2129</v>
      </c>
      <c r="AE86" t="s">
        <v>2129</v>
      </c>
      <c r="AF86" t="s">
        <v>2129</v>
      </c>
      <c r="AG86" t="s">
        <v>2129</v>
      </c>
      <c r="AH86" t="s">
        <v>2129</v>
      </c>
      <c r="AI86" t="s">
        <v>2129</v>
      </c>
      <c r="AJ86" t="s">
        <v>2129</v>
      </c>
      <c r="AK86" t="s">
        <v>2129</v>
      </c>
      <c r="AL86" t="s">
        <v>2129</v>
      </c>
      <c r="AM86" t="s">
        <v>2129</v>
      </c>
      <c r="AN86" t="s">
        <v>2129</v>
      </c>
      <c r="AO86" t="s">
        <v>2129</v>
      </c>
      <c r="AP86" t="s">
        <v>2129</v>
      </c>
      <c r="AQ86" t="s">
        <v>2129</v>
      </c>
      <c r="AR86" t="s">
        <v>2129</v>
      </c>
      <c r="AS86" t="s">
        <v>2129</v>
      </c>
      <c r="AT86" t="s">
        <v>2129</v>
      </c>
      <c r="AU86" t="s">
        <v>2129</v>
      </c>
      <c r="AV86" t="s">
        <v>2129</v>
      </c>
      <c r="AW86" t="s">
        <v>2129</v>
      </c>
      <c r="AX86" t="s">
        <v>2129</v>
      </c>
      <c r="AY86" t="s">
        <v>2129</v>
      </c>
      <c r="AZ86" t="s">
        <v>2129</v>
      </c>
      <c r="BA86" t="s">
        <v>2129</v>
      </c>
      <c r="BB86" t="s">
        <v>2129</v>
      </c>
      <c r="BC86" t="s">
        <v>2129</v>
      </c>
      <c r="BD86" t="s">
        <v>2129</v>
      </c>
      <c r="BE86" t="s">
        <v>2129</v>
      </c>
      <c r="BF86" t="s">
        <v>2129</v>
      </c>
      <c r="BG86" t="s">
        <v>2129</v>
      </c>
      <c r="BH86" t="s">
        <v>2129</v>
      </c>
      <c r="BI86" t="s">
        <v>2129</v>
      </c>
      <c r="BJ86" t="s">
        <v>2129</v>
      </c>
      <c r="BK86" t="s">
        <v>2129</v>
      </c>
      <c r="BL86" t="s">
        <v>2129</v>
      </c>
      <c r="BM86" t="s">
        <v>2129</v>
      </c>
      <c r="BN86" t="s">
        <v>2129</v>
      </c>
      <c r="BO86" t="s">
        <v>2129</v>
      </c>
      <c r="BP86" t="s">
        <v>2129</v>
      </c>
      <c r="BS86" t="s">
        <v>2129</v>
      </c>
      <c r="BT86" t="s">
        <v>2129</v>
      </c>
      <c r="BW86" t="s">
        <v>2129</v>
      </c>
      <c r="BX86" t="s">
        <v>2129</v>
      </c>
      <c r="BY86" t="s">
        <v>2129</v>
      </c>
      <c r="BZ86" t="s">
        <v>2129</v>
      </c>
      <c r="CA86" t="s">
        <v>2129</v>
      </c>
      <c r="CB86" t="s">
        <v>2129</v>
      </c>
      <c r="CC86" t="s">
        <v>2129</v>
      </c>
      <c r="CD86" t="s">
        <v>2129</v>
      </c>
      <c r="CE86" t="s">
        <v>2129</v>
      </c>
      <c r="CF86" t="s">
        <v>2129</v>
      </c>
      <c r="CG86" t="s">
        <v>2129</v>
      </c>
      <c r="CH86" t="s">
        <v>2129</v>
      </c>
      <c r="CI86" t="s">
        <v>2129</v>
      </c>
      <c r="CJ86" t="s">
        <v>2129</v>
      </c>
      <c r="CK86" t="s">
        <v>2129</v>
      </c>
      <c r="CL86" t="s">
        <v>2129</v>
      </c>
      <c r="CM86" t="s">
        <v>2129</v>
      </c>
      <c r="CN86" t="s">
        <v>2129</v>
      </c>
      <c r="CO86" t="s">
        <v>2129</v>
      </c>
      <c r="CP86" t="s">
        <v>2129</v>
      </c>
      <c r="CQ86" t="s">
        <v>2129</v>
      </c>
      <c r="CR86" t="s">
        <v>2129</v>
      </c>
      <c r="CS86" t="s">
        <v>2129</v>
      </c>
      <c r="CT86" t="s">
        <v>3806</v>
      </c>
      <c r="CU86" t="s">
        <v>2129</v>
      </c>
      <c r="CV86" t="s">
        <v>2129</v>
      </c>
      <c r="CW86" t="s">
        <v>2129</v>
      </c>
      <c r="CX86" t="s">
        <v>2129</v>
      </c>
      <c r="CY86" t="s">
        <v>2129</v>
      </c>
      <c r="CZ86" t="s">
        <v>2129</v>
      </c>
      <c r="DA86" t="s">
        <v>2129</v>
      </c>
      <c r="DB86" t="s">
        <v>2129</v>
      </c>
      <c r="DC86" t="s">
        <v>2129</v>
      </c>
      <c r="DD86" t="s">
        <v>2129</v>
      </c>
      <c r="DE86" t="s">
        <v>2129</v>
      </c>
      <c r="DF86" t="s">
        <v>2129</v>
      </c>
      <c r="DG86" t="s">
        <v>2129</v>
      </c>
      <c r="DH86" t="s">
        <v>2129</v>
      </c>
      <c r="DJ86" t="s">
        <v>2129</v>
      </c>
      <c r="DK86" t="s">
        <v>2129</v>
      </c>
      <c r="DL86" t="s">
        <v>3807</v>
      </c>
      <c r="DM86" t="s">
        <v>2129</v>
      </c>
      <c r="DN86" t="s">
        <v>2129</v>
      </c>
      <c r="DO86" t="s">
        <v>2129</v>
      </c>
      <c r="DP86" t="s">
        <v>2129</v>
      </c>
      <c r="DQ86" t="s">
        <v>2129</v>
      </c>
      <c r="DR86" t="s">
        <v>2129</v>
      </c>
      <c r="DS86" t="s">
        <v>2129</v>
      </c>
      <c r="DT86" t="s">
        <v>2129</v>
      </c>
      <c r="DU86" t="s">
        <v>2129</v>
      </c>
      <c r="DV86" t="s">
        <v>2129</v>
      </c>
      <c r="DW86" t="s">
        <v>2129</v>
      </c>
      <c r="DX86" t="s">
        <v>2129</v>
      </c>
      <c r="DY86" t="s">
        <v>2129</v>
      </c>
      <c r="DZ86" t="s">
        <v>2129</v>
      </c>
      <c r="EA86" t="s">
        <v>2129</v>
      </c>
      <c r="EB86" t="s">
        <v>2129</v>
      </c>
      <c r="EC86" t="s">
        <v>2129</v>
      </c>
      <c r="ED86" t="s">
        <v>2129</v>
      </c>
      <c r="EE86" t="s">
        <v>2129</v>
      </c>
      <c r="EF86" t="s">
        <v>2129</v>
      </c>
      <c r="EG86" t="s">
        <v>2129</v>
      </c>
      <c r="EH86" t="s">
        <v>2129</v>
      </c>
    </row>
    <row r="87" spans="1:138" x14ac:dyDescent="0.25">
      <c r="A87" t="s">
        <v>3808</v>
      </c>
      <c r="B87" t="s">
        <v>2378</v>
      </c>
      <c r="C87">
        <v>22719</v>
      </c>
      <c r="E87" t="s">
        <v>14</v>
      </c>
      <c r="F87" t="s">
        <v>16</v>
      </c>
      <c r="G87" t="s">
        <v>2163</v>
      </c>
      <c r="H87" t="s">
        <v>56</v>
      </c>
      <c r="I87" t="s">
        <v>2127</v>
      </c>
      <c r="J87" t="s">
        <v>2156</v>
      </c>
      <c r="K87" t="s">
        <v>2129</v>
      </c>
      <c r="L87" t="s">
        <v>2129</v>
      </c>
      <c r="M87" t="s">
        <v>2130</v>
      </c>
      <c r="N87" t="s">
        <v>2153</v>
      </c>
      <c r="O87" t="s">
        <v>2150</v>
      </c>
      <c r="P87" t="s">
        <v>2145</v>
      </c>
      <c r="Q87" t="s">
        <v>2145</v>
      </c>
      <c r="R87" s="37">
        <v>46017.417361111111</v>
      </c>
      <c r="S87" s="37">
        <v>46092.625</v>
      </c>
      <c r="T87" s="37">
        <v>46100.368750000001</v>
      </c>
      <c r="U87" s="37">
        <v>46092.625</v>
      </c>
      <c r="V87" t="s">
        <v>3747</v>
      </c>
      <c r="W87" t="s">
        <v>2129</v>
      </c>
      <c r="X87" t="s">
        <v>2129</v>
      </c>
      <c r="Y87">
        <v>0</v>
      </c>
      <c r="Z87" t="s">
        <v>2129</v>
      </c>
      <c r="AA87" t="s">
        <v>3809</v>
      </c>
      <c r="AB87" t="s">
        <v>2129</v>
      </c>
      <c r="AC87" t="s">
        <v>2145</v>
      </c>
      <c r="AD87" t="s">
        <v>2150</v>
      </c>
      <c r="AE87" t="s">
        <v>2180</v>
      </c>
      <c r="AF87" t="s">
        <v>2156</v>
      </c>
      <c r="AG87" t="s">
        <v>2129</v>
      </c>
      <c r="AH87" t="s">
        <v>3810</v>
      </c>
      <c r="AI87" t="s">
        <v>3811</v>
      </c>
      <c r="AJ87" t="s">
        <v>3812</v>
      </c>
      <c r="AK87" t="s">
        <v>3813</v>
      </c>
      <c r="AL87" t="s">
        <v>3814</v>
      </c>
      <c r="AM87" t="s">
        <v>3815</v>
      </c>
      <c r="AN87" t="s">
        <v>3816</v>
      </c>
      <c r="AO87" t="s">
        <v>3817</v>
      </c>
      <c r="AP87" t="s">
        <v>2129</v>
      </c>
      <c r="AQ87" t="s">
        <v>2129</v>
      </c>
      <c r="AR87" t="s">
        <v>2129</v>
      </c>
      <c r="AS87" t="s">
        <v>2129</v>
      </c>
      <c r="AT87" t="s">
        <v>2129</v>
      </c>
      <c r="AU87" t="s">
        <v>2129</v>
      </c>
      <c r="AV87" t="s">
        <v>2129</v>
      </c>
      <c r="AW87" t="s">
        <v>2129</v>
      </c>
      <c r="AX87" t="s">
        <v>2129</v>
      </c>
      <c r="AY87" t="s">
        <v>2129</v>
      </c>
      <c r="AZ87" t="s">
        <v>2129</v>
      </c>
      <c r="BA87" t="s">
        <v>2129</v>
      </c>
      <c r="BB87" t="s">
        <v>2129</v>
      </c>
      <c r="BC87" t="s">
        <v>2129</v>
      </c>
      <c r="BD87" t="s">
        <v>2129</v>
      </c>
      <c r="BE87" t="s">
        <v>2129</v>
      </c>
      <c r="BF87" t="s">
        <v>2129</v>
      </c>
      <c r="BG87" t="s">
        <v>2129</v>
      </c>
      <c r="BH87" t="s">
        <v>2129</v>
      </c>
      <c r="BI87" t="s">
        <v>2129</v>
      </c>
      <c r="BJ87" t="s">
        <v>2129</v>
      </c>
      <c r="BK87" t="s">
        <v>2129</v>
      </c>
      <c r="BL87" t="s">
        <v>2129</v>
      </c>
      <c r="BM87" t="s">
        <v>2129</v>
      </c>
      <c r="BN87" t="s">
        <v>2129</v>
      </c>
      <c r="BO87" t="s">
        <v>2129</v>
      </c>
      <c r="BP87" t="s">
        <v>2129</v>
      </c>
      <c r="BQ87">
        <v>0</v>
      </c>
      <c r="BR87">
        <v>131400</v>
      </c>
      <c r="BS87" t="s">
        <v>2129</v>
      </c>
      <c r="BT87" t="s">
        <v>2129</v>
      </c>
      <c r="BU87">
        <v>0</v>
      </c>
      <c r="BV87">
        <v>131400</v>
      </c>
      <c r="BW87" t="s">
        <v>2129</v>
      </c>
      <c r="BX87" t="s">
        <v>2129</v>
      </c>
      <c r="BY87" t="s">
        <v>2129</v>
      </c>
      <c r="BZ87" t="s">
        <v>3818</v>
      </c>
      <c r="CA87" t="s">
        <v>2129</v>
      </c>
      <c r="CB87" t="s">
        <v>2129</v>
      </c>
      <c r="CC87" t="s">
        <v>2129</v>
      </c>
      <c r="CD87" t="s">
        <v>2129</v>
      </c>
      <c r="CE87" t="s">
        <v>2129</v>
      </c>
      <c r="CF87" t="s">
        <v>2129</v>
      </c>
      <c r="CG87" t="s">
        <v>2129</v>
      </c>
      <c r="CH87" t="s">
        <v>2129</v>
      </c>
      <c r="CI87" t="s">
        <v>2129</v>
      </c>
      <c r="CJ87" t="s">
        <v>2129</v>
      </c>
      <c r="CK87" t="s">
        <v>2129</v>
      </c>
      <c r="CL87" t="s">
        <v>2129</v>
      </c>
      <c r="CM87" t="s">
        <v>2129</v>
      </c>
      <c r="CN87" t="s">
        <v>2129</v>
      </c>
      <c r="CO87" t="s">
        <v>2129</v>
      </c>
      <c r="CP87" t="s">
        <v>2129</v>
      </c>
      <c r="CQ87" t="s">
        <v>2129</v>
      </c>
      <c r="CR87" t="s">
        <v>2129</v>
      </c>
      <c r="CS87" t="s">
        <v>2129</v>
      </c>
      <c r="CT87" t="s">
        <v>3819</v>
      </c>
      <c r="CU87" t="s">
        <v>3798</v>
      </c>
      <c r="CV87" t="s">
        <v>3783</v>
      </c>
      <c r="CW87" t="s">
        <v>2819</v>
      </c>
      <c r="CX87" t="s">
        <v>2957</v>
      </c>
      <c r="CY87" t="s">
        <v>2950</v>
      </c>
      <c r="CZ87" t="s">
        <v>2129</v>
      </c>
      <c r="DA87" t="s">
        <v>2129</v>
      </c>
      <c r="DB87" t="s">
        <v>2129</v>
      </c>
      <c r="DC87" t="s">
        <v>2129</v>
      </c>
      <c r="DD87" t="s">
        <v>2129</v>
      </c>
      <c r="DE87" t="s">
        <v>2129</v>
      </c>
      <c r="DF87" t="s">
        <v>2129</v>
      </c>
      <c r="DG87" t="s">
        <v>2129</v>
      </c>
      <c r="DH87" t="s">
        <v>2129</v>
      </c>
      <c r="DI87">
        <v>50</v>
      </c>
      <c r="DJ87" t="s">
        <v>2129</v>
      </c>
      <c r="DK87" t="s">
        <v>2129</v>
      </c>
      <c r="DL87" t="s">
        <v>3820</v>
      </c>
      <c r="DM87" t="s">
        <v>3821</v>
      </c>
      <c r="DN87" t="s">
        <v>3822</v>
      </c>
      <c r="DO87" t="s">
        <v>3823</v>
      </c>
      <c r="DP87" t="s">
        <v>3824</v>
      </c>
      <c r="DQ87" t="s">
        <v>2129</v>
      </c>
      <c r="DR87" t="s">
        <v>2129</v>
      </c>
      <c r="DS87" t="s">
        <v>2129</v>
      </c>
      <c r="DT87" t="s">
        <v>2129</v>
      </c>
      <c r="DU87" t="s">
        <v>2129</v>
      </c>
      <c r="DV87" t="s">
        <v>2129</v>
      </c>
      <c r="DW87" t="s">
        <v>2129</v>
      </c>
      <c r="DX87" t="s">
        <v>2129</v>
      </c>
      <c r="DY87" t="s">
        <v>2129</v>
      </c>
      <c r="DZ87" t="s">
        <v>2129</v>
      </c>
      <c r="EA87" t="s">
        <v>2129</v>
      </c>
      <c r="EB87" t="s">
        <v>2129</v>
      </c>
      <c r="EC87" t="s">
        <v>2129</v>
      </c>
      <c r="ED87" t="s">
        <v>2129</v>
      </c>
      <c r="EE87" t="s">
        <v>2129</v>
      </c>
      <c r="EF87" t="s">
        <v>2129</v>
      </c>
      <c r="EG87" t="s">
        <v>2129</v>
      </c>
      <c r="EH87" t="s">
        <v>2129</v>
      </c>
    </row>
    <row r="88" spans="1:138" x14ac:dyDescent="0.25">
      <c r="A88" t="s">
        <v>1734</v>
      </c>
      <c r="B88" t="s">
        <v>1733</v>
      </c>
      <c r="C88">
        <v>22470</v>
      </c>
      <c r="E88" t="s">
        <v>77</v>
      </c>
      <c r="F88" t="s">
        <v>16</v>
      </c>
      <c r="G88" t="s">
        <v>2163</v>
      </c>
      <c r="H88" t="s">
        <v>56</v>
      </c>
      <c r="I88" t="s">
        <v>2127</v>
      </c>
      <c r="J88" t="s">
        <v>2156</v>
      </c>
      <c r="K88" t="s">
        <v>2129</v>
      </c>
      <c r="L88" t="s">
        <v>2129</v>
      </c>
      <c r="M88" t="s">
        <v>2130</v>
      </c>
      <c r="N88" t="s">
        <v>2153</v>
      </c>
      <c r="O88" t="s">
        <v>2150</v>
      </c>
      <c r="P88" t="s">
        <v>2156</v>
      </c>
      <c r="Q88" t="s">
        <v>2156</v>
      </c>
      <c r="R88" s="37">
        <v>45973.647916666669</v>
      </c>
      <c r="S88" s="37">
        <v>46099.427777777775</v>
      </c>
      <c r="T88" s="37">
        <v>46100.368750000001</v>
      </c>
      <c r="U88" s="37">
        <v>46055.603472222225</v>
      </c>
      <c r="V88" t="s">
        <v>3747</v>
      </c>
      <c r="W88" t="s">
        <v>2129</v>
      </c>
      <c r="X88" t="s">
        <v>2129</v>
      </c>
      <c r="Y88">
        <v>0</v>
      </c>
      <c r="Z88" t="s">
        <v>2129</v>
      </c>
      <c r="AA88" t="s">
        <v>3825</v>
      </c>
      <c r="AB88" t="s">
        <v>2129</v>
      </c>
      <c r="AC88" t="s">
        <v>2150</v>
      </c>
      <c r="AD88" t="s">
        <v>2156</v>
      </c>
      <c r="AE88" t="s">
        <v>2129</v>
      </c>
      <c r="AF88" t="s">
        <v>2129</v>
      </c>
      <c r="AG88" t="s">
        <v>2129</v>
      </c>
      <c r="AH88" t="s">
        <v>3826</v>
      </c>
      <c r="AI88" t="s">
        <v>3827</v>
      </c>
      <c r="AJ88" t="s">
        <v>3828</v>
      </c>
      <c r="AK88" t="s">
        <v>3829</v>
      </c>
      <c r="AL88" t="s">
        <v>2129</v>
      </c>
      <c r="AM88" t="s">
        <v>2129</v>
      </c>
      <c r="AN88" t="s">
        <v>2129</v>
      </c>
      <c r="AO88" t="s">
        <v>2129</v>
      </c>
      <c r="AP88" t="s">
        <v>2129</v>
      </c>
      <c r="AQ88" t="s">
        <v>2129</v>
      </c>
      <c r="AR88" t="s">
        <v>2129</v>
      </c>
      <c r="AS88" t="s">
        <v>2129</v>
      </c>
      <c r="AT88" t="s">
        <v>2129</v>
      </c>
      <c r="AU88" t="s">
        <v>2129</v>
      </c>
      <c r="AV88" t="s">
        <v>2129</v>
      </c>
      <c r="AW88" t="s">
        <v>2129</v>
      </c>
      <c r="AX88" t="s">
        <v>2129</v>
      </c>
      <c r="AY88" t="s">
        <v>2129</v>
      </c>
      <c r="AZ88" t="s">
        <v>2129</v>
      </c>
      <c r="BA88" t="s">
        <v>2129</v>
      </c>
      <c r="BB88" t="s">
        <v>2129</v>
      </c>
      <c r="BC88" t="s">
        <v>2129</v>
      </c>
      <c r="BD88" t="s">
        <v>2129</v>
      </c>
      <c r="BE88" t="s">
        <v>2129</v>
      </c>
      <c r="BF88" t="s">
        <v>2129</v>
      </c>
      <c r="BG88" t="s">
        <v>2129</v>
      </c>
      <c r="BH88" t="s">
        <v>2129</v>
      </c>
      <c r="BI88" t="s">
        <v>2129</v>
      </c>
      <c r="BJ88" t="s">
        <v>2129</v>
      </c>
      <c r="BK88" t="s">
        <v>2129</v>
      </c>
      <c r="BL88" t="s">
        <v>2129</v>
      </c>
      <c r="BM88" t="s">
        <v>2129</v>
      </c>
      <c r="BN88" t="s">
        <v>2129</v>
      </c>
      <c r="BO88" t="s">
        <v>2129</v>
      </c>
      <c r="BP88" t="s">
        <v>2129</v>
      </c>
      <c r="BQ88">
        <v>0</v>
      </c>
      <c r="BR88">
        <v>79200</v>
      </c>
      <c r="BS88" t="s">
        <v>2129</v>
      </c>
      <c r="BT88" t="s">
        <v>2129</v>
      </c>
      <c r="BU88">
        <v>0</v>
      </c>
      <c r="BV88">
        <v>79200</v>
      </c>
      <c r="BW88" t="s">
        <v>2129</v>
      </c>
      <c r="BX88" t="s">
        <v>2129</v>
      </c>
      <c r="BY88" t="s">
        <v>2129</v>
      </c>
      <c r="BZ88" t="s">
        <v>2129</v>
      </c>
      <c r="CA88" t="s">
        <v>2129</v>
      </c>
      <c r="CB88" t="s">
        <v>2129</v>
      </c>
      <c r="CC88" t="s">
        <v>2129</v>
      </c>
      <c r="CD88" t="s">
        <v>2129</v>
      </c>
      <c r="CE88" t="s">
        <v>2129</v>
      </c>
      <c r="CF88" t="s">
        <v>2129</v>
      </c>
      <c r="CG88" t="s">
        <v>2129</v>
      </c>
      <c r="CH88" t="s">
        <v>2129</v>
      </c>
      <c r="CI88" t="s">
        <v>2129</v>
      </c>
      <c r="CJ88" t="s">
        <v>2129</v>
      </c>
      <c r="CK88" t="s">
        <v>2129</v>
      </c>
      <c r="CL88" t="s">
        <v>2129</v>
      </c>
      <c r="CM88" t="s">
        <v>2129</v>
      </c>
      <c r="CN88" t="s">
        <v>2129</v>
      </c>
      <c r="CO88" t="s">
        <v>2129</v>
      </c>
      <c r="CP88" t="s">
        <v>2129</v>
      </c>
      <c r="CQ88" t="s">
        <v>2129</v>
      </c>
      <c r="CR88" t="s">
        <v>2129</v>
      </c>
      <c r="CS88" t="s">
        <v>2129</v>
      </c>
      <c r="CT88" t="s">
        <v>3830</v>
      </c>
      <c r="CU88" t="s">
        <v>3783</v>
      </c>
      <c r="CV88" t="s">
        <v>2129</v>
      </c>
      <c r="CW88" t="s">
        <v>2129</v>
      </c>
      <c r="CX88" t="s">
        <v>2129</v>
      </c>
      <c r="CY88" t="s">
        <v>2129</v>
      </c>
      <c r="CZ88" t="s">
        <v>2129</v>
      </c>
      <c r="DA88" t="s">
        <v>2129</v>
      </c>
      <c r="DB88" t="s">
        <v>2129</v>
      </c>
      <c r="DC88" t="s">
        <v>2129</v>
      </c>
      <c r="DD88" t="s">
        <v>2129</v>
      </c>
      <c r="DE88" t="s">
        <v>2129</v>
      </c>
      <c r="DF88" t="s">
        <v>2129</v>
      </c>
      <c r="DG88" t="s">
        <v>2129</v>
      </c>
      <c r="DH88" t="s">
        <v>2129</v>
      </c>
      <c r="DI88">
        <v>30</v>
      </c>
      <c r="DJ88" t="s">
        <v>2129</v>
      </c>
      <c r="DK88" t="s">
        <v>2129</v>
      </c>
      <c r="DL88" t="s">
        <v>3831</v>
      </c>
      <c r="DM88" t="s">
        <v>2129</v>
      </c>
      <c r="DN88" t="s">
        <v>2129</v>
      </c>
      <c r="DO88" t="s">
        <v>2129</v>
      </c>
      <c r="DP88" t="s">
        <v>2129</v>
      </c>
      <c r="DQ88" t="s">
        <v>2129</v>
      </c>
      <c r="DR88" t="s">
        <v>2129</v>
      </c>
      <c r="DS88" t="s">
        <v>2129</v>
      </c>
      <c r="DT88" t="s">
        <v>2129</v>
      </c>
      <c r="DU88" t="s">
        <v>2129</v>
      </c>
      <c r="DV88" t="s">
        <v>2129</v>
      </c>
      <c r="DW88" t="s">
        <v>2129</v>
      </c>
      <c r="DX88" t="s">
        <v>2129</v>
      </c>
      <c r="DY88" t="s">
        <v>2129</v>
      </c>
      <c r="DZ88" t="s">
        <v>2129</v>
      </c>
      <c r="EA88" t="s">
        <v>2129</v>
      </c>
      <c r="EB88" t="s">
        <v>2129</v>
      </c>
      <c r="EC88" t="s">
        <v>2129</v>
      </c>
      <c r="ED88" t="s">
        <v>2129</v>
      </c>
      <c r="EE88" t="s">
        <v>2129</v>
      </c>
      <c r="EF88" t="s">
        <v>2129</v>
      </c>
      <c r="EG88" t="s">
        <v>2129</v>
      </c>
      <c r="EH88" t="s">
        <v>2129</v>
      </c>
    </row>
    <row r="89" spans="1:138" x14ac:dyDescent="0.25">
      <c r="A89" t="s">
        <v>1719</v>
      </c>
      <c r="B89" t="s">
        <v>2026</v>
      </c>
      <c r="C89">
        <v>22443</v>
      </c>
      <c r="E89" t="s">
        <v>14</v>
      </c>
      <c r="F89" t="s">
        <v>16</v>
      </c>
      <c r="G89" t="s">
        <v>2163</v>
      </c>
      <c r="H89" t="s">
        <v>56</v>
      </c>
      <c r="I89" t="s">
        <v>2127</v>
      </c>
      <c r="J89" t="s">
        <v>2156</v>
      </c>
      <c r="K89" t="s">
        <v>2129</v>
      </c>
      <c r="L89" t="s">
        <v>2129</v>
      </c>
      <c r="M89" t="s">
        <v>2130</v>
      </c>
      <c r="N89" t="s">
        <v>2153</v>
      </c>
      <c r="O89" t="s">
        <v>2150</v>
      </c>
      <c r="P89" t="s">
        <v>2145</v>
      </c>
      <c r="Q89" t="s">
        <v>2145</v>
      </c>
      <c r="R89" s="37">
        <v>45966.539583333331</v>
      </c>
      <c r="S89" s="37">
        <v>46099.425000000003</v>
      </c>
      <c r="T89" s="37">
        <v>46100.368750000001</v>
      </c>
      <c r="U89" s="37">
        <v>46073.497916666667</v>
      </c>
      <c r="V89" t="s">
        <v>3747</v>
      </c>
      <c r="W89" t="s">
        <v>2129</v>
      </c>
      <c r="X89" t="s">
        <v>2129</v>
      </c>
      <c r="Y89">
        <v>0</v>
      </c>
      <c r="Z89" t="s">
        <v>2129</v>
      </c>
      <c r="AA89" t="s">
        <v>3832</v>
      </c>
      <c r="AB89" t="s">
        <v>2129</v>
      </c>
      <c r="AC89" t="s">
        <v>2145</v>
      </c>
      <c r="AD89" t="s">
        <v>2150</v>
      </c>
      <c r="AE89" t="s">
        <v>2129</v>
      </c>
      <c r="AF89" t="s">
        <v>2129</v>
      </c>
      <c r="AG89" t="s">
        <v>2129</v>
      </c>
      <c r="AH89" t="s">
        <v>3833</v>
      </c>
      <c r="AI89" t="s">
        <v>3834</v>
      </c>
      <c r="AJ89" t="s">
        <v>3835</v>
      </c>
      <c r="AK89" t="s">
        <v>3836</v>
      </c>
      <c r="AL89" t="s">
        <v>3837</v>
      </c>
      <c r="AM89" t="s">
        <v>3838</v>
      </c>
      <c r="AN89" t="s">
        <v>3839</v>
      </c>
      <c r="AO89" t="s">
        <v>3840</v>
      </c>
      <c r="AP89" t="s">
        <v>3841</v>
      </c>
      <c r="AQ89" t="s">
        <v>3842</v>
      </c>
      <c r="AR89" t="s">
        <v>3843</v>
      </c>
      <c r="AS89" t="s">
        <v>3844</v>
      </c>
      <c r="AT89" t="s">
        <v>3845</v>
      </c>
      <c r="AU89" t="s">
        <v>3846</v>
      </c>
      <c r="AV89" t="s">
        <v>3847</v>
      </c>
      <c r="AW89" t="s">
        <v>2129</v>
      </c>
      <c r="AX89" t="s">
        <v>2129</v>
      </c>
      <c r="AY89" t="s">
        <v>2129</v>
      </c>
      <c r="AZ89" t="s">
        <v>2129</v>
      </c>
      <c r="BA89" t="s">
        <v>2129</v>
      </c>
      <c r="BB89" t="s">
        <v>2129</v>
      </c>
      <c r="BC89" t="s">
        <v>2129</v>
      </c>
      <c r="BD89" t="s">
        <v>2129</v>
      </c>
      <c r="BE89" t="s">
        <v>2129</v>
      </c>
      <c r="BF89" t="s">
        <v>2129</v>
      </c>
      <c r="BG89" t="s">
        <v>2129</v>
      </c>
      <c r="BH89" t="s">
        <v>2129</v>
      </c>
      <c r="BI89" t="s">
        <v>2129</v>
      </c>
      <c r="BJ89" t="s">
        <v>2129</v>
      </c>
      <c r="BK89" t="s">
        <v>2129</v>
      </c>
      <c r="BL89" t="s">
        <v>2129</v>
      </c>
      <c r="BM89" t="s">
        <v>2129</v>
      </c>
      <c r="BN89" t="s">
        <v>2129</v>
      </c>
      <c r="BO89" t="s">
        <v>2129</v>
      </c>
      <c r="BP89" t="s">
        <v>2129</v>
      </c>
      <c r="BQ89">
        <v>0</v>
      </c>
      <c r="BR89">
        <v>455400</v>
      </c>
      <c r="BS89" t="s">
        <v>2129</v>
      </c>
      <c r="BT89" t="s">
        <v>2129</v>
      </c>
      <c r="BU89">
        <v>0</v>
      </c>
      <c r="BV89">
        <v>455400</v>
      </c>
      <c r="BW89" t="s">
        <v>2129</v>
      </c>
      <c r="BX89" t="s">
        <v>2129</v>
      </c>
      <c r="BY89" t="s">
        <v>2129</v>
      </c>
      <c r="BZ89" t="s">
        <v>2129</v>
      </c>
      <c r="CA89" t="s">
        <v>2129</v>
      </c>
      <c r="CB89" t="s">
        <v>2129</v>
      </c>
      <c r="CC89" t="s">
        <v>2129</v>
      </c>
      <c r="CD89" t="s">
        <v>2129</v>
      </c>
      <c r="CE89" t="s">
        <v>2129</v>
      </c>
      <c r="CF89" t="s">
        <v>2129</v>
      </c>
      <c r="CG89" t="s">
        <v>2129</v>
      </c>
      <c r="CH89" t="s">
        <v>2129</v>
      </c>
      <c r="CI89" t="s">
        <v>2129</v>
      </c>
      <c r="CJ89" t="s">
        <v>2129</v>
      </c>
      <c r="CK89" t="s">
        <v>2129</v>
      </c>
      <c r="CL89" t="s">
        <v>2129</v>
      </c>
      <c r="CM89" t="s">
        <v>3683</v>
      </c>
      <c r="CN89" t="s">
        <v>2129</v>
      </c>
      <c r="CO89" t="s">
        <v>2129</v>
      </c>
      <c r="CP89" t="s">
        <v>2129</v>
      </c>
      <c r="CQ89" t="s">
        <v>2129</v>
      </c>
      <c r="CR89" t="s">
        <v>2129</v>
      </c>
      <c r="CS89" t="s">
        <v>2129</v>
      </c>
      <c r="CT89" t="s">
        <v>3848</v>
      </c>
      <c r="CU89" t="s">
        <v>3783</v>
      </c>
      <c r="CV89" t="s">
        <v>2819</v>
      </c>
      <c r="CW89" t="s">
        <v>2129</v>
      </c>
      <c r="CX89" t="s">
        <v>2129</v>
      </c>
      <c r="CY89" t="s">
        <v>2129</v>
      </c>
      <c r="CZ89" t="s">
        <v>2129</v>
      </c>
      <c r="DA89" t="s">
        <v>2129</v>
      </c>
      <c r="DB89" t="s">
        <v>2129</v>
      </c>
      <c r="DC89" t="s">
        <v>2129</v>
      </c>
      <c r="DD89" t="s">
        <v>2129</v>
      </c>
      <c r="DE89" t="s">
        <v>2129</v>
      </c>
      <c r="DF89" t="s">
        <v>2129</v>
      </c>
      <c r="DG89" t="s">
        <v>2129</v>
      </c>
      <c r="DH89" t="s">
        <v>2129</v>
      </c>
      <c r="DI89">
        <v>80</v>
      </c>
      <c r="DJ89" t="s">
        <v>2129</v>
      </c>
      <c r="DK89" t="s">
        <v>2129</v>
      </c>
      <c r="DL89" t="s">
        <v>3849</v>
      </c>
      <c r="DM89" t="s">
        <v>3850</v>
      </c>
      <c r="DN89" t="s">
        <v>3851</v>
      </c>
      <c r="DO89" t="s">
        <v>2129</v>
      </c>
      <c r="DP89" t="s">
        <v>2129</v>
      </c>
      <c r="DQ89" t="s">
        <v>2129</v>
      </c>
      <c r="DR89" t="s">
        <v>2129</v>
      </c>
      <c r="DS89" t="s">
        <v>2129</v>
      </c>
      <c r="DT89" t="s">
        <v>2129</v>
      </c>
      <c r="DU89" t="s">
        <v>2129</v>
      </c>
      <c r="DV89" t="s">
        <v>2129</v>
      </c>
      <c r="DW89" t="s">
        <v>2129</v>
      </c>
      <c r="DX89" t="s">
        <v>2129</v>
      </c>
      <c r="DY89" t="s">
        <v>2129</v>
      </c>
      <c r="DZ89" t="s">
        <v>2129</v>
      </c>
      <c r="EA89" t="s">
        <v>2129</v>
      </c>
      <c r="EB89" t="s">
        <v>2129</v>
      </c>
      <c r="EC89" t="s">
        <v>2129</v>
      </c>
      <c r="ED89" t="s">
        <v>2129</v>
      </c>
      <c r="EE89" t="s">
        <v>2129</v>
      </c>
      <c r="EF89" t="s">
        <v>2129</v>
      </c>
      <c r="EG89" t="s">
        <v>2129</v>
      </c>
      <c r="EH89" t="s">
        <v>2129</v>
      </c>
    </row>
    <row r="90" spans="1:138" x14ac:dyDescent="0.25">
      <c r="A90" t="s">
        <v>1651</v>
      </c>
      <c r="B90" t="s">
        <v>1650</v>
      </c>
      <c r="C90">
        <v>22403</v>
      </c>
      <c r="E90" t="s">
        <v>14</v>
      </c>
      <c r="F90" t="s">
        <v>10</v>
      </c>
      <c r="G90" t="s">
        <v>2163</v>
      </c>
      <c r="H90" t="s">
        <v>56</v>
      </c>
      <c r="I90" t="s">
        <v>2127</v>
      </c>
      <c r="J90" t="s">
        <v>2156</v>
      </c>
      <c r="K90" t="s">
        <v>2129</v>
      </c>
      <c r="L90" t="s">
        <v>2129</v>
      </c>
      <c r="M90" t="s">
        <v>2130</v>
      </c>
      <c r="N90" t="s">
        <v>2129</v>
      </c>
      <c r="O90" t="s">
        <v>2129</v>
      </c>
      <c r="P90" t="s">
        <v>2145</v>
      </c>
      <c r="Q90" t="s">
        <v>2145</v>
      </c>
      <c r="R90" s="37">
        <v>45960.473611111112</v>
      </c>
      <c r="S90" s="37">
        <v>46099.341666666667</v>
      </c>
      <c r="T90" s="37">
        <v>46100.368750000001</v>
      </c>
      <c r="U90" s="37"/>
      <c r="V90" t="s">
        <v>2129</v>
      </c>
      <c r="W90" t="s">
        <v>2129</v>
      </c>
      <c r="X90" t="s">
        <v>2129</v>
      </c>
      <c r="Y90">
        <v>0</v>
      </c>
      <c r="Z90" t="s">
        <v>2129</v>
      </c>
      <c r="AA90" t="s">
        <v>3852</v>
      </c>
      <c r="AB90" t="s">
        <v>2129</v>
      </c>
      <c r="AC90" t="s">
        <v>2145</v>
      </c>
      <c r="AD90" t="s">
        <v>2129</v>
      </c>
      <c r="AE90" t="s">
        <v>2129</v>
      </c>
      <c r="AF90" t="s">
        <v>2129</v>
      </c>
      <c r="AG90" t="s">
        <v>2129</v>
      </c>
      <c r="AH90" t="s">
        <v>2129</v>
      </c>
      <c r="AI90" t="s">
        <v>2129</v>
      </c>
      <c r="AJ90" t="s">
        <v>2129</v>
      </c>
      <c r="AK90" t="s">
        <v>2129</v>
      </c>
      <c r="AL90" t="s">
        <v>2129</v>
      </c>
      <c r="AM90" t="s">
        <v>2129</v>
      </c>
      <c r="AN90" t="s">
        <v>2129</v>
      </c>
      <c r="AO90" t="s">
        <v>2129</v>
      </c>
      <c r="AP90" t="s">
        <v>2129</v>
      </c>
      <c r="AQ90" t="s">
        <v>2129</v>
      </c>
      <c r="AR90" t="s">
        <v>2129</v>
      </c>
      <c r="AS90" t="s">
        <v>2129</v>
      </c>
      <c r="AT90" t="s">
        <v>2129</v>
      </c>
      <c r="AU90" t="s">
        <v>2129</v>
      </c>
      <c r="AV90" t="s">
        <v>2129</v>
      </c>
      <c r="AW90" t="s">
        <v>2129</v>
      </c>
      <c r="AX90" t="s">
        <v>2129</v>
      </c>
      <c r="AY90" t="s">
        <v>2129</v>
      </c>
      <c r="AZ90" t="s">
        <v>2129</v>
      </c>
      <c r="BA90" t="s">
        <v>2129</v>
      </c>
      <c r="BB90" t="s">
        <v>2129</v>
      </c>
      <c r="BC90" t="s">
        <v>2129</v>
      </c>
      <c r="BD90" t="s">
        <v>2129</v>
      </c>
      <c r="BE90" t="s">
        <v>2129</v>
      </c>
      <c r="BF90" t="s">
        <v>2129</v>
      </c>
      <c r="BG90" t="s">
        <v>2129</v>
      </c>
      <c r="BH90" t="s">
        <v>2129</v>
      </c>
      <c r="BI90" t="s">
        <v>2129</v>
      </c>
      <c r="BJ90" t="s">
        <v>2129</v>
      </c>
      <c r="BK90" t="s">
        <v>2129</v>
      </c>
      <c r="BL90" t="s">
        <v>2129</v>
      </c>
      <c r="BM90" t="s">
        <v>2129</v>
      </c>
      <c r="BN90" t="s">
        <v>2129</v>
      </c>
      <c r="BO90" t="s">
        <v>2129</v>
      </c>
      <c r="BP90" t="s">
        <v>2129</v>
      </c>
      <c r="BS90" t="s">
        <v>2129</v>
      </c>
      <c r="BT90" t="s">
        <v>2129</v>
      </c>
      <c r="BW90" t="s">
        <v>2129</v>
      </c>
      <c r="BX90" t="s">
        <v>2129</v>
      </c>
      <c r="BY90" t="s">
        <v>2129</v>
      </c>
      <c r="BZ90" t="s">
        <v>2129</v>
      </c>
      <c r="CA90" t="s">
        <v>2129</v>
      </c>
      <c r="CB90" t="s">
        <v>2129</v>
      </c>
      <c r="CC90" t="s">
        <v>2129</v>
      </c>
      <c r="CD90" t="s">
        <v>2129</v>
      </c>
      <c r="CE90" t="s">
        <v>2129</v>
      </c>
      <c r="CF90" t="s">
        <v>2129</v>
      </c>
      <c r="CG90" t="s">
        <v>2129</v>
      </c>
      <c r="CH90" t="s">
        <v>2129</v>
      </c>
      <c r="CI90" t="s">
        <v>2129</v>
      </c>
      <c r="CJ90" t="s">
        <v>2129</v>
      </c>
      <c r="CK90" t="s">
        <v>2129</v>
      </c>
      <c r="CL90" t="s">
        <v>2129</v>
      </c>
      <c r="CM90" t="s">
        <v>2129</v>
      </c>
      <c r="CN90" t="s">
        <v>2129</v>
      </c>
      <c r="CO90" t="s">
        <v>2129</v>
      </c>
      <c r="CP90" t="s">
        <v>2129</v>
      </c>
      <c r="CQ90" t="s">
        <v>2129</v>
      </c>
      <c r="CR90" t="s">
        <v>2129</v>
      </c>
      <c r="CS90" t="s">
        <v>2129</v>
      </c>
      <c r="CT90" t="s">
        <v>3853</v>
      </c>
      <c r="CU90" t="s">
        <v>2129</v>
      </c>
      <c r="CV90" t="s">
        <v>2129</v>
      </c>
      <c r="CW90" t="s">
        <v>2129</v>
      </c>
      <c r="CX90" t="s">
        <v>2129</v>
      </c>
      <c r="CY90" t="s">
        <v>2129</v>
      </c>
      <c r="CZ90" t="s">
        <v>2129</v>
      </c>
      <c r="DA90" t="s">
        <v>2129</v>
      </c>
      <c r="DB90" t="s">
        <v>2129</v>
      </c>
      <c r="DC90" t="s">
        <v>2129</v>
      </c>
      <c r="DD90" t="s">
        <v>2129</v>
      </c>
      <c r="DE90" t="s">
        <v>2129</v>
      </c>
      <c r="DF90" t="s">
        <v>2129</v>
      </c>
      <c r="DG90" t="s">
        <v>2129</v>
      </c>
      <c r="DH90" t="s">
        <v>2129</v>
      </c>
      <c r="DJ90" t="s">
        <v>2129</v>
      </c>
      <c r="DK90" t="s">
        <v>2129</v>
      </c>
      <c r="DL90" t="s">
        <v>2129</v>
      </c>
      <c r="DM90" t="s">
        <v>2129</v>
      </c>
      <c r="DN90" t="s">
        <v>2129</v>
      </c>
      <c r="DO90" t="s">
        <v>2129</v>
      </c>
      <c r="DP90" t="s">
        <v>2129</v>
      </c>
      <c r="DQ90" t="s">
        <v>2129</v>
      </c>
      <c r="DR90" t="s">
        <v>2129</v>
      </c>
      <c r="DS90" t="s">
        <v>2129</v>
      </c>
      <c r="DT90" t="s">
        <v>2129</v>
      </c>
      <c r="DU90" t="s">
        <v>2129</v>
      </c>
      <c r="DV90" t="s">
        <v>2129</v>
      </c>
      <c r="DW90" t="s">
        <v>2129</v>
      </c>
      <c r="DX90" t="s">
        <v>2129</v>
      </c>
      <c r="DY90" t="s">
        <v>2129</v>
      </c>
      <c r="DZ90" t="s">
        <v>2129</v>
      </c>
      <c r="EA90" t="s">
        <v>2129</v>
      </c>
      <c r="EB90" t="s">
        <v>2129</v>
      </c>
      <c r="EC90" t="s">
        <v>2129</v>
      </c>
      <c r="ED90" t="s">
        <v>2129</v>
      </c>
      <c r="EE90" t="s">
        <v>2129</v>
      </c>
      <c r="EF90" t="s">
        <v>2129</v>
      </c>
      <c r="EG90" t="s">
        <v>2129</v>
      </c>
      <c r="EH90" t="s">
        <v>2129</v>
      </c>
    </row>
    <row r="91" spans="1:138" x14ac:dyDescent="0.25">
      <c r="A91" t="s">
        <v>1657</v>
      </c>
      <c r="B91" t="s">
        <v>1656</v>
      </c>
      <c r="C91">
        <v>22130</v>
      </c>
      <c r="E91" t="s">
        <v>14</v>
      </c>
      <c r="F91" t="s">
        <v>16</v>
      </c>
      <c r="G91" t="s">
        <v>2163</v>
      </c>
      <c r="H91" t="s">
        <v>56</v>
      </c>
      <c r="I91" t="s">
        <v>2127</v>
      </c>
      <c r="J91" t="s">
        <v>2156</v>
      </c>
      <c r="K91" t="s">
        <v>2129</v>
      </c>
      <c r="L91" t="s">
        <v>2129</v>
      </c>
      <c r="M91" t="s">
        <v>2130</v>
      </c>
      <c r="N91" t="s">
        <v>16</v>
      </c>
      <c r="O91" t="s">
        <v>2145</v>
      </c>
      <c r="P91" t="s">
        <v>2145</v>
      </c>
      <c r="Q91" t="s">
        <v>2145</v>
      </c>
      <c r="R91" s="37">
        <v>45903.036805555559</v>
      </c>
      <c r="S91" s="37">
        <v>46099.424305555556</v>
      </c>
      <c r="T91" s="37">
        <v>46100.368750000001</v>
      </c>
      <c r="U91" s="37">
        <v>46085.540972222225</v>
      </c>
      <c r="V91" t="s">
        <v>3747</v>
      </c>
      <c r="W91" t="s">
        <v>2129</v>
      </c>
      <c r="X91" t="s">
        <v>2129</v>
      </c>
      <c r="Y91">
        <v>0</v>
      </c>
      <c r="Z91" t="s">
        <v>2129</v>
      </c>
      <c r="AA91" t="s">
        <v>2982</v>
      </c>
      <c r="AB91" t="s">
        <v>2129</v>
      </c>
      <c r="AC91" t="s">
        <v>2145</v>
      </c>
      <c r="AD91" t="s">
        <v>2129</v>
      </c>
      <c r="AE91" t="s">
        <v>2129</v>
      </c>
      <c r="AF91" t="s">
        <v>2129</v>
      </c>
      <c r="AG91" t="s">
        <v>2129</v>
      </c>
      <c r="AH91" t="s">
        <v>2983</v>
      </c>
      <c r="AI91" t="s">
        <v>2129</v>
      </c>
      <c r="AJ91" t="s">
        <v>2129</v>
      </c>
      <c r="AK91" t="s">
        <v>2129</v>
      </c>
      <c r="AL91" t="s">
        <v>2129</v>
      </c>
      <c r="AM91" t="s">
        <v>2129</v>
      </c>
      <c r="AN91" t="s">
        <v>2129</v>
      </c>
      <c r="AO91" t="s">
        <v>2129</v>
      </c>
      <c r="AP91" t="s">
        <v>2129</v>
      </c>
      <c r="AQ91" t="s">
        <v>2129</v>
      </c>
      <c r="AR91" t="s">
        <v>2129</v>
      </c>
      <c r="AS91" t="s">
        <v>2129</v>
      </c>
      <c r="AT91" t="s">
        <v>2129</v>
      </c>
      <c r="AU91" t="s">
        <v>2129</v>
      </c>
      <c r="AV91" t="s">
        <v>2129</v>
      </c>
      <c r="AW91" t="s">
        <v>2129</v>
      </c>
      <c r="AX91" t="s">
        <v>2129</v>
      </c>
      <c r="AY91" t="s">
        <v>2129</v>
      </c>
      <c r="AZ91" t="s">
        <v>2129</v>
      </c>
      <c r="BA91" t="s">
        <v>2129</v>
      </c>
      <c r="BB91" t="s">
        <v>2129</v>
      </c>
      <c r="BC91" t="s">
        <v>2129</v>
      </c>
      <c r="BD91" t="s">
        <v>2129</v>
      </c>
      <c r="BE91" t="s">
        <v>2129</v>
      </c>
      <c r="BF91" t="s">
        <v>2129</v>
      </c>
      <c r="BG91" t="s">
        <v>2129</v>
      </c>
      <c r="BH91" t="s">
        <v>2129</v>
      </c>
      <c r="BI91" t="s">
        <v>2129</v>
      </c>
      <c r="BJ91" t="s">
        <v>2129</v>
      </c>
      <c r="BK91" t="s">
        <v>2129</v>
      </c>
      <c r="BL91" t="s">
        <v>2129</v>
      </c>
      <c r="BM91" t="s">
        <v>2129</v>
      </c>
      <c r="BN91" t="s">
        <v>2129</v>
      </c>
      <c r="BO91" t="s">
        <v>2129</v>
      </c>
      <c r="BP91" t="s">
        <v>2129</v>
      </c>
      <c r="BQ91">
        <v>0</v>
      </c>
      <c r="BR91">
        <v>7200</v>
      </c>
      <c r="BS91" t="s">
        <v>2129</v>
      </c>
      <c r="BT91" t="s">
        <v>2129</v>
      </c>
      <c r="BU91">
        <v>0</v>
      </c>
      <c r="BV91">
        <v>7200</v>
      </c>
      <c r="BW91" t="s">
        <v>2129</v>
      </c>
      <c r="BX91" t="s">
        <v>2129</v>
      </c>
      <c r="BY91" t="s">
        <v>2129</v>
      </c>
      <c r="BZ91" t="s">
        <v>2129</v>
      </c>
      <c r="CA91" t="s">
        <v>2129</v>
      </c>
      <c r="CB91" t="s">
        <v>2129</v>
      </c>
      <c r="CC91" t="s">
        <v>2129</v>
      </c>
      <c r="CD91" t="s">
        <v>2129</v>
      </c>
      <c r="CE91" t="s">
        <v>2129</v>
      </c>
      <c r="CF91" t="s">
        <v>2129</v>
      </c>
      <c r="CG91" t="s">
        <v>2129</v>
      </c>
      <c r="CH91" t="s">
        <v>2129</v>
      </c>
      <c r="CI91" t="s">
        <v>2129</v>
      </c>
      <c r="CJ91" t="s">
        <v>2129</v>
      </c>
      <c r="CK91" t="s">
        <v>2129</v>
      </c>
      <c r="CL91" t="s">
        <v>2129</v>
      </c>
      <c r="CM91" t="s">
        <v>2129</v>
      </c>
      <c r="CN91" t="s">
        <v>2129</v>
      </c>
      <c r="CO91" t="s">
        <v>2129</v>
      </c>
      <c r="CP91" t="s">
        <v>2129</v>
      </c>
      <c r="CQ91" t="s">
        <v>2129</v>
      </c>
      <c r="CR91" t="s">
        <v>2129</v>
      </c>
      <c r="CS91" t="s">
        <v>2129</v>
      </c>
      <c r="CT91" t="s">
        <v>2984</v>
      </c>
      <c r="CU91" t="s">
        <v>2957</v>
      </c>
      <c r="CV91" t="s">
        <v>2129</v>
      </c>
      <c r="CW91" t="s">
        <v>2129</v>
      </c>
      <c r="CX91" t="s">
        <v>2129</v>
      </c>
      <c r="CY91" t="s">
        <v>2129</v>
      </c>
      <c r="CZ91" t="s">
        <v>2129</v>
      </c>
      <c r="DA91" t="s">
        <v>2129</v>
      </c>
      <c r="DB91" t="s">
        <v>2129</v>
      </c>
      <c r="DC91" t="s">
        <v>2129</v>
      </c>
      <c r="DD91" t="s">
        <v>2129</v>
      </c>
      <c r="DE91" t="s">
        <v>2129</v>
      </c>
      <c r="DF91" t="s">
        <v>2129</v>
      </c>
      <c r="DG91" t="s">
        <v>2129</v>
      </c>
      <c r="DH91" t="s">
        <v>2129</v>
      </c>
      <c r="DI91">
        <v>30</v>
      </c>
      <c r="DJ91" t="s">
        <v>2129</v>
      </c>
      <c r="DK91" t="s">
        <v>2129</v>
      </c>
      <c r="DL91" t="s">
        <v>2129</v>
      </c>
      <c r="DM91" t="s">
        <v>2129</v>
      </c>
      <c r="DN91" t="s">
        <v>2129</v>
      </c>
      <c r="DO91" t="s">
        <v>2129</v>
      </c>
      <c r="DP91" t="s">
        <v>2129</v>
      </c>
      <c r="DQ91" t="s">
        <v>2129</v>
      </c>
      <c r="DR91" t="s">
        <v>2129</v>
      </c>
      <c r="DS91" t="s">
        <v>2129</v>
      </c>
      <c r="DT91" t="s">
        <v>2129</v>
      </c>
      <c r="DU91" t="s">
        <v>2129</v>
      </c>
      <c r="DV91" t="s">
        <v>2129</v>
      </c>
      <c r="DW91" t="s">
        <v>2129</v>
      </c>
      <c r="DX91" t="s">
        <v>2129</v>
      </c>
      <c r="DY91" t="s">
        <v>2129</v>
      </c>
      <c r="DZ91" t="s">
        <v>2129</v>
      </c>
      <c r="EA91" t="s">
        <v>2129</v>
      </c>
      <c r="EB91" t="s">
        <v>2129</v>
      </c>
      <c r="EC91" t="s">
        <v>2129</v>
      </c>
      <c r="ED91" t="s">
        <v>2129</v>
      </c>
      <c r="EE91" t="s">
        <v>2129</v>
      </c>
      <c r="EF91" t="s">
        <v>2129</v>
      </c>
      <c r="EG91" t="s">
        <v>2129</v>
      </c>
      <c r="EH91" t="s">
        <v>2129</v>
      </c>
    </row>
    <row r="92" spans="1:138" x14ac:dyDescent="0.25">
      <c r="A92" t="s">
        <v>1946</v>
      </c>
      <c r="B92" t="s">
        <v>1884</v>
      </c>
      <c r="C92">
        <v>22010</v>
      </c>
      <c r="E92" t="s">
        <v>77</v>
      </c>
      <c r="F92" t="s">
        <v>16</v>
      </c>
      <c r="G92" t="s">
        <v>2163</v>
      </c>
      <c r="H92" t="s">
        <v>56</v>
      </c>
      <c r="I92" t="s">
        <v>2127</v>
      </c>
      <c r="J92" t="s">
        <v>2156</v>
      </c>
      <c r="K92" t="s">
        <v>2129</v>
      </c>
      <c r="L92" t="s">
        <v>2129</v>
      </c>
      <c r="M92" t="s">
        <v>2130</v>
      </c>
      <c r="N92" t="s">
        <v>16</v>
      </c>
      <c r="O92" t="s">
        <v>2150</v>
      </c>
      <c r="P92" t="s">
        <v>2150</v>
      </c>
      <c r="Q92" t="s">
        <v>2150</v>
      </c>
      <c r="R92" s="37">
        <v>45890.515972222223</v>
      </c>
      <c r="S92" s="37">
        <v>46099.424305555556</v>
      </c>
      <c r="T92" s="37">
        <v>46100.368750000001</v>
      </c>
      <c r="U92" s="37">
        <v>46085.542361111111</v>
      </c>
      <c r="V92" t="s">
        <v>3747</v>
      </c>
      <c r="W92" t="s">
        <v>2129</v>
      </c>
      <c r="X92" t="s">
        <v>2129</v>
      </c>
      <c r="Y92">
        <v>0</v>
      </c>
      <c r="Z92" t="s">
        <v>2129</v>
      </c>
      <c r="AA92" t="s">
        <v>2985</v>
      </c>
      <c r="AB92" t="s">
        <v>2129</v>
      </c>
      <c r="AC92" t="s">
        <v>2150</v>
      </c>
      <c r="AD92" t="s">
        <v>2129</v>
      </c>
      <c r="AE92" t="s">
        <v>2129</v>
      </c>
      <c r="AF92" t="s">
        <v>2129</v>
      </c>
      <c r="AG92" t="s">
        <v>2129</v>
      </c>
      <c r="AH92" t="s">
        <v>2986</v>
      </c>
      <c r="AI92" t="s">
        <v>2129</v>
      </c>
      <c r="AJ92" t="s">
        <v>2129</v>
      </c>
      <c r="AK92" t="s">
        <v>2129</v>
      </c>
      <c r="AL92" t="s">
        <v>2129</v>
      </c>
      <c r="AM92" t="s">
        <v>2129</v>
      </c>
      <c r="AN92" t="s">
        <v>2129</v>
      </c>
      <c r="AO92" t="s">
        <v>2129</v>
      </c>
      <c r="AP92" t="s">
        <v>2129</v>
      </c>
      <c r="AQ92" t="s">
        <v>2129</v>
      </c>
      <c r="AR92" t="s">
        <v>2129</v>
      </c>
      <c r="AS92" t="s">
        <v>2129</v>
      </c>
      <c r="AT92" t="s">
        <v>2129</v>
      </c>
      <c r="AU92" t="s">
        <v>2129</v>
      </c>
      <c r="AV92" t="s">
        <v>2129</v>
      </c>
      <c r="AW92" t="s">
        <v>2129</v>
      </c>
      <c r="AX92" t="s">
        <v>2129</v>
      </c>
      <c r="AY92" t="s">
        <v>2129</v>
      </c>
      <c r="AZ92" t="s">
        <v>2129</v>
      </c>
      <c r="BA92" t="s">
        <v>2129</v>
      </c>
      <c r="BB92" t="s">
        <v>2129</v>
      </c>
      <c r="BC92" t="s">
        <v>2129</v>
      </c>
      <c r="BD92" t="s">
        <v>2129</v>
      </c>
      <c r="BE92" t="s">
        <v>2129</v>
      </c>
      <c r="BF92" t="s">
        <v>2129</v>
      </c>
      <c r="BG92" t="s">
        <v>2129</v>
      </c>
      <c r="BH92" t="s">
        <v>2129</v>
      </c>
      <c r="BI92" t="s">
        <v>2129</v>
      </c>
      <c r="BJ92" t="s">
        <v>2129</v>
      </c>
      <c r="BK92" t="s">
        <v>2129</v>
      </c>
      <c r="BL92" t="s">
        <v>2129</v>
      </c>
      <c r="BM92" t="s">
        <v>2129</v>
      </c>
      <c r="BN92" t="s">
        <v>2129</v>
      </c>
      <c r="BO92" t="s">
        <v>2129</v>
      </c>
      <c r="BP92" t="s">
        <v>2129</v>
      </c>
      <c r="BQ92">
        <v>0</v>
      </c>
      <c r="BR92">
        <v>7200</v>
      </c>
      <c r="BS92" t="s">
        <v>2129</v>
      </c>
      <c r="BT92" t="s">
        <v>2129</v>
      </c>
      <c r="BU92">
        <v>0</v>
      </c>
      <c r="BV92">
        <v>7200</v>
      </c>
      <c r="BW92" t="s">
        <v>2129</v>
      </c>
      <c r="BX92" t="s">
        <v>2129</v>
      </c>
      <c r="BY92" t="s">
        <v>1656</v>
      </c>
      <c r="BZ92" t="s">
        <v>2129</v>
      </c>
      <c r="CA92" t="s">
        <v>2129</v>
      </c>
      <c r="CB92" t="s">
        <v>2129</v>
      </c>
      <c r="CC92" t="s">
        <v>2129</v>
      </c>
      <c r="CD92" t="s">
        <v>2129</v>
      </c>
      <c r="CE92" t="s">
        <v>2129</v>
      </c>
      <c r="CF92" t="s">
        <v>2129</v>
      </c>
      <c r="CG92" t="s">
        <v>2129</v>
      </c>
      <c r="CH92" t="s">
        <v>2129</v>
      </c>
      <c r="CI92" t="s">
        <v>2129</v>
      </c>
      <c r="CJ92" t="s">
        <v>2129</v>
      </c>
      <c r="CK92" t="s">
        <v>2129</v>
      </c>
      <c r="CL92" t="s">
        <v>2129</v>
      </c>
      <c r="CM92" t="s">
        <v>2129</v>
      </c>
      <c r="CN92" t="s">
        <v>2129</v>
      </c>
      <c r="CO92" t="s">
        <v>2129</v>
      </c>
      <c r="CP92" t="s">
        <v>2129</v>
      </c>
      <c r="CQ92" t="s">
        <v>2129</v>
      </c>
      <c r="CR92" t="s">
        <v>2129</v>
      </c>
      <c r="CS92" t="s">
        <v>2129</v>
      </c>
      <c r="CT92" t="s">
        <v>2987</v>
      </c>
      <c r="CU92" t="s">
        <v>2957</v>
      </c>
      <c r="CV92" t="s">
        <v>2129</v>
      </c>
      <c r="CW92" t="s">
        <v>2129</v>
      </c>
      <c r="CX92" t="s">
        <v>2129</v>
      </c>
      <c r="CY92" t="s">
        <v>2129</v>
      </c>
      <c r="CZ92" t="s">
        <v>2129</v>
      </c>
      <c r="DA92" t="s">
        <v>2129</v>
      </c>
      <c r="DB92" t="s">
        <v>2129</v>
      </c>
      <c r="DC92" t="s">
        <v>2129</v>
      </c>
      <c r="DD92" t="s">
        <v>2129</v>
      </c>
      <c r="DE92" t="s">
        <v>2129</v>
      </c>
      <c r="DF92" t="s">
        <v>2129</v>
      </c>
      <c r="DG92" t="s">
        <v>2129</v>
      </c>
      <c r="DH92" t="s">
        <v>2129</v>
      </c>
      <c r="DI92">
        <v>30</v>
      </c>
      <c r="DJ92" t="s">
        <v>2129</v>
      </c>
      <c r="DK92" t="s">
        <v>2129</v>
      </c>
      <c r="DL92" t="s">
        <v>2129</v>
      </c>
      <c r="DM92" t="s">
        <v>2129</v>
      </c>
      <c r="DN92" t="s">
        <v>2129</v>
      </c>
      <c r="DO92" t="s">
        <v>2129</v>
      </c>
      <c r="DP92" t="s">
        <v>2129</v>
      </c>
      <c r="DQ92" t="s">
        <v>2129</v>
      </c>
      <c r="DR92" t="s">
        <v>2129</v>
      </c>
      <c r="DS92" t="s">
        <v>2129</v>
      </c>
      <c r="DT92" t="s">
        <v>2129</v>
      </c>
      <c r="DU92" t="s">
        <v>2129</v>
      </c>
      <c r="DV92" t="s">
        <v>2129</v>
      </c>
      <c r="DW92" t="s">
        <v>2129</v>
      </c>
      <c r="DX92" t="s">
        <v>2129</v>
      </c>
      <c r="DY92" t="s">
        <v>2129</v>
      </c>
      <c r="DZ92" t="s">
        <v>2129</v>
      </c>
      <c r="EA92" t="s">
        <v>2129</v>
      </c>
      <c r="EB92" t="s">
        <v>2129</v>
      </c>
      <c r="EC92" t="s">
        <v>2129</v>
      </c>
      <c r="ED92" t="s">
        <v>2129</v>
      </c>
      <c r="EE92" t="s">
        <v>2129</v>
      </c>
      <c r="EF92" t="s">
        <v>2129</v>
      </c>
      <c r="EG92" t="s">
        <v>2129</v>
      </c>
      <c r="EH92" t="s">
        <v>2129</v>
      </c>
    </row>
    <row r="93" spans="1:138" x14ac:dyDescent="0.25">
      <c r="A93" t="s">
        <v>1114</v>
      </c>
      <c r="B93" t="s">
        <v>1113</v>
      </c>
      <c r="C93">
        <v>21871</v>
      </c>
      <c r="E93" t="s">
        <v>77</v>
      </c>
      <c r="F93" t="s">
        <v>16</v>
      </c>
      <c r="G93" t="s">
        <v>2163</v>
      </c>
      <c r="H93" t="s">
        <v>56</v>
      </c>
      <c r="I93" t="s">
        <v>2127</v>
      </c>
      <c r="J93" t="s">
        <v>2156</v>
      </c>
      <c r="K93" t="s">
        <v>2129</v>
      </c>
      <c r="L93" t="s">
        <v>2129</v>
      </c>
      <c r="M93" t="s">
        <v>2130</v>
      </c>
      <c r="N93" t="s">
        <v>2153</v>
      </c>
      <c r="O93" t="s">
        <v>2150</v>
      </c>
      <c r="P93" t="s">
        <v>2150</v>
      </c>
      <c r="Q93" t="s">
        <v>2150</v>
      </c>
      <c r="R93" s="37">
        <v>45855.56527777778</v>
      </c>
      <c r="S93" s="37">
        <v>46099.427777777775</v>
      </c>
      <c r="T93" s="37">
        <v>46100.368750000001</v>
      </c>
      <c r="U93" s="37">
        <v>46055.619444444441</v>
      </c>
      <c r="V93" t="s">
        <v>3747</v>
      </c>
      <c r="W93" t="s">
        <v>2129</v>
      </c>
      <c r="X93" t="s">
        <v>2129</v>
      </c>
      <c r="Y93">
        <v>0</v>
      </c>
      <c r="Z93" t="s">
        <v>2129</v>
      </c>
      <c r="AA93" t="s">
        <v>3854</v>
      </c>
      <c r="AB93" t="s">
        <v>2129</v>
      </c>
      <c r="AC93" t="s">
        <v>2150</v>
      </c>
      <c r="AD93" t="s">
        <v>2129</v>
      </c>
      <c r="AE93" t="s">
        <v>2129</v>
      </c>
      <c r="AF93" t="s">
        <v>2129</v>
      </c>
      <c r="AG93" t="s">
        <v>2129</v>
      </c>
      <c r="AH93" t="s">
        <v>3855</v>
      </c>
      <c r="AI93" t="s">
        <v>3856</v>
      </c>
      <c r="AJ93" t="s">
        <v>2129</v>
      </c>
      <c r="AK93" t="s">
        <v>2129</v>
      </c>
      <c r="AL93" t="s">
        <v>2129</v>
      </c>
      <c r="AM93" t="s">
        <v>2129</v>
      </c>
      <c r="AN93" t="s">
        <v>2129</v>
      </c>
      <c r="AO93" t="s">
        <v>2129</v>
      </c>
      <c r="AP93" t="s">
        <v>2129</v>
      </c>
      <c r="AQ93" t="s">
        <v>2129</v>
      </c>
      <c r="AR93" t="s">
        <v>2129</v>
      </c>
      <c r="AS93" t="s">
        <v>2129</v>
      </c>
      <c r="AT93" t="s">
        <v>2129</v>
      </c>
      <c r="AU93" t="s">
        <v>2129</v>
      </c>
      <c r="AV93" t="s">
        <v>2129</v>
      </c>
      <c r="AW93" t="s">
        <v>2129</v>
      </c>
      <c r="AX93" t="s">
        <v>2129</v>
      </c>
      <c r="AY93" t="s">
        <v>2129</v>
      </c>
      <c r="AZ93" t="s">
        <v>2129</v>
      </c>
      <c r="BA93" t="s">
        <v>2129</v>
      </c>
      <c r="BB93" t="s">
        <v>2129</v>
      </c>
      <c r="BC93" t="s">
        <v>2129</v>
      </c>
      <c r="BD93" t="s">
        <v>2129</v>
      </c>
      <c r="BE93" t="s">
        <v>2129</v>
      </c>
      <c r="BF93" t="s">
        <v>2129</v>
      </c>
      <c r="BG93" t="s">
        <v>2129</v>
      </c>
      <c r="BH93" t="s">
        <v>2129</v>
      </c>
      <c r="BI93" t="s">
        <v>2129</v>
      </c>
      <c r="BJ93" t="s">
        <v>2129</v>
      </c>
      <c r="BK93" t="s">
        <v>2129</v>
      </c>
      <c r="BL93" t="s">
        <v>2129</v>
      </c>
      <c r="BM93" t="s">
        <v>2129</v>
      </c>
      <c r="BN93" t="s">
        <v>2129</v>
      </c>
      <c r="BO93" t="s">
        <v>2129</v>
      </c>
      <c r="BP93" t="s">
        <v>2129</v>
      </c>
      <c r="BQ93">
        <v>0</v>
      </c>
      <c r="BR93">
        <v>8100</v>
      </c>
      <c r="BS93" t="s">
        <v>2129</v>
      </c>
      <c r="BT93" t="s">
        <v>2129</v>
      </c>
      <c r="BU93">
        <v>0</v>
      </c>
      <c r="BV93">
        <v>8100</v>
      </c>
      <c r="BW93" t="s">
        <v>2129</v>
      </c>
      <c r="BX93" t="s">
        <v>2129</v>
      </c>
      <c r="BY93" t="s">
        <v>2129</v>
      </c>
      <c r="BZ93" t="s">
        <v>2129</v>
      </c>
      <c r="CA93" t="s">
        <v>2129</v>
      </c>
      <c r="CB93" t="s">
        <v>2129</v>
      </c>
      <c r="CC93" t="s">
        <v>2129</v>
      </c>
      <c r="CD93" t="s">
        <v>2129</v>
      </c>
      <c r="CE93" t="s">
        <v>2129</v>
      </c>
      <c r="CF93" t="s">
        <v>2129</v>
      </c>
      <c r="CG93" t="s">
        <v>2129</v>
      </c>
      <c r="CH93" t="s">
        <v>2129</v>
      </c>
      <c r="CI93" t="s">
        <v>2129</v>
      </c>
      <c r="CJ93" t="s">
        <v>2129</v>
      </c>
      <c r="CK93" t="s">
        <v>2129</v>
      </c>
      <c r="CL93" t="s">
        <v>2129</v>
      </c>
      <c r="CM93" t="s">
        <v>2129</v>
      </c>
      <c r="CN93" t="s">
        <v>2129</v>
      </c>
      <c r="CO93" t="s">
        <v>2129</v>
      </c>
      <c r="CP93" t="s">
        <v>2129</v>
      </c>
      <c r="CQ93" t="s">
        <v>2129</v>
      </c>
      <c r="CR93" t="s">
        <v>2129</v>
      </c>
      <c r="CS93" t="s">
        <v>2129</v>
      </c>
      <c r="CT93" t="s">
        <v>3857</v>
      </c>
      <c r="CU93" t="s">
        <v>3783</v>
      </c>
      <c r="CV93" t="s">
        <v>2129</v>
      </c>
      <c r="CW93" t="s">
        <v>2129</v>
      </c>
      <c r="CX93" t="s">
        <v>2129</v>
      </c>
      <c r="CY93" t="s">
        <v>2129</v>
      </c>
      <c r="CZ93" t="s">
        <v>2129</v>
      </c>
      <c r="DA93" t="s">
        <v>2129</v>
      </c>
      <c r="DB93" t="s">
        <v>2129</v>
      </c>
      <c r="DC93" t="s">
        <v>2129</v>
      </c>
      <c r="DD93" t="s">
        <v>2129</v>
      </c>
      <c r="DE93" t="s">
        <v>2129</v>
      </c>
      <c r="DF93" t="s">
        <v>2129</v>
      </c>
      <c r="DG93" t="s">
        <v>2129</v>
      </c>
      <c r="DH93" t="s">
        <v>2129</v>
      </c>
      <c r="DI93">
        <v>30</v>
      </c>
      <c r="DJ93" t="s">
        <v>2129</v>
      </c>
      <c r="DK93" t="s">
        <v>2129</v>
      </c>
      <c r="DL93" t="s">
        <v>3858</v>
      </c>
      <c r="DM93" t="s">
        <v>2129</v>
      </c>
      <c r="DN93" t="s">
        <v>2129</v>
      </c>
      <c r="DO93" t="s">
        <v>2129</v>
      </c>
      <c r="DP93" t="s">
        <v>2129</v>
      </c>
      <c r="DQ93" t="s">
        <v>2129</v>
      </c>
      <c r="DR93" t="s">
        <v>2129</v>
      </c>
      <c r="DS93" t="s">
        <v>2129</v>
      </c>
      <c r="DT93" t="s">
        <v>2129</v>
      </c>
      <c r="DU93" t="s">
        <v>2129</v>
      </c>
      <c r="DV93" t="s">
        <v>2129</v>
      </c>
      <c r="DW93" t="s">
        <v>2129</v>
      </c>
      <c r="DX93" t="s">
        <v>2129</v>
      </c>
      <c r="DY93" t="s">
        <v>2129</v>
      </c>
      <c r="DZ93" t="s">
        <v>2129</v>
      </c>
      <c r="EA93" t="s">
        <v>2129</v>
      </c>
      <c r="EB93" t="s">
        <v>2129</v>
      </c>
      <c r="EC93" t="s">
        <v>2129</v>
      </c>
      <c r="ED93" t="s">
        <v>2129</v>
      </c>
      <c r="EE93" t="s">
        <v>2129</v>
      </c>
      <c r="EF93" t="s">
        <v>2129</v>
      </c>
      <c r="EG93" t="s">
        <v>2129</v>
      </c>
      <c r="EH93" t="s">
        <v>2129</v>
      </c>
    </row>
    <row r="94" spans="1:138" x14ac:dyDescent="0.25">
      <c r="A94" t="s">
        <v>3243</v>
      </c>
      <c r="B94" t="s">
        <v>1023</v>
      </c>
      <c r="C94">
        <v>21835</v>
      </c>
      <c r="E94" t="s">
        <v>14</v>
      </c>
      <c r="F94" t="s">
        <v>10</v>
      </c>
      <c r="G94" t="s">
        <v>2163</v>
      </c>
      <c r="H94" t="s">
        <v>56</v>
      </c>
      <c r="I94" t="s">
        <v>2127</v>
      </c>
      <c r="J94" t="s">
        <v>2156</v>
      </c>
      <c r="K94" t="s">
        <v>2129</v>
      </c>
      <c r="L94" t="s">
        <v>2129</v>
      </c>
      <c r="M94" t="s">
        <v>2130</v>
      </c>
      <c r="N94" t="s">
        <v>2129</v>
      </c>
      <c r="O94" t="s">
        <v>2180</v>
      </c>
      <c r="P94" t="s">
        <v>2145</v>
      </c>
      <c r="Q94" t="s">
        <v>2145</v>
      </c>
      <c r="R94" s="37">
        <v>45848.761111111111</v>
      </c>
      <c r="S94" s="37">
        <v>46099.405555555553</v>
      </c>
      <c r="T94" s="37">
        <v>46100.368750000001</v>
      </c>
      <c r="U94" s="37"/>
      <c r="V94" t="s">
        <v>2129</v>
      </c>
      <c r="W94" t="s">
        <v>2129</v>
      </c>
      <c r="X94" t="s">
        <v>2129</v>
      </c>
      <c r="Y94">
        <v>0</v>
      </c>
      <c r="Z94" t="s">
        <v>2129</v>
      </c>
      <c r="AA94" t="s">
        <v>3859</v>
      </c>
      <c r="AB94" t="s">
        <v>2129</v>
      </c>
      <c r="AC94" t="s">
        <v>2145</v>
      </c>
      <c r="AD94" t="s">
        <v>2129</v>
      </c>
      <c r="AE94" t="s">
        <v>2129</v>
      </c>
      <c r="AF94" t="s">
        <v>2129</v>
      </c>
      <c r="AG94" t="s">
        <v>2129</v>
      </c>
      <c r="AH94" t="s">
        <v>2129</v>
      </c>
      <c r="AI94" t="s">
        <v>2129</v>
      </c>
      <c r="AJ94" t="s">
        <v>2129</v>
      </c>
      <c r="AK94" t="s">
        <v>2129</v>
      </c>
      <c r="AL94" t="s">
        <v>2129</v>
      </c>
      <c r="AM94" t="s">
        <v>2129</v>
      </c>
      <c r="AN94" t="s">
        <v>2129</v>
      </c>
      <c r="AO94" t="s">
        <v>2129</v>
      </c>
      <c r="AP94" t="s">
        <v>2129</v>
      </c>
      <c r="AQ94" t="s">
        <v>2129</v>
      </c>
      <c r="AR94" t="s">
        <v>2129</v>
      </c>
      <c r="AS94" t="s">
        <v>2129</v>
      </c>
      <c r="AT94" t="s">
        <v>2129</v>
      </c>
      <c r="AU94" t="s">
        <v>2129</v>
      </c>
      <c r="AV94" t="s">
        <v>2129</v>
      </c>
      <c r="AW94" t="s">
        <v>2129</v>
      </c>
      <c r="AX94" t="s">
        <v>2129</v>
      </c>
      <c r="AY94" t="s">
        <v>2129</v>
      </c>
      <c r="AZ94" t="s">
        <v>2129</v>
      </c>
      <c r="BA94" t="s">
        <v>2129</v>
      </c>
      <c r="BB94" t="s">
        <v>2129</v>
      </c>
      <c r="BC94" t="s">
        <v>2129</v>
      </c>
      <c r="BD94" t="s">
        <v>2129</v>
      </c>
      <c r="BE94" t="s">
        <v>2129</v>
      </c>
      <c r="BF94" t="s">
        <v>2129</v>
      </c>
      <c r="BG94" t="s">
        <v>2129</v>
      </c>
      <c r="BH94" t="s">
        <v>2129</v>
      </c>
      <c r="BI94" t="s">
        <v>2129</v>
      </c>
      <c r="BJ94" t="s">
        <v>2129</v>
      </c>
      <c r="BK94" t="s">
        <v>2129</v>
      </c>
      <c r="BL94" t="s">
        <v>2129</v>
      </c>
      <c r="BM94" t="s">
        <v>2129</v>
      </c>
      <c r="BN94" t="s">
        <v>2129</v>
      </c>
      <c r="BO94" t="s">
        <v>2129</v>
      </c>
      <c r="BP94" t="s">
        <v>2129</v>
      </c>
      <c r="BS94" t="s">
        <v>2129</v>
      </c>
      <c r="BT94" t="s">
        <v>2129</v>
      </c>
      <c r="BW94" t="s">
        <v>2129</v>
      </c>
      <c r="BX94" t="s">
        <v>2129</v>
      </c>
      <c r="BY94" t="s">
        <v>2129</v>
      </c>
      <c r="BZ94" t="s">
        <v>3860</v>
      </c>
      <c r="CA94" t="s">
        <v>2129</v>
      </c>
      <c r="CB94" t="s">
        <v>2129</v>
      </c>
      <c r="CC94" t="s">
        <v>2129</v>
      </c>
      <c r="CD94" t="s">
        <v>2129</v>
      </c>
      <c r="CE94" t="s">
        <v>2129</v>
      </c>
      <c r="CF94" t="s">
        <v>2129</v>
      </c>
      <c r="CG94" t="s">
        <v>2129</v>
      </c>
      <c r="CH94" t="s">
        <v>2129</v>
      </c>
      <c r="CI94" t="s">
        <v>2129</v>
      </c>
      <c r="CJ94" t="s">
        <v>2129</v>
      </c>
      <c r="CK94" t="s">
        <v>2129</v>
      </c>
      <c r="CL94" t="s">
        <v>2129</v>
      </c>
      <c r="CM94" t="s">
        <v>2129</v>
      </c>
      <c r="CN94" t="s">
        <v>2129</v>
      </c>
      <c r="CO94" t="s">
        <v>2129</v>
      </c>
      <c r="CP94" t="s">
        <v>2129</v>
      </c>
      <c r="CQ94" t="s">
        <v>2129</v>
      </c>
      <c r="CR94" t="s">
        <v>2129</v>
      </c>
      <c r="CS94" t="s">
        <v>2129</v>
      </c>
      <c r="CT94" t="s">
        <v>3861</v>
      </c>
      <c r="CU94" t="s">
        <v>3733</v>
      </c>
      <c r="CV94" t="s">
        <v>2129</v>
      </c>
      <c r="CW94" t="s">
        <v>2129</v>
      </c>
      <c r="CX94" t="s">
        <v>2129</v>
      </c>
      <c r="CY94" t="s">
        <v>2129</v>
      </c>
      <c r="CZ94" t="s">
        <v>2129</v>
      </c>
      <c r="DA94" t="s">
        <v>2129</v>
      </c>
      <c r="DB94" t="s">
        <v>2129</v>
      </c>
      <c r="DC94" t="s">
        <v>2129</v>
      </c>
      <c r="DD94" t="s">
        <v>2129</v>
      </c>
      <c r="DE94" t="s">
        <v>2129</v>
      </c>
      <c r="DF94" t="s">
        <v>2129</v>
      </c>
      <c r="DG94" t="s">
        <v>2129</v>
      </c>
      <c r="DH94" t="s">
        <v>2129</v>
      </c>
      <c r="DI94">
        <v>50</v>
      </c>
      <c r="DJ94" t="s">
        <v>2129</v>
      </c>
      <c r="DK94" t="s">
        <v>2129</v>
      </c>
      <c r="DL94" t="s">
        <v>2129</v>
      </c>
      <c r="DM94" t="s">
        <v>2129</v>
      </c>
      <c r="DN94" t="s">
        <v>2129</v>
      </c>
      <c r="DO94" t="s">
        <v>2129</v>
      </c>
      <c r="DP94" t="s">
        <v>2129</v>
      </c>
      <c r="DQ94" t="s">
        <v>2129</v>
      </c>
      <c r="DR94" t="s">
        <v>2129</v>
      </c>
      <c r="DS94" t="s">
        <v>2129</v>
      </c>
      <c r="DT94" t="s">
        <v>2129</v>
      </c>
      <c r="DU94" t="s">
        <v>2129</v>
      </c>
      <c r="DV94" t="s">
        <v>2129</v>
      </c>
      <c r="DW94" t="s">
        <v>2129</v>
      </c>
      <c r="DX94" t="s">
        <v>2129</v>
      </c>
      <c r="DY94" t="s">
        <v>2129</v>
      </c>
      <c r="DZ94" t="s">
        <v>2129</v>
      </c>
      <c r="EA94" t="s">
        <v>2129</v>
      </c>
      <c r="EB94" t="s">
        <v>2129</v>
      </c>
      <c r="EC94" t="s">
        <v>2129</v>
      </c>
      <c r="ED94" t="s">
        <v>2129</v>
      </c>
      <c r="EE94" t="s">
        <v>2129</v>
      </c>
      <c r="EF94" t="s">
        <v>2129</v>
      </c>
      <c r="EG94" t="s">
        <v>2129</v>
      </c>
      <c r="EH94" t="s">
        <v>2129</v>
      </c>
    </row>
    <row r="95" spans="1:138" x14ac:dyDescent="0.25">
      <c r="A95" t="s">
        <v>1034</v>
      </c>
      <c r="B95" t="s">
        <v>1033</v>
      </c>
      <c r="C95">
        <v>21826</v>
      </c>
      <c r="E95" t="s">
        <v>14</v>
      </c>
      <c r="F95" t="s">
        <v>10</v>
      </c>
      <c r="G95" t="s">
        <v>2163</v>
      </c>
      <c r="H95" t="s">
        <v>56</v>
      </c>
      <c r="I95" t="s">
        <v>2127</v>
      </c>
      <c r="J95" t="s">
        <v>2156</v>
      </c>
      <c r="K95" t="s">
        <v>2129</v>
      </c>
      <c r="L95" t="s">
        <v>2129</v>
      </c>
      <c r="M95" t="s">
        <v>2130</v>
      </c>
      <c r="N95" t="s">
        <v>2129</v>
      </c>
      <c r="O95" t="s">
        <v>3684</v>
      </c>
      <c r="P95" t="s">
        <v>2150</v>
      </c>
      <c r="Q95" t="s">
        <v>2150</v>
      </c>
      <c r="R95" s="37">
        <v>45847.689583333333</v>
      </c>
      <c r="S95" s="37">
        <v>46099.36041666667</v>
      </c>
      <c r="T95" s="37">
        <v>46100.368750000001</v>
      </c>
      <c r="U95" s="37"/>
      <c r="V95" t="s">
        <v>2129</v>
      </c>
      <c r="W95" t="s">
        <v>2129</v>
      </c>
      <c r="X95" t="s">
        <v>2129</v>
      </c>
      <c r="Y95">
        <v>0</v>
      </c>
      <c r="Z95" t="s">
        <v>2129</v>
      </c>
      <c r="AA95" t="s">
        <v>3862</v>
      </c>
      <c r="AB95" t="s">
        <v>2129</v>
      </c>
      <c r="AC95" t="s">
        <v>2150</v>
      </c>
      <c r="AD95" t="s">
        <v>2129</v>
      </c>
      <c r="AE95" t="s">
        <v>2129</v>
      </c>
      <c r="AF95" t="s">
        <v>2129</v>
      </c>
      <c r="AG95" t="s">
        <v>2129</v>
      </c>
      <c r="AH95" t="s">
        <v>2129</v>
      </c>
      <c r="AI95" t="s">
        <v>2129</v>
      </c>
      <c r="AJ95" t="s">
        <v>2129</v>
      </c>
      <c r="AK95" t="s">
        <v>2129</v>
      </c>
      <c r="AL95" t="s">
        <v>2129</v>
      </c>
      <c r="AM95" t="s">
        <v>2129</v>
      </c>
      <c r="AN95" t="s">
        <v>2129</v>
      </c>
      <c r="AO95" t="s">
        <v>2129</v>
      </c>
      <c r="AP95" t="s">
        <v>2129</v>
      </c>
      <c r="AQ95" t="s">
        <v>2129</v>
      </c>
      <c r="AR95" t="s">
        <v>2129</v>
      </c>
      <c r="AS95" t="s">
        <v>2129</v>
      </c>
      <c r="AT95" t="s">
        <v>2129</v>
      </c>
      <c r="AU95" t="s">
        <v>2129</v>
      </c>
      <c r="AV95" t="s">
        <v>2129</v>
      </c>
      <c r="AW95" t="s">
        <v>2129</v>
      </c>
      <c r="AX95" t="s">
        <v>2129</v>
      </c>
      <c r="AY95" t="s">
        <v>2129</v>
      </c>
      <c r="AZ95" t="s">
        <v>2129</v>
      </c>
      <c r="BA95" t="s">
        <v>2129</v>
      </c>
      <c r="BB95" t="s">
        <v>2129</v>
      </c>
      <c r="BC95" t="s">
        <v>2129</v>
      </c>
      <c r="BD95" t="s">
        <v>2129</v>
      </c>
      <c r="BE95" t="s">
        <v>2129</v>
      </c>
      <c r="BF95" t="s">
        <v>2129</v>
      </c>
      <c r="BG95" t="s">
        <v>2129</v>
      </c>
      <c r="BH95" t="s">
        <v>2129</v>
      </c>
      <c r="BI95" t="s">
        <v>2129</v>
      </c>
      <c r="BJ95" t="s">
        <v>2129</v>
      </c>
      <c r="BK95" t="s">
        <v>2129</v>
      </c>
      <c r="BL95" t="s">
        <v>2129</v>
      </c>
      <c r="BM95" t="s">
        <v>2129</v>
      </c>
      <c r="BN95" t="s">
        <v>2129</v>
      </c>
      <c r="BO95" t="s">
        <v>2129</v>
      </c>
      <c r="BP95" t="s">
        <v>2129</v>
      </c>
      <c r="BS95" t="s">
        <v>2129</v>
      </c>
      <c r="BT95" t="s">
        <v>2129</v>
      </c>
      <c r="BW95" t="s">
        <v>2129</v>
      </c>
      <c r="BX95" t="s">
        <v>2129</v>
      </c>
      <c r="BY95" t="s">
        <v>3236</v>
      </c>
      <c r="BZ95" t="s">
        <v>2129</v>
      </c>
      <c r="CA95" t="s">
        <v>2129</v>
      </c>
      <c r="CB95" t="s">
        <v>2129</v>
      </c>
      <c r="CC95" t="s">
        <v>2129</v>
      </c>
      <c r="CD95" t="s">
        <v>2129</v>
      </c>
      <c r="CE95" t="s">
        <v>2129</v>
      </c>
      <c r="CF95" t="s">
        <v>2129</v>
      </c>
      <c r="CG95" t="s">
        <v>2129</v>
      </c>
      <c r="CH95" t="s">
        <v>2129</v>
      </c>
      <c r="CI95" t="s">
        <v>2129</v>
      </c>
      <c r="CJ95" t="s">
        <v>2129</v>
      </c>
      <c r="CK95" t="s">
        <v>2129</v>
      </c>
      <c r="CL95" t="s">
        <v>2129</v>
      </c>
      <c r="CM95" t="s">
        <v>2129</v>
      </c>
      <c r="CN95" t="s">
        <v>2129</v>
      </c>
      <c r="CO95" t="s">
        <v>2129</v>
      </c>
      <c r="CP95" t="s">
        <v>2129</v>
      </c>
      <c r="CQ95" t="s">
        <v>2129</v>
      </c>
      <c r="CR95" t="s">
        <v>2129</v>
      </c>
      <c r="CS95" t="s">
        <v>2129</v>
      </c>
      <c r="CT95" t="s">
        <v>3863</v>
      </c>
      <c r="CU95" t="s">
        <v>2129</v>
      </c>
      <c r="CV95" t="s">
        <v>2129</v>
      </c>
      <c r="CW95" t="s">
        <v>2129</v>
      </c>
      <c r="CX95" t="s">
        <v>2129</v>
      </c>
      <c r="CY95" t="s">
        <v>2129</v>
      </c>
      <c r="CZ95" t="s">
        <v>2129</v>
      </c>
      <c r="DA95" t="s">
        <v>2129</v>
      </c>
      <c r="DB95" t="s">
        <v>2129</v>
      </c>
      <c r="DC95" t="s">
        <v>2129</v>
      </c>
      <c r="DD95" t="s">
        <v>2129</v>
      </c>
      <c r="DE95" t="s">
        <v>2129</v>
      </c>
      <c r="DF95" t="s">
        <v>2129</v>
      </c>
      <c r="DG95" t="s">
        <v>2129</v>
      </c>
      <c r="DH95" t="s">
        <v>2129</v>
      </c>
      <c r="DI95">
        <v>50</v>
      </c>
      <c r="DJ95" t="s">
        <v>2129</v>
      </c>
      <c r="DK95" t="s">
        <v>2129</v>
      </c>
      <c r="DL95" t="s">
        <v>2129</v>
      </c>
      <c r="DM95" t="s">
        <v>2129</v>
      </c>
      <c r="DN95" t="s">
        <v>2129</v>
      </c>
      <c r="DO95" t="s">
        <v>2129</v>
      </c>
      <c r="DP95" t="s">
        <v>2129</v>
      </c>
      <c r="DQ95" t="s">
        <v>2129</v>
      </c>
      <c r="DR95" t="s">
        <v>2129</v>
      </c>
      <c r="DS95" t="s">
        <v>2129</v>
      </c>
      <c r="DT95" t="s">
        <v>2129</v>
      </c>
      <c r="DU95" t="s">
        <v>2129</v>
      </c>
      <c r="DV95" t="s">
        <v>2129</v>
      </c>
      <c r="DW95" t="s">
        <v>2129</v>
      </c>
      <c r="DX95" t="s">
        <v>2129</v>
      </c>
      <c r="DY95" t="s">
        <v>2129</v>
      </c>
      <c r="DZ95" t="s">
        <v>2129</v>
      </c>
      <c r="EA95" t="s">
        <v>2129</v>
      </c>
      <c r="EB95" t="s">
        <v>2129</v>
      </c>
      <c r="EC95" t="s">
        <v>2129</v>
      </c>
      <c r="ED95" t="s">
        <v>2129</v>
      </c>
      <c r="EE95" t="s">
        <v>2129</v>
      </c>
      <c r="EF95" t="s">
        <v>2129</v>
      </c>
      <c r="EG95" t="s">
        <v>2129</v>
      </c>
      <c r="EH95" t="s">
        <v>2129</v>
      </c>
    </row>
    <row r="96" spans="1:138" x14ac:dyDescent="0.25">
      <c r="A96" t="s">
        <v>3240</v>
      </c>
      <c r="B96" t="s">
        <v>1045</v>
      </c>
      <c r="C96">
        <v>21810</v>
      </c>
      <c r="E96" t="s">
        <v>14</v>
      </c>
      <c r="F96" t="s">
        <v>10</v>
      </c>
      <c r="G96" t="s">
        <v>2163</v>
      </c>
      <c r="H96" t="s">
        <v>56</v>
      </c>
      <c r="I96" t="s">
        <v>2127</v>
      </c>
      <c r="J96" t="s">
        <v>2156</v>
      </c>
      <c r="K96" t="s">
        <v>2129</v>
      </c>
      <c r="L96" t="s">
        <v>2129</v>
      </c>
      <c r="M96" t="s">
        <v>2130</v>
      </c>
      <c r="N96" t="s">
        <v>2129</v>
      </c>
      <c r="O96" t="s">
        <v>3730</v>
      </c>
      <c r="P96" t="s">
        <v>3864</v>
      </c>
      <c r="Q96" t="s">
        <v>3864</v>
      </c>
      <c r="R96" s="37">
        <v>45842.395138888889</v>
      </c>
      <c r="S96" s="37">
        <v>46099.416666666664</v>
      </c>
      <c r="T96" s="37">
        <v>46100.368750000001</v>
      </c>
      <c r="U96" s="37"/>
      <c r="V96" t="s">
        <v>2129</v>
      </c>
      <c r="W96" t="s">
        <v>2129</v>
      </c>
      <c r="X96" t="s">
        <v>2129</v>
      </c>
      <c r="Y96">
        <v>0</v>
      </c>
      <c r="Z96" t="s">
        <v>2129</v>
      </c>
      <c r="AA96" t="s">
        <v>3735</v>
      </c>
      <c r="AB96" t="s">
        <v>2129</v>
      </c>
      <c r="AC96" t="s">
        <v>2150</v>
      </c>
      <c r="AD96" t="s">
        <v>3864</v>
      </c>
      <c r="AE96" t="s">
        <v>2129</v>
      </c>
      <c r="AF96" t="s">
        <v>2129</v>
      </c>
      <c r="AG96" t="s">
        <v>2129</v>
      </c>
      <c r="AH96" t="s">
        <v>2129</v>
      </c>
      <c r="AI96" t="s">
        <v>2129</v>
      </c>
      <c r="AJ96" t="s">
        <v>2129</v>
      </c>
      <c r="AK96" t="s">
        <v>2129</v>
      </c>
      <c r="AL96" t="s">
        <v>2129</v>
      </c>
      <c r="AM96" t="s">
        <v>2129</v>
      </c>
      <c r="AN96" t="s">
        <v>2129</v>
      </c>
      <c r="AO96" t="s">
        <v>2129</v>
      </c>
      <c r="AP96" t="s">
        <v>2129</v>
      </c>
      <c r="AQ96" t="s">
        <v>2129</v>
      </c>
      <c r="AR96" t="s">
        <v>2129</v>
      </c>
      <c r="AS96" t="s">
        <v>2129</v>
      </c>
      <c r="AT96" t="s">
        <v>2129</v>
      </c>
      <c r="AU96" t="s">
        <v>2129</v>
      </c>
      <c r="AV96" t="s">
        <v>2129</v>
      </c>
      <c r="AW96" t="s">
        <v>2129</v>
      </c>
      <c r="AX96" t="s">
        <v>2129</v>
      </c>
      <c r="AY96" t="s">
        <v>2129</v>
      </c>
      <c r="AZ96" t="s">
        <v>2129</v>
      </c>
      <c r="BA96" t="s">
        <v>2129</v>
      </c>
      <c r="BB96" t="s">
        <v>2129</v>
      </c>
      <c r="BC96" t="s">
        <v>2129</v>
      </c>
      <c r="BD96" t="s">
        <v>2129</v>
      </c>
      <c r="BE96" t="s">
        <v>2129</v>
      </c>
      <c r="BF96" t="s">
        <v>2129</v>
      </c>
      <c r="BG96" t="s">
        <v>2129</v>
      </c>
      <c r="BH96" t="s">
        <v>2129</v>
      </c>
      <c r="BI96" t="s">
        <v>2129</v>
      </c>
      <c r="BJ96" t="s">
        <v>2129</v>
      </c>
      <c r="BK96" t="s">
        <v>2129</v>
      </c>
      <c r="BL96" t="s">
        <v>2129</v>
      </c>
      <c r="BM96" t="s">
        <v>2129</v>
      </c>
      <c r="BN96" t="s">
        <v>2129</v>
      </c>
      <c r="BO96" t="s">
        <v>2129</v>
      </c>
      <c r="BP96" t="s">
        <v>2129</v>
      </c>
      <c r="BS96" t="s">
        <v>2129</v>
      </c>
      <c r="BT96" t="s">
        <v>2129</v>
      </c>
      <c r="BW96" t="s">
        <v>2129</v>
      </c>
      <c r="BX96" t="s">
        <v>2129</v>
      </c>
      <c r="BY96" t="s">
        <v>2129</v>
      </c>
      <c r="BZ96" t="s">
        <v>2129</v>
      </c>
      <c r="CA96" t="s">
        <v>2129</v>
      </c>
      <c r="CB96" t="s">
        <v>2129</v>
      </c>
      <c r="CC96" t="s">
        <v>2129</v>
      </c>
      <c r="CD96" t="s">
        <v>2129</v>
      </c>
      <c r="CE96" t="s">
        <v>2129</v>
      </c>
      <c r="CF96" t="s">
        <v>2129</v>
      </c>
      <c r="CG96" t="s">
        <v>2129</v>
      </c>
      <c r="CH96" t="s">
        <v>2129</v>
      </c>
      <c r="CI96" t="s">
        <v>2129</v>
      </c>
      <c r="CJ96" t="s">
        <v>2129</v>
      </c>
      <c r="CK96" t="s">
        <v>2129</v>
      </c>
      <c r="CL96" t="s">
        <v>2129</v>
      </c>
      <c r="CM96" t="s">
        <v>2129</v>
      </c>
      <c r="CN96" t="s">
        <v>2129</v>
      </c>
      <c r="CO96" t="s">
        <v>2129</v>
      </c>
      <c r="CP96" t="s">
        <v>2129</v>
      </c>
      <c r="CQ96" t="s">
        <v>2129</v>
      </c>
      <c r="CR96" t="s">
        <v>2129</v>
      </c>
      <c r="CS96" t="s">
        <v>2129</v>
      </c>
      <c r="CT96" t="s">
        <v>3865</v>
      </c>
      <c r="CU96" t="s">
        <v>3733</v>
      </c>
      <c r="CV96" t="s">
        <v>2129</v>
      </c>
      <c r="CW96" t="s">
        <v>2129</v>
      </c>
      <c r="CX96" t="s">
        <v>2129</v>
      </c>
      <c r="CY96" t="s">
        <v>2129</v>
      </c>
      <c r="CZ96" t="s">
        <v>2129</v>
      </c>
      <c r="DA96" t="s">
        <v>2129</v>
      </c>
      <c r="DB96" t="s">
        <v>2129</v>
      </c>
      <c r="DC96" t="s">
        <v>2129</v>
      </c>
      <c r="DD96" t="s">
        <v>2129</v>
      </c>
      <c r="DE96" t="s">
        <v>2129</v>
      </c>
      <c r="DF96" t="s">
        <v>2129</v>
      </c>
      <c r="DG96" t="s">
        <v>2129</v>
      </c>
      <c r="DH96" t="s">
        <v>2129</v>
      </c>
      <c r="DI96">
        <v>30</v>
      </c>
      <c r="DJ96" t="s">
        <v>2129</v>
      </c>
      <c r="DK96" t="s">
        <v>2129</v>
      </c>
      <c r="DL96" t="s">
        <v>3866</v>
      </c>
      <c r="DM96" t="s">
        <v>2129</v>
      </c>
      <c r="DN96" t="s">
        <v>2129</v>
      </c>
      <c r="DO96" t="s">
        <v>2129</v>
      </c>
      <c r="DP96" t="s">
        <v>2129</v>
      </c>
      <c r="DQ96" t="s">
        <v>2129</v>
      </c>
      <c r="DR96" t="s">
        <v>2129</v>
      </c>
      <c r="DS96" t="s">
        <v>2129</v>
      </c>
      <c r="DT96" t="s">
        <v>2129</v>
      </c>
      <c r="DU96" t="s">
        <v>2129</v>
      </c>
      <c r="DV96" t="s">
        <v>2129</v>
      </c>
      <c r="DW96" t="s">
        <v>2129</v>
      </c>
      <c r="DX96" t="s">
        <v>2129</v>
      </c>
      <c r="DY96" t="s">
        <v>2129</v>
      </c>
      <c r="DZ96" t="s">
        <v>2129</v>
      </c>
      <c r="EA96" t="s">
        <v>2129</v>
      </c>
      <c r="EB96" t="s">
        <v>2129</v>
      </c>
      <c r="EC96" t="s">
        <v>2129</v>
      </c>
      <c r="ED96" t="s">
        <v>2129</v>
      </c>
      <c r="EE96" t="s">
        <v>2129</v>
      </c>
      <c r="EF96" t="s">
        <v>2129</v>
      </c>
      <c r="EG96" t="s">
        <v>2129</v>
      </c>
      <c r="EH96" t="s">
        <v>2129</v>
      </c>
    </row>
    <row r="97" spans="1:138" x14ac:dyDescent="0.25">
      <c r="A97" t="s">
        <v>1052</v>
      </c>
      <c r="B97" t="s">
        <v>1051</v>
      </c>
      <c r="C97">
        <v>21807</v>
      </c>
      <c r="E97" t="s">
        <v>14</v>
      </c>
      <c r="F97" t="s">
        <v>10</v>
      </c>
      <c r="G97" t="s">
        <v>2163</v>
      </c>
      <c r="H97" t="s">
        <v>56</v>
      </c>
      <c r="I97" t="s">
        <v>2127</v>
      </c>
      <c r="J97" t="s">
        <v>2156</v>
      </c>
      <c r="K97" t="s">
        <v>2129</v>
      </c>
      <c r="L97" t="s">
        <v>2129</v>
      </c>
      <c r="M97" t="s">
        <v>3048</v>
      </c>
      <c r="N97" t="s">
        <v>2129</v>
      </c>
      <c r="O97" t="s">
        <v>3684</v>
      </c>
      <c r="P97" t="s">
        <v>3864</v>
      </c>
      <c r="Q97" t="s">
        <v>3864</v>
      </c>
      <c r="R97" s="37">
        <v>45840.447916666664</v>
      </c>
      <c r="S97" s="37">
        <v>46099.386805555558</v>
      </c>
      <c r="T97" s="37">
        <v>46100.368750000001</v>
      </c>
      <c r="U97" s="37"/>
      <c r="V97" t="s">
        <v>2129</v>
      </c>
      <c r="W97" t="s">
        <v>2129</v>
      </c>
      <c r="X97" t="s">
        <v>2129</v>
      </c>
      <c r="Y97">
        <v>0</v>
      </c>
      <c r="Z97" t="s">
        <v>2129</v>
      </c>
      <c r="AA97" t="s">
        <v>3867</v>
      </c>
      <c r="AB97" t="s">
        <v>2129</v>
      </c>
      <c r="AC97" t="s">
        <v>3864</v>
      </c>
      <c r="AD97" t="s">
        <v>2129</v>
      </c>
      <c r="AE97" t="s">
        <v>2129</v>
      </c>
      <c r="AF97" t="s">
        <v>2129</v>
      </c>
      <c r="AG97" t="s">
        <v>2129</v>
      </c>
      <c r="AH97" t="s">
        <v>2129</v>
      </c>
      <c r="AI97" t="s">
        <v>2129</v>
      </c>
      <c r="AJ97" t="s">
        <v>2129</v>
      </c>
      <c r="AK97" t="s">
        <v>2129</v>
      </c>
      <c r="AL97" t="s">
        <v>2129</v>
      </c>
      <c r="AM97" t="s">
        <v>2129</v>
      </c>
      <c r="AN97" t="s">
        <v>2129</v>
      </c>
      <c r="AO97" t="s">
        <v>2129</v>
      </c>
      <c r="AP97" t="s">
        <v>2129</v>
      </c>
      <c r="AQ97" t="s">
        <v>2129</v>
      </c>
      <c r="AR97" t="s">
        <v>2129</v>
      </c>
      <c r="AS97" t="s">
        <v>2129</v>
      </c>
      <c r="AT97" t="s">
        <v>2129</v>
      </c>
      <c r="AU97" t="s">
        <v>2129</v>
      </c>
      <c r="AV97" t="s">
        <v>2129</v>
      </c>
      <c r="AW97" t="s">
        <v>2129</v>
      </c>
      <c r="AX97" t="s">
        <v>2129</v>
      </c>
      <c r="AY97" t="s">
        <v>2129</v>
      </c>
      <c r="AZ97" t="s">
        <v>2129</v>
      </c>
      <c r="BA97" t="s">
        <v>2129</v>
      </c>
      <c r="BB97" t="s">
        <v>2129</v>
      </c>
      <c r="BC97" t="s">
        <v>2129</v>
      </c>
      <c r="BD97" t="s">
        <v>2129</v>
      </c>
      <c r="BE97" t="s">
        <v>2129</v>
      </c>
      <c r="BF97" t="s">
        <v>2129</v>
      </c>
      <c r="BG97" t="s">
        <v>2129</v>
      </c>
      <c r="BH97" t="s">
        <v>2129</v>
      </c>
      <c r="BI97" t="s">
        <v>2129</v>
      </c>
      <c r="BJ97" t="s">
        <v>2129</v>
      </c>
      <c r="BK97" t="s">
        <v>2129</v>
      </c>
      <c r="BL97" t="s">
        <v>2129</v>
      </c>
      <c r="BM97" t="s">
        <v>2129</v>
      </c>
      <c r="BN97" t="s">
        <v>2129</v>
      </c>
      <c r="BO97" t="s">
        <v>2129</v>
      </c>
      <c r="BP97" t="s">
        <v>2129</v>
      </c>
      <c r="BS97" t="s">
        <v>2129</v>
      </c>
      <c r="BT97" t="s">
        <v>2129</v>
      </c>
      <c r="BW97" t="s">
        <v>2129</v>
      </c>
      <c r="BX97" t="s">
        <v>2129</v>
      </c>
      <c r="BY97" t="s">
        <v>2129</v>
      </c>
      <c r="BZ97" t="s">
        <v>2129</v>
      </c>
      <c r="CA97" t="s">
        <v>2129</v>
      </c>
      <c r="CB97" t="s">
        <v>2129</v>
      </c>
      <c r="CC97" t="s">
        <v>2129</v>
      </c>
      <c r="CD97" t="s">
        <v>2129</v>
      </c>
      <c r="CE97" t="s">
        <v>2129</v>
      </c>
      <c r="CF97" t="s">
        <v>2129</v>
      </c>
      <c r="CG97" t="s">
        <v>2129</v>
      </c>
      <c r="CH97" t="s">
        <v>2129</v>
      </c>
      <c r="CI97" t="s">
        <v>2129</v>
      </c>
      <c r="CJ97" t="s">
        <v>2129</v>
      </c>
      <c r="CK97" t="s">
        <v>2129</v>
      </c>
      <c r="CL97" t="s">
        <v>2129</v>
      </c>
      <c r="CM97" t="s">
        <v>2129</v>
      </c>
      <c r="CN97" t="s">
        <v>2129</v>
      </c>
      <c r="CO97" t="s">
        <v>2129</v>
      </c>
      <c r="CP97" t="s">
        <v>2129</v>
      </c>
      <c r="CQ97" t="s">
        <v>2129</v>
      </c>
      <c r="CR97" t="s">
        <v>2129</v>
      </c>
      <c r="CS97" t="s">
        <v>2129</v>
      </c>
      <c r="CT97" t="s">
        <v>3868</v>
      </c>
      <c r="CU97" t="s">
        <v>2129</v>
      </c>
      <c r="CV97" t="s">
        <v>2129</v>
      </c>
      <c r="CW97" t="s">
        <v>2129</v>
      </c>
      <c r="CX97" t="s">
        <v>2129</v>
      </c>
      <c r="CY97" t="s">
        <v>2129</v>
      </c>
      <c r="CZ97" t="s">
        <v>2129</v>
      </c>
      <c r="DA97" t="s">
        <v>2129</v>
      </c>
      <c r="DB97" t="s">
        <v>2129</v>
      </c>
      <c r="DC97" t="s">
        <v>2129</v>
      </c>
      <c r="DD97" t="s">
        <v>2129</v>
      </c>
      <c r="DE97" t="s">
        <v>2129</v>
      </c>
      <c r="DF97" t="s">
        <v>2129</v>
      </c>
      <c r="DG97" t="s">
        <v>2129</v>
      </c>
      <c r="DH97" t="s">
        <v>2129</v>
      </c>
      <c r="DJ97" t="s">
        <v>2129</v>
      </c>
      <c r="DK97" t="s">
        <v>2129</v>
      </c>
      <c r="DL97" t="s">
        <v>2129</v>
      </c>
      <c r="DM97" t="s">
        <v>2129</v>
      </c>
      <c r="DN97" t="s">
        <v>2129</v>
      </c>
      <c r="DO97" t="s">
        <v>2129</v>
      </c>
      <c r="DP97" t="s">
        <v>2129</v>
      </c>
      <c r="DQ97" t="s">
        <v>2129</v>
      </c>
      <c r="DR97" t="s">
        <v>2129</v>
      </c>
      <c r="DS97" t="s">
        <v>2129</v>
      </c>
      <c r="DT97" t="s">
        <v>2129</v>
      </c>
      <c r="DU97" t="s">
        <v>2129</v>
      </c>
      <c r="DV97" t="s">
        <v>2129</v>
      </c>
      <c r="DW97" t="s">
        <v>2129</v>
      </c>
      <c r="DX97" t="s">
        <v>2129</v>
      </c>
      <c r="DY97" t="s">
        <v>2129</v>
      </c>
      <c r="DZ97" t="s">
        <v>2129</v>
      </c>
      <c r="EA97" t="s">
        <v>2129</v>
      </c>
      <c r="EB97" t="s">
        <v>2129</v>
      </c>
      <c r="EC97" t="s">
        <v>2129</v>
      </c>
      <c r="ED97" t="s">
        <v>2129</v>
      </c>
      <c r="EE97" t="s">
        <v>2129</v>
      </c>
      <c r="EF97" t="s">
        <v>2129</v>
      </c>
      <c r="EG97" t="s">
        <v>2129</v>
      </c>
      <c r="EH97" t="s">
        <v>2129</v>
      </c>
    </row>
    <row r="98" spans="1:138" x14ac:dyDescent="0.25">
      <c r="A98" t="s">
        <v>856</v>
      </c>
      <c r="B98" t="s">
        <v>855</v>
      </c>
      <c r="C98">
        <v>21683</v>
      </c>
      <c r="E98" t="s">
        <v>14</v>
      </c>
      <c r="F98" t="s">
        <v>10</v>
      </c>
      <c r="G98" t="s">
        <v>2163</v>
      </c>
      <c r="H98" t="s">
        <v>56</v>
      </c>
      <c r="I98" t="s">
        <v>2127</v>
      </c>
      <c r="J98" t="s">
        <v>2156</v>
      </c>
      <c r="K98" t="s">
        <v>2129</v>
      </c>
      <c r="L98" t="s">
        <v>2129</v>
      </c>
      <c r="M98" t="s">
        <v>2381</v>
      </c>
      <c r="N98" t="s">
        <v>2129</v>
      </c>
      <c r="O98" t="s">
        <v>3684</v>
      </c>
      <c r="P98" t="s">
        <v>3864</v>
      </c>
      <c r="Q98" t="s">
        <v>3864</v>
      </c>
      <c r="R98" s="37">
        <v>45820.484027777777</v>
      </c>
      <c r="S98" s="37">
        <v>46099.365277777775</v>
      </c>
      <c r="T98" s="37">
        <v>46062.727083333331</v>
      </c>
      <c r="U98" s="37"/>
      <c r="V98" t="s">
        <v>2129</v>
      </c>
      <c r="W98" t="s">
        <v>2129</v>
      </c>
      <c r="X98" t="s">
        <v>2129</v>
      </c>
      <c r="Y98">
        <v>0</v>
      </c>
      <c r="Z98" t="s">
        <v>2129</v>
      </c>
      <c r="AA98" t="s">
        <v>3869</v>
      </c>
      <c r="AB98" t="s">
        <v>2129</v>
      </c>
      <c r="AC98" t="s">
        <v>3864</v>
      </c>
      <c r="AD98" t="s">
        <v>2129</v>
      </c>
      <c r="AE98" t="s">
        <v>2129</v>
      </c>
      <c r="AF98" t="s">
        <v>2129</v>
      </c>
      <c r="AG98" t="s">
        <v>2129</v>
      </c>
      <c r="AH98" t="s">
        <v>2129</v>
      </c>
      <c r="AI98" t="s">
        <v>2129</v>
      </c>
      <c r="AJ98" t="s">
        <v>2129</v>
      </c>
      <c r="AK98" t="s">
        <v>2129</v>
      </c>
      <c r="AL98" t="s">
        <v>2129</v>
      </c>
      <c r="AM98" t="s">
        <v>2129</v>
      </c>
      <c r="AN98" t="s">
        <v>2129</v>
      </c>
      <c r="AO98" t="s">
        <v>2129</v>
      </c>
      <c r="AP98" t="s">
        <v>2129</v>
      </c>
      <c r="AQ98" t="s">
        <v>2129</v>
      </c>
      <c r="AR98" t="s">
        <v>2129</v>
      </c>
      <c r="AS98" t="s">
        <v>2129</v>
      </c>
      <c r="AT98" t="s">
        <v>2129</v>
      </c>
      <c r="AU98" t="s">
        <v>2129</v>
      </c>
      <c r="AV98" t="s">
        <v>2129</v>
      </c>
      <c r="AW98" t="s">
        <v>2129</v>
      </c>
      <c r="AX98" t="s">
        <v>2129</v>
      </c>
      <c r="AY98" t="s">
        <v>2129</v>
      </c>
      <c r="AZ98" t="s">
        <v>2129</v>
      </c>
      <c r="BA98" t="s">
        <v>2129</v>
      </c>
      <c r="BB98" t="s">
        <v>2129</v>
      </c>
      <c r="BC98" t="s">
        <v>2129</v>
      </c>
      <c r="BD98" t="s">
        <v>2129</v>
      </c>
      <c r="BE98" t="s">
        <v>2129</v>
      </c>
      <c r="BF98" t="s">
        <v>2129</v>
      </c>
      <c r="BG98" t="s">
        <v>2129</v>
      </c>
      <c r="BH98" t="s">
        <v>2129</v>
      </c>
      <c r="BI98" t="s">
        <v>2129</v>
      </c>
      <c r="BJ98" t="s">
        <v>2129</v>
      </c>
      <c r="BK98" t="s">
        <v>2129</v>
      </c>
      <c r="BL98" t="s">
        <v>2129</v>
      </c>
      <c r="BM98" t="s">
        <v>2129</v>
      </c>
      <c r="BN98" t="s">
        <v>2129</v>
      </c>
      <c r="BO98" t="s">
        <v>2129</v>
      </c>
      <c r="BP98" t="s">
        <v>2129</v>
      </c>
      <c r="BS98" t="s">
        <v>2129</v>
      </c>
      <c r="BT98" t="s">
        <v>2129</v>
      </c>
      <c r="BW98" t="s">
        <v>2129</v>
      </c>
      <c r="BX98" t="s">
        <v>2129</v>
      </c>
      <c r="BY98" t="s">
        <v>2129</v>
      </c>
      <c r="BZ98" t="s">
        <v>2129</v>
      </c>
      <c r="CA98" t="s">
        <v>2129</v>
      </c>
      <c r="CB98" t="s">
        <v>2129</v>
      </c>
      <c r="CC98" t="s">
        <v>2129</v>
      </c>
      <c r="CD98" t="s">
        <v>2129</v>
      </c>
      <c r="CE98" t="s">
        <v>2129</v>
      </c>
      <c r="CF98" t="s">
        <v>2129</v>
      </c>
      <c r="CG98" t="s">
        <v>2129</v>
      </c>
      <c r="CH98" t="s">
        <v>2129</v>
      </c>
      <c r="CI98" t="s">
        <v>2129</v>
      </c>
      <c r="CJ98" t="s">
        <v>2129</v>
      </c>
      <c r="CK98" t="s">
        <v>2129</v>
      </c>
      <c r="CL98" t="s">
        <v>2129</v>
      </c>
      <c r="CM98" t="s">
        <v>2129</v>
      </c>
      <c r="CN98" t="s">
        <v>2129</v>
      </c>
      <c r="CO98" t="s">
        <v>2129</v>
      </c>
      <c r="CP98" t="s">
        <v>2129</v>
      </c>
      <c r="CQ98" t="s">
        <v>2129</v>
      </c>
      <c r="CR98" t="s">
        <v>2129</v>
      </c>
      <c r="CS98" t="s">
        <v>2129</v>
      </c>
      <c r="CT98" t="s">
        <v>3870</v>
      </c>
      <c r="CU98" t="s">
        <v>2129</v>
      </c>
      <c r="CV98" t="s">
        <v>2129</v>
      </c>
      <c r="CW98" t="s">
        <v>2129</v>
      </c>
      <c r="CX98" t="s">
        <v>2129</v>
      </c>
      <c r="CY98" t="s">
        <v>2129</v>
      </c>
      <c r="CZ98" t="s">
        <v>2129</v>
      </c>
      <c r="DA98" t="s">
        <v>2129</v>
      </c>
      <c r="DB98" t="s">
        <v>2129</v>
      </c>
      <c r="DC98" t="s">
        <v>2129</v>
      </c>
      <c r="DD98" t="s">
        <v>2129</v>
      </c>
      <c r="DE98" t="s">
        <v>2129</v>
      </c>
      <c r="DF98" t="s">
        <v>2129</v>
      </c>
      <c r="DG98" t="s">
        <v>2129</v>
      </c>
      <c r="DH98" t="s">
        <v>2129</v>
      </c>
      <c r="DJ98" t="s">
        <v>2129</v>
      </c>
      <c r="DK98" t="s">
        <v>2129</v>
      </c>
      <c r="DL98" t="s">
        <v>2129</v>
      </c>
      <c r="DM98" t="s">
        <v>2129</v>
      </c>
      <c r="DN98" t="s">
        <v>2129</v>
      </c>
      <c r="DO98" t="s">
        <v>2129</v>
      </c>
      <c r="DP98" t="s">
        <v>2129</v>
      </c>
      <c r="DQ98" t="s">
        <v>2129</v>
      </c>
      <c r="DR98" t="s">
        <v>2129</v>
      </c>
      <c r="DS98" t="s">
        <v>2129</v>
      </c>
      <c r="DT98" t="s">
        <v>2129</v>
      </c>
      <c r="DU98" t="s">
        <v>2129</v>
      </c>
      <c r="DV98" t="s">
        <v>2129</v>
      </c>
      <c r="DW98" t="s">
        <v>2129</v>
      </c>
      <c r="DX98" t="s">
        <v>2129</v>
      </c>
      <c r="DY98" t="s">
        <v>2129</v>
      </c>
      <c r="DZ98" t="s">
        <v>2129</v>
      </c>
      <c r="EA98" t="s">
        <v>2129</v>
      </c>
      <c r="EB98" t="s">
        <v>2129</v>
      </c>
      <c r="EC98" t="s">
        <v>2129</v>
      </c>
      <c r="ED98" t="s">
        <v>2129</v>
      </c>
      <c r="EE98" t="s">
        <v>2129</v>
      </c>
      <c r="EF98" t="s">
        <v>2129</v>
      </c>
      <c r="EG98" t="s">
        <v>2129</v>
      </c>
      <c r="EH98" t="s">
        <v>2129</v>
      </c>
    </row>
    <row r="99" spans="1:138" x14ac:dyDescent="0.25">
      <c r="A99" t="s">
        <v>3871</v>
      </c>
      <c r="B99" t="s">
        <v>3872</v>
      </c>
      <c r="C99">
        <v>21654</v>
      </c>
      <c r="D99">
        <v>21618</v>
      </c>
      <c r="E99" t="s">
        <v>1379</v>
      </c>
      <c r="F99" t="s">
        <v>27</v>
      </c>
      <c r="G99" t="s">
        <v>2163</v>
      </c>
      <c r="H99" t="s">
        <v>56</v>
      </c>
      <c r="I99" t="s">
        <v>2127</v>
      </c>
      <c r="J99" t="s">
        <v>2156</v>
      </c>
      <c r="K99" t="s">
        <v>2129</v>
      </c>
      <c r="L99" t="s">
        <v>2129</v>
      </c>
      <c r="M99" t="s">
        <v>2130</v>
      </c>
      <c r="N99" t="s">
        <v>2129</v>
      </c>
      <c r="O99" t="s">
        <v>3730</v>
      </c>
      <c r="P99" t="s">
        <v>3730</v>
      </c>
      <c r="Q99" t="s">
        <v>3730</v>
      </c>
      <c r="R99" s="37">
        <v>45811.447916666664</v>
      </c>
      <c r="S99" s="37">
        <v>46099.429166666669</v>
      </c>
      <c r="T99" s="37">
        <v>46100.368750000001</v>
      </c>
      <c r="U99" s="37"/>
      <c r="V99" t="s">
        <v>2129</v>
      </c>
      <c r="W99" t="s">
        <v>2129</v>
      </c>
      <c r="X99" t="s">
        <v>2129</v>
      </c>
      <c r="Y99">
        <v>0</v>
      </c>
      <c r="Z99" t="s">
        <v>2129</v>
      </c>
      <c r="AA99" t="s">
        <v>3873</v>
      </c>
      <c r="AB99" t="s">
        <v>2129</v>
      </c>
      <c r="AC99" t="s">
        <v>3730</v>
      </c>
      <c r="AD99" t="s">
        <v>2129</v>
      </c>
      <c r="AE99" t="s">
        <v>2129</v>
      </c>
      <c r="AF99" t="s">
        <v>2129</v>
      </c>
      <c r="AG99" t="s">
        <v>2129</v>
      </c>
      <c r="AH99" t="s">
        <v>3874</v>
      </c>
      <c r="AI99" t="s">
        <v>3875</v>
      </c>
      <c r="AJ99" t="s">
        <v>2129</v>
      </c>
      <c r="AK99" t="s">
        <v>2129</v>
      </c>
      <c r="AL99" t="s">
        <v>2129</v>
      </c>
      <c r="AM99" t="s">
        <v>2129</v>
      </c>
      <c r="AN99" t="s">
        <v>2129</v>
      </c>
      <c r="AO99" t="s">
        <v>2129</v>
      </c>
      <c r="AP99" t="s">
        <v>2129</v>
      </c>
      <c r="AQ99" t="s">
        <v>2129</v>
      </c>
      <c r="AR99" t="s">
        <v>2129</v>
      </c>
      <c r="AS99" t="s">
        <v>2129</v>
      </c>
      <c r="AT99" t="s">
        <v>2129</v>
      </c>
      <c r="AU99" t="s">
        <v>2129</v>
      </c>
      <c r="AV99" t="s">
        <v>2129</v>
      </c>
      <c r="AW99" t="s">
        <v>2129</v>
      </c>
      <c r="AX99" t="s">
        <v>2129</v>
      </c>
      <c r="AY99" t="s">
        <v>2129</v>
      </c>
      <c r="AZ99" t="s">
        <v>2129</v>
      </c>
      <c r="BA99" t="s">
        <v>2129</v>
      </c>
      <c r="BB99" t="s">
        <v>2129</v>
      </c>
      <c r="BC99" t="s">
        <v>2129</v>
      </c>
      <c r="BD99" t="s">
        <v>2129</v>
      </c>
      <c r="BE99" t="s">
        <v>2129</v>
      </c>
      <c r="BF99" t="s">
        <v>2129</v>
      </c>
      <c r="BG99" t="s">
        <v>2129</v>
      </c>
      <c r="BH99" t="s">
        <v>2129</v>
      </c>
      <c r="BI99" t="s">
        <v>2129</v>
      </c>
      <c r="BJ99" t="s">
        <v>2129</v>
      </c>
      <c r="BK99" t="s">
        <v>2129</v>
      </c>
      <c r="BL99" t="s">
        <v>2129</v>
      </c>
      <c r="BM99" t="s">
        <v>2129</v>
      </c>
      <c r="BN99" t="s">
        <v>2129</v>
      </c>
      <c r="BO99" t="s">
        <v>2129</v>
      </c>
      <c r="BP99" t="s">
        <v>2129</v>
      </c>
      <c r="BQ99">
        <v>0</v>
      </c>
      <c r="BR99">
        <v>21600</v>
      </c>
      <c r="BS99" t="s">
        <v>2129</v>
      </c>
      <c r="BT99" t="s">
        <v>2129</v>
      </c>
      <c r="BU99">
        <v>0</v>
      </c>
      <c r="BV99">
        <v>21600</v>
      </c>
      <c r="BW99" t="s">
        <v>2129</v>
      </c>
      <c r="BX99" t="s">
        <v>2129</v>
      </c>
      <c r="BY99" t="s">
        <v>2129</v>
      </c>
      <c r="BZ99" t="s">
        <v>2129</v>
      </c>
      <c r="CA99" t="s">
        <v>2129</v>
      </c>
      <c r="CB99" t="s">
        <v>2129</v>
      </c>
      <c r="CC99" t="s">
        <v>2129</v>
      </c>
      <c r="CD99" t="s">
        <v>2129</v>
      </c>
      <c r="CE99" t="s">
        <v>2129</v>
      </c>
      <c r="CF99" t="s">
        <v>2129</v>
      </c>
      <c r="CG99" t="s">
        <v>2129</v>
      </c>
      <c r="CH99" t="s">
        <v>2129</v>
      </c>
      <c r="CI99" t="s">
        <v>2129</v>
      </c>
      <c r="CJ99" t="s">
        <v>2129</v>
      </c>
      <c r="CK99" t="s">
        <v>2129</v>
      </c>
      <c r="CL99" t="s">
        <v>2129</v>
      </c>
      <c r="CM99" t="s">
        <v>2129</v>
      </c>
      <c r="CN99" t="s">
        <v>2129</v>
      </c>
      <c r="CO99" t="s">
        <v>2129</v>
      </c>
      <c r="CP99" t="s">
        <v>2129</v>
      </c>
      <c r="CQ99" t="s">
        <v>2129</v>
      </c>
      <c r="CR99" t="s">
        <v>2129</v>
      </c>
      <c r="CS99" t="s">
        <v>2129</v>
      </c>
      <c r="CT99" t="s">
        <v>3876</v>
      </c>
      <c r="CU99" t="s">
        <v>3877</v>
      </c>
      <c r="CV99" t="s">
        <v>2129</v>
      </c>
      <c r="CW99" t="s">
        <v>2129</v>
      </c>
      <c r="CX99" t="s">
        <v>2129</v>
      </c>
      <c r="CY99" t="s">
        <v>2129</v>
      </c>
      <c r="CZ99" t="s">
        <v>2129</v>
      </c>
      <c r="DA99" t="s">
        <v>2129</v>
      </c>
      <c r="DB99" t="s">
        <v>2129</v>
      </c>
      <c r="DC99" t="s">
        <v>2129</v>
      </c>
      <c r="DD99" t="s">
        <v>2129</v>
      </c>
      <c r="DE99" t="s">
        <v>2129</v>
      </c>
      <c r="DF99" t="s">
        <v>2129</v>
      </c>
      <c r="DG99" t="s">
        <v>2129</v>
      </c>
      <c r="DH99" t="s">
        <v>2129</v>
      </c>
      <c r="DJ99" t="s">
        <v>2129</v>
      </c>
      <c r="DK99" t="s">
        <v>2129</v>
      </c>
      <c r="DL99" t="s">
        <v>3878</v>
      </c>
      <c r="DM99" t="s">
        <v>3879</v>
      </c>
      <c r="DN99" t="s">
        <v>2129</v>
      </c>
      <c r="DO99" t="s">
        <v>2129</v>
      </c>
      <c r="DP99" t="s">
        <v>2129</v>
      </c>
      <c r="DQ99" t="s">
        <v>2129</v>
      </c>
      <c r="DR99" t="s">
        <v>2129</v>
      </c>
      <c r="DS99" t="s">
        <v>2129</v>
      </c>
      <c r="DT99" t="s">
        <v>2129</v>
      </c>
      <c r="DU99" t="s">
        <v>2129</v>
      </c>
      <c r="DV99" t="s">
        <v>2129</v>
      </c>
      <c r="DW99" t="s">
        <v>2129</v>
      </c>
      <c r="DX99" t="s">
        <v>2129</v>
      </c>
      <c r="DY99" t="s">
        <v>2129</v>
      </c>
      <c r="DZ99" t="s">
        <v>2129</v>
      </c>
      <c r="EA99" t="s">
        <v>2129</v>
      </c>
      <c r="EB99" t="s">
        <v>2129</v>
      </c>
      <c r="EC99" t="s">
        <v>2129</v>
      </c>
      <c r="ED99" t="s">
        <v>2129</v>
      </c>
      <c r="EE99" t="s">
        <v>2129</v>
      </c>
      <c r="EF99" t="s">
        <v>2129</v>
      </c>
      <c r="EG99" t="s">
        <v>2129</v>
      </c>
      <c r="EH99" t="s">
        <v>2129</v>
      </c>
    </row>
    <row r="100" spans="1:138" x14ac:dyDescent="0.25">
      <c r="A100" t="s">
        <v>2798</v>
      </c>
      <c r="B100" t="s">
        <v>2788</v>
      </c>
      <c r="C100">
        <v>22985</v>
      </c>
      <c r="E100" t="s">
        <v>14</v>
      </c>
      <c r="F100" t="s">
        <v>16</v>
      </c>
      <c r="G100" t="s">
        <v>47</v>
      </c>
      <c r="H100" t="s">
        <v>47</v>
      </c>
      <c r="I100" t="s">
        <v>2127</v>
      </c>
      <c r="J100" t="s">
        <v>2141</v>
      </c>
      <c r="K100" t="s">
        <v>2164</v>
      </c>
      <c r="L100" t="s">
        <v>2129</v>
      </c>
      <c r="M100" t="s">
        <v>2130</v>
      </c>
      <c r="N100" t="s">
        <v>2153</v>
      </c>
      <c r="O100" t="s">
        <v>2150</v>
      </c>
      <c r="P100" t="s">
        <v>2145</v>
      </c>
      <c r="Q100" t="s">
        <v>2145</v>
      </c>
      <c r="R100" s="37">
        <v>46072.44027777778</v>
      </c>
      <c r="S100" s="37">
        <v>46090.452777777777</v>
      </c>
      <c r="T100" s="37">
        <v>46087.728472222225</v>
      </c>
      <c r="U100" s="37">
        <v>46090.452777777777</v>
      </c>
      <c r="V100" t="s">
        <v>2129</v>
      </c>
      <c r="W100" t="s">
        <v>2129</v>
      </c>
      <c r="X100" t="s">
        <v>2129</v>
      </c>
      <c r="Y100">
        <v>0</v>
      </c>
      <c r="Z100" t="s">
        <v>2129</v>
      </c>
      <c r="AA100" t="s">
        <v>3880</v>
      </c>
      <c r="AB100" t="s">
        <v>2129</v>
      </c>
      <c r="AC100" t="s">
        <v>2145</v>
      </c>
      <c r="AD100" t="s">
        <v>2150</v>
      </c>
      <c r="AE100" t="s">
        <v>2165</v>
      </c>
      <c r="AF100" t="s">
        <v>2129</v>
      </c>
      <c r="AG100" t="s">
        <v>2129</v>
      </c>
      <c r="AH100" t="s">
        <v>3881</v>
      </c>
      <c r="AI100" t="s">
        <v>3882</v>
      </c>
      <c r="AJ100" t="s">
        <v>2129</v>
      </c>
      <c r="AK100" t="s">
        <v>2129</v>
      </c>
      <c r="AL100" t="s">
        <v>2129</v>
      </c>
      <c r="AM100" t="s">
        <v>2129</v>
      </c>
      <c r="AN100" t="s">
        <v>2129</v>
      </c>
      <c r="AO100" t="s">
        <v>2129</v>
      </c>
      <c r="AP100" t="s">
        <v>2129</v>
      </c>
      <c r="AQ100" t="s">
        <v>2129</v>
      </c>
      <c r="AR100" t="s">
        <v>2129</v>
      </c>
      <c r="AS100" t="s">
        <v>2129</v>
      </c>
      <c r="AT100" t="s">
        <v>2129</v>
      </c>
      <c r="AU100" t="s">
        <v>2129</v>
      </c>
      <c r="AV100" t="s">
        <v>2129</v>
      </c>
      <c r="AW100" t="s">
        <v>2129</v>
      </c>
      <c r="AX100" t="s">
        <v>2129</v>
      </c>
      <c r="AY100" t="s">
        <v>2129</v>
      </c>
      <c r="AZ100" t="s">
        <v>2129</v>
      </c>
      <c r="BA100" t="s">
        <v>2129</v>
      </c>
      <c r="BB100" t="s">
        <v>2129</v>
      </c>
      <c r="BC100" t="s">
        <v>2129</v>
      </c>
      <c r="BD100" t="s">
        <v>2129</v>
      </c>
      <c r="BE100" t="s">
        <v>2129</v>
      </c>
      <c r="BF100" t="s">
        <v>2129</v>
      </c>
      <c r="BG100" t="s">
        <v>2129</v>
      </c>
      <c r="BH100" t="s">
        <v>2129</v>
      </c>
      <c r="BI100" t="s">
        <v>2129</v>
      </c>
      <c r="BJ100" t="s">
        <v>2129</v>
      </c>
      <c r="BK100" t="s">
        <v>2129</v>
      </c>
      <c r="BL100" t="s">
        <v>2129</v>
      </c>
      <c r="BM100" t="s">
        <v>2129</v>
      </c>
      <c r="BN100" t="s">
        <v>2129</v>
      </c>
      <c r="BO100" t="s">
        <v>2129</v>
      </c>
      <c r="BP100" t="s">
        <v>2129</v>
      </c>
      <c r="BQ100">
        <v>0</v>
      </c>
      <c r="BR100">
        <v>2700</v>
      </c>
      <c r="BS100" t="s">
        <v>2129</v>
      </c>
      <c r="BT100" t="s">
        <v>2129</v>
      </c>
      <c r="BU100">
        <v>0</v>
      </c>
      <c r="BV100">
        <v>2700</v>
      </c>
      <c r="BW100" t="s">
        <v>2129</v>
      </c>
      <c r="BX100" t="s">
        <v>2129</v>
      </c>
      <c r="BY100" t="s">
        <v>2378</v>
      </c>
      <c r="BZ100" t="s">
        <v>2129</v>
      </c>
      <c r="CA100" t="s">
        <v>2129</v>
      </c>
      <c r="CB100" t="s">
        <v>2129</v>
      </c>
      <c r="CC100" t="s">
        <v>2129</v>
      </c>
      <c r="CD100" t="s">
        <v>2129</v>
      </c>
      <c r="CE100" t="s">
        <v>2129</v>
      </c>
      <c r="CF100" t="s">
        <v>2129</v>
      </c>
      <c r="CG100" t="s">
        <v>2129</v>
      </c>
      <c r="CH100" t="s">
        <v>2129</v>
      </c>
      <c r="CI100" t="s">
        <v>2129</v>
      </c>
      <c r="CJ100" t="s">
        <v>2129</v>
      </c>
      <c r="CK100" t="s">
        <v>2129</v>
      </c>
      <c r="CL100" t="s">
        <v>2129</v>
      </c>
      <c r="CM100" t="s">
        <v>2129</v>
      </c>
      <c r="CN100" t="s">
        <v>2129</v>
      </c>
      <c r="CO100" t="s">
        <v>2129</v>
      </c>
      <c r="CP100" t="s">
        <v>2129</v>
      </c>
      <c r="CQ100" t="s">
        <v>2129</v>
      </c>
      <c r="CR100" t="s">
        <v>2129</v>
      </c>
      <c r="CS100" t="s">
        <v>2129</v>
      </c>
      <c r="CT100" t="s">
        <v>3883</v>
      </c>
      <c r="CU100" t="s">
        <v>2989</v>
      </c>
      <c r="CV100" t="s">
        <v>3884</v>
      </c>
      <c r="CW100" t="s">
        <v>2129</v>
      </c>
      <c r="CX100" t="s">
        <v>2129</v>
      </c>
      <c r="CY100" t="s">
        <v>2129</v>
      </c>
      <c r="CZ100" t="s">
        <v>2129</v>
      </c>
      <c r="DA100" t="s">
        <v>2129</v>
      </c>
      <c r="DB100" t="s">
        <v>2129</v>
      </c>
      <c r="DC100" t="s">
        <v>2129</v>
      </c>
      <c r="DD100" t="s">
        <v>2129</v>
      </c>
      <c r="DE100" t="s">
        <v>2129</v>
      </c>
      <c r="DF100" t="s">
        <v>2129</v>
      </c>
      <c r="DG100" t="s">
        <v>2129</v>
      </c>
      <c r="DH100" t="s">
        <v>2129</v>
      </c>
      <c r="DI100">
        <v>30</v>
      </c>
      <c r="DJ100" t="s">
        <v>2129</v>
      </c>
      <c r="DK100" t="s">
        <v>2129</v>
      </c>
      <c r="DL100" t="s">
        <v>3885</v>
      </c>
      <c r="DM100" t="s">
        <v>3886</v>
      </c>
      <c r="DN100" t="s">
        <v>3887</v>
      </c>
      <c r="DO100" t="s">
        <v>3888</v>
      </c>
      <c r="DP100" t="s">
        <v>2129</v>
      </c>
      <c r="DQ100" t="s">
        <v>2129</v>
      </c>
      <c r="DR100" t="s">
        <v>2129</v>
      </c>
      <c r="DS100" t="s">
        <v>2129</v>
      </c>
      <c r="DT100" t="s">
        <v>2129</v>
      </c>
      <c r="DU100" t="s">
        <v>2129</v>
      </c>
      <c r="DV100" t="s">
        <v>2129</v>
      </c>
      <c r="DW100" t="s">
        <v>2129</v>
      </c>
      <c r="DX100" t="s">
        <v>2129</v>
      </c>
      <c r="DY100" t="s">
        <v>2129</v>
      </c>
      <c r="DZ100" t="s">
        <v>2129</v>
      </c>
      <c r="EA100" t="s">
        <v>2129</v>
      </c>
      <c r="EB100" t="s">
        <v>2129</v>
      </c>
      <c r="EC100" t="s">
        <v>2129</v>
      </c>
      <c r="ED100" t="s">
        <v>2129</v>
      </c>
      <c r="EE100" t="s">
        <v>2129</v>
      </c>
      <c r="EF100" t="s">
        <v>2129</v>
      </c>
      <c r="EG100" t="s">
        <v>2129</v>
      </c>
      <c r="EH100" t="s">
        <v>2129</v>
      </c>
    </row>
    <row r="101" spans="1:138" x14ac:dyDescent="0.25">
      <c r="A101" t="s">
        <v>2797</v>
      </c>
      <c r="B101" t="s">
        <v>2787</v>
      </c>
      <c r="C101">
        <v>22981</v>
      </c>
      <c r="E101" t="s">
        <v>77</v>
      </c>
      <c r="F101" t="s">
        <v>16</v>
      </c>
      <c r="G101" t="s">
        <v>47</v>
      </c>
      <c r="H101" t="s">
        <v>47</v>
      </c>
      <c r="I101" t="s">
        <v>2127</v>
      </c>
      <c r="J101" t="s">
        <v>2141</v>
      </c>
      <c r="K101" t="s">
        <v>2164</v>
      </c>
      <c r="L101" t="s">
        <v>2129</v>
      </c>
      <c r="M101" t="s">
        <v>2130</v>
      </c>
      <c r="N101" t="s">
        <v>2153</v>
      </c>
      <c r="O101" t="s">
        <v>2150</v>
      </c>
      <c r="P101" t="s">
        <v>2141</v>
      </c>
      <c r="Q101" t="s">
        <v>2141</v>
      </c>
      <c r="R101" s="37">
        <v>46071.406944444447</v>
      </c>
      <c r="S101" s="37">
        <v>46090.411111111112</v>
      </c>
      <c r="T101" s="37">
        <v>46087.728472222225</v>
      </c>
      <c r="U101" s="37">
        <v>46090.411111111112</v>
      </c>
      <c r="V101" t="s">
        <v>2129</v>
      </c>
      <c r="W101" t="s">
        <v>2129</v>
      </c>
      <c r="X101" t="s">
        <v>2129</v>
      </c>
      <c r="Y101">
        <v>0</v>
      </c>
      <c r="Z101" t="s">
        <v>2129</v>
      </c>
      <c r="AA101" t="s">
        <v>3889</v>
      </c>
      <c r="AB101" t="s">
        <v>2129</v>
      </c>
      <c r="AC101" t="s">
        <v>2141</v>
      </c>
      <c r="AD101" t="s">
        <v>2150</v>
      </c>
      <c r="AE101" t="s">
        <v>2165</v>
      </c>
      <c r="AF101" t="s">
        <v>2129</v>
      </c>
      <c r="AG101" t="s">
        <v>2129</v>
      </c>
      <c r="AH101" t="s">
        <v>3890</v>
      </c>
      <c r="AI101" t="s">
        <v>2129</v>
      </c>
      <c r="AJ101" t="s">
        <v>2129</v>
      </c>
      <c r="AK101" t="s">
        <v>2129</v>
      </c>
      <c r="AL101" t="s">
        <v>2129</v>
      </c>
      <c r="AM101" t="s">
        <v>2129</v>
      </c>
      <c r="AN101" t="s">
        <v>2129</v>
      </c>
      <c r="AO101" t="s">
        <v>2129</v>
      </c>
      <c r="AP101" t="s">
        <v>2129</v>
      </c>
      <c r="AQ101" t="s">
        <v>2129</v>
      </c>
      <c r="AR101" t="s">
        <v>2129</v>
      </c>
      <c r="AS101" t="s">
        <v>2129</v>
      </c>
      <c r="AT101" t="s">
        <v>2129</v>
      </c>
      <c r="AU101" t="s">
        <v>2129</v>
      </c>
      <c r="AV101" t="s">
        <v>2129</v>
      </c>
      <c r="AW101" t="s">
        <v>2129</v>
      </c>
      <c r="AX101" t="s">
        <v>2129</v>
      </c>
      <c r="AY101" t="s">
        <v>2129</v>
      </c>
      <c r="AZ101" t="s">
        <v>2129</v>
      </c>
      <c r="BA101" t="s">
        <v>2129</v>
      </c>
      <c r="BB101" t="s">
        <v>2129</v>
      </c>
      <c r="BC101" t="s">
        <v>2129</v>
      </c>
      <c r="BD101" t="s">
        <v>2129</v>
      </c>
      <c r="BE101" t="s">
        <v>2129</v>
      </c>
      <c r="BF101" t="s">
        <v>2129</v>
      </c>
      <c r="BG101" t="s">
        <v>2129</v>
      </c>
      <c r="BH101" t="s">
        <v>2129</v>
      </c>
      <c r="BI101" t="s">
        <v>2129</v>
      </c>
      <c r="BJ101" t="s">
        <v>2129</v>
      </c>
      <c r="BK101" t="s">
        <v>2129</v>
      </c>
      <c r="BL101" t="s">
        <v>2129</v>
      </c>
      <c r="BM101" t="s">
        <v>2129</v>
      </c>
      <c r="BN101" t="s">
        <v>2129</v>
      </c>
      <c r="BO101" t="s">
        <v>2129</v>
      </c>
      <c r="BP101" t="s">
        <v>2129</v>
      </c>
      <c r="BQ101">
        <v>0</v>
      </c>
      <c r="BR101">
        <v>3600</v>
      </c>
      <c r="BS101" t="s">
        <v>2129</v>
      </c>
      <c r="BT101" t="s">
        <v>2129</v>
      </c>
      <c r="BU101">
        <v>0</v>
      </c>
      <c r="BV101">
        <v>3600</v>
      </c>
      <c r="BW101" t="s">
        <v>2129</v>
      </c>
      <c r="BX101" t="s">
        <v>2129</v>
      </c>
      <c r="BY101" t="s">
        <v>2129</v>
      </c>
      <c r="BZ101" t="s">
        <v>2129</v>
      </c>
      <c r="CA101" t="s">
        <v>2129</v>
      </c>
      <c r="CB101" t="s">
        <v>2129</v>
      </c>
      <c r="CC101" t="s">
        <v>2129</v>
      </c>
      <c r="CD101" t="s">
        <v>2129</v>
      </c>
      <c r="CE101" t="s">
        <v>2129</v>
      </c>
      <c r="CF101" t="s">
        <v>2129</v>
      </c>
      <c r="CG101" t="s">
        <v>2129</v>
      </c>
      <c r="CH101" t="s">
        <v>2129</v>
      </c>
      <c r="CI101" t="s">
        <v>2129</v>
      </c>
      <c r="CJ101" t="s">
        <v>2129</v>
      </c>
      <c r="CK101" t="s">
        <v>2129</v>
      </c>
      <c r="CL101" t="s">
        <v>2129</v>
      </c>
      <c r="CM101" t="s">
        <v>2129</v>
      </c>
      <c r="CN101" t="s">
        <v>2129</v>
      </c>
      <c r="CO101" t="s">
        <v>2129</v>
      </c>
      <c r="CP101" t="s">
        <v>2129</v>
      </c>
      <c r="CQ101" t="s">
        <v>2129</v>
      </c>
      <c r="CR101" t="s">
        <v>2129</v>
      </c>
      <c r="CS101" t="s">
        <v>2129</v>
      </c>
      <c r="CT101" t="s">
        <v>3891</v>
      </c>
      <c r="CU101" t="s">
        <v>2989</v>
      </c>
      <c r="CV101" t="s">
        <v>2129</v>
      </c>
      <c r="CW101" t="s">
        <v>2129</v>
      </c>
      <c r="CX101" t="s">
        <v>2129</v>
      </c>
      <c r="CY101" t="s">
        <v>2129</v>
      </c>
      <c r="CZ101" t="s">
        <v>2129</v>
      </c>
      <c r="DA101" t="s">
        <v>2129</v>
      </c>
      <c r="DB101" t="s">
        <v>2129</v>
      </c>
      <c r="DC101" t="s">
        <v>2129</v>
      </c>
      <c r="DD101" t="s">
        <v>2129</v>
      </c>
      <c r="DE101" t="s">
        <v>2129</v>
      </c>
      <c r="DF101" t="s">
        <v>2129</v>
      </c>
      <c r="DG101" t="s">
        <v>2129</v>
      </c>
      <c r="DH101" t="s">
        <v>2129</v>
      </c>
      <c r="DI101">
        <v>20</v>
      </c>
      <c r="DJ101" t="s">
        <v>2129</v>
      </c>
      <c r="DK101" t="s">
        <v>2129</v>
      </c>
      <c r="DL101" t="s">
        <v>3892</v>
      </c>
      <c r="DM101" t="s">
        <v>3893</v>
      </c>
      <c r="DN101" t="s">
        <v>2129</v>
      </c>
      <c r="DO101" t="s">
        <v>2129</v>
      </c>
      <c r="DP101" t="s">
        <v>2129</v>
      </c>
      <c r="DQ101" t="s">
        <v>2129</v>
      </c>
      <c r="DR101" t="s">
        <v>2129</v>
      </c>
      <c r="DS101" t="s">
        <v>2129</v>
      </c>
      <c r="DT101" t="s">
        <v>2129</v>
      </c>
      <c r="DU101" t="s">
        <v>2129</v>
      </c>
      <c r="DV101" t="s">
        <v>2129</v>
      </c>
      <c r="DW101" t="s">
        <v>2129</v>
      </c>
      <c r="DX101" t="s">
        <v>2129</v>
      </c>
      <c r="DY101" t="s">
        <v>2129</v>
      </c>
      <c r="DZ101" t="s">
        <v>2129</v>
      </c>
      <c r="EA101" t="s">
        <v>2129</v>
      </c>
      <c r="EB101" t="s">
        <v>2129</v>
      </c>
      <c r="EC101" t="s">
        <v>2129</v>
      </c>
      <c r="ED101" t="s">
        <v>2129</v>
      </c>
      <c r="EE101" t="s">
        <v>2129</v>
      </c>
      <c r="EF101" t="s">
        <v>2129</v>
      </c>
      <c r="EG101" t="s">
        <v>2129</v>
      </c>
      <c r="EH101" t="s">
        <v>2129</v>
      </c>
    </row>
    <row r="102" spans="1:138" x14ac:dyDescent="0.25">
      <c r="A102" t="s">
        <v>3894</v>
      </c>
      <c r="B102" t="s">
        <v>3895</v>
      </c>
      <c r="C102">
        <v>22871</v>
      </c>
      <c r="E102" t="s">
        <v>14</v>
      </c>
      <c r="F102" t="s">
        <v>10</v>
      </c>
      <c r="G102" t="s">
        <v>47</v>
      </c>
      <c r="H102" t="s">
        <v>47</v>
      </c>
      <c r="I102" t="s">
        <v>2127</v>
      </c>
      <c r="J102" t="s">
        <v>2141</v>
      </c>
      <c r="K102" t="s">
        <v>2164</v>
      </c>
      <c r="L102" t="s">
        <v>2129</v>
      </c>
      <c r="M102" t="s">
        <v>2130</v>
      </c>
      <c r="N102" t="s">
        <v>2129</v>
      </c>
      <c r="O102" t="s">
        <v>2141</v>
      </c>
      <c r="P102" t="s">
        <v>2145</v>
      </c>
      <c r="Q102" t="s">
        <v>2145</v>
      </c>
      <c r="R102" s="37">
        <v>46045.38958333333</v>
      </c>
      <c r="S102" s="37">
        <v>46090.440972222219</v>
      </c>
      <c r="T102" s="37">
        <v>46078.666666666664</v>
      </c>
      <c r="U102" s="37"/>
      <c r="V102" t="s">
        <v>2129</v>
      </c>
      <c r="W102" t="s">
        <v>2129</v>
      </c>
      <c r="X102" t="s">
        <v>2129</v>
      </c>
      <c r="Y102">
        <v>0</v>
      </c>
      <c r="Z102" t="s">
        <v>2129</v>
      </c>
      <c r="AA102" t="s">
        <v>3896</v>
      </c>
      <c r="AB102" t="s">
        <v>2129</v>
      </c>
      <c r="AC102" t="s">
        <v>2145</v>
      </c>
      <c r="AD102" t="s">
        <v>2129</v>
      </c>
      <c r="AE102" t="s">
        <v>2129</v>
      </c>
      <c r="AF102" t="s">
        <v>2129</v>
      </c>
      <c r="AG102" t="s">
        <v>2129</v>
      </c>
      <c r="AH102" t="s">
        <v>2129</v>
      </c>
      <c r="AI102" t="s">
        <v>2129</v>
      </c>
      <c r="AJ102" t="s">
        <v>2129</v>
      </c>
      <c r="AK102" t="s">
        <v>2129</v>
      </c>
      <c r="AL102" t="s">
        <v>2129</v>
      </c>
      <c r="AM102" t="s">
        <v>2129</v>
      </c>
      <c r="AN102" t="s">
        <v>2129</v>
      </c>
      <c r="AO102" t="s">
        <v>2129</v>
      </c>
      <c r="AP102" t="s">
        <v>2129</v>
      </c>
      <c r="AQ102" t="s">
        <v>2129</v>
      </c>
      <c r="AR102" t="s">
        <v>2129</v>
      </c>
      <c r="AS102" t="s">
        <v>2129</v>
      </c>
      <c r="AT102" t="s">
        <v>2129</v>
      </c>
      <c r="AU102" t="s">
        <v>2129</v>
      </c>
      <c r="AV102" t="s">
        <v>2129</v>
      </c>
      <c r="AW102" t="s">
        <v>2129</v>
      </c>
      <c r="AX102" t="s">
        <v>2129</v>
      </c>
      <c r="AY102" t="s">
        <v>2129</v>
      </c>
      <c r="AZ102" t="s">
        <v>2129</v>
      </c>
      <c r="BA102" t="s">
        <v>2129</v>
      </c>
      <c r="BB102" t="s">
        <v>2129</v>
      </c>
      <c r="BC102" t="s">
        <v>2129</v>
      </c>
      <c r="BD102" t="s">
        <v>2129</v>
      </c>
      <c r="BE102" t="s">
        <v>2129</v>
      </c>
      <c r="BF102" t="s">
        <v>2129</v>
      </c>
      <c r="BG102" t="s">
        <v>2129</v>
      </c>
      <c r="BH102" t="s">
        <v>2129</v>
      </c>
      <c r="BI102" t="s">
        <v>2129</v>
      </c>
      <c r="BJ102" t="s">
        <v>2129</v>
      </c>
      <c r="BK102" t="s">
        <v>2129</v>
      </c>
      <c r="BL102" t="s">
        <v>2129</v>
      </c>
      <c r="BM102" t="s">
        <v>2129</v>
      </c>
      <c r="BN102" t="s">
        <v>2129</v>
      </c>
      <c r="BO102" t="s">
        <v>2129</v>
      </c>
      <c r="BP102" t="s">
        <v>2129</v>
      </c>
      <c r="BS102" t="s">
        <v>2129</v>
      </c>
      <c r="BT102" t="s">
        <v>2129</v>
      </c>
      <c r="BW102" t="s">
        <v>2129</v>
      </c>
      <c r="BX102" t="s">
        <v>2129</v>
      </c>
      <c r="BY102" t="s">
        <v>2129</v>
      </c>
      <c r="BZ102" t="s">
        <v>2129</v>
      </c>
      <c r="CA102" t="s">
        <v>2129</v>
      </c>
      <c r="CB102" t="s">
        <v>2129</v>
      </c>
      <c r="CC102" t="s">
        <v>2129</v>
      </c>
      <c r="CD102" t="s">
        <v>2129</v>
      </c>
      <c r="CE102" t="s">
        <v>2129</v>
      </c>
      <c r="CF102" t="s">
        <v>2129</v>
      </c>
      <c r="CG102" t="s">
        <v>2129</v>
      </c>
      <c r="CH102" t="s">
        <v>2129</v>
      </c>
      <c r="CI102" t="s">
        <v>2129</v>
      </c>
      <c r="CJ102" t="s">
        <v>2129</v>
      </c>
      <c r="CK102" t="s">
        <v>2129</v>
      </c>
      <c r="CL102" t="s">
        <v>2129</v>
      </c>
      <c r="CM102" t="s">
        <v>2530</v>
      </c>
      <c r="CN102" t="s">
        <v>2129</v>
      </c>
      <c r="CO102" t="s">
        <v>2129</v>
      </c>
      <c r="CP102" t="s">
        <v>2129</v>
      </c>
      <c r="CQ102" t="s">
        <v>2129</v>
      </c>
      <c r="CR102" t="s">
        <v>2129</v>
      </c>
      <c r="CS102" t="s">
        <v>2129</v>
      </c>
      <c r="CT102" t="s">
        <v>3897</v>
      </c>
      <c r="CU102" t="s">
        <v>2129</v>
      </c>
      <c r="CV102" t="s">
        <v>2129</v>
      </c>
      <c r="CW102" t="s">
        <v>2129</v>
      </c>
      <c r="CX102" t="s">
        <v>2129</v>
      </c>
      <c r="CY102" t="s">
        <v>2129</v>
      </c>
      <c r="CZ102" t="s">
        <v>2129</v>
      </c>
      <c r="DA102" t="s">
        <v>2129</v>
      </c>
      <c r="DB102" t="s">
        <v>2129</v>
      </c>
      <c r="DC102" t="s">
        <v>2129</v>
      </c>
      <c r="DD102" t="s">
        <v>2129</v>
      </c>
      <c r="DE102" t="s">
        <v>2129</v>
      </c>
      <c r="DF102" t="s">
        <v>2129</v>
      </c>
      <c r="DG102" t="s">
        <v>2129</v>
      </c>
      <c r="DH102" t="s">
        <v>2129</v>
      </c>
      <c r="DJ102" t="s">
        <v>2129</v>
      </c>
      <c r="DK102" t="s">
        <v>2129</v>
      </c>
      <c r="DL102" t="s">
        <v>2129</v>
      </c>
      <c r="DM102" t="s">
        <v>2129</v>
      </c>
      <c r="DN102" t="s">
        <v>2129</v>
      </c>
      <c r="DO102" t="s">
        <v>2129</v>
      </c>
      <c r="DP102" t="s">
        <v>2129</v>
      </c>
      <c r="DQ102" t="s">
        <v>2129</v>
      </c>
      <c r="DR102" t="s">
        <v>2129</v>
      </c>
      <c r="DS102" t="s">
        <v>2129</v>
      </c>
      <c r="DT102" t="s">
        <v>2129</v>
      </c>
      <c r="DU102" t="s">
        <v>2129</v>
      </c>
      <c r="DV102" t="s">
        <v>2129</v>
      </c>
      <c r="DW102" t="s">
        <v>2129</v>
      </c>
      <c r="DX102" t="s">
        <v>2129</v>
      </c>
      <c r="DY102" t="s">
        <v>2129</v>
      </c>
      <c r="DZ102" t="s">
        <v>2129</v>
      </c>
      <c r="EA102" t="s">
        <v>2129</v>
      </c>
      <c r="EB102" t="s">
        <v>2129</v>
      </c>
      <c r="EC102" t="s">
        <v>2129</v>
      </c>
      <c r="ED102" t="s">
        <v>2129</v>
      </c>
      <c r="EE102" t="s">
        <v>2129</v>
      </c>
      <c r="EF102" t="s">
        <v>2129</v>
      </c>
      <c r="EG102" t="s">
        <v>2129</v>
      </c>
      <c r="EH102" t="s">
        <v>2129</v>
      </c>
    </row>
    <row r="103" spans="1:138" x14ac:dyDescent="0.25">
      <c r="A103" t="s">
        <v>2460</v>
      </c>
      <c r="B103" t="s">
        <v>2532</v>
      </c>
      <c r="C103">
        <v>22784</v>
      </c>
      <c r="E103" t="s">
        <v>14</v>
      </c>
      <c r="F103" t="s">
        <v>1820</v>
      </c>
      <c r="G103" t="s">
        <v>47</v>
      </c>
      <c r="H103" t="s">
        <v>47</v>
      </c>
      <c r="I103" t="s">
        <v>2127</v>
      </c>
      <c r="J103" t="s">
        <v>2141</v>
      </c>
      <c r="K103" t="s">
        <v>2164</v>
      </c>
      <c r="L103" t="s">
        <v>2129</v>
      </c>
      <c r="M103" t="s">
        <v>2130</v>
      </c>
      <c r="N103" t="s">
        <v>2129</v>
      </c>
      <c r="O103" t="s">
        <v>2165</v>
      </c>
      <c r="P103" t="s">
        <v>2145</v>
      </c>
      <c r="Q103" t="s">
        <v>2145</v>
      </c>
      <c r="R103" s="37">
        <v>46031.009722222225</v>
      </c>
      <c r="S103" s="37">
        <v>46093.178472222222</v>
      </c>
      <c r="T103" s="37">
        <v>46093.459027777775</v>
      </c>
      <c r="U103" s="37"/>
      <c r="V103" t="s">
        <v>2129</v>
      </c>
      <c r="W103" t="s">
        <v>2129</v>
      </c>
      <c r="X103" t="s">
        <v>2129</v>
      </c>
      <c r="Y103">
        <v>0</v>
      </c>
      <c r="Z103" t="s">
        <v>2129</v>
      </c>
      <c r="AA103" t="s">
        <v>2483</v>
      </c>
      <c r="AB103" t="s">
        <v>2129</v>
      </c>
      <c r="AC103" t="s">
        <v>2145</v>
      </c>
      <c r="AD103" t="s">
        <v>2165</v>
      </c>
      <c r="AE103" t="s">
        <v>2129</v>
      </c>
      <c r="AF103" t="s">
        <v>2129</v>
      </c>
      <c r="AG103" t="s">
        <v>2129</v>
      </c>
      <c r="AH103" t="s">
        <v>2129</v>
      </c>
      <c r="AI103" t="s">
        <v>2129</v>
      </c>
      <c r="AJ103" t="s">
        <v>2129</v>
      </c>
      <c r="AK103" t="s">
        <v>2129</v>
      </c>
      <c r="AL103" t="s">
        <v>2129</v>
      </c>
      <c r="AM103" t="s">
        <v>2129</v>
      </c>
      <c r="AN103" t="s">
        <v>2129</v>
      </c>
      <c r="AO103" t="s">
        <v>2129</v>
      </c>
      <c r="AP103" t="s">
        <v>2129</v>
      </c>
      <c r="AQ103" t="s">
        <v>2129</v>
      </c>
      <c r="AR103" t="s">
        <v>2129</v>
      </c>
      <c r="AS103" t="s">
        <v>2129</v>
      </c>
      <c r="AT103" t="s">
        <v>2129</v>
      </c>
      <c r="AU103" t="s">
        <v>2129</v>
      </c>
      <c r="AV103" t="s">
        <v>2129</v>
      </c>
      <c r="AW103" t="s">
        <v>2129</v>
      </c>
      <c r="AX103" t="s">
        <v>2129</v>
      </c>
      <c r="AY103" t="s">
        <v>2129</v>
      </c>
      <c r="AZ103" t="s">
        <v>2129</v>
      </c>
      <c r="BA103" t="s">
        <v>2129</v>
      </c>
      <c r="BB103" t="s">
        <v>2129</v>
      </c>
      <c r="BC103" t="s">
        <v>2129</v>
      </c>
      <c r="BD103" t="s">
        <v>2129</v>
      </c>
      <c r="BE103" t="s">
        <v>2129</v>
      </c>
      <c r="BF103" t="s">
        <v>2129</v>
      </c>
      <c r="BG103" t="s">
        <v>2129</v>
      </c>
      <c r="BH103" t="s">
        <v>2129</v>
      </c>
      <c r="BI103" t="s">
        <v>2129</v>
      </c>
      <c r="BJ103" t="s">
        <v>2129</v>
      </c>
      <c r="BK103" t="s">
        <v>2129</v>
      </c>
      <c r="BL103" t="s">
        <v>2129</v>
      </c>
      <c r="BM103" t="s">
        <v>2129</v>
      </c>
      <c r="BN103" t="s">
        <v>2129</v>
      </c>
      <c r="BO103" t="s">
        <v>2129</v>
      </c>
      <c r="BP103" t="s">
        <v>2129</v>
      </c>
      <c r="BS103" t="s">
        <v>2129</v>
      </c>
      <c r="BT103" t="s">
        <v>2129</v>
      </c>
      <c r="BW103" t="s">
        <v>2129</v>
      </c>
      <c r="BX103" t="s">
        <v>2129</v>
      </c>
      <c r="BY103" t="s">
        <v>2129</v>
      </c>
      <c r="BZ103" t="s">
        <v>3898</v>
      </c>
      <c r="CA103" t="s">
        <v>3899</v>
      </c>
      <c r="CB103" t="s">
        <v>2533</v>
      </c>
      <c r="CC103" t="s">
        <v>3900</v>
      </c>
      <c r="CD103" t="s">
        <v>3901</v>
      </c>
      <c r="CE103" t="s">
        <v>3902</v>
      </c>
      <c r="CF103" t="s">
        <v>3903</v>
      </c>
      <c r="CG103" t="s">
        <v>2129</v>
      </c>
      <c r="CH103" t="s">
        <v>2129</v>
      </c>
      <c r="CI103" t="s">
        <v>2129</v>
      </c>
      <c r="CJ103" t="s">
        <v>2129</v>
      </c>
      <c r="CK103" t="s">
        <v>2129</v>
      </c>
      <c r="CL103" t="s">
        <v>2129</v>
      </c>
      <c r="CM103" t="s">
        <v>2484</v>
      </c>
      <c r="CN103" t="s">
        <v>2129</v>
      </c>
      <c r="CO103" t="s">
        <v>2129</v>
      </c>
      <c r="CP103" t="s">
        <v>2129</v>
      </c>
      <c r="CQ103" t="s">
        <v>2129</v>
      </c>
      <c r="CR103" t="s">
        <v>2129</v>
      </c>
      <c r="CS103" t="s">
        <v>2129</v>
      </c>
      <c r="CT103" t="s">
        <v>3904</v>
      </c>
      <c r="CU103" t="s">
        <v>2614</v>
      </c>
      <c r="CV103" t="s">
        <v>2704</v>
      </c>
      <c r="CW103" t="s">
        <v>2823</v>
      </c>
      <c r="CX103" t="s">
        <v>2989</v>
      </c>
      <c r="CY103" t="s">
        <v>3884</v>
      </c>
      <c r="CZ103" t="s">
        <v>2129</v>
      </c>
      <c r="DA103" t="s">
        <v>2129</v>
      </c>
      <c r="DB103" t="s">
        <v>2129</v>
      </c>
      <c r="DC103" t="s">
        <v>2129</v>
      </c>
      <c r="DD103" t="s">
        <v>2129</v>
      </c>
      <c r="DE103" t="s">
        <v>2129</v>
      </c>
      <c r="DF103" t="s">
        <v>2129</v>
      </c>
      <c r="DG103" t="s">
        <v>2129</v>
      </c>
      <c r="DH103" t="s">
        <v>2129</v>
      </c>
      <c r="DJ103" t="s">
        <v>2129</v>
      </c>
      <c r="DK103" t="s">
        <v>2129</v>
      </c>
      <c r="DL103" t="s">
        <v>3905</v>
      </c>
      <c r="DM103" t="s">
        <v>2129</v>
      </c>
      <c r="DN103" t="s">
        <v>2129</v>
      </c>
      <c r="DO103" t="s">
        <v>2129</v>
      </c>
      <c r="DP103" t="s">
        <v>2129</v>
      </c>
      <c r="DQ103" t="s">
        <v>2129</v>
      </c>
      <c r="DR103" t="s">
        <v>2129</v>
      </c>
      <c r="DS103" t="s">
        <v>2129</v>
      </c>
      <c r="DT103" t="s">
        <v>2129</v>
      </c>
      <c r="DU103" t="s">
        <v>2129</v>
      </c>
      <c r="DV103" t="s">
        <v>2129</v>
      </c>
      <c r="DW103" t="s">
        <v>2129</v>
      </c>
      <c r="DX103" t="s">
        <v>2129</v>
      </c>
      <c r="DY103" t="s">
        <v>2129</v>
      </c>
      <c r="DZ103" t="s">
        <v>2129</v>
      </c>
      <c r="EA103" t="s">
        <v>2129</v>
      </c>
      <c r="EB103" t="s">
        <v>2129</v>
      </c>
      <c r="EC103" t="s">
        <v>2129</v>
      </c>
      <c r="ED103" t="s">
        <v>2129</v>
      </c>
      <c r="EE103" t="s">
        <v>2129</v>
      </c>
      <c r="EF103" t="s">
        <v>2129</v>
      </c>
      <c r="EG103" t="s">
        <v>2129</v>
      </c>
      <c r="EH103" t="s">
        <v>2129</v>
      </c>
    </row>
    <row r="104" spans="1:138" x14ac:dyDescent="0.25">
      <c r="A104" t="s">
        <v>1814</v>
      </c>
      <c r="B104" t="s">
        <v>1813</v>
      </c>
      <c r="C104">
        <v>22140</v>
      </c>
      <c r="E104" t="s">
        <v>14</v>
      </c>
      <c r="F104" t="s">
        <v>1820</v>
      </c>
      <c r="G104" t="s">
        <v>47</v>
      </c>
      <c r="H104" t="s">
        <v>47</v>
      </c>
      <c r="I104" t="s">
        <v>2127</v>
      </c>
      <c r="J104" t="s">
        <v>2141</v>
      </c>
      <c r="K104" t="s">
        <v>2164</v>
      </c>
      <c r="L104" t="s">
        <v>2129</v>
      </c>
      <c r="M104" t="s">
        <v>2130</v>
      </c>
      <c r="N104" t="s">
        <v>2129</v>
      </c>
      <c r="O104" t="s">
        <v>2165</v>
      </c>
      <c r="P104" t="s">
        <v>2145</v>
      </c>
      <c r="Q104" t="s">
        <v>2145</v>
      </c>
      <c r="R104" s="37">
        <v>45904.470138888886</v>
      </c>
      <c r="S104" s="37">
        <v>46093.19027777778</v>
      </c>
      <c r="T104" s="37">
        <v>46093.459027777775</v>
      </c>
      <c r="U104" s="37"/>
      <c r="V104" t="s">
        <v>2129</v>
      </c>
      <c r="W104" t="s">
        <v>2129</v>
      </c>
      <c r="X104" t="s">
        <v>2129</v>
      </c>
      <c r="Y104">
        <v>0</v>
      </c>
      <c r="Z104" t="s">
        <v>2129</v>
      </c>
      <c r="AA104" t="s">
        <v>2129</v>
      </c>
      <c r="AB104" t="s">
        <v>2129</v>
      </c>
      <c r="AC104" t="s">
        <v>2145</v>
      </c>
      <c r="AD104" t="s">
        <v>2165</v>
      </c>
      <c r="AE104" t="s">
        <v>2129</v>
      </c>
      <c r="AF104" t="s">
        <v>2129</v>
      </c>
      <c r="AG104" t="s">
        <v>2129</v>
      </c>
      <c r="AH104" t="s">
        <v>2129</v>
      </c>
      <c r="AI104" t="s">
        <v>2129</v>
      </c>
      <c r="AJ104" t="s">
        <v>2129</v>
      </c>
      <c r="AK104" t="s">
        <v>2129</v>
      </c>
      <c r="AL104" t="s">
        <v>2129</v>
      </c>
      <c r="AM104" t="s">
        <v>2129</v>
      </c>
      <c r="AN104" t="s">
        <v>2129</v>
      </c>
      <c r="AO104" t="s">
        <v>2129</v>
      </c>
      <c r="AP104" t="s">
        <v>2129</v>
      </c>
      <c r="AQ104" t="s">
        <v>2129</v>
      </c>
      <c r="AR104" t="s">
        <v>2129</v>
      </c>
      <c r="AS104" t="s">
        <v>2129</v>
      </c>
      <c r="AT104" t="s">
        <v>2129</v>
      </c>
      <c r="AU104" t="s">
        <v>2129</v>
      </c>
      <c r="AV104" t="s">
        <v>2129</v>
      </c>
      <c r="AW104" t="s">
        <v>2129</v>
      </c>
      <c r="AX104" t="s">
        <v>2129</v>
      </c>
      <c r="AY104" t="s">
        <v>2129</v>
      </c>
      <c r="AZ104" t="s">
        <v>2129</v>
      </c>
      <c r="BA104" t="s">
        <v>2129</v>
      </c>
      <c r="BB104" t="s">
        <v>2129</v>
      </c>
      <c r="BC104" t="s">
        <v>2129</v>
      </c>
      <c r="BD104" t="s">
        <v>2129</v>
      </c>
      <c r="BE104" t="s">
        <v>2129</v>
      </c>
      <c r="BF104" t="s">
        <v>2129</v>
      </c>
      <c r="BG104" t="s">
        <v>2129</v>
      </c>
      <c r="BH104" t="s">
        <v>2129</v>
      </c>
      <c r="BI104" t="s">
        <v>2129</v>
      </c>
      <c r="BJ104" t="s">
        <v>2129</v>
      </c>
      <c r="BK104" t="s">
        <v>2129</v>
      </c>
      <c r="BL104" t="s">
        <v>2129</v>
      </c>
      <c r="BM104" t="s">
        <v>2129</v>
      </c>
      <c r="BN104" t="s">
        <v>2129</v>
      </c>
      <c r="BO104" t="s">
        <v>2129</v>
      </c>
      <c r="BP104" t="s">
        <v>2129</v>
      </c>
      <c r="BS104" t="s">
        <v>2129</v>
      </c>
      <c r="BT104" t="s">
        <v>2129</v>
      </c>
      <c r="BW104" t="s">
        <v>2129</v>
      </c>
      <c r="BX104" t="s">
        <v>2129</v>
      </c>
      <c r="BY104" t="s">
        <v>2129</v>
      </c>
      <c r="BZ104" t="s">
        <v>2129</v>
      </c>
      <c r="CA104" t="s">
        <v>2129</v>
      </c>
      <c r="CB104" t="s">
        <v>2129</v>
      </c>
      <c r="CC104" t="s">
        <v>2129</v>
      </c>
      <c r="CD104" t="s">
        <v>2129</v>
      </c>
      <c r="CE104" t="s">
        <v>2129</v>
      </c>
      <c r="CF104" t="s">
        <v>2129</v>
      </c>
      <c r="CG104" t="s">
        <v>2129</v>
      </c>
      <c r="CH104" t="s">
        <v>2129</v>
      </c>
      <c r="CI104" t="s">
        <v>2129</v>
      </c>
      <c r="CJ104" t="s">
        <v>2129</v>
      </c>
      <c r="CK104" t="s">
        <v>2129</v>
      </c>
      <c r="CL104" t="s">
        <v>2129</v>
      </c>
      <c r="CM104" t="s">
        <v>2129</v>
      </c>
      <c r="CN104" t="s">
        <v>2129</v>
      </c>
      <c r="CO104" t="s">
        <v>2129</v>
      </c>
      <c r="CP104" t="s">
        <v>2129</v>
      </c>
      <c r="CQ104" t="s">
        <v>2129</v>
      </c>
      <c r="CR104" t="s">
        <v>2129</v>
      </c>
      <c r="CS104" t="s">
        <v>2129</v>
      </c>
      <c r="CT104" t="s">
        <v>3906</v>
      </c>
      <c r="CU104" t="s">
        <v>2169</v>
      </c>
      <c r="CV104" t="s">
        <v>2170</v>
      </c>
      <c r="CW104" t="s">
        <v>2171</v>
      </c>
      <c r="CX104" t="s">
        <v>2166</v>
      </c>
      <c r="CY104" t="s">
        <v>2167</v>
      </c>
      <c r="CZ104" t="s">
        <v>2168</v>
      </c>
      <c r="DA104" t="s">
        <v>2310</v>
      </c>
      <c r="DB104" t="s">
        <v>2384</v>
      </c>
      <c r="DC104" t="s">
        <v>2534</v>
      </c>
      <c r="DD104" t="s">
        <v>2614</v>
      </c>
      <c r="DE104" t="s">
        <v>2704</v>
      </c>
      <c r="DF104" t="s">
        <v>2823</v>
      </c>
      <c r="DG104" t="s">
        <v>2989</v>
      </c>
      <c r="DH104" t="s">
        <v>3884</v>
      </c>
      <c r="DJ104" t="s">
        <v>2129</v>
      </c>
      <c r="DK104" t="s">
        <v>2129</v>
      </c>
      <c r="DL104" t="s">
        <v>2172</v>
      </c>
      <c r="DM104" t="s">
        <v>3907</v>
      </c>
      <c r="DN104" t="s">
        <v>2129</v>
      </c>
      <c r="DO104" t="s">
        <v>2129</v>
      </c>
      <c r="DP104" t="s">
        <v>2129</v>
      </c>
      <c r="DQ104" t="s">
        <v>2129</v>
      </c>
      <c r="DR104" t="s">
        <v>2129</v>
      </c>
      <c r="DS104" t="s">
        <v>2129</v>
      </c>
      <c r="DT104" t="s">
        <v>2129</v>
      </c>
      <c r="DU104" t="s">
        <v>2129</v>
      </c>
      <c r="DV104" t="s">
        <v>2129</v>
      </c>
      <c r="DW104" t="s">
        <v>2129</v>
      </c>
      <c r="DX104" t="s">
        <v>2129</v>
      </c>
      <c r="DY104" t="s">
        <v>2129</v>
      </c>
      <c r="DZ104" t="s">
        <v>2129</v>
      </c>
      <c r="EA104" t="s">
        <v>2129</v>
      </c>
      <c r="EB104" t="s">
        <v>2129</v>
      </c>
      <c r="EC104" t="s">
        <v>2129</v>
      </c>
      <c r="ED104" t="s">
        <v>2129</v>
      </c>
      <c r="EE104" t="s">
        <v>2129</v>
      </c>
      <c r="EF104" t="s">
        <v>2129</v>
      </c>
      <c r="EG104" t="s">
        <v>2129</v>
      </c>
      <c r="EH104" t="s">
        <v>2129</v>
      </c>
    </row>
    <row r="105" spans="1:138" x14ac:dyDescent="0.25">
      <c r="A105" t="s">
        <v>3168</v>
      </c>
      <c r="B105" t="s">
        <v>3223</v>
      </c>
      <c r="C105">
        <v>23182</v>
      </c>
      <c r="E105" t="s">
        <v>14</v>
      </c>
      <c r="F105" t="s">
        <v>1820</v>
      </c>
      <c r="G105" t="s">
        <v>2173</v>
      </c>
      <c r="H105" t="s">
        <v>50</v>
      </c>
      <c r="I105" t="s">
        <v>2127</v>
      </c>
      <c r="J105" t="s">
        <v>2156</v>
      </c>
      <c r="K105" t="s">
        <v>2129</v>
      </c>
      <c r="L105" t="s">
        <v>2174</v>
      </c>
      <c r="M105" t="s">
        <v>2130</v>
      </c>
      <c r="N105" t="s">
        <v>2129</v>
      </c>
      <c r="O105" t="s">
        <v>2175</v>
      </c>
      <c r="P105" t="s">
        <v>2145</v>
      </c>
      <c r="Q105" t="s">
        <v>2145</v>
      </c>
      <c r="R105" s="37">
        <v>46098.488194444442</v>
      </c>
      <c r="S105" s="37">
        <v>46099.62222222222</v>
      </c>
      <c r="T105" s="37">
        <v>46100.368750000001</v>
      </c>
      <c r="U105" s="37"/>
      <c r="V105" t="s">
        <v>2129</v>
      </c>
      <c r="W105" t="s">
        <v>2129</v>
      </c>
      <c r="X105" t="s">
        <v>2129</v>
      </c>
      <c r="Y105">
        <v>0</v>
      </c>
      <c r="Z105" t="s">
        <v>2129</v>
      </c>
      <c r="AA105" t="s">
        <v>3689</v>
      </c>
      <c r="AB105" t="s">
        <v>2129</v>
      </c>
      <c r="AC105" t="s">
        <v>2145</v>
      </c>
      <c r="AD105" t="s">
        <v>2129</v>
      </c>
      <c r="AE105" t="s">
        <v>2129</v>
      </c>
      <c r="AF105" t="s">
        <v>2129</v>
      </c>
      <c r="AG105" t="s">
        <v>2129</v>
      </c>
      <c r="AH105" t="s">
        <v>3908</v>
      </c>
      <c r="AI105" t="s">
        <v>2129</v>
      </c>
      <c r="AJ105" t="s">
        <v>2129</v>
      </c>
      <c r="AK105" t="s">
        <v>2129</v>
      </c>
      <c r="AL105" t="s">
        <v>2129</v>
      </c>
      <c r="AM105" t="s">
        <v>2129</v>
      </c>
      <c r="AN105" t="s">
        <v>2129</v>
      </c>
      <c r="AO105" t="s">
        <v>2129</v>
      </c>
      <c r="AP105" t="s">
        <v>2129</v>
      </c>
      <c r="AQ105" t="s">
        <v>2129</v>
      </c>
      <c r="AR105" t="s">
        <v>2129</v>
      </c>
      <c r="AS105" t="s">
        <v>2129</v>
      </c>
      <c r="AT105" t="s">
        <v>2129</v>
      </c>
      <c r="AU105" t="s">
        <v>2129</v>
      </c>
      <c r="AV105" t="s">
        <v>2129</v>
      </c>
      <c r="AW105" t="s">
        <v>2129</v>
      </c>
      <c r="AX105" t="s">
        <v>2129</v>
      </c>
      <c r="AY105" t="s">
        <v>2129</v>
      </c>
      <c r="AZ105" t="s">
        <v>2129</v>
      </c>
      <c r="BA105" t="s">
        <v>2129</v>
      </c>
      <c r="BB105" t="s">
        <v>2129</v>
      </c>
      <c r="BC105" t="s">
        <v>2129</v>
      </c>
      <c r="BD105" t="s">
        <v>2129</v>
      </c>
      <c r="BE105" t="s">
        <v>2129</v>
      </c>
      <c r="BF105" t="s">
        <v>2129</v>
      </c>
      <c r="BG105" t="s">
        <v>2129</v>
      </c>
      <c r="BH105" t="s">
        <v>2129</v>
      </c>
      <c r="BI105" t="s">
        <v>2129</v>
      </c>
      <c r="BJ105" t="s">
        <v>2129</v>
      </c>
      <c r="BK105" t="s">
        <v>2129</v>
      </c>
      <c r="BL105" t="s">
        <v>2129</v>
      </c>
      <c r="BM105" t="s">
        <v>2129</v>
      </c>
      <c r="BN105" t="s">
        <v>2129</v>
      </c>
      <c r="BO105" t="s">
        <v>2129</v>
      </c>
      <c r="BP105" t="s">
        <v>2129</v>
      </c>
      <c r="BQ105">
        <v>0</v>
      </c>
      <c r="BR105">
        <v>9000</v>
      </c>
      <c r="BS105" t="s">
        <v>2129</v>
      </c>
      <c r="BT105" t="s">
        <v>2129</v>
      </c>
      <c r="BU105">
        <v>0</v>
      </c>
      <c r="BV105">
        <v>9000</v>
      </c>
      <c r="BW105" t="s">
        <v>2129</v>
      </c>
      <c r="BX105" t="s">
        <v>2129</v>
      </c>
      <c r="BY105" t="s">
        <v>2129</v>
      </c>
      <c r="BZ105" t="s">
        <v>2129</v>
      </c>
      <c r="CA105" t="s">
        <v>2129</v>
      </c>
      <c r="CB105" t="s">
        <v>2129</v>
      </c>
      <c r="CC105" t="s">
        <v>2129</v>
      </c>
      <c r="CD105" t="s">
        <v>2129</v>
      </c>
      <c r="CE105" t="s">
        <v>2129</v>
      </c>
      <c r="CF105" t="s">
        <v>2129</v>
      </c>
      <c r="CG105" t="s">
        <v>2129</v>
      </c>
      <c r="CH105" t="s">
        <v>2129</v>
      </c>
      <c r="CI105" t="s">
        <v>2129</v>
      </c>
      <c r="CJ105" t="s">
        <v>2129</v>
      </c>
      <c r="CK105" t="s">
        <v>2129</v>
      </c>
      <c r="CL105" t="s">
        <v>2129</v>
      </c>
      <c r="CM105" t="s">
        <v>2129</v>
      </c>
      <c r="CN105" t="s">
        <v>2129</v>
      </c>
      <c r="CO105" t="s">
        <v>2129</v>
      </c>
      <c r="CP105" t="s">
        <v>2129</v>
      </c>
      <c r="CQ105" t="s">
        <v>2129</v>
      </c>
      <c r="CR105" t="s">
        <v>2129</v>
      </c>
      <c r="CS105" t="s">
        <v>2129</v>
      </c>
      <c r="CT105" t="s">
        <v>3909</v>
      </c>
      <c r="CU105" t="s">
        <v>2992</v>
      </c>
      <c r="CV105" t="s">
        <v>2129</v>
      </c>
      <c r="CW105" t="s">
        <v>2129</v>
      </c>
      <c r="CX105" t="s">
        <v>2129</v>
      </c>
      <c r="CY105" t="s">
        <v>2129</v>
      </c>
      <c r="CZ105" t="s">
        <v>2129</v>
      </c>
      <c r="DA105" t="s">
        <v>2129</v>
      </c>
      <c r="DB105" t="s">
        <v>2129</v>
      </c>
      <c r="DC105" t="s">
        <v>2129</v>
      </c>
      <c r="DD105" t="s">
        <v>2129</v>
      </c>
      <c r="DE105" t="s">
        <v>2129</v>
      </c>
      <c r="DF105" t="s">
        <v>2129</v>
      </c>
      <c r="DG105" t="s">
        <v>2129</v>
      </c>
      <c r="DH105" t="s">
        <v>2129</v>
      </c>
      <c r="DI105">
        <v>30</v>
      </c>
      <c r="DJ105" t="s">
        <v>2129</v>
      </c>
      <c r="DK105" t="s">
        <v>2129</v>
      </c>
      <c r="DL105" t="s">
        <v>2129</v>
      </c>
      <c r="DM105" t="s">
        <v>2129</v>
      </c>
      <c r="DN105" t="s">
        <v>2129</v>
      </c>
      <c r="DO105" t="s">
        <v>2129</v>
      </c>
      <c r="DP105" t="s">
        <v>2129</v>
      </c>
      <c r="DQ105" t="s">
        <v>2129</v>
      </c>
      <c r="DR105" t="s">
        <v>2129</v>
      </c>
      <c r="DS105" t="s">
        <v>2129</v>
      </c>
      <c r="DT105" t="s">
        <v>2129</v>
      </c>
      <c r="DU105" t="s">
        <v>2129</v>
      </c>
      <c r="DV105" t="s">
        <v>2129</v>
      </c>
      <c r="DW105" t="s">
        <v>2129</v>
      </c>
      <c r="DX105" t="s">
        <v>2129</v>
      </c>
      <c r="DY105" t="s">
        <v>2129</v>
      </c>
      <c r="DZ105" t="s">
        <v>2129</v>
      </c>
      <c r="EA105" t="s">
        <v>2129</v>
      </c>
      <c r="EB105" t="s">
        <v>2129</v>
      </c>
      <c r="EC105" t="s">
        <v>2129</v>
      </c>
      <c r="ED105" t="s">
        <v>2129</v>
      </c>
      <c r="EE105" t="s">
        <v>2129</v>
      </c>
      <c r="EF105" t="s">
        <v>2129</v>
      </c>
      <c r="EG105" t="s">
        <v>2129</v>
      </c>
      <c r="EH105" t="s">
        <v>2129</v>
      </c>
    </row>
    <row r="106" spans="1:138" x14ac:dyDescent="0.25">
      <c r="A106" t="s">
        <v>2159</v>
      </c>
      <c r="B106" t="s">
        <v>3910</v>
      </c>
      <c r="C106">
        <v>23167</v>
      </c>
      <c r="E106" t="s">
        <v>2136</v>
      </c>
      <c r="F106" t="s">
        <v>10</v>
      </c>
      <c r="G106" t="s">
        <v>2173</v>
      </c>
      <c r="H106" t="s">
        <v>50</v>
      </c>
      <c r="I106" t="s">
        <v>2127</v>
      </c>
      <c r="J106" t="s">
        <v>2156</v>
      </c>
      <c r="K106" t="s">
        <v>2129</v>
      </c>
      <c r="L106" t="s">
        <v>2174</v>
      </c>
      <c r="M106" t="s">
        <v>2130</v>
      </c>
      <c r="N106" t="s">
        <v>2129</v>
      </c>
      <c r="O106" t="s">
        <v>2156</v>
      </c>
      <c r="P106" t="s">
        <v>2156</v>
      </c>
      <c r="Q106" t="s">
        <v>2156</v>
      </c>
      <c r="R106" s="37">
        <v>46098.42291666667</v>
      </c>
      <c r="S106" s="37">
        <v>46098.42291666667</v>
      </c>
      <c r="T106" s="37">
        <v>46100.368750000001</v>
      </c>
      <c r="U106" s="37"/>
      <c r="V106" t="s">
        <v>2129</v>
      </c>
      <c r="W106" t="s">
        <v>2129</v>
      </c>
      <c r="X106" t="s">
        <v>2129</v>
      </c>
      <c r="Y106">
        <v>0</v>
      </c>
      <c r="Z106" t="s">
        <v>2129</v>
      </c>
      <c r="AA106" t="s">
        <v>2129</v>
      </c>
      <c r="AB106" t="s">
        <v>2129</v>
      </c>
      <c r="AC106" t="s">
        <v>2156</v>
      </c>
      <c r="AD106" t="s">
        <v>2129</v>
      </c>
      <c r="AE106" t="s">
        <v>2129</v>
      </c>
      <c r="AF106" t="s">
        <v>2129</v>
      </c>
      <c r="AG106" t="s">
        <v>2129</v>
      </c>
      <c r="AH106" t="s">
        <v>2129</v>
      </c>
      <c r="AI106" t="s">
        <v>2129</v>
      </c>
      <c r="AJ106" t="s">
        <v>2129</v>
      </c>
      <c r="AK106" t="s">
        <v>2129</v>
      </c>
      <c r="AL106" t="s">
        <v>2129</v>
      </c>
      <c r="AM106" t="s">
        <v>2129</v>
      </c>
      <c r="AN106" t="s">
        <v>2129</v>
      </c>
      <c r="AO106" t="s">
        <v>2129</v>
      </c>
      <c r="AP106" t="s">
        <v>2129</v>
      </c>
      <c r="AQ106" t="s">
        <v>2129</v>
      </c>
      <c r="AR106" t="s">
        <v>2129</v>
      </c>
      <c r="AS106" t="s">
        <v>2129</v>
      </c>
      <c r="AT106" t="s">
        <v>2129</v>
      </c>
      <c r="AU106" t="s">
        <v>2129</v>
      </c>
      <c r="AV106" t="s">
        <v>2129</v>
      </c>
      <c r="AW106" t="s">
        <v>2129</v>
      </c>
      <c r="AX106" t="s">
        <v>2129</v>
      </c>
      <c r="AY106" t="s">
        <v>2129</v>
      </c>
      <c r="AZ106" t="s">
        <v>2129</v>
      </c>
      <c r="BA106" t="s">
        <v>2129</v>
      </c>
      <c r="BB106" t="s">
        <v>2129</v>
      </c>
      <c r="BC106" t="s">
        <v>2129</v>
      </c>
      <c r="BD106" t="s">
        <v>2129</v>
      </c>
      <c r="BE106" t="s">
        <v>2129</v>
      </c>
      <c r="BF106" t="s">
        <v>2129</v>
      </c>
      <c r="BG106" t="s">
        <v>2129</v>
      </c>
      <c r="BH106" t="s">
        <v>2129</v>
      </c>
      <c r="BI106" t="s">
        <v>2129</v>
      </c>
      <c r="BJ106" t="s">
        <v>2129</v>
      </c>
      <c r="BK106" t="s">
        <v>2129</v>
      </c>
      <c r="BL106" t="s">
        <v>2129</v>
      </c>
      <c r="BM106" t="s">
        <v>2129</v>
      </c>
      <c r="BN106" t="s">
        <v>2129</v>
      </c>
      <c r="BO106" t="s">
        <v>2129</v>
      </c>
      <c r="BP106" t="s">
        <v>2129</v>
      </c>
      <c r="BS106" t="s">
        <v>2129</v>
      </c>
      <c r="BT106" t="s">
        <v>2129</v>
      </c>
      <c r="BW106" t="s">
        <v>2129</v>
      </c>
      <c r="BX106" t="s">
        <v>2129</v>
      </c>
      <c r="BY106" t="s">
        <v>2129</v>
      </c>
      <c r="BZ106" t="s">
        <v>2129</v>
      </c>
      <c r="CA106" t="s">
        <v>2129</v>
      </c>
      <c r="CB106" t="s">
        <v>2129</v>
      </c>
      <c r="CC106" t="s">
        <v>2129</v>
      </c>
      <c r="CD106" t="s">
        <v>2129</v>
      </c>
      <c r="CE106" t="s">
        <v>2129</v>
      </c>
      <c r="CF106" t="s">
        <v>2129</v>
      </c>
      <c r="CG106" t="s">
        <v>2129</v>
      </c>
      <c r="CH106" t="s">
        <v>2129</v>
      </c>
      <c r="CI106" t="s">
        <v>2129</v>
      </c>
      <c r="CJ106" t="s">
        <v>2129</v>
      </c>
      <c r="CK106" t="s">
        <v>2129</v>
      </c>
      <c r="CL106" t="s">
        <v>2129</v>
      </c>
      <c r="CM106" t="s">
        <v>2129</v>
      </c>
      <c r="CN106" t="s">
        <v>2129</v>
      </c>
      <c r="CO106" t="s">
        <v>2129</v>
      </c>
      <c r="CP106" t="s">
        <v>2129</v>
      </c>
      <c r="CQ106" t="s">
        <v>2129</v>
      </c>
      <c r="CR106" t="s">
        <v>2129</v>
      </c>
      <c r="CS106" t="s">
        <v>2129</v>
      </c>
      <c r="CT106" t="s">
        <v>3911</v>
      </c>
      <c r="CU106" t="s">
        <v>3912</v>
      </c>
      <c r="CV106" t="s">
        <v>2129</v>
      </c>
      <c r="CW106" t="s">
        <v>2129</v>
      </c>
      <c r="CX106" t="s">
        <v>2129</v>
      </c>
      <c r="CY106" t="s">
        <v>2129</v>
      </c>
      <c r="CZ106" t="s">
        <v>2129</v>
      </c>
      <c r="DA106" t="s">
        <v>2129</v>
      </c>
      <c r="DB106" t="s">
        <v>2129</v>
      </c>
      <c r="DC106" t="s">
        <v>2129</v>
      </c>
      <c r="DD106" t="s">
        <v>2129</v>
      </c>
      <c r="DE106" t="s">
        <v>2129</v>
      </c>
      <c r="DF106" t="s">
        <v>2129</v>
      </c>
      <c r="DG106" t="s">
        <v>2129</v>
      </c>
      <c r="DH106" t="s">
        <v>2129</v>
      </c>
      <c r="DJ106" t="s">
        <v>2129</v>
      </c>
      <c r="DK106" t="s">
        <v>2129</v>
      </c>
      <c r="DL106" t="s">
        <v>2129</v>
      </c>
      <c r="DM106" t="s">
        <v>2129</v>
      </c>
      <c r="DN106" t="s">
        <v>2129</v>
      </c>
      <c r="DO106" t="s">
        <v>2129</v>
      </c>
      <c r="DP106" t="s">
        <v>2129</v>
      </c>
      <c r="DQ106" t="s">
        <v>2129</v>
      </c>
      <c r="DR106" t="s">
        <v>2129</v>
      </c>
      <c r="DS106" t="s">
        <v>2129</v>
      </c>
      <c r="DT106" t="s">
        <v>2129</v>
      </c>
      <c r="DU106" t="s">
        <v>2129</v>
      </c>
      <c r="DV106" t="s">
        <v>2129</v>
      </c>
      <c r="DW106" t="s">
        <v>2129</v>
      </c>
      <c r="DX106" t="s">
        <v>2129</v>
      </c>
      <c r="DY106" t="s">
        <v>2129</v>
      </c>
      <c r="DZ106" t="s">
        <v>2129</v>
      </c>
      <c r="EA106" t="s">
        <v>2129</v>
      </c>
      <c r="EB106" t="s">
        <v>2129</v>
      </c>
      <c r="EC106" t="s">
        <v>2129</v>
      </c>
      <c r="ED106" t="s">
        <v>2129</v>
      </c>
      <c r="EE106" t="s">
        <v>2129</v>
      </c>
      <c r="EF106" t="s">
        <v>2129</v>
      </c>
      <c r="EG106" t="s">
        <v>2129</v>
      </c>
      <c r="EH106" t="s">
        <v>2129</v>
      </c>
    </row>
    <row r="107" spans="1:138" x14ac:dyDescent="0.25">
      <c r="A107" t="s">
        <v>2159</v>
      </c>
      <c r="B107" t="s">
        <v>3913</v>
      </c>
      <c r="C107">
        <v>23166</v>
      </c>
      <c r="E107" t="s">
        <v>2136</v>
      </c>
      <c r="F107" t="s">
        <v>10</v>
      </c>
      <c r="G107" t="s">
        <v>2173</v>
      </c>
      <c r="H107" t="s">
        <v>50</v>
      </c>
      <c r="I107" t="s">
        <v>2127</v>
      </c>
      <c r="J107" t="s">
        <v>2156</v>
      </c>
      <c r="K107" t="s">
        <v>2129</v>
      </c>
      <c r="L107" t="s">
        <v>2174</v>
      </c>
      <c r="M107" t="s">
        <v>2130</v>
      </c>
      <c r="N107" t="s">
        <v>2129</v>
      </c>
      <c r="O107" t="s">
        <v>2156</v>
      </c>
      <c r="P107" t="s">
        <v>2156</v>
      </c>
      <c r="Q107" t="s">
        <v>2156</v>
      </c>
      <c r="R107" s="37">
        <v>46098.42291666667</v>
      </c>
      <c r="S107" s="37">
        <v>46098.42291666667</v>
      </c>
      <c r="T107" s="37">
        <v>46100.368750000001</v>
      </c>
      <c r="U107" s="37"/>
      <c r="V107" t="s">
        <v>2129</v>
      </c>
      <c r="W107" t="s">
        <v>2129</v>
      </c>
      <c r="X107" t="s">
        <v>2129</v>
      </c>
      <c r="Y107">
        <v>0</v>
      </c>
      <c r="Z107" t="s">
        <v>2129</v>
      </c>
      <c r="AA107" t="s">
        <v>2129</v>
      </c>
      <c r="AB107" t="s">
        <v>2129</v>
      </c>
      <c r="AC107" t="s">
        <v>2156</v>
      </c>
      <c r="AD107" t="s">
        <v>2129</v>
      </c>
      <c r="AE107" t="s">
        <v>2129</v>
      </c>
      <c r="AF107" t="s">
        <v>2129</v>
      </c>
      <c r="AG107" t="s">
        <v>2129</v>
      </c>
      <c r="AH107" t="s">
        <v>2129</v>
      </c>
      <c r="AI107" t="s">
        <v>2129</v>
      </c>
      <c r="AJ107" t="s">
        <v>2129</v>
      </c>
      <c r="AK107" t="s">
        <v>2129</v>
      </c>
      <c r="AL107" t="s">
        <v>2129</v>
      </c>
      <c r="AM107" t="s">
        <v>2129</v>
      </c>
      <c r="AN107" t="s">
        <v>2129</v>
      </c>
      <c r="AO107" t="s">
        <v>2129</v>
      </c>
      <c r="AP107" t="s">
        <v>2129</v>
      </c>
      <c r="AQ107" t="s">
        <v>2129</v>
      </c>
      <c r="AR107" t="s">
        <v>2129</v>
      </c>
      <c r="AS107" t="s">
        <v>2129</v>
      </c>
      <c r="AT107" t="s">
        <v>2129</v>
      </c>
      <c r="AU107" t="s">
        <v>2129</v>
      </c>
      <c r="AV107" t="s">
        <v>2129</v>
      </c>
      <c r="AW107" t="s">
        <v>2129</v>
      </c>
      <c r="AX107" t="s">
        <v>2129</v>
      </c>
      <c r="AY107" t="s">
        <v>2129</v>
      </c>
      <c r="AZ107" t="s">
        <v>2129</v>
      </c>
      <c r="BA107" t="s">
        <v>2129</v>
      </c>
      <c r="BB107" t="s">
        <v>2129</v>
      </c>
      <c r="BC107" t="s">
        <v>2129</v>
      </c>
      <c r="BD107" t="s">
        <v>2129</v>
      </c>
      <c r="BE107" t="s">
        <v>2129</v>
      </c>
      <c r="BF107" t="s">
        <v>2129</v>
      </c>
      <c r="BG107" t="s">
        <v>2129</v>
      </c>
      <c r="BH107" t="s">
        <v>2129</v>
      </c>
      <c r="BI107" t="s">
        <v>2129</v>
      </c>
      <c r="BJ107" t="s">
        <v>2129</v>
      </c>
      <c r="BK107" t="s">
        <v>2129</v>
      </c>
      <c r="BL107" t="s">
        <v>2129</v>
      </c>
      <c r="BM107" t="s">
        <v>2129</v>
      </c>
      <c r="BN107" t="s">
        <v>2129</v>
      </c>
      <c r="BO107" t="s">
        <v>2129</v>
      </c>
      <c r="BP107" t="s">
        <v>2129</v>
      </c>
      <c r="BS107" t="s">
        <v>2129</v>
      </c>
      <c r="BT107" t="s">
        <v>2129</v>
      </c>
      <c r="BW107" t="s">
        <v>2129</v>
      </c>
      <c r="BX107" t="s">
        <v>2129</v>
      </c>
      <c r="BY107" t="s">
        <v>2129</v>
      </c>
      <c r="BZ107" t="s">
        <v>2129</v>
      </c>
      <c r="CA107" t="s">
        <v>2129</v>
      </c>
      <c r="CB107" t="s">
        <v>2129</v>
      </c>
      <c r="CC107" t="s">
        <v>2129</v>
      </c>
      <c r="CD107" t="s">
        <v>2129</v>
      </c>
      <c r="CE107" t="s">
        <v>2129</v>
      </c>
      <c r="CF107" t="s">
        <v>2129</v>
      </c>
      <c r="CG107" t="s">
        <v>2129</v>
      </c>
      <c r="CH107" t="s">
        <v>2129</v>
      </c>
      <c r="CI107" t="s">
        <v>2129</v>
      </c>
      <c r="CJ107" t="s">
        <v>2129</v>
      </c>
      <c r="CK107" t="s">
        <v>2129</v>
      </c>
      <c r="CL107" t="s">
        <v>2129</v>
      </c>
      <c r="CM107" t="s">
        <v>2129</v>
      </c>
      <c r="CN107" t="s">
        <v>2129</v>
      </c>
      <c r="CO107" t="s">
        <v>2129</v>
      </c>
      <c r="CP107" t="s">
        <v>2129</v>
      </c>
      <c r="CQ107" t="s">
        <v>2129</v>
      </c>
      <c r="CR107" t="s">
        <v>2129</v>
      </c>
      <c r="CS107" t="s">
        <v>2129</v>
      </c>
      <c r="CT107" t="s">
        <v>3914</v>
      </c>
      <c r="CU107" t="s">
        <v>3912</v>
      </c>
      <c r="CV107" t="s">
        <v>2129</v>
      </c>
      <c r="CW107" t="s">
        <v>2129</v>
      </c>
      <c r="CX107" t="s">
        <v>2129</v>
      </c>
      <c r="CY107" t="s">
        <v>2129</v>
      </c>
      <c r="CZ107" t="s">
        <v>2129</v>
      </c>
      <c r="DA107" t="s">
        <v>2129</v>
      </c>
      <c r="DB107" t="s">
        <v>2129</v>
      </c>
      <c r="DC107" t="s">
        <v>2129</v>
      </c>
      <c r="DD107" t="s">
        <v>2129</v>
      </c>
      <c r="DE107" t="s">
        <v>2129</v>
      </c>
      <c r="DF107" t="s">
        <v>2129</v>
      </c>
      <c r="DG107" t="s">
        <v>2129</v>
      </c>
      <c r="DH107" t="s">
        <v>2129</v>
      </c>
      <c r="DJ107" t="s">
        <v>2129</v>
      </c>
      <c r="DK107" t="s">
        <v>2129</v>
      </c>
      <c r="DL107" t="s">
        <v>2129</v>
      </c>
      <c r="DM107" t="s">
        <v>2129</v>
      </c>
      <c r="DN107" t="s">
        <v>2129</v>
      </c>
      <c r="DO107" t="s">
        <v>2129</v>
      </c>
      <c r="DP107" t="s">
        <v>2129</v>
      </c>
      <c r="DQ107" t="s">
        <v>2129</v>
      </c>
      <c r="DR107" t="s">
        <v>2129</v>
      </c>
      <c r="DS107" t="s">
        <v>2129</v>
      </c>
      <c r="DT107" t="s">
        <v>2129</v>
      </c>
      <c r="DU107" t="s">
        <v>2129</v>
      </c>
      <c r="DV107" t="s">
        <v>2129</v>
      </c>
      <c r="DW107" t="s">
        <v>2129</v>
      </c>
      <c r="DX107" t="s">
        <v>2129</v>
      </c>
      <c r="DY107" t="s">
        <v>2129</v>
      </c>
      <c r="DZ107" t="s">
        <v>2129</v>
      </c>
      <c r="EA107" t="s">
        <v>2129</v>
      </c>
      <c r="EB107" t="s">
        <v>2129</v>
      </c>
      <c r="EC107" t="s">
        <v>2129</v>
      </c>
      <c r="ED107" t="s">
        <v>2129</v>
      </c>
      <c r="EE107" t="s">
        <v>2129</v>
      </c>
      <c r="EF107" t="s">
        <v>2129</v>
      </c>
      <c r="EG107" t="s">
        <v>2129</v>
      </c>
      <c r="EH107" t="s">
        <v>2129</v>
      </c>
    </row>
    <row r="108" spans="1:138" x14ac:dyDescent="0.25">
      <c r="A108" t="s">
        <v>3226</v>
      </c>
      <c r="B108" t="s">
        <v>3217</v>
      </c>
      <c r="C108">
        <v>23134</v>
      </c>
      <c r="E108" t="s">
        <v>77</v>
      </c>
      <c r="F108" t="s">
        <v>16</v>
      </c>
      <c r="G108" t="s">
        <v>2173</v>
      </c>
      <c r="H108" t="s">
        <v>50</v>
      </c>
      <c r="I108" t="s">
        <v>2127</v>
      </c>
      <c r="J108" t="s">
        <v>2156</v>
      </c>
      <c r="K108" t="s">
        <v>2129</v>
      </c>
      <c r="L108" t="s">
        <v>2174</v>
      </c>
      <c r="M108" t="s">
        <v>2130</v>
      </c>
      <c r="N108" t="s">
        <v>2153</v>
      </c>
      <c r="O108" t="s">
        <v>2150</v>
      </c>
      <c r="P108" t="s">
        <v>2156</v>
      </c>
      <c r="Q108" t="s">
        <v>2156</v>
      </c>
      <c r="R108" s="37">
        <v>46090.554166666669</v>
      </c>
      <c r="S108" s="37">
        <v>46092.754861111112</v>
      </c>
      <c r="T108" s="37">
        <v>46090.663194444445</v>
      </c>
      <c r="U108" s="37">
        <v>46092.754166666666</v>
      </c>
      <c r="V108" t="s">
        <v>2129</v>
      </c>
      <c r="W108" t="s">
        <v>2129</v>
      </c>
      <c r="X108" t="s">
        <v>2129</v>
      </c>
      <c r="Y108">
        <v>0</v>
      </c>
      <c r="Z108" t="s">
        <v>2129</v>
      </c>
      <c r="AA108" t="s">
        <v>3915</v>
      </c>
      <c r="AB108" t="s">
        <v>2129</v>
      </c>
      <c r="AC108" t="s">
        <v>2150</v>
      </c>
      <c r="AD108" t="s">
        <v>2175</v>
      </c>
      <c r="AE108" t="s">
        <v>2156</v>
      </c>
      <c r="AF108" t="s">
        <v>2129</v>
      </c>
      <c r="AG108" t="s">
        <v>2129</v>
      </c>
      <c r="AH108" t="s">
        <v>3916</v>
      </c>
      <c r="AI108" t="s">
        <v>3917</v>
      </c>
      <c r="AJ108" t="s">
        <v>2129</v>
      </c>
      <c r="AK108" t="s">
        <v>2129</v>
      </c>
      <c r="AL108" t="s">
        <v>2129</v>
      </c>
      <c r="AM108" t="s">
        <v>2129</v>
      </c>
      <c r="AN108" t="s">
        <v>2129</v>
      </c>
      <c r="AO108" t="s">
        <v>2129</v>
      </c>
      <c r="AP108" t="s">
        <v>2129</v>
      </c>
      <c r="AQ108" t="s">
        <v>2129</v>
      </c>
      <c r="AR108" t="s">
        <v>2129</v>
      </c>
      <c r="AS108" t="s">
        <v>2129</v>
      </c>
      <c r="AT108" t="s">
        <v>2129</v>
      </c>
      <c r="AU108" t="s">
        <v>2129</v>
      </c>
      <c r="AV108" t="s">
        <v>2129</v>
      </c>
      <c r="AW108" t="s">
        <v>2129</v>
      </c>
      <c r="AX108" t="s">
        <v>2129</v>
      </c>
      <c r="AY108" t="s">
        <v>2129</v>
      </c>
      <c r="AZ108" t="s">
        <v>2129</v>
      </c>
      <c r="BA108" t="s">
        <v>2129</v>
      </c>
      <c r="BB108" t="s">
        <v>2129</v>
      </c>
      <c r="BC108" t="s">
        <v>2129</v>
      </c>
      <c r="BD108" t="s">
        <v>2129</v>
      </c>
      <c r="BE108" t="s">
        <v>2129</v>
      </c>
      <c r="BF108" t="s">
        <v>2129</v>
      </c>
      <c r="BG108" t="s">
        <v>2129</v>
      </c>
      <c r="BH108" t="s">
        <v>2129</v>
      </c>
      <c r="BI108" t="s">
        <v>2129</v>
      </c>
      <c r="BJ108" t="s">
        <v>2129</v>
      </c>
      <c r="BK108" t="s">
        <v>2129</v>
      </c>
      <c r="BL108" t="s">
        <v>2129</v>
      </c>
      <c r="BM108" t="s">
        <v>2129</v>
      </c>
      <c r="BN108" t="s">
        <v>2129</v>
      </c>
      <c r="BO108" t="s">
        <v>2129</v>
      </c>
      <c r="BP108" t="s">
        <v>2129</v>
      </c>
      <c r="BQ108">
        <v>0</v>
      </c>
      <c r="BR108">
        <v>12600</v>
      </c>
      <c r="BS108" t="s">
        <v>2129</v>
      </c>
      <c r="BT108" t="s">
        <v>2129</v>
      </c>
      <c r="BU108">
        <v>0</v>
      </c>
      <c r="BV108">
        <v>12600</v>
      </c>
      <c r="BW108" t="s">
        <v>2129</v>
      </c>
      <c r="BX108" t="s">
        <v>2129</v>
      </c>
      <c r="BY108" t="s">
        <v>2129</v>
      </c>
      <c r="BZ108" t="s">
        <v>2129</v>
      </c>
      <c r="CA108" t="s">
        <v>2129</v>
      </c>
      <c r="CB108" t="s">
        <v>2129</v>
      </c>
      <c r="CC108" t="s">
        <v>2129</v>
      </c>
      <c r="CD108" t="s">
        <v>2129</v>
      </c>
      <c r="CE108" t="s">
        <v>2129</v>
      </c>
      <c r="CF108" t="s">
        <v>2129</v>
      </c>
      <c r="CG108" t="s">
        <v>2129</v>
      </c>
      <c r="CH108" t="s">
        <v>2129</v>
      </c>
      <c r="CI108" t="s">
        <v>2129</v>
      </c>
      <c r="CJ108" t="s">
        <v>2129</v>
      </c>
      <c r="CK108" t="s">
        <v>2129</v>
      </c>
      <c r="CL108" t="s">
        <v>2129</v>
      </c>
      <c r="CM108" t="s">
        <v>2129</v>
      </c>
      <c r="CN108" t="s">
        <v>2129</v>
      </c>
      <c r="CO108" t="s">
        <v>2129</v>
      </c>
      <c r="CP108" t="s">
        <v>2129</v>
      </c>
      <c r="CQ108" t="s">
        <v>2129</v>
      </c>
      <c r="CR108" t="s">
        <v>2129</v>
      </c>
      <c r="CS108" t="s">
        <v>2129</v>
      </c>
      <c r="CT108" t="s">
        <v>3918</v>
      </c>
      <c r="CU108" t="s">
        <v>2992</v>
      </c>
      <c r="CV108" t="s">
        <v>2129</v>
      </c>
      <c r="CW108" t="s">
        <v>2129</v>
      </c>
      <c r="CX108" t="s">
        <v>2129</v>
      </c>
      <c r="CY108" t="s">
        <v>2129</v>
      </c>
      <c r="CZ108" t="s">
        <v>2129</v>
      </c>
      <c r="DA108" t="s">
        <v>2129</v>
      </c>
      <c r="DB108" t="s">
        <v>2129</v>
      </c>
      <c r="DC108" t="s">
        <v>2129</v>
      </c>
      <c r="DD108" t="s">
        <v>2129</v>
      </c>
      <c r="DE108" t="s">
        <v>2129</v>
      </c>
      <c r="DF108" t="s">
        <v>2129</v>
      </c>
      <c r="DG108" t="s">
        <v>2129</v>
      </c>
      <c r="DH108" t="s">
        <v>2129</v>
      </c>
      <c r="DI108">
        <v>20</v>
      </c>
      <c r="DJ108" t="s">
        <v>2129</v>
      </c>
      <c r="DK108" t="s">
        <v>2129</v>
      </c>
      <c r="DL108" t="s">
        <v>3919</v>
      </c>
      <c r="DM108" t="s">
        <v>3920</v>
      </c>
      <c r="DN108" t="s">
        <v>2129</v>
      </c>
      <c r="DO108" t="s">
        <v>2129</v>
      </c>
      <c r="DP108" t="s">
        <v>2129</v>
      </c>
      <c r="DQ108" t="s">
        <v>2129</v>
      </c>
      <c r="DR108" t="s">
        <v>2129</v>
      </c>
      <c r="DS108" t="s">
        <v>2129</v>
      </c>
      <c r="DT108" t="s">
        <v>2129</v>
      </c>
      <c r="DU108" t="s">
        <v>2129</v>
      </c>
      <c r="DV108" t="s">
        <v>2129</v>
      </c>
      <c r="DW108" t="s">
        <v>2129</v>
      </c>
      <c r="DX108" t="s">
        <v>2129</v>
      </c>
      <c r="DY108" t="s">
        <v>2129</v>
      </c>
      <c r="DZ108" t="s">
        <v>2129</v>
      </c>
      <c r="EA108" t="s">
        <v>2129</v>
      </c>
      <c r="EB108" t="s">
        <v>2129</v>
      </c>
      <c r="EC108" t="s">
        <v>2129</v>
      </c>
      <c r="ED108" t="s">
        <v>2129</v>
      </c>
      <c r="EE108" t="s">
        <v>2129</v>
      </c>
      <c r="EF108" t="s">
        <v>2129</v>
      </c>
      <c r="EG108" t="s">
        <v>2129</v>
      </c>
      <c r="EH108" t="s">
        <v>2129</v>
      </c>
    </row>
    <row r="109" spans="1:138" x14ac:dyDescent="0.25">
      <c r="A109" t="s">
        <v>3225</v>
      </c>
      <c r="B109" t="s">
        <v>3215</v>
      </c>
      <c r="C109">
        <v>23125</v>
      </c>
      <c r="E109" t="s">
        <v>14</v>
      </c>
      <c r="F109" t="s">
        <v>16</v>
      </c>
      <c r="G109" t="s">
        <v>2173</v>
      </c>
      <c r="H109" t="s">
        <v>50</v>
      </c>
      <c r="I109" t="s">
        <v>2127</v>
      </c>
      <c r="J109" t="s">
        <v>2156</v>
      </c>
      <c r="K109" t="s">
        <v>2129</v>
      </c>
      <c r="L109" t="s">
        <v>2174</v>
      </c>
      <c r="M109" t="s">
        <v>2130</v>
      </c>
      <c r="N109" t="s">
        <v>2153</v>
      </c>
      <c r="O109" t="s">
        <v>2156</v>
      </c>
      <c r="P109" t="s">
        <v>2145</v>
      </c>
      <c r="Q109" t="s">
        <v>2145</v>
      </c>
      <c r="R109" s="37">
        <v>46090.377083333333</v>
      </c>
      <c r="S109" s="37">
        <v>46098.520833333336</v>
      </c>
      <c r="T109" s="37">
        <v>46100.368750000001</v>
      </c>
      <c r="U109" s="37">
        <v>46091.520833333336</v>
      </c>
      <c r="V109" t="s">
        <v>2129</v>
      </c>
      <c r="W109" t="s">
        <v>2129</v>
      </c>
      <c r="X109" t="s">
        <v>2129</v>
      </c>
      <c r="Y109">
        <v>0</v>
      </c>
      <c r="Z109" t="s">
        <v>2129</v>
      </c>
      <c r="AA109" t="s">
        <v>3921</v>
      </c>
      <c r="AB109" t="s">
        <v>2129</v>
      </c>
      <c r="AC109" t="s">
        <v>2158</v>
      </c>
      <c r="AD109" t="s">
        <v>2145</v>
      </c>
      <c r="AE109" t="s">
        <v>2156</v>
      </c>
      <c r="AF109" t="s">
        <v>2129</v>
      </c>
      <c r="AG109" t="s">
        <v>2129</v>
      </c>
      <c r="AH109" t="s">
        <v>3922</v>
      </c>
      <c r="AI109" t="s">
        <v>3923</v>
      </c>
      <c r="AJ109" t="s">
        <v>2129</v>
      </c>
      <c r="AK109" t="s">
        <v>2129</v>
      </c>
      <c r="AL109" t="s">
        <v>2129</v>
      </c>
      <c r="AM109" t="s">
        <v>2129</v>
      </c>
      <c r="AN109" t="s">
        <v>2129</v>
      </c>
      <c r="AO109" t="s">
        <v>2129</v>
      </c>
      <c r="AP109" t="s">
        <v>2129</v>
      </c>
      <c r="AQ109" t="s">
        <v>2129</v>
      </c>
      <c r="AR109" t="s">
        <v>2129</v>
      </c>
      <c r="AS109" t="s">
        <v>2129</v>
      </c>
      <c r="AT109" t="s">
        <v>2129</v>
      </c>
      <c r="AU109" t="s">
        <v>2129</v>
      </c>
      <c r="AV109" t="s">
        <v>2129</v>
      </c>
      <c r="AW109" t="s">
        <v>2129</v>
      </c>
      <c r="AX109" t="s">
        <v>2129</v>
      </c>
      <c r="AY109" t="s">
        <v>2129</v>
      </c>
      <c r="AZ109" t="s">
        <v>2129</v>
      </c>
      <c r="BA109" t="s">
        <v>2129</v>
      </c>
      <c r="BB109" t="s">
        <v>2129</v>
      </c>
      <c r="BC109" t="s">
        <v>2129</v>
      </c>
      <c r="BD109" t="s">
        <v>2129</v>
      </c>
      <c r="BE109" t="s">
        <v>2129</v>
      </c>
      <c r="BF109" t="s">
        <v>2129</v>
      </c>
      <c r="BG109" t="s">
        <v>2129</v>
      </c>
      <c r="BH109" t="s">
        <v>2129</v>
      </c>
      <c r="BI109" t="s">
        <v>2129</v>
      </c>
      <c r="BJ109" t="s">
        <v>2129</v>
      </c>
      <c r="BK109" t="s">
        <v>2129</v>
      </c>
      <c r="BL109" t="s">
        <v>2129</v>
      </c>
      <c r="BM109" t="s">
        <v>2129</v>
      </c>
      <c r="BN109" t="s">
        <v>2129</v>
      </c>
      <c r="BO109" t="s">
        <v>2129</v>
      </c>
      <c r="BP109" t="s">
        <v>2129</v>
      </c>
      <c r="BQ109">
        <v>0</v>
      </c>
      <c r="BR109">
        <v>36000</v>
      </c>
      <c r="BS109" t="s">
        <v>2129</v>
      </c>
      <c r="BT109" t="s">
        <v>2129</v>
      </c>
      <c r="BU109">
        <v>0</v>
      </c>
      <c r="BV109">
        <v>36000</v>
      </c>
      <c r="BW109" t="s">
        <v>2129</v>
      </c>
      <c r="BX109" t="s">
        <v>2129</v>
      </c>
      <c r="BY109" t="s">
        <v>2129</v>
      </c>
      <c r="BZ109" t="s">
        <v>3924</v>
      </c>
      <c r="CA109" t="s">
        <v>2129</v>
      </c>
      <c r="CB109" t="s">
        <v>2129</v>
      </c>
      <c r="CC109" t="s">
        <v>2129</v>
      </c>
      <c r="CD109" t="s">
        <v>2129</v>
      </c>
      <c r="CE109" t="s">
        <v>2129</v>
      </c>
      <c r="CF109" t="s">
        <v>2129</v>
      </c>
      <c r="CG109" t="s">
        <v>2129</v>
      </c>
      <c r="CH109" t="s">
        <v>2129</v>
      </c>
      <c r="CI109" t="s">
        <v>2129</v>
      </c>
      <c r="CJ109" t="s">
        <v>2129</v>
      </c>
      <c r="CK109" t="s">
        <v>2129</v>
      </c>
      <c r="CL109" t="s">
        <v>2129</v>
      </c>
      <c r="CM109" t="s">
        <v>2913</v>
      </c>
      <c r="CN109" t="s">
        <v>2129</v>
      </c>
      <c r="CO109" t="s">
        <v>2129</v>
      </c>
      <c r="CP109" t="s">
        <v>2129</v>
      </c>
      <c r="CQ109" t="s">
        <v>2129</v>
      </c>
      <c r="CR109" t="s">
        <v>2129</v>
      </c>
      <c r="CS109" t="s">
        <v>2129</v>
      </c>
      <c r="CT109" t="s">
        <v>3925</v>
      </c>
      <c r="CU109" t="s">
        <v>2992</v>
      </c>
      <c r="CV109" t="s">
        <v>2129</v>
      </c>
      <c r="CW109" t="s">
        <v>2129</v>
      </c>
      <c r="CX109" t="s">
        <v>2129</v>
      </c>
      <c r="CY109" t="s">
        <v>2129</v>
      </c>
      <c r="CZ109" t="s">
        <v>2129</v>
      </c>
      <c r="DA109" t="s">
        <v>2129</v>
      </c>
      <c r="DB109" t="s">
        <v>2129</v>
      </c>
      <c r="DC109" t="s">
        <v>2129</v>
      </c>
      <c r="DD109" t="s">
        <v>2129</v>
      </c>
      <c r="DE109" t="s">
        <v>2129</v>
      </c>
      <c r="DF109" t="s">
        <v>2129</v>
      </c>
      <c r="DG109" t="s">
        <v>2129</v>
      </c>
      <c r="DH109" t="s">
        <v>2129</v>
      </c>
      <c r="DI109">
        <v>30</v>
      </c>
      <c r="DJ109" t="s">
        <v>2129</v>
      </c>
      <c r="DK109" t="s">
        <v>2129</v>
      </c>
      <c r="DL109" t="s">
        <v>3926</v>
      </c>
      <c r="DM109" t="s">
        <v>3927</v>
      </c>
      <c r="DN109" t="s">
        <v>2129</v>
      </c>
      <c r="DO109" t="s">
        <v>2129</v>
      </c>
      <c r="DP109" t="s">
        <v>2129</v>
      </c>
      <c r="DQ109" t="s">
        <v>2129</v>
      </c>
      <c r="DR109" t="s">
        <v>2129</v>
      </c>
      <c r="DS109" t="s">
        <v>2129</v>
      </c>
      <c r="DT109" t="s">
        <v>2129</v>
      </c>
      <c r="DU109" t="s">
        <v>2129</v>
      </c>
      <c r="DV109" t="s">
        <v>2129</v>
      </c>
      <c r="DW109" t="s">
        <v>2129</v>
      </c>
      <c r="DX109" t="s">
        <v>2129</v>
      </c>
      <c r="DY109" t="s">
        <v>2129</v>
      </c>
      <c r="DZ109" t="s">
        <v>2129</v>
      </c>
      <c r="EA109" t="s">
        <v>2129</v>
      </c>
      <c r="EB109" t="s">
        <v>2129</v>
      </c>
      <c r="EC109" t="s">
        <v>2129</v>
      </c>
      <c r="ED109" t="s">
        <v>2129</v>
      </c>
      <c r="EE109" t="s">
        <v>2129</v>
      </c>
      <c r="EF109" t="s">
        <v>2129</v>
      </c>
      <c r="EG109" t="s">
        <v>2129</v>
      </c>
      <c r="EH109" t="s">
        <v>2129</v>
      </c>
    </row>
    <row r="110" spans="1:138" x14ac:dyDescent="0.25">
      <c r="A110" t="s">
        <v>2159</v>
      </c>
      <c r="B110" t="s">
        <v>2990</v>
      </c>
      <c r="C110">
        <v>23095</v>
      </c>
      <c r="E110" t="s">
        <v>2136</v>
      </c>
      <c r="F110" t="s">
        <v>10</v>
      </c>
      <c r="G110" t="s">
        <v>2173</v>
      </c>
      <c r="H110" t="s">
        <v>50</v>
      </c>
      <c r="I110" t="s">
        <v>2127</v>
      </c>
      <c r="J110" t="s">
        <v>2156</v>
      </c>
      <c r="K110" t="s">
        <v>2129</v>
      </c>
      <c r="L110" t="s">
        <v>2174</v>
      </c>
      <c r="M110" t="s">
        <v>2130</v>
      </c>
      <c r="N110" t="s">
        <v>2129</v>
      </c>
      <c r="O110" t="s">
        <v>2175</v>
      </c>
      <c r="P110" t="s">
        <v>2156</v>
      </c>
      <c r="Q110" t="s">
        <v>2156</v>
      </c>
      <c r="R110" s="37">
        <v>46084.540277777778</v>
      </c>
      <c r="S110" s="37">
        <v>46099.588194444441</v>
      </c>
      <c r="T110" s="37">
        <v>46100.368750000001</v>
      </c>
      <c r="U110" s="37"/>
      <c r="V110" t="s">
        <v>2129</v>
      </c>
      <c r="W110" t="s">
        <v>2129</v>
      </c>
      <c r="X110" t="s">
        <v>2129</v>
      </c>
      <c r="Y110">
        <v>0</v>
      </c>
      <c r="Z110" t="s">
        <v>2129</v>
      </c>
      <c r="AA110" t="s">
        <v>2129</v>
      </c>
      <c r="AB110" t="s">
        <v>2129</v>
      </c>
      <c r="AC110" t="s">
        <v>2156</v>
      </c>
      <c r="AD110" t="s">
        <v>2129</v>
      </c>
      <c r="AE110" t="s">
        <v>2129</v>
      </c>
      <c r="AF110" t="s">
        <v>2129</v>
      </c>
      <c r="AG110" t="s">
        <v>2129</v>
      </c>
      <c r="AH110" t="s">
        <v>3928</v>
      </c>
      <c r="AI110" t="s">
        <v>3929</v>
      </c>
      <c r="AJ110" t="s">
        <v>3930</v>
      </c>
      <c r="AK110" t="s">
        <v>3931</v>
      </c>
      <c r="AL110" t="s">
        <v>3932</v>
      </c>
      <c r="AM110" t="s">
        <v>3933</v>
      </c>
      <c r="AN110" t="s">
        <v>3934</v>
      </c>
      <c r="AO110" t="s">
        <v>2129</v>
      </c>
      <c r="AP110" t="s">
        <v>2129</v>
      </c>
      <c r="AQ110" t="s">
        <v>2129</v>
      </c>
      <c r="AR110" t="s">
        <v>2129</v>
      </c>
      <c r="AS110" t="s">
        <v>2129</v>
      </c>
      <c r="AT110" t="s">
        <v>2129</v>
      </c>
      <c r="AU110" t="s">
        <v>2129</v>
      </c>
      <c r="AV110" t="s">
        <v>2129</v>
      </c>
      <c r="AW110" t="s">
        <v>2129</v>
      </c>
      <c r="AX110" t="s">
        <v>2129</v>
      </c>
      <c r="AY110" t="s">
        <v>2129</v>
      </c>
      <c r="AZ110" t="s">
        <v>2129</v>
      </c>
      <c r="BA110" t="s">
        <v>2129</v>
      </c>
      <c r="BB110" t="s">
        <v>2129</v>
      </c>
      <c r="BC110" t="s">
        <v>2129</v>
      </c>
      <c r="BD110" t="s">
        <v>2129</v>
      </c>
      <c r="BE110" t="s">
        <v>2129</v>
      </c>
      <c r="BF110" t="s">
        <v>2129</v>
      </c>
      <c r="BG110" t="s">
        <v>2129</v>
      </c>
      <c r="BH110" t="s">
        <v>2129</v>
      </c>
      <c r="BI110" t="s">
        <v>2129</v>
      </c>
      <c r="BJ110" t="s">
        <v>2129</v>
      </c>
      <c r="BK110" t="s">
        <v>2129</v>
      </c>
      <c r="BL110" t="s">
        <v>2129</v>
      </c>
      <c r="BM110" t="s">
        <v>2129</v>
      </c>
      <c r="BN110" t="s">
        <v>2129</v>
      </c>
      <c r="BO110" t="s">
        <v>2129</v>
      </c>
      <c r="BP110" t="s">
        <v>2129</v>
      </c>
      <c r="BQ110">
        <v>1800</v>
      </c>
      <c r="BR110">
        <v>154800</v>
      </c>
      <c r="BS110" t="s">
        <v>2129</v>
      </c>
      <c r="BT110" t="s">
        <v>2129</v>
      </c>
      <c r="BU110">
        <v>1800</v>
      </c>
      <c r="BV110">
        <v>154800</v>
      </c>
      <c r="BW110" t="s">
        <v>2129</v>
      </c>
      <c r="BX110" t="s">
        <v>2129</v>
      </c>
      <c r="BY110" t="s">
        <v>2129</v>
      </c>
      <c r="BZ110" t="s">
        <v>2129</v>
      </c>
      <c r="CA110" t="s">
        <v>2129</v>
      </c>
      <c r="CB110" t="s">
        <v>2129</v>
      </c>
      <c r="CC110" t="s">
        <v>2129</v>
      </c>
      <c r="CD110" t="s">
        <v>2129</v>
      </c>
      <c r="CE110" t="s">
        <v>2129</v>
      </c>
      <c r="CF110" t="s">
        <v>2129</v>
      </c>
      <c r="CG110" t="s">
        <v>2129</v>
      </c>
      <c r="CH110" t="s">
        <v>2129</v>
      </c>
      <c r="CI110" t="s">
        <v>2129</v>
      </c>
      <c r="CJ110" t="s">
        <v>2129</v>
      </c>
      <c r="CK110" t="s">
        <v>2129</v>
      </c>
      <c r="CL110" t="s">
        <v>2129</v>
      </c>
      <c r="CM110" t="s">
        <v>2129</v>
      </c>
      <c r="CN110" t="s">
        <v>2129</v>
      </c>
      <c r="CO110" t="s">
        <v>2129</v>
      </c>
      <c r="CP110" t="s">
        <v>2129</v>
      </c>
      <c r="CQ110" t="s">
        <v>2129</v>
      </c>
      <c r="CR110" t="s">
        <v>2129</v>
      </c>
      <c r="CS110" t="s">
        <v>2129</v>
      </c>
      <c r="CT110" t="s">
        <v>2991</v>
      </c>
      <c r="CU110" t="s">
        <v>2992</v>
      </c>
      <c r="CV110" t="s">
        <v>2129</v>
      </c>
      <c r="CW110" t="s">
        <v>2129</v>
      </c>
      <c r="CX110" t="s">
        <v>2129</v>
      </c>
      <c r="CY110" t="s">
        <v>2129</v>
      </c>
      <c r="CZ110" t="s">
        <v>2129</v>
      </c>
      <c r="DA110" t="s">
        <v>2129</v>
      </c>
      <c r="DB110" t="s">
        <v>2129</v>
      </c>
      <c r="DC110" t="s">
        <v>2129</v>
      </c>
      <c r="DD110" t="s">
        <v>2129</v>
      </c>
      <c r="DE110" t="s">
        <v>2129</v>
      </c>
      <c r="DF110" t="s">
        <v>2129</v>
      </c>
      <c r="DG110" t="s">
        <v>2129</v>
      </c>
      <c r="DH110" t="s">
        <v>2129</v>
      </c>
      <c r="DJ110" t="s">
        <v>2129</v>
      </c>
      <c r="DK110" t="s">
        <v>2129</v>
      </c>
      <c r="DL110" t="s">
        <v>2129</v>
      </c>
      <c r="DM110" t="s">
        <v>2129</v>
      </c>
      <c r="DN110" t="s">
        <v>2129</v>
      </c>
      <c r="DO110" t="s">
        <v>2129</v>
      </c>
      <c r="DP110" t="s">
        <v>2129</v>
      </c>
      <c r="DQ110" t="s">
        <v>2129</v>
      </c>
      <c r="DR110" t="s">
        <v>2129</v>
      </c>
      <c r="DS110" t="s">
        <v>2129</v>
      </c>
      <c r="DT110" t="s">
        <v>2129</v>
      </c>
      <c r="DU110" t="s">
        <v>2129</v>
      </c>
      <c r="DV110" t="s">
        <v>2129</v>
      </c>
      <c r="DW110" t="s">
        <v>2129</v>
      </c>
      <c r="DX110" t="s">
        <v>2129</v>
      </c>
      <c r="DY110" t="s">
        <v>2129</v>
      </c>
      <c r="DZ110" t="s">
        <v>2129</v>
      </c>
      <c r="EA110" t="s">
        <v>2129</v>
      </c>
      <c r="EB110" t="s">
        <v>2129</v>
      </c>
      <c r="EC110" t="s">
        <v>2129</v>
      </c>
      <c r="ED110" t="s">
        <v>2129</v>
      </c>
      <c r="EE110" t="s">
        <v>2129</v>
      </c>
      <c r="EF110" t="s">
        <v>2129</v>
      </c>
      <c r="EG110" t="s">
        <v>2129</v>
      </c>
      <c r="EH110" t="s">
        <v>2129</v>
      </c>
    </row>
    <row r="111" spans="1:138" x14ac:dyDescent="0.25">
      <c r="A111" t="s">
        <v>2993</v>
      </c>
      <c r="B111" t="s">
        <v>2994</v>
      </c>
      <c r="C111">
        <v>23094</v>
      </c>
      <c r="E111" t="s">
        <v>2136</v>
      </c>
      <c r="F111" t="s">
        <v>10</v>
      </c>
      <c r="G111" t="s">
        <v>2173</v>
      </c>
      <c r="H111" t="s">
        <v>50</v>
      </c>
      <c r="I111" t="s">
        <v>2127</v>
      </c>
      <c r="J111" t="s">
        <v>2156</v>
      </c>
      <c r="K111" t="s">
        <v>2129</v>
      </c>
      <c r="L111" t="s">
        <v>2174</v>
      </c>
      <c r="M111" t="s">
        <v>2130</v>
      </c>
      <c r="N111" t="s">
        <v>2129</v>
      </c>
      <c r="O111" t="s">
        <v>2158</v>
      </c>
      <c r="P111" t="s">
        <v>2156</v>
      </c>
      <c r="Q111" t="s">
        <v>2156</v>
      </c>
      <c r="R111" s="37">
        <v>46084.540277777778</v>
      </c>
      <c r="S111" s="37">
        <v>46099.738888888889</v>
      </c>
      <c r="T111" s="37">
        <v>46100.368750000001</v>
      </c>
      <c r="U111" s="37"/>
      <c r="V111" t="s">
        <v>2129</v>
      </c>
      <c r="W111" t="s">
        <v>2129</v>
      </c>
      <c r="X111" t="s">
        <v>2129</v>
      </c>
      <c r="Y111">
        <v>0</v>
      </c>
      <c r="Z111" t="s">
        <v>2129</v>
      </c>
      <c r="AA111" t="s">
        <v>2129</v>
      </c>
      <c r="AB111" t="s">
        <v>2129</v>
      </c>
      <c r="AC111" t="s">
        <v>2156</v>
      </c>
      <c r="AD111" t="s">
        <v>2129</v>
      </c>
      <c r="AE111" t="s">
        <v>2129</v>
      </c>
      <c r="AF111" t="s">
        <v>2129</v>
      </c>
      <c r="AG111" t="s">
        <v>2129</v>
      </c>
      <c r="AH111" t="s">
        <v>3935</v>
      </c>
      <c r="AI111" t="s">
        <v>3936</v>
      </c>
      <c r="AJ111" t="s">
        <v>3937</v>
      </c>
      <c r="AK111" t="s">
        <v>3938</v>
      </c>
      <c r="AL111" t="s">
        <v>3939</v>
      </c>
      <c r="AM111" t="s">
        <v>3940</v>
      </c>
      <c r="AN111" t="s">
        <v>2129</v>
      </c>
      <c r="AO111" t="s">
        <v>2129</v>
      </c>
      <c r="AP111" t="s">
        <v>2129</v>
      </c>
      <c r="AQ111" t="s">
        <v>2129</v>
      </c>
      <c r="AR111" t="s">
        <v>2129</v>
      </c>
      <c r="AS111" t="s">
        <v>2129</v>
      </c>
      <c r="AT111" t="s">
        <v>2129</v>
      </c>
      <c r="AU111" t="s">
        <v>2129</v>
      </c>
      <c r="AV111" t="s">
        <v>2129</v>
      </c>
      <c r="AW111" t="s">
        <v>2129</v>
      </c>
      <c r="AX111" t="s">
        <v>2129</v>
      </c>
      <c r="AY111" t="s">
        <v>2129</v>
      </c>
      <c r="AZ111" t="s">
        <v>2129</v>
      </c>
      <c r="BA111" t="s">
        <v>2129</v>
      </c>
      <c r="BB111" t="s">
        <v>2129</v>
      </c>
      <c r="BC111" t="s">
        <v>2129</v>
      </c>
      <c r="BD111" t="s">
        <v>2129</v>
      </c>
      <c r="BE111" t="s">
        <v>2129</v>
      </c>
      <c r="BF111" t="s">
        <v>2129</v>
      </c>
      <c r="BG111" t="s">
        <v>2129</v>
      </c>
      <c r="BH111" t="s">
        <v>2129</v>
      </c>
      <c r="BI111" t="s">
        <v>2129</v>
      </c>
      <c r="BJ111" t="s">
        <v>2129</v>
      </c>
      <c r="BK111" t="s">
        <v>2129</v>
      </c>
      <c r="BL111" t="s">
        <v>2129</v>
      </c>
      <c r="BM111" t="s">
        <v>2129</v>
      </c>
      <c r="BN111" t="s">
        <v>2129</v>
      </c>
      <c r="BO111" t="s">
        <v>2129</v>
      </c>
      <c r="BP111" t="s">
        <v>2129</v>
      </c>
      <c r="BQ111">
        <v>0</v>
      </c>
      <c r="BR111">
        <v>88200</v>
      </c>
      <c r="BS111" t="s">
        <v>2129</v>
      </c>
      <c r="BT111" t="s">
        <v>2129</v>
      </c>
      <c r="BU111">
        <v>0</v>
      </c>
      <c r="BV111">
        <v>88200</v>
      </c>
      <c r="BW111" t="s">
        <v>2129</v>
      </c>
      <c r="BX111" t="s">
        <v>2129</v>
      </c>
      <c r="BY111" t="s">
        <v>2129</v>
      </c>
      <c r="BZ111" t="s">
        <v>2129</v>
      </c>
      <c r="CA111" t="s">
        <v>2129</v>
      </c>
      <c r="CB111" t="s">
        <v>2129</v>
      </c>
      <c r="CC111" t="s">
        <v>2129</v>
      </c>
      <c r="CD111" t="s">
        <v>2129</v>
      </c>
      <c r="CE111" t="s">
        <v>2129</v>
      </c>
      <c r="CF111" t="s">
        <v>2129</v>
      </c>
      <c r="CG111" t="s">
        <v>2129</v>
      </c>
      <c r="CH111" t="s">
        <v>2129</v>
      </c>
      <c r="CI111" t="s">
        <v>2129</v>
      </c>
      <c r="CJ111" t="s">
        <v>2129</v>
      </c>
      <c r="CK111" t="s">
        <v>2129</v>
      </c>
      <c r="CL111" t="s">
        <v>2129</v>
      </c>
      <c r="CM111" t="s">
        <v>2129</v>
      </c>
      <c r="CN111" t="s">
        <v>2129</v>
      </c>
      <c r="CO111" t="s">
        <v>2129</v>
      </c>
      <c r="CP111" t="s">
        <v>2129</v>
      </c>
      <c r="CQ111" t="s">
        <v>2129</v>
      </c>
      <c r="CR111" t="s">
        <v>2129</v>
      </c>
      <c r="CS111" t="s">
        <v>2129</v>
      </c>
      <c r="CT111" t="s">
        <v>2995</v>
      </c>
      <c r="CU111" t="s">
        <v>2992</v>
      </c>
      <c r="CV111" t="s">
        <v>2129</v>
      </c>
      <c r="CW111" t="s">
        <v>2129</v>
      </c>
      <c r="CX111" t="s">
        <v>2129</v>
      </c>
      <c r="CY111" t="s">
        <v>2129</v>
      </c>
      <c r="CZ111" t="s">
        <v>2129</v>
      </c>
      <c r="DA111" t="s">
        <v>2129</v>
      </c>
      <c r="DB111" t="s">
        <v>2129</v>
      </c>
      <c r="DC111" t="s">
        <v>2129</v>
      </c>
      <c r="DD111" t="s">
        <v>2129</v>
      </c>
      <c r="DE111" t="s">
        <v>2129</v>
      </c>
      <c r="DF111" t="s">
        <v>2129</v>
      </c>
      <c r="DG111" t="s">
        <v>2129</v>
      </c>
      <c r="DH111" t="s">
        <v>2129</v>
      </c>
      <c r="DJ111" t="s">
        <v>2129</v>
      </c>
      <c r="DK111" t="s">
        <v>2129</v>
      </c>
      <c r="DL111" t="s">
        <v>2129</v>
      </c>
      <c r="DM111" t="s">
        <v>2129</v>
      </c>
      <c r="DN111" t="s">
        <v>2129</v>
      </c>
      <c r="DO111" t="s">
        <v>2129</v>
      </c>
      <c r="DP111" t="s">
        <v>2129</v>
      </c>
      <c r="DQ111" t="s">
        <v>2129</v>
      </c>
      <c r="DR111" t="s">
        <v>2129</v>
      </c>
      <c r="DS111" t="s">
        <v>2129</v>
      </c>
      <c r="DT111" t="s">
        <v>2129</v>
      </c>
      <c r="DU111" t="s">
        <v>2129</v>
      </c>
      <c r="DV111" t="s">
        <v>2129</v>
      </c>
      <c r="DW111" t="s">
        <v>2129</v>
      </c>
      <c r="DX111" t="s">
        <v>2129</v>
      </c>
      <c r="DY111" t="s">
        <v>2129</v>
      </c>
      <c r="DZ111" t="s">
        <v>2129</v>
      </c>
      <c r="EA111" t="s">
        <v>2129</v>
      </c>
      <c r="EB111" t="s">
        <v>2129</v>
      </c>
      <c r="EC111" t="s">
        <v>2129</v>
      </c>
      <c r="ED111" t="s">
        <v>2129</v>
      </c>
      <c r="EE111" t="s">
        <v>2129</v>
      </c>
      <c r="EF111" t="s">
        <v>2129</v>
      </c>
      <c r="EG111" t="s">
        <v>2129</v>
      </c>
      <c r="EH111" t="s">
        <v>2129</v>
      </c>
    </row>
    <row r="112" spans="1:138" x14ac:dyDescent="0.25">
      <c r="A112" t="s">
        <v>2878</v>
      </c>
      <c r="B112" t="s">
        <v>2996</v>
      </c>
      <c r="C112">
        <v>23075</v>
      </c>
      <c r="E112" t="s">
        <v>14</v>
      </c>
      <c r="F112" t="s">
        <v>10</v>
      </c>
      <c r="G112" t="s">
        <v>2173</v>
      </c>
      <c r="H112" t="s">
        <v>50</v>
      </c>
      <c r="I112" t="s">
        <v>2127</v>
      </c>
      <c r="J112" t="s">
        <v>2156</v>
      </c>
      <c r="K112" t="s">
        <v>2129</v>
      </c>
      <c r="L112" t="s">
        <v>2174</v>
      </c>
      <c r="M112" t="s">
        <v>2130</v>
      </c>
      <c r="N112" t="s">
        <v>2129</v>
      </c>
      <c r="O112" t="s">
        <v>2158</v>
      </c>
      <c r="P112" t="s">
        <v>2145</v>
      </c>
      <c r="Q112" t="s">
        <v>2145</v>
      </c>
      <c r="R112" s="37">
        <v>46083.425000000003</v>
      </c>
      <c r="S112" s="37">
        <v>46098.654861111114</v>
      </c>
      <c r="T112" s="37">
        <v>46083.663888888892</v>
      </c>
      <c r="U112" s="37"/>
      <c r="V112" t="s">
        <v>2129</v>
      </c>
      <c r="W112" t="s">
        <v>2129</v>
      </c>
      <c r="X112" t="s">
        <v>2129</v>
      </c>
      <c r="Y112">
        <v>0</v>
      </c>
      <c r="Z112" t="s">
        <v>2129</v>
      </c>
      <c r="AA112" t="s">
        <v>2997</v>
      </c>
      <c r="AB112" t="s">
        <v>2129</v>
      </c>
      <c r="AC112" t="s">
        <v>2145</v>
      </c>
      <c r="AD112" t="s">
        <v>2129</v>
      </c>
      <c r="AE112" t="s">
        <v>2129</v>
      </c>
      <c r="AF112" t="s">
        <v>2129</v>
      </c>
      <c r="AG112" t="s">
        <v>2129</v>
      </c>
      <c r="AH112" t="s">
        <v>2129</v>
      </c>
      <c r="AI112" t="s">
        <v>2129</v>
      </c>
      <c r="AJ112" t="s">
        <v>2129</v>
      </c>
      <c r="AK112" t="s">
        <v>2129</v>
      </c>
      <c r="AL112" t="s">
        <v>2129</v>
      </c>
      <c r="AM112" t="s">
        <v>2129</v>
      </c>
      <c r="AN112" t="s">
        <v>2129</v>
      </c>
      <c r="AO112" t="s">
        <v>2129</v>
      </c>
      <c r="AP112" t="s">
        <v>2129</v>
      </c>
      <c r="AQ112" t="s">
        <v>2129</v>
      </c>
      <c r="AR112" t="s">
        <v>2129</v>
      </c>
      <c r="AS112" t="s">
        <v>2129</v>
      </c>
      <c r="AT112" t="s">
        <v>2129</v>
      </c>
      <c r="AU112" t="s">
        <v>2129</v>
      </c>
      <c r="AV112" t="s">
        <v>2129</v>
      </c>
      <c r="AW112" t="s">
        <v>2129</v>
      </c>
      <c r="AX112" t="s">
        <v>2129</v>
      </c>
      <c r="AY112" t="s">
        <v>2129</v>
      </c>
      <c r="AZ112" t="s">
        <v>2129</v>
      </c>
      <c r="BA112" t="s">
        <v>2129</v>
      </c>
      <c r="BB112" t="s">
        <v>2129</v>
      </c>
      <c r="BC112" t="s">
        <v>2129</v>
      </c>
      <c r="BD112" t="s">
        <v>2129</v>
      </c>
      <c r="BE112" t="s">
        <v>2129</v>
      </c>
      <c r="BF112" t="s">
        <v>2129</v>
      </c>
      <c r="BG112" t="s">
        <v>2129</v>
      </c>
      <c r="BH112" t="s">
        <v>2129</v>
      </c>
      <c r="BI112" t="s">
        <v>2129</v>
      </c>
      <c r="BJ112" t="s">
        <v>2129</v>
      </c>
      <c r="BK112" t="s">
        <v>2129</v>
      </c>
      <c r="BL112" t="s">
        <v>2129</v>
      </c>
      <c r="BM112" t="s">
        <v>2129</v>
      </c>
      <c r="BN112" t="s">
        <v>2129</v>
      </c>
      <c r="BO112" t="s">
        <v>2129</v>
      </c>
      <c r="BP112" t="s">
        <v>2129</v>
      </c>
      <c r="BS112" t="s">
        <v>2129</v>
      </c>
      <c r="BT112" t="s">
        <v>2129</v>
      </c>
      <c r="BW112" t="s">
        <v>2129</v>
      </c>
      <c r="BX112" t="s">
        <v>2129</v>
      </c>
      <c r="BY112" t="s">
        <v>2129</v>
      </c>
      <c r="BZ112" t="s">
        <v>2129</v>
      </c>
      <c r="CA112" t="s">
        <v>2129</v>
      </c>
      <c r="CB112" t="s">
        <v>2129</v>
      </c>
      <c r="CC112" t="s">
        <v>2129</v>
      </c>
      <c r="CD112" t="s">
        <v>2129</v>
      </c>
      <c r="CE112" t="s">
        <v>2129</v>
      </c>
      <c r="CF112" t="s">
        <v>2129</v>
      </c>
      <c r="CG112" t="s">
        <v>2129</v>
      </c>
      <c r="CH112" t="s">
        <v>2129</v>
      </c>
      <c r="CI112" t="s">
        <v>2129</v>
      </c>
      <c r="CJ112" t="s">
        <v>2129</v>
      </c>
      <c r="CK112" t="s">
        <v>2129</v>
      </c>
      <c r="CL112" t="s">
        <v>2129</v>
      </c>
      <c r="CM112" t="s">
        <v>2913</v>
      </c>
      <c r="CN112" t="s">
        <v>2129</v>
      </c>
      <c r="CO112" t="s">
        <v>2129</v>
      </c>
      <c r="CP112" t="s">
        <v>2129</v>
      </c>
      <c r="CQ112" t="s">
        <v>2129</v>
      </c>
      <c r="CR112" t="s">
        <v>2129</v>
      </c>
      <c r="CS112" t="s">
        <v>2129</v>
      </c>
      <c r="CT112" t="s">
        <v>3941</v>
      </c>
      <c r="CU112" t="s">
        <v>3912</v>
      </c>
      <c r="CV112" t="s">
        <v>2129</v>
      </c>
      <c r="CW112" t="s">
        <v>2129</v>
      </c>
      <c r="CX112" t="s">
        <v>2129</v>
      </c>
      <c r="CY112" t="s">
        <v>2129</v>
      </c>
      <c r="CZ112" t="s">
        <v>2129</v>
      </c>
      <c r="DA112" t="s">
        <v>2129</v>
      </c>
      <c r="DB112" t="s">
        <v>2129</v>
      </c>
      <c r="DC112" t="s">
        <v>2129</v>
      </c>
      <c r="DD112" t="s">
        <v>2129</v>
      </c>
      <c r="DE112" t="s">
        <v>2129</v>
      </c>
      <c r="DF112" t="s">
        <v>2129</v>
      </c>
      <c r="DG112" t="s">
        <v>2129</v>
      </c>
      <c r="DH112" t="s">
        <v>2129</v>
      </c>
      <c r="DI112">
        <v>50</v>
      </c>
      <c r="DJ112" t="s">
        <v>2129</v>
      </c>
      <c r="DK112" t="s">
        <v>2129</v>
      </c>
      <c r="DL112" t="s">
        <v>2129</v>
      </c>
      <c r="DM112" t="s">
        <v>2129</v>
      </c>
      <c r="DN112" t="s">
        <v>2129</v>
      </c>
      <c r="DO112" t="s">
        <v>2129</v>
      </c>
      <c r="DP112" t="s">
        <v>2129</v>
      </c>
      <c r="DQ112" t="s">
        <v>2129</v>
      </c>
      <c r="DR112" t="s">
        <v>2129</v>
      </c>
      <c r="DS112" t="s">
        <v>2129</v>
      </c>
      <c r="DT112" t="s">
        <v>2129</v>
      </c>
      <c r="DU112" t="s">
        <v>2129</v>
      </c>
      <c r="DV112" t="s">
        <v>2129</v>
      </c>
      <c r="DW112" t="s">
        <v>2129</v>
      </c>
      <c r="DX112" t="s">
        <v>2129</v>
      </c>
      <c r="DY112" t="s">
        <v>2129</v>
      </c>
      <c r="DZ112" t="s">
        <v>2129</v>
      </c>
      <c r="EA112" t="s">
        <v>2129</v>
      </c>
      <c r="EB112" t="s">
        <v>2129</v>
      </c>
      <c r="EC112" t="s">
        <v>2129</v>
      </c>
      <c r="ED112" t="s">
        <v>2129</v>
      </c>
      <c r="EE112" t="s">
        <v>2129</v>
      </c>
      <c r="EF112" t="s">
        <v>2129</v>
      </c>
      <c r="EG112" t="s">
        <v>2129</v>
      </c>
      <c r="EH112" t="s">
        <v>2129</v>
      </c>
    </row>
    <row r="113" spans="1:138" x14ac:dyDescent="0.25">
      <c r="A113" t="s">
        <v>1298</v>
      </c>
      <c r="B113" t="s">
        <v>2853</v>
      </c>
      <c r="C113">
        <v>23040</v>
      </c>
      <c r="E113" t="s">
        <v>14</v>
      </c>
      <c r="F113" t="s">
        <v>10</v>
      </c>
      <c r="G113" t="s">
        <v>2173</v>
      </c>
      <c r="H113" t="s">
        <v>50</v>
      </c>
      <c r="I113" t="s">
        <v>2127</v>
      </c>
      <c r="J113" t="s">
        <v>2156</v>
      </c>
      <c r="K113" t="s">
        <v>2129</v>
      </c>
      <c r="L113" t="s">
        <v>2174</v>
      </c>
      <c r="M113" t="s">
        <v>2130</v>
      </c>
      <c r="N113" t="s">
        <v>2129</v>
      </c>
      <c r="O113" t="s">
        <v>2175</v>
      </c>
      <c r="P113" t="s">
        <v>2145</v>
      </c>
      <c r="Q113" t="s">
        <v>2145</v>
      </c>
      <c r="R113" s="37">
        <v>46078.527083333334</v>
      </c>
      <c r="S113" s="37">
        <v>46098.657638888886</v>
      </c>
      <c r="T113" s="37">
        <v>46100.368750000001</v>
      </c>
      <c r="U113" s="37"/>
      <c r="V113" t="s">
        <v>2999</v>
      </c>
      <c r="W113" t="s">
        <v>2129</v>
      </c>
      <c r="X113" t="s">
        <v>2129</v>
      </c>
      <c r="Y113">
        <v>0</v>
      </c>
      <c r="Z113" t="s">
        <v>2129</v>
      </c>
      <c r="AA113" t="s">
        <v>3000</v>
      </c>
      <c r="AB113" t="s">
        <v>2129</v>
      </c>
      <c r="AC113" t="s">
        <v>2145</v>
      </c>
      <c r="AD113" t="s">
        <v>2129</v>
      </c>
      <c r="AE113" t="s">
        <v>2129</v>
      </c>
      <c r="AF113" t="s">
        <v>2129</v>
      </c>
      <c r="AG113" t="s">
        <v>2129</v>
      </c>
      <c r="AH113" t="s">
        <v>2129</v>
      </c>
      <c r="AI113" t="s">
        <v>2129</v>
      </c>
      <c r="AJ113" t="s">
        <v>2129</v>
      </c>
      <c r="AK113" t="s">
        <v>2129</v>
      </c>
      <c r="AL113" t="s">
        <v>2129</v>
      </c>
      <c r="AM113" t="s">
        <v>2129</v>
      </c>
      <c r="AN113" t="s">
        <v>2129</v>
      </c>
      <c r="AO113" t="s">
        <v>2129</v>
      </c>
      <c r="AP113" t="s">
        <v>2129</v>
      </c>
      <c r="AQ113" t="s">
        <v>2129</v>
      </c>
      <c r="AR113" t="s">
        <v>2129</v>
      </c>
      <c r="AS113" t="s">
        <v>2129</v>
      </c>
      <c r="AT113" t="s">
        <v>2129</v>
      </c>
      <c r="AU113" t="s">
        <v>2129</v>
      </c>
      <c r="AV113" t="s">
        <v>2129</v>
      </c>
      <c r="AW113" t="s">
        <v>2129</v>
      </c>
      <c r="AX113" t="s">
        <v>2129</v>
      </c>
      <c r="AY113" t="s">
        <v>2129</v>
      </c>
      <c r="AZ113" t="s">
        <v>2129</v>
      </c>
      <c r="BA113" t="s">
        <v>2129</v>
      </c>
      <c r="BB113" t="s">
        <v>2129</v>
      </c>
      <c r="BC113" t="s">
        <v>2129</v>
      </c>
      <c r="BD113" t="s">
        <v>2129</v>
      </c>
      <c r="BE113" t="s">
        <v>2129</v>
      </c>
      <c r="BF113" t="s">
        <v>2129</v>
      </c>
      <c r="BG113" t="s">
        <v>2129</v>
      </c>
      <c r="BH113" t="s">
        <v>2129</v>
      </c>
      <c r="BI113" t="s">
        <v>2129</v>
      </c>
      <c r="BJ113" t="s">
        <v>2129</v>
      </c>
      <c r="BK113" t="s">
        <v>2129</v>
      </c>
      <c r="BL113" t="s">
        <v>2129</v>
      </c>
      <c r="BM113" t="s">
        <v>2129</v>
      </c>
      <c r="BN113" t="s">
        <v>2129</v>
      </c>
      <c r="BO113" t="s">
        <v>2129</v>
      </c>
      <c r="BP113" t="s">
        <v>2129</v>
      </c>
      <c r="BS113" t="s">
        <v>2129</v>
      </c>
      <c r="BT113" t="s">
        <v>2129</v>
      </c>
      <c r="BW113" t="s">
        <v>2129</v>
      </c>
      <c r="BX113" t="s">
        <v>2129</v>
      </c>
      <c r="BY113" t="s">
        <v>2129</v>
      </c>
      <c r="BZ113" t="s">
        <v>2129</v>
      </c>
      <c r="CA113" t="s">
        <v>2129</v>
      </c>
      <c r="CB113" t="s">
        <v>2129</v>
      </c>
      <c r="CC113" t="s">
        <v>2129</v>
      </c>
      <c r="CD113" t="s">
        <v>2129</v>
      </c>
      <c r="CE113" t="s">
        <v>2129</v>
      </c>
      <c r="CF113" t="s">
        <v>2129</v>
      </c>
      <c r="CG113" t="s">
        <v>2129</v>
      </c>
      <c r="CH113" t="s">
        <v>2129</v>
      </c>
      <c r="CI113" t="s">
        <v>2129</v>
      </c>
      <c r="CJ113" t="s">
        <v>2129</v>
      </c>
      <c r="CK113" t="s">
        <v>2129</v>
      </c>
      <c r="CL113" t="s">
        <v>2129</v>
      </c>
      <c r="CM113" t="s">
        <v>2129</v>
      </c>
      <c r="CN113" t="s">
        <v>2129</v>
      </c>
      <c r="CO113" t="s">
        <v>2129</v>
      </c>
      <c r="CP113" t="s">
        <v>2129</v>
      </c>
      <c r="CQ113" t="s">
        <v>2129</v>
      </c>
      <c r="CR113" t="s">
        <v>2129</v>
      </c>
      <c r="CS113" t="s">
        <v>2129</v>
      </c>
      <c r="CT113" t="s">
        <v>3942</v>
      </c>
      <c r="CU113" t="s">
        <v>2998</v>
      </c>
      <c r="CV113" t="s">
        <v>2129</v>
      </c>
      <c r="CW113" t="s">
        <v>2129</v>
      </c>
      <c r="CX113" t="s">
        <v>2129</v>
      </c>
      <c r="CY113" t="s">
        <v>2129</v>
      </c>
      <c r="CZ113" t="s">
        <v>2129</v>
      </c>
      <c r="DA113" t="s">
        <v>2129</v>
      </c>
      <c r="DB113" t="s">
        <v>2129</v>
      </c>
      <c r="DC113" t="s">
        <v>2129</v>
      </c>
      <c r="DD113" t="s">
        <v>2129</v>
      </c>
      <c r="DE113" t="s">
        <v>2129</v>
      </c>
      <c r="DF113" t="s">
        <v>2129</v>
      </c>
      <c r="DG113" t="s">
        <v>2129</v>
      </c>
      <c r="DH113" t="s">
        <v>2129</v>
      </c>
      <c r="DI113">
        <v>30</v>
      </c>
      <c r="DJ113" t="s">
        <v>2129</v>
      </c>
      <c r="DK113" t="s">
        <v>2129</v>
      </c>
      <c r="DL113" t="s">
        <v>3001</v>
      </c>
      <c r="DM113" t="s">
        <v>2129</v>
      </c>
      <c r="DN113" t="s">
        <v>2129</v>
      </c>
      <c r="DO113" t="s">
        <v>2129</v>
      </c>
      <c r="DP113" t="s">
        <v>2129</v>
      </c>
      <c r="DQ113" t="s">
        <v>2129</v>
      </c>
      <c r="DR113" t="s">
        <v>2129</v>
      </c>
      <c r="DS113" t="s">
        <v>2129</v>
      </c>
      <c r="DT113" t="s">
        <v>2129</v>
      </c>
      <c r="DU113" t="s">
        <v>2129</v>
      </c>
      <c r="DV113" t="s">
        <v>2129</v>
      </c>
      <c r="DW113" t="s">
        <v>2129</v>
      </c>
      <c r="DX113" t="s">
        <v>2129</v>
      </c>
      <c r="DY113" t="s">
        <v>2129</v>
      </c>
      <c r="DZ113" t="s">
        <v>2129</v>
      </c>
      <c r="EA113" t="s">
        <v>2129</v>
      </c>
      <c r="EB113" t="s">
        <v>2129</v>
      </c>
      <c r="EC113" t="s">
        <v>2129</v>
      </c>
      <c r="ED113" t="s">
        <v>2129</v>
      </c>
      <c r="EE113" t="s">
        <v>2129</v>
      </c>
      <c r="EF113" t="s">
        <v>2129</v>
      </c>
      <c r="EG113" t="s">
        <v>2129</v>
      </c>
      <c r="EH113" t="s">
        <v>2129</v>
      </c>
    </row>
    <row r="114" spans="1:138" x14ac:dyDescent="0.25">
      <c r="A114" t="s">
        <v>2852</v>
      </c>
      <c r="B114" t="s">
        <v>2851</v>
      </c>
      <c r="C114">
        <v>23038</v>
      </c>
      <c r="E114" t="s">
        <v>14</v>
      </c>
      <c r="F114" t="s">
        <v>16</v>
      </c>
      <c r="G114" t="s">
        <v>2173</v>
      </c>
      <c r="H114" t="s">
        <v>50</v>
      </c>
      <c r="I114" t="s">
        <v>2127</v>
      </c>
      <c r="J114" t="s">
        <v>2156</v>
      </c>
      <c r="K114" t="s">
        <v>2129</v>
      </c>
      <c r="L114" t="s">
        <v>2174</v>
      </c>
      <c r="M114" t="s">
        <v>2130</v>
      </c>
      <c r="N114" t="s">
        <v>2153</v>
      </c>
      <c r="O114" t="s">
        <v>2150</v>
      </c>
      <c r="P114" t="s">
        <v>2145</v>
      </c>
      <c r="Q114" t="s">
        <v>2145</v>
      </c>
      <c r="R114" s="37">
        <v>46078.525694444441</v>
      </c>
      <c r="S114" s="37">
        <v>46098.719444444447</v>
      </c>
      <c r="T114" s="37">
        <v>46100.368750000001</v>
      </c>
      <c r="U114" s="37">
        <v>46098.719444444447</v>
      </c>
      <c r="V114" t="s">
        <v>2129</v>
      </c>
      <c r="W114" t="s">
        <v>2129</v>
      </c>
      <c r="X114" t="s">
        <v>2129</v>
      </c>
      <c r="Y114">
        <v>0</v>
      </c>
      <c r="Z114" t="s">
        <v>2129</v>
      </c>
      <c r="AA114" t="s">
        <v>3002</v>
      </c>
      <c r="AB114" t="s">
        <v>2129</v>
      </c>
      <c r="AC114" t="s">
        <v>2158</v>
      </c>
      <c r="AD114" t="s">
        <v>2145</v>
      </c>
      <c r="AE114" t="s">
        <v>2150</v>
      </c>
      <c r="AF114" t="s">
        <v>2156</v>
      </c>
      <c r="AG114" t="s">
        <v>2129</v>
      </c>
      <c r="AH114" t="s">
        <v>3003</v>
      </c>
      <c r="AI114" t="s">
        <v>3004</v>
      </c>
      <c r="AJ114" t="s">
        <v>3943</v>
      </c>
      <c r="AK114" t="s">
        <v>3944</v>
      </c>
      <c r="AL114" t="s">
        <v>3945</v>
      </c>
      <c r="AM114" t="s">
        <v>3946</v>
      </c>
      <c r="AN114" t="s">
        <v>2129</v>
      </c>
      <c r="AO114" t="s">
        <v>2129</v>
      </c>
      <c r="AP114" t="s">
        <v>2129</v>
      </c>
      <c r="AQ114" t="s">
        <v>2129</v>
      </c>
      <c r="AR114" t="s">
        <v>2129</v>
      </c>
      <c r="AS114" t="s">
        <v>2129</v>
      </c>
      <c r="AT114" t="s">
        <v>2129</v>
      </c>
      <c r="AU114" t="s">
        <v>2129</v>
      </c>
      <c r="AV114" t="s">
        <v>2129</v>
      </c>
      <c r="AW114" t="s">
        <v>2129</v>
      </c>
      <c r="AX114" t="s">
        <v>2129</v>
      </c>
      <c r="AY114" t="s">
        <v>2129</v>
      </c>
      <c r="AZ114" t="s">
        <v>2129</v>
      </c>
      <c r="BA114" t="s">
        <v>2129</v>
      </c>
      <c r="BB114" t="s">
        <v>2129</v>
      </c>
      <c r="BC114" t="s">
        <v>2129</v>
      </c>
      <c r="BD114" t="s">
        <v>2129</v>
      </c>
      <c r="BE114" t="s">
        <v>2129</v>
      </c>
      <c r="BF114" t="s">
        <v>2129</v>
      </c>
      <c r="BG114" t="s">
        <v>2129</v>
      </c>
      <c r="BH114" t="s">
        <v>2129</v>
      </c>
      <c r="BI114" t="s">
        <v>2129</v>
      </c>
      <c r="BJ114" t="s">
        <v>2129</v>
      </c>
      <c r="BK114" t="s">
        <v>2129</v>
      </c>
      <c r="BL114" t="s">
        <v>2129</v>
      </c>
      <c r="BM114" t="s">
        <v>2129</v>
      </c>
      <c r="BN114" t="s">
        <v>2129</v>
      </c>
      <c r="BO114" t="s">
        <v>2129</v>
      </c>
      <c r="BP114" t="s">
        <v>2129</v>
      </c>
      <c r="BQ114">
        <v>0</v>
      </c>
      <c r="BR114">
        <v>64800</v>
      </c>
      <c r="BS114" t="s">
        <v>2129</v>
      </c>
      <c r="BT114" t="s">
        <v>2129</v>
      </c>
      <c r="BU114">
        <v>0</v>
      </c>
      <c r="BV114">
        <v>111600</v>
      </c>
      <c r="BW114" t="s">
        <v>2129</v>
      </c>
      <c r="BX114" t="s">
        <v>2129</v>
      </c>
      <c r="BY114" t="s">
        <v>2129</v>
      </c>
      <c r="BZ114" t="s">
        <v>2129</v>
      </c>
      <c r="CA114" t="s">
        <v>2129</v>
      </c>
      <c r="CB114" t="s">
        <v>2129</v>
      </c>
      <c r="CC114" t="s">
        <v>2129</v>
      </c>
      <c r="CD114" t="s">
        <v>2129</v>
      </c>
      <c r="CE114" t="s">
        <v>2129</v>
      </c>
      <c r="CF114" t="s">
        <v>2129</v>
      </c>
      <c r="CG114" t="s">
        <v>2129</v>
      </c>
      <c r="CH114" t="s">
        <v>2129</v>
      </c>
      <c r="CI114" t="s">
        <v>2129</v>
      </c>
      <c r="CJ114" t="s">
        <v>2129</v>
      </c>
      <c r="CK114" t="s">
        <v>2129</v>
      </c>
      <c r="CL114" t="s">
        <v>2129</v>
      </c>
      <c r="CM114" t="s">
        <v>2129</v>
      </c>
      <c r="CN114" t="s">
        <v>2129</v>
      </c>
      <c r="CO114" t="s">
        <v>2129</v>
      </c>
      <c r="CP114" t="s">
        <v>2129</v>
      </c>
      <c r="CQ114" t="s">
        <v>2129</v>
      </c>
      <c r="CR114" t="s">
        <v>2129</v>
      </c>
      <c r="CS114" t="s">
        <v>2129</v>
      </c>
      <c r="CT114" t="s">
        <v>3005</v>
      </c>
      <c r="CU114" t="s">
        <v>2998</v>
      </c>
      <c r="CV114" t="s">
        <v>2992</v>
      </c>
      <c r="CW114" t="s">
        <v>2129</v>
      </c>
      <c r="CX114" t="s">
        <v>2129</v>
      </c>
      <c r="CY114" t="s">
        <v>2129</v>
      </c>
      <c r="CZ114" t="s">
        <v>2129</v>
      </c>
      <c r="DA114" t="s">
        <v>2129</v>
      </c>
      <c r="DB114" t="s">
        <v>2129</v>
      </c>
      <c r="DC114" t="s">
        <v>2129</v>
      </c>
      <c r="DD114" t="s">
        <v>2129</v>
      </c>
      <c r="DE114" t="s">
        <v>2129</v>
      </c>
      <c r="DF114" t="s">
        <v>2129</v>
      </c>
      <c r="DG114" t="s">
        <v>2129</v>
      </c>
      <c r="DH114" t="s">
        <v>2129</v>
      </c>
      <c r="DI114">
        <v>50</v>
      </c>
      <c r="DJ114" t="s">
        <v>2129</v>
      </c>
      <c r="DK114" t="s">
        <v>2129</v>
      </c>
      <c r="DL114" t="s">
        <v>3006</v>
      </c>
      <c r="DM114" t="s">
        <v>3007</v>
      </c>
      <c r="DN114" t="s">
        <v>3008</v>
      </c>
      <c r="DO114" t="s">
        <v>3009</v>
      </c>
      <c r="DP114" t="s">
        <v>3010</v>
      </c>
      <c r="DQ114" t="s">
        <v>3947</v>
      </c>
      <c r="DR114" t="s">
        <v>2129</v>
      </c>
      <c r="DS114" t="s">
        <v>2129</v>
      </c>
      <c r="DT114" t="s">
        <v>2129</v>
      </c>
      <c r="DU114" t="s">
        <v>2129</v>
      </c>
      <c r="DV114" t="s">
        <v>2129</v>
      </c>
      <c r="DW114" t="s">
        <v>2129</v>
      </c>
      <c r="DX114" t="s">
        <v>2129</v>
      </c>
      <c r="DY114" t="s">
        <v>2129</v>
      </c>
      <c r="DZ114" t="s">
        <v>2129</v>
      </c>
      <c r="EA114" t="s">
        <v>2129</v>
      </c>
      <c r="EB114" t="s">
        <v>2129</v>
      </c>
      <c r="EC114" t="s">
        <v>2129</v>
      </c>
      <c r="ED114" t="s">
        <v>2129</v>
      </c>
      <c r="EE114" t="s">
        <v>2129</v>
      </c>
      <c r="EF114" t="s">
        <v>2129</v>
      </c>
      <c r="EG114" t="s">
        <v>2129</v>
      </c>
      <c r="EH114" t="s">
        <v>2129</v>
      </c>
    </row>
    <row r="115" spans="1:138" x14ac:dyDescent="0.25">
      <c r="A115" t="s">
        <v>2159</v>
      </c>
      <c r="B115" t="s">
        <v>3948</v>
      </c>
      <c r="C115">
        <v>23004</v>
      </c>
      <c r="E115" t="s">
        <v>2136</v>
      </c>
      <c r="F115" t="s">
        <v>16</v>
      </c>
      <c r="G115" t="s">
        <v>2173</v>
      </c>
      <c r="H115" t="s">
        <v>50</v>
      </c>
      <c r="I115" t="s">
        <v>2127</v>
      </c>
      <c r="J115" t="s">
        <v>2156</v>
      </c>
      <c r="K115" t="s">
        <v>2129</v>
      </c>
      <c r="L115" t="s">
        <v>2174</v>
      </c>
      <c r="M115" t="s">
        <v>2130</v>
      </c>
      <c r="N115" t="s">
        <v>16</v>
      </c>
      <c r="O115" t="s">
        <v>2158</v>
      </c>
      <c r="P115" t="s">
        <v>2156</v>
      </c>
      <c r="Q115" t="s">
        <v>2156</v>
      </c>
      <c r="R115" s="37">
        <v>46073.393750000003</v>
      </c>
      <c r="S115" s="37">
        <v>46090.352083333331</v>
      </c>
      <c r="T115" s="37">
        <v>46100.368750000001</v>
      </c>
      <c r="U115" s="37">
        <v>46090.331250000003</v>
      </c>
      <c r="V115" t="s">
        <v>2129</v>
      </c>
      <c r="W115" t="s">
        <v>2129</v>
      </c>
      <c r="X115" t="s">
        <v>2129</v>
      </c>
      <c r="Y115">
        <v>0</v>
      </c>
      <c r="Z115" t="s">
        <v>2129</v>
      </c>
      <c r="AA115" t="s">
        <v>2129</v>
      </c>
      <c r="AB115" t="s">
        <v>2129</v>
      </c>
      <c r="AC115" t="s">
        <v>2156</v>
      </c>
      <c r="AD115" t="s">
        <v>2129</v>
      </c>
      <c r="AE115" t="s">
        <v>2129</v>
      </c>
      <c r="AF115" t="s">
        <v>2129</v>
      </c>
      <c r="AG115" t="s">
        <v>2129</v>
      </c>
      <c r="AH115" t="s">
        <v>3949</v>
      </c>
      <c r="AI115" t="s">
        <v>3950</v>
      </c>
      <c r="AJ115" t="s">
        <v>3951</v>
      </c>
      <c r="AK115" t="s">
        <v>3952</v>
      </c>
      <c r="AL115" t="s">
        <v>3953</v>
      </c>
      <c r="AM115" t="s">
        <v>3954</v>
      </c>
      <c r="AN115" t="s">
        <v>3955</v>
      </c>
      <c r="AO115" t="s">
        <v>3956</v>
      </c>
      <c r="AP115" t="s">
        <v>3957</v>
      </c>
      <c r="AQ115" t="s">
        <v>3958</v>
      </c>
      <c r="AR115" t="s">
        <v>2129</v>
      </c>
      <c r="AS115" t="s">
        <v>2129</v>
      </c>
      <c r="AT115" t="s">
        <v>2129</v>
      </c>
      <c r="AU115" t="s">
        <v>2129</v>
      </c>
      <c r="AV115" t="s">
        <v>2129</v>
      </c>
      <c r="AW115" t="s">
        <v>2129</v>
      </c>
      <c r="AX115" t="s">
        <v>2129</v>
      </c>
      <c r="AY115" t="s">
        <v>2129</v>
      </c>
      <c r="AZ115" t="s">
        <v>2129</v>
      </c>
      <c r="BA115" t="s">
        <v>2129</v>
      </c>
      <c r="BB115" t="s">
        <v>2129</v>
      </c>
      <c r="BC115" t="s">
        <v>2129</v>
      </c>
      <c r="BD115" t="s">
        <v>2129</v>
      </c>
      <c r="BE115" t="s">
        <v>2129</v>
      </c>
      <c r="BF115" t="s">
        <v>2129</v>
      </c>
      <c r="BG115" t="s">
        <v>2129</v>
      </c>
      <c r="BH115" t="s">
        <v>2129</v>
      </c>
      <c r="BI115" t="s">
        <v>2129</v>
      </c>
      <c r="BJ115" t="s">
        <v>2129</v>
      </c>
      <c r="BK115" t="s">
        <v>2129</v>
      </c>
      <c r="BL115" t="s">
        <v>2129</v>
      </c>
      <c r="BM115" t="s">
        <v>2129</v>
      </c>
      <c r="BN115" t="s">
        <v>2129</v>
      </c>
      <c r="BO115" t="s">
        <v>2129</v>
      </c>
      <c r="BP115" t="s">
        <v>2129</v>
      </c>
      <c r="BQ115">
        <v>0</v>
      </c>
      <c r="BR115">
        <v>219600</v>
      </c>
      <c r="BS115" t="s">
        <v>2129</v>
      </c>
      <c r="BT115" t="s">
        <v>2129</v>
      </c>
      <c r="BU115">
        <v>0</v>
      </c>
      <c r="BV115">
        <v>219600</v>
      </c>
      <c r="BW115" t="s">
        <v>2129</v>
      </c>
      <c r="BX115" t="s">
        <v>2129</v>
      </c>
      <c r="BY115" t="s">
        <v>2129</v>
      </c>
      <c r="BZ115" t="s">
        <v>2129</v>
      </c>
      <c r="CA115" t="s">
        <v>2129</v>
      </c>
      <c r="CB115" t="s">
        <v>2129</v>
      </c>
      <c r="CC115" t="s">
        <v>2129</v>
      </c>
      <c r="CD115" t="s">
        <v>2129</v>
      </c>
      <c r="CE115" t="s">
        <v>2129</v>
      </c>
      <c r="CF115" t="s">
        <v>2129</v>
      </c>
      <c r="CG115" t="s">
        <v>2129</v>
      </c>
      <c r="CH115" t="s">
        <v>2129</v>
      </c>
      <c r="CI115" t="s">
        <v>2129</v>
      </c>
      <c r="CJ115" t="s">
        <v>2129</v>
      </c>
      <c r="CK115" t="s">
        <v>2129</v>
      </c>
      <c r="CL115" t="s">
        <v>2129</v>
      </c>
      <c r="CM115" t="s">
        <v>2129</v>
      </c>
      <c r="CN115" t="s">
        <v>2129</v>
      </c>
      <c r="CO115" t="s">
        <v>2129</v>
      </c>
      <c r="CP115" t="s">
        <v>2129</v>
      </c>
      <c r="CQ115" t="s">
        <v>2129</v>
      </c>
      <c r="CR115" t="s">
        <v>2129</v>
      </c>
      <c r="CS115" t="s">
        <v>2129</v>
      </c>
      <c r="CT115" t="s">
        <v>3959</v>
      </c>
      <c r="CU115" t="s">
        <v>2998</v>
      </c>
      <c r="CV115" t="s">
        <v>2992</v>
      </c>
      <c r="CW115" t="s">
        <v>2129</v>
      </c>
      <c r="CX115" t="s">
        <v>2129</v>
      </c>
      <c r="CY115" t="s">
        <v>2129</v>
      </c>
      <c r="CZ115" t="s">
        <v>2129</v>
      </c>
      <c r="DA115" t="s">
        <v>2129</v>
      </c>
      <c r="DB115" t="s">
        <v>2129</v>
      </c>
      <c r="DC115" t="s">
        <v>2129</v>
      </c>
      <c r="DD115" t="s">
        <v>2129</v>
      </c>
      <c r="DE115" t="s">
        <v>2129</v>
      </c>
      <c r="DF115" t="s">
        <v>2129</v>
      </c>
      <c r="DG115" t="s">
        <v>2129</v>
      </c>
      <c r="DH115" t="s">
        <v>2129</v>
      </c>
      <c r="DJ115" t="s">
        <v>2129</v>
      </c>
      <c r="DK115" t="s">
        <v>2129</v>
      </c>
      <c r="DL115" t="s">
        <v>2129</v>
      </c>
      <c r="DM115" t="s">
        <v>2129</v>
      </c>
      <c r="DN115" t="s">
        <v>2129</v>
      </c>
      <c r="DO115" t="s">
        <v>2129</v>
      </c>
      <c r="DP115" t="s">
        <v>2129</v>
      </c>
      <c r="DQ115" t="s">
        <v>2129</v>
      </c>
      <c r="DR115" t="s">
        <v>2129</v>
      </c>
      <c r="DS115" t="s">
        <v>2129</v>
      </c>
      <c r="DT115" t="s">
        <v>2129</v>
      </c>
      <c r="DU115" t="s">
        <v>2129</v>
      </c>
      <c r="DV115" t="s">
        <v>2129</v>
      </c>
      <c r="DW115" t="s">
        <v>2129</v>
      </c>
      <c r="DX115" t="s">
        <v>2129</v>
      </c>
      <c r="DY115" t="s">
        <v>2129</v>
      </c>
      <c r="DZ115" t="s">
        <v>2129</v>
      </c>
      <c r="EA115" t="s">
        <v>2129</v>
      </c>
      <c r="EB115" t="s">
        <v>2129</v>
      </c>
      <c r="EC115" t="s">
        <v>2129</v>
      </c>
      <c r="ED115" t="s">
        <v>2129</v>
      </c>
      <c r="EE115" t="s">
        <v>2129</v>
      </c>
      <c r="EF115" t="s">
        <v>2129</v>
      </c>
      <c r="EG115" t="s">
        <v>2129</v>
      </c>
      <c r="EH115" t="s">
        <v>2129</v>
      </c>
    </row>
    <row r="116" spans="1:138" x14ac:dyDescent="0.25">
      <c r="A116" t="s">
        <v>2159</v>
      </c>
      <c r="B116" t="s">
        <v>3960</v>
      </c>
      <c r="C116">
        <v>23003</v>
      </c>
      <c r="E116" t="s">
        <v>2136</v>
      </c>
      <c r="F116" t="s">
        <v>16</v>
      </c>
      <c r="G116" t="s">
        <v>2173</v>
      </c>
      <c r="H116" t="s">
        <v>50</v>
      </c>
      <c r="I116" t="s">
        <v>2127</v>
      </c>
      <c r="J116" t="s">
        <v>2156</v>
      </c>
      <c r="K116" t="s">
        <v>2129</v>
      </c>
      <c r="L116" t="s">
        <v>2174</v>
      </c>
      <c r="M116" t="s">
        <v>2130</v>
      </c>
      <c r="N116" t="s">
        <v>16</v>
      </c>
      <c r="O116" t="s">
        <v>2175</v>
      </c>
      <c r="P116" t="s">
        <v>2156</v>
      </c>
      <c r="Q116" t="s">
        <v>2156</v>
      </c>
      <c r="R116" s="37">
        <v>46073.393750000003</v>
      </c>
      <c r="S116" s="37">
        <v>46090.489583333336</v>
      </c>
      <c r="T116" s="37">
        <v>46100.368750000001</v>
      </c>
      <c r="U116" s="37">
        <v>46090.331250000003</v>
      </c>
      <c r="V116" t="s">
        <v>2129</v>
      </c>
      <c r="W116" t="s">
        <v>2129</v>
      </c>
      <c r="X116" t="s">
        <v>2129</v>
      </c>
      <c r="Y116">
        <v>0</v>
      </c>
      <c r="Z116" t="s">
        <v>2129</v>
      </c>
      <c r="AA116" t="s">
        <v>2129</v>
      </c>
      <c r="AB116" t="s">
        <v>2129</v>
      </c>
      <c r="AC116" t="s">
        <v>2156</v>
      </c>
      <c r="AD116" t="s">
        <v>2129</v>
      </c>
      <c r="AE116" t="s">
        <v>2129</v>
      </c>
      <c r="AF116" t="s">
        <v>2129</v>
      </c>
      <c r="AG116" t="s">
        <v>2129</v>
      </c>
      <c r="AH116" t="s">
        <v>3961</v>
      </c>
      <c r="AI116" t="s">
        <v>3962</v>
      </c>
      <c r="AJ116" t="s">
        <v>3963</v>
      </c>
      <c r="AK116" t="s">
        <v>3964</v>
      </c>
      <c r="AL116" t="s">
        <v>3965</v>
      </c>
      <c r="AM116" t="s">
        <v>3966</v>
      </c>
      <c r="AN116" t="s">
        <v>3967</v>
      </c>
      <c r="AO116" t="s">
        <v>3968</v>
      </c>
      <c r="AP116" t="s">
        <v>3969</v>
      </c>
      <c r="AQ116" t="s">
        <v>3970</v>
      </c>
      <c r="AR116" t="s">
        <v>2129</v>
      </c>
      <c r="AS116" t="s">
        <v>2129</v>
      </c>
      <c r="AT116" t="s">
        <v>2129</v>
      </c>
      <c r="AU116" t="s">
        <v>2129</v>
      </c>
      <c r="AV116" t="s">
        <v>2129</v>
      </c>
      <c r="AW116" t="s">
        <v>2129</v>
      </c>
      <c r="AX116" t="s">
        <v>2129</v>
      </c>
      <c r="AY116" t="s">
        <v>2129</v>
      </c>
      <c r="AZ116" t="s">
        <v>2129</v>
      </c>
      <c r="BA116" t="s">
        <v>2129</v>
      </c>
      <c r="BB116" t="s">
        <v>2129</v>
      </c>
      <c r="BC116" t="s">
        <v>2129</v>
      </c>
      <c r="BD116" t="s">
        <v>2129</v>
      </c>
      <c r="BE116" t="s">
        <v>2129</v>
      </c>
      <c r="BF116" t="s">
        <v>2129</v>
      </c>
      <c r="BG116" t="s">
        <v>2129</v>
      </c>
      <c r="BH116" t="s">
        <v>2129</v>
      </c>
      <c r="BI116" t="s">
        <v>2129</v>
      </c>
      <c r="BJ116" t="s">
        <v>2129</v>
      </c>
      <c r="BK116" t="s">
        <v>2129</v>
      </c>
      <c r="BL116" t="s">
        <v>2129</v>
      </c>
      <c r="BM116" t="s">
        <v>2129</v>
      </c>
      <c r="BN116" t="s">
        <v>2129</v>
      </c>
      <c r="BO116" t="s">
        <v>2129</v>
      </c>
      <c r="BP116" t="s">
        <v>2129</v>
      </c>
      <c r="BQ116">
        <v>0</v>
      </c>
      <c r="BR116">
        <v>221400</v>
      </c>
      <c r="BS116" t="s">
        <v>2129</v>
      </c>
      <c r="BT116" t="s">
        <v>2129</v>
      </c>
      <c r="BU116">
        <v>0</v>
      </c>
      <c r="BV116">
        <v>221400</v>
      </c>
      <c r="BW116" t="s">
        <v>2129</v>
      </c>
      <c r="BX116" t="s">
        <v>2129</v>
      </c>
      <c r="BY116" t="s">
        <v>2129</v>
      </c>
      <c r="BZ116" t="s">
        <v>2129</v>
      </c>
      <c r="CA116" t="s">
        <v>2129</v>
      </c>
      <c r="CB116" t="s">
        <v>2129</v>
      </c>
      <c r="CC116" t="s">
        <v>2129</v>
      </c>
      <c r="CD116" t="s">
        <v>2129</v>
      </c>
      <c r="CE116" t="s">
        <v>2129</v>
      </c>
      <c r="CF116" t="s">
        <v>2129</v>
      </c>
      <c r="CG116" t="s">
        <v>2129</v>
      </c>
      <c r="CH116" t="s">
        <v>2129</v>
      </c>
      <c r="CI116" t="s">
        <v>2129</v>
      </c>
      <c r="CJ116" t="s">
        <v>2129</v>
      </c>
      <c r="CK116" t="s">
        <v>2129</v>
      </c>
      <c r="CL116" t="s">
        <v>2129</v>
      </c>
      <c r="CM116" t="s">
        <v>2129</v>
      </c>
      <c r="CN116" t="s">
        <v>2129</v>
      </c>
      <c r="CO116" t="s">
        <v>2129</v>
      </c>
      <c r="CP116" t="s">
        <v>2129</v>
      </c>
      <c r="CQ116" t="s">
        <v>2129</v>
      </c>
      <c r="CR116" t="s">
        <v>2129</v>
      </c>
      <c r="CS116" t="s">
        <v>2129</v>
      </c>
      <c r="CT116" t="s">
        <v>3971</v>
      </c>
      <c r="CU116" t="s">
        <v>2998</v>
      </c>
      <c r="CV116" t="s">
        <v>2992</v>
      </c>
      <c r="CW116" t="s">
        <v>2129</v>
      </c>
      <c r="CX116" t="s">
        <v>2129</v>
      </c>
      <c r="CY116" t="s">
        <v>2129</v>
      </c>
      <c r="CZ116" t="s">
        <v>2129</v>
      </c>
      <c r="DA116" t="s">
        <v>2129</v>
      </c>
      <c r="DB116" t="s">
        <v>2129</v>
      </c>
      <c r="DC116" t="s">
        <v>2129</v>
      </c>
      <c r="DD116" t="s">
        <v>2129</v>
      </c>
      <c r="DE116" t="s">
        <v>2129</v>
      </c>
      <c r="DF116" t="s">
        <v>2129</v>
      </c>
      <c r="DG116" t="s">
        <v>2129</v>
      </c>
      <c r="DH116" t="s">
        <v>2129</v>
      </c>
      <c r="DJ116" t="s">
        <v>2129</v>
      </c>
      <c r="DK116" t="s">
        <v>2129</v>
      </c>
      <c r="DL116" t="s">
        <v>2129</v>
      </c>
      <c r="DM116" t="s">
        <v>2129</v>
      </c>
      <c r="DN116" t="s">
        <v>2129</v>
      </c>
      <c r="DO116" t="s">
        <v>2129</v>
      </c>
      <c r="DP116" t="s">
        <v>2129</v>
      </c>
      <c r="DQ116" t="s">
        <v>2129</v>
      </c>
      <c r="DR116" t="s">
        <v>2129</v>
      </c>
      <c r="DS116" t="s">
        <v>2129</v>
      </c>
      <c r="DT116" t="s">
        <v>2129</v>
      </c>
      <c r="DU116" t="s">
        <v>2129</v>
      </c>
      <c r="DV116" t="s">
        <v>2129</v>
      </c>
      <c r="DW116" t="s">
        <v>2129</v>
      </c>
      <c r="DX116" t="s">
        <v>2129</v>
      </c>
      <c r="DY116" t="s">
        <v>2129</v>
      </c>
      <c r="DZ116" t="s">
        <v>2129</v>
      </c>
      <c r="EA116" t="s">
        <v>2129</v>
      </c>
      <c r="EB116" t="s">
        <v>2129</v>
      </c>
      <c r="EC116" t="s">
        <v>2129</v>
      </c>
      <c r="ED116" t="s">
        <v>2129</v>
      </c>
      <c r="EE116" t="s">
        <v>2129</v>
      </c>
      <c r="EF116" t="s">
        <v>2129</v>
      </c>
      <c r="EG116" t="s">
        <v>2129</v>
      </c>
      <c r="EH116" t="s">
        <v>2129</v>
      </c>
    </row>
    <row r="117" spans="1:138" x14ac:dyDescent="0.25">
      <c r="A117" t="s">
        <v>2685</v>
      </c>
      <c r="B117" t="s">
        <v>2680</v>
      </c>
      <c r="C117">
        <v>22931</v>
      </c>
      <c r="E117" t="s">
        <v>14</v>
      </c>
      <c r="F117" t="s">
        <v>1820</v>
      </c>
      <c r="G117" t="s">
        <v>2173</v>
      </c>
      <c r="H117" t="s">
        <v>50</v>
      </c>
      <c r="I117" t="s">
        <v>2127</v>
      </c>
      <c r="J117" t="s">
        <v>2156</v>
      </c>
      <c r="K117" t="s">
        <v>2129</v>
      </c>
      <c r="L117" t="s">
        <v>2174</v>
      </c>
      <c r="M117" t="s">
        <v>2130</v>
      </c>
      <c r="N117" t="s">
        <v>2129</v>
      </c>
      <c r="O117" t="s">
        <v>2156</v>
      </c>
      <c r="P117" t="s">
        <v>2145</v>
      </c>
      <c r="Q117" t="s">
        <v>2145</v>
      </c>
      <c r="R117" s="37">
        <v>46059.384722222225</v>
      </c>
      <c r="S117" s="37">
        <v>46090.331250000003</v>
      </c>
      <c r="T117" s="37">
        <v>46100.368750000001</v>
      </c>
      <c r="U117" s="37"/>
      <c r="V117" t="s">
        <v>2129</v>
      </c>
      <c r="W117" t="s">
        <v>2129</v>
      </c>
      <c r="X117" t="s">
        <v>2129</v>
      </c>
      <c r="Y117">
        <v>0</v>
      </c>
      <c r="Z117" t="s">
        <v>2129</v>
      </c>
      <c r="AA117" t="s">
        <v>3011</v>
      </c>
      <c r="AB117" t="s">
        <v>2129</v>
      </c>
      <c r="AC117" t="s">
        <v>2145</v>
      </c>
      <c r="AD117" t="s">
        <v>2129</v>
      </c>
      <c r="AE117" t="s">
        <v>2129</v>
      </c>
      <c r="AF117" t="s">
        <v>2129</v>
      </c>
      <c r="AG117" t="s">
        <v>2129</v>
      </c>
      <c r="AH117" t="s">
        <v>2129</v>
      </c>
      <c r="AI117" t="s">
        <v>2129</v>
      </c>
      <c r="AJ117" t="s">
        <v>2129</v>
      </c>
      <c r="AK117" t="s">
        <v>2129</v>
      </c>
      <c r="AL117" t="s">
        <v>2129</v>
      </c>
      <c r="AM117" t="s">
        <v>2129</v>
      </c>
      <c r="AN117" t="s">
        <v>2129</v>
      </c>
      <c r="AO117" t="s">
        <v>2129</v>
      </c>
      <c r="AP117" t="s">
        <v>2129</v>
      </c>
      <c r="AQ117" t="s">
        <v>2129</v>
      </c>
      <c r="AR117" t="s">
        <v>2129</v>
      </c>
      <c r="AS117" t="s">
        <v>2129</v>
      </c>
      <c r="AT117" t="s">
        <v>2129</v>
      </c>
      <c r="AU117" t="s">
        <v>2129</v>
      </c>
      <c r="AV117" t="s">
        <v>2129</v>
      </c>
      <c r="AW117" t="s">
        <v>2129</v>
      </c>
      <c r="AX117" t="s">
        <v>2129</v>
      </c>
      <c r="AY117" t="s">
        <v>2129</v>
      </c>
      <c r="AZ117" t="s">
        <v>2129</v>
      </c>
      <c r="BA117" t="s">
        <v>2129</v>
      </c>
      <c r="BB117" t="s">
        <v>2129</v>
      </c>
      <c r="BC117" t="s">
        <v>2129</v>
      </c>
      <c r="BD117" t="s">
        <v>2129</v>
      </c>
      <c r="BE117" t="s">
        <v>2129</v>
      </c>
      <c r="BF117" t="s">
        <v>2129</v>
      </c>
      <c r="BG117" t="s">
        <v>2129</v>
      </c>
      <c r="BH117" t="s">
        <v>2129</v>
      </c>
      <c r="BI117" t="s">
        <v>2129</v>
      </c>
      <c r="BJ117" t="s">
        <v>2129</v>
      </c>
      <c r="BK117" t="s">
        <v>2129</v>
      </c>
      <c r="BL117" t="s">
        <v>2129</v>
      </c>
      <c r="BM117" t="s">
        <v>2129</v>
      </c>
      <c r="BN117" t="s">
        <v>2129</v>
      </c>
      <c r="BO117" t="s">
        <v>2129</v>
      </c>
      <c r="BP117" t="s">
        <v>2129</v>
      </c>
      <c r="BS117" t="s">
        <v>2129</v>
      </c>
      <c r="BT117" t="s">
        <v>2129</v>
      </c>
      <c r="BW117" t="s">
        <v>2129</v>
      </c>
      <c r="BX117" t="s">
        <v>2129</v>
      </c>
      <c r="BY117" t="s">
        <v>2129</v>
      </c>
      <c r="BZ117" t="s">
        <v>2129</v>
      </c>
      <c r="CA117" t="s">
        <v>2129</v>
      </c>
      <c r="CB117" t="s">
        <v>2129</v>
      </c>
      <c r="CC117" t="s">
        <v>2129</v>
      </c>
      <c r="CD117" t="s">
        <v>2129</v>
      </c>
      <c r="CE117" t="s">
        <v>2129</v>
      </c>
      <c r="CF117" t="s">
        <v>2129</v>
      </c>
      <c r="CG117" t="s">
        <v>2129</v>
      </c>
      <c r="CH117" t="s">
        <v>2129</v>
      </c>
      <c r="CI117" t="s">
        <v>2129</v>
      </c>
      <c r="CJ117" t="s">
        <v>2129</v>
      </c>
      <c r="CK117" t="s">
        <v>2129</v>
      </c>
      <c r="CL117" t="s">
        <v>2129</v>
      </c>
      <c r="CM117" t="s">
        <v>2129</v>
      </c>
      <c r="CN117" t="s">
        <v>2129</v>
      </c>
      <c r="CO117" t="s">
        <v>2129</v>
      </c>
      <c r="CP117" t="s">
        <v>2129</v>
      </c>
      <c r="CQ117" t="s">
        <v>2129</v>
      </c>
      <c r="CR117" t="s">
        <v>2129</v>
      </c>
      <c r="CS117" t="s">
        <v>2129</v>
      </c>
      <c r="CT117" t="s">
        <v>3012</v>
      </c>
      <c r="CU117" t="s">
        <v>2998</v>
      </c>
      <c r="CV117" t="s">
        <v>2992</v>
      </c>
      <c r="CW117" t="s">
        <v>2129</v>
      </c>
      <c r="CX117" t="s">
        <v>2129</v>
      </c>
      <c r="CY117" t="s">
        <v>2129</v>
      </c>
      <c r="CZ117" t="s">
        <v>2129</v>
      </c>
      <c r="DA117" t="s">
        <v>2129</v>
      </c>
      <c r="DB117" t="s">
        <v>2129</v>
      </c>
      <c r="DC117" t="s">
        <v>2129</v>
      </c>
      <c r="DD117" t="s">
        <v>2129</v>
      </c>
      <c r="DE117" t="s">
        <v>2129</v>
      </c>
      <c r="DF117" t="s">
        <v>2129</v>
      </c>
      <c r="DG117" t="s">
        <v>2129</v>
      </c>
      <c r="DH117" t="s">
        <v>2129</v>
      </c>
      <c r="DJ117" t="s">
        <v>2129</v>
      </c>
      <c r="DK117" t="s">
        <v>2129</v>
      </c>
      <c r="DL117" t="s">
        <v>2129</v>
      </c>
      <c r="DM117" t="s">
        <v>2129</v>
      </c>
      <c r="DN117" t="s">
        <v>2129</v>
      </c>
      <c r="DO117" t="s">
        <v>2129</v>
      </c>
      <c r="DP117" t="s">
        <v>2129</v>
      </c>
      <c r="DQ117" t="s">
        <v>2129</v>
      </c>
      <c r="DR117" t="s">
        <v>2129</v>
      </c>
      <c r="DS117" t="s">
        <v>2129</v>
      </c>
      <c r="DT117" t="s">
        <v>2129</v>
      </c>
      <c r="DU117" t="s">
        <v>2129</v>
      </c>
      <c r="DV117" t="s">
        <v>2129</v>
      </c>
      <c r="DW117" t="s">
        <v>2129</v>
      </c>
      <c r="DX117" t="s">
        <v>2129</v>
      </c>
      <c r="DY117" t="s">
        <v>2129</v>
      </c>
      <c r="DZ117" t="s">
        <v>2129</v>
      </c>
      <c r="EA117" t="s">
        <v>2129</v>
      </c>
      <c r="EB117" t="s">
        <v>2129</v>
      </c>
      <c r="EC117" t="s">
        <v>2129</v>
      </c>
      <c r="ED117" t="s">
        <v>2129</v>
      </c>
      <c r="EE117" t="s">
        <v>2129</v>
      </c>
      <c r="EF117" t="s">
        <v>2129</v>
      </c>
      <c r="EG117" t="s">
        <v>2129</v>
      </c>
      <c r="EH117" t="s">
        <v>2129</v>
      </c>
    </row>
    <row r="118" spans="1:138" x14ac:dyDescent="0.25">
      <c r="A118" t="s">
        <v>3972</v>
      </c>
      <c r="B118" t="s">
        <v>3221</v>
      </c>
      <c r="C118">
        <v>23149</v>
      </c>
      <c r="E118" t="s">
        <v>77</v>
      </c>
      <c r="F118" t="s">
        <v>16</v>
      </c>
      <c r="G118" t="s">
        <v>3013</v>
      </c>
      <c r="H118" t="s">
        <v>3014</v>
      </c>
      <c r="I118" t="s">
        <v>2127</v>
      </c>
      <c r="J118" t="s">
        <v>2156</v>
      </c>
      <c r="K118" t="s">
        <v>2129</v>
      </c>
      <c r="L118" t="s">
        <v>2129</v>
      </c>
      <c r="M118" t="s">
        <v>2130</v>
      </c>
      <c r="N118" t="s">
        <v>16</v>
      </c>
      <c r="O118" t="s">
        <v>2156</v>
      </c>
      <c r="P118" t="s">
        <v>2156</v>
      </c>
      <c r="Q118" t="s">
        <v>2156</v>
      </c>
      <c r="R118" s="37">
        <v>46092.546527777777</v>
      </c>
      <c r="S118" s="37">
        <v>46099.600694444445</v>
      </c>
      <c r="T118" s="37">
        <v>46098.631249999999</v>
      </c>
      <c r="U118" s="37">
        <v>46099.600694444445</v>
      </c>
      <c r="V118" t="s">
        <v>2129</v>
      </c>
      <c r="W118" t="s">
        <v>2129</v>
      </c>
      <c r="X118" t="s">
        <v>2129</v>
      </c>
      <c r="Y118">
        <v>0</v>
      </c>
      <c r="Z118" t="s">
        <v>2129</v>
      </c>
      <c r="AA118" t="s">
        <v>3973</v>
      </c>
      <c r="AB118" t="s">
        <v>2129</v>
      </c>
      <c r="AC118" t="s">
        <v>2180</v>
      </c>
      <c r="AD118" t="s">
        <v>2156</v>
      </c>
      <c r="AE118" t="s">
        <v>2129</v>
      </c>
      <c r="AF118" t="s">
        <v>2129</v>
      </c>
      <c r="AG118" t="s">
        <v>2129</v>
      </c>
      <c r="AH118" t="s">
        <v>3974</v>
      </c>
      <c r="AI118" t="s">
        <v>3975</v>
      </c>
      <c r="AJ118" t="s">
        <v>3976</v>
      </c>
      <c r="AK118" t="s">
        <v>2129</v>
      </c>
      <c r="AL118" t="s">
        <v>2129</v>
      </c>
      <c r="AM118" t="s">
        <v>2129</v>
      </c>
      <c r="AN118" t="s">
        <v>2129</v>
      </c>
      <c r="AO118" t="s">
        <v>2129</v>
      </c>
      <c r="AP118" t="s">
        <v>2129</v>
      </c>
      <c r="AQ118" t="s">
        <v>2129</v>
      </c>
      <c r="AR118" t="s">
        <v>2129</v>
      </c>
      <c r="AS118" t="s">
        <v>2129</v>
      </c>
      <c r="AT118" t="s">
        <v>2129</v>
      </c>
      <c r="AU118" t="s">
        <v>2129</v>
      </c>
      <c r="AV118" t="s">
        <v>2129</v>
      </c>
      <c r="AW118" t="s">
        <v>2129</v>
      </c>
      <c r="AX118" t="s">
        <v>2129</v>
      </c>
      <c r="AY118" t="s">
        <v>2129</v>
      </c>
      <c r="AZ118" t="s">
        <v>2129</v>
      </c>
      <c r="BA118" t="s">
        <v>2129</v>
      </c>
      <c r="BB118" t="s">
        <v>2129</v>
      </c>
      <c r="BC118" t="s">
        <v>2129</v>
      </c>
      <c r="BD118" t="s">
        <v>2129</v>
      </c>
      <c r="BE118" t="s">
        <v>2129</v>
      </c>
      <c r="BF118" t="s">
        <v>2129</v>
      </c>
      <c r="BG118" t="s">
        <v>2129</v>
      </c>
      <c r="BH118" t="s">
        <v>2129</v>
      </c>
      <c r="BI118" t="s">
        <v>2129</v>
      </c>
      <c r="BJ118" t="s">
        <v>2129</v>
      </c>
      <c r="BK118" t="s">
        <v>2129</v>
      </c>
      <c r="BL118" t="s">
        <v>2129</v>
      </c>
      <c r="BM118" t="s">
        <v>2129</v>
      </c>
      <c r="BN118" t="s">
        <v>2129</v>
      </c>
      <c r="BO118" t="s">
        <v>2129</v>
      </c>
      <c r="BP118" t="s">
        <v>2129</v>
      </c>
      <c r="BQ118">
        <v>0</v>
      </c>
      <c r="BR118">
        <v>86400</v>
      </c>
      <c r="BS118" t="s">
        <v>2129</v>
      </c>
      <c r="BT118" t="s">
        <v>2129</v>
      </c>
      <c r="BU118">
        <v>0</v>
      </c>
      <c r="BV118">
        <v>86400</v>
      </c>
      <c r="BW118" t="s">
        <v>2129</v>
      </c>
      <c r="BX118" t="s">
        <v>2129</v>
      </c>
      <c r="BY118" t="s">
        <v>2129</v>
      </c>
      <c r="BZ118" t="s">
        <v>2129</v>
      </c>
      <c r="CA118" t="s">
        <v>2129</v>
      </c>
      <c r="CB118" t="s">
        <v>2129</v>
      </c>
      <c r="CC118" t="s">
        <v>2129</v>
      </c>
      <c r="CD118" t="s">
        <v>2129</v>
      </c>
      <c r="CE118" t="s">
        <v>2129</v>
      </c>
      <c r="CF118" t="s">
        <v>2129</v>
      </c>
      <c r="CG118" t="s">
        <v>2129</v>
      </c>
      <c r="CH118" t="s">
        <v>2129</v>
      </c>
      <c r="CI118" t="s">
        <v>2129</v>
      </c>
      <c r="CJ118" t="s">
        <v>2129</v>
      </c>
      <c r="CK118" t="s">
        <v>2129</v>
      </c>
      <c r="CL118" t="s">
        <v>2129</v>
      </c>
      <c r="CM118" t="s">
        <v>2129</v>
      </c>
      <c r="CN118" t="s">
        <v>2129</v>
      </c>
      <c r="CO118" t="s">
        <v>2129</v>
      </c>
      <c r="CP118" t="s">
        <v>2129</v>
      </c>
      <c r="CQ118" t="s">
        <v>2129</v>
      </c>
      <c r="CR118" t="s">
        <v>2129</v>
      </c>
      <c r="CS118" t="s">
        <v>2129</v>
      </c>
      <c r="CT118" t="s">
        <v>3977</v>
      </c>
      <c r="CU118" t="s">
        <v>3018</v>
      </c>
      <c r="CV118" t="s">
        <v>2129</v>
      </c>
      <c r="CW118" t="s">
        <v>2129</v>
      </c>
      <c r="CX118" t="s">
        <v>2129</v>
      </c>
      <c r="CY118" t="s">
        <v>2129</v>
      </c>
      <c r="CZ118" t="s">
        <v>2129</v>
      </c>
      <c r="DA118" t="s">
        <v>2129</v>
      </c>
      <c r="DB118" t="s">
        <v>2129</v>
      </c>
      <c r="DC118" t="s">
        <v>2129</v>
      </c>
      <c r="DD118" t="s">
        <v>2129</v>
      </c>
      <c r="DE118" t="s">
        <v>2129</v>
      </c>
      <c r="DF118" t="s">
        <v>2129</v>
      </c>
      <c r="DG118" t="s">
        <v>2129</v>
      </c>
      <c r="DH118" t="s">
        <v>2129</v>
      </c>
      <c r="DJ118" t="s">
        <v>2129</v>
      </c>
      <c r="DK118" t="s">
        <v>2129</v>
      </c>
      <c r="DL118" t="s">
        <v>3978</v>
      </c>
      <c r="DM118" t="s">
        <v>3979</v>
      </c>
      <c r="DN118" t="s">
        <v>3980</v>
      </c>
      <c r="DO118" t="s">
        <v>3981</v>
      </c>
      <c r="DP118" t="s">
        <v>2129</v>
      </c>
      <c r="DQ118" t="s">
        <v>2129</v>
      </c>
      <c r="DR118" t="s">
        <v>2129</v>
      </c>
      <c r="DS118" t="s">
        <v>2129</v>
      </c>
      <c r="DT118" t="s">
        <v>2129</v>
      </c>
      <c r="DU118" t="s">
        <v>2129</v>
      </c>
      <c r="DV118" t="s">
        <v>2129</v>
      </c>
      <c r="DW118" t="s">
        <v>2129</v>
      </c>
      <c r="DX118" t="s">
        <v>2129</v>
      </c>
      <c r="DY118" t="s">
        <v>2129</v>
      </c>
      <c r="DZ118" t="s">
        <v>2129</v>
      </c>
      <c r="EA118" t="s">
        <v>2129</v>
      </c>
      <c r="EB118" t="s">
        <v>2129</v>
      </c>
      <c r="EC118" t="s">
        <v>2129</v>
      </c>
      <c r="ED118" t="s">
        <v>2129</v>
      </c>
      <c r="EE118" t="s">
        <v>2129</v>
      </c>
      <c r="EF118" t="s">
        <v>2129</v>
      </c>
      <c r="EG118" t="s">
        <v>2129</v>
      </c>
      <c r="EH118" t="s">
        <v>2129</v>
      </c>
    </row>
    <row r="119" spans="1:138" x14ac:dyDescent="0.25">
      <c r="A119" t="s">
        <v>2859</v>
      </c>
      <c r="B119" t="s">
        <v>2858</v>
      </c>
      <c r="C119">
        <v>23098</v>
      </c>
      <c r="E119" t="s">
        <v>77</v>
      </c>
      <c r="F119" t="s">
        <v>16</v>
      </c>
      <c r="G119" t="s">
        <v>3013</v>
      </c>
      <c r="H119" t="s">
        <v>3014</v>
      </c>
      <c r="I119" t="s">
        <v>2127</v>
      </c>
      <c r="J119" t="s">
        <v>2156</v>
      </c>
      <c r="K119" t="s">
        <v>2129</v>
      </c>
      <c r="L119" t="s">
        <v>2129</v>
      </c>
      <c r="M119" t="s">
        <v>2130</v>
      </c>
      <c r="N119" t="s">
        <v>16</v>
      </c>
      <c r="O119" t="s">
        <v>2156</v>
      </c>
      <c r="P119" t="s">
        <v>2156</v>
      </c>
      <c r="Q119" t="s">
        <v>2156</v>
      </c>
      <c r="R119" s="37">
        <v>46084.54583333333</v>
      </c>
      <c r="S119" s="37">
        <v>46090.659722222219</v>
      </c>
      <c r="T119" s="37">
        <v>46100.368750000001</v>
      </c>
      <c r="U119" s="37">
        <v>46090.659722222219</v>
      </c>
      <c r="V119" t="s">
        <v>2129</v>
      </c>
      <c r="W119" t="s">
        <v>2129</v>
      </c>
      <c r="X119" t="s">
        <v>2129</v>
      </c>
      <c r="Y119">
        <v>0</v>
      </c>
      <c r="Z119" t="s">
        <v>2129</v>
      </c>
      <c r="AA119" t="s">
        <v>3015</v>
      </c>
      <c r="AB119" t="s">
        <v>2129</v>
      </c>
      <c r="AC119" t="s">
        <v>2180</v>
      </c>
      <c r="AD119" t="s">
        <v>2156</v>
      </c>
      <c r="AE119" t="s">
        <v>2129</v>
      </c>
      <c r="AF119" t="s">
        <v>2129</v>
      </c>
      <c r="AG119" t="s">
        <v>2129</v>
      </c>
      <c r="AH119" t="s">
        <v>3982</v>
      </c>
      <c r="AI119" t="s">
        <v>2129</v>
      </c>
      <c r="AJ119" t="s">
        <v>2129</v>
      </c>
      <c r="AK119" t="s">
        <v>2129</v>
      </c>
      <c r="AL119" t="s">
        <v>2129</v>
      </c>
      <c r="AM119" t="s">
        <v>2129</v>
      </c>
      <c r="AN119" t="s">
        <v>2129</v>
      </c>
      <c r="AO119" t="s">
        <v>2129</v>
      </c>
      <c r="AP119" t="s">
        <v>2129</v>
      </c>
      <c r="AQ119" t="s">
        <v>2129</v>
      </c>
      <c r="AR119" t="s">
        <v>2129</v>
      </c>
      <c r="AS119" t="s">
        <v>2129</v>
      </c>
      <c r="AT119" t="s">
        <v>2129</v>
      </c>
      <c r="AU119" t="s">
        <v>2129</v>
      </c>
      <c r="AV119" t="s">
        <v>2129</v>
      </c>
      <c r="AW119" t="s">
        <v>2129</v>
      </c>
      <c r="AX119" t="s">
        <v>2129</v>
      </c>
      <c r="AY119" t="s">
        <v>2129</v>
      </c>
      <c r="AZ119" t="s">
        <v>2129</v>
      </c>
      <c r="BA119" t="s">
        <v>2129</v>
      </c>
      <c r="BB119" t="s">
        <v>2129</v>
      </c>
      <c r="BC119" t="s">
        <v>2129</v>
      </c>
      <c r="BD119" t="s">
        <v>2129</v>
      </c>
      <c r="BE119" t="s">
        <v>2129</v>
      </c>
      <c r="BF119" t="s">
        <v>2129</v>
      </c>
      <c r="BG119" t="s">
        <v>2129</v>
      </c>
      <c r="BH119" t="s">
        <v>2129</v>
      </c>
      <c r="BI119" t="s">
        <v>2129</v>
      </c>
      <c r="BJ119" t="s">
        <v>2129</v>
      </c>
      <c r="BK119" t="s">
        <v>2129</v>
      </c>
      <c r="BL119" t="s">
        <v>2129</v>
      </c>
      <c r="BM119" t="s">
        <v>2129</v>
      </c>
      <c r="BN119" t="s">
        <v>2129</v>
      </c>
      <c r="BO119" t="s">
        <v>2129</v>
      </c>
      <c r="BP119" t="s">
        <v>2129</v>
      </c>
      <c r="BQ119">
        <v>0</v>
      </c>
      <c r="BR119">
        <v>25200</v>
      </c>
      <c r="BS119" t="s">
        <v>2129</v>
      </c>
      <c r="BT119" t="s">
        <v>2129</v>
      </c>
      <c r="BU119">
        <v>0</v>
      </c>
      <c r="BV119">
        <v>25200</v>
      </c>
      <c r="BW119" t="s">
        <v>2129</v>
      </c>
      <c r="BX119" t="s">
        <v>2129</v>
      </c>
      <c r="BY119" t="s">
        <v>2129</v>
      </c>
      <c r="BZ119" t="s">
        <v>3016</v>
      </c>
      <c r="CA119" t="s">
        <v>3983</v>
      </c>
      <c r="CB119" t="s">
        <v>3984</v>
      </c>
      <c r="CC119" t="s">
        <v>2129</v>
      </c>
      <c r="CD119" t="s">
        <v>2129</v>
      </c>
      <c r="CE119" t="s">
        <v>2129</v>
      </c>
      <c r="CF119" t="s">
        <v>2129</v>
      </c>
      <c r="CG119" t="s">
        <v>2129</v>
      </c>
      <c r="CH119" t="s">
        <v>2129</v>
      </c>
      <c r="CI119" t="s">
        <v>2129</v>
      </c>
      <c r="CJ119" t="s">
        <v>2129</v>
      </c>
      <c r="CK119" t="s">
        <v>2129</v>
      </c>
      <c r="CL119" t="s">
        <v>2129</v>
      </c>
      <c r="CM119" t="s">
        <v>2129</v>
      </c>
      <c r="CN119" t="s">
        <v>2129</v>
      </c>
      <c r="CO119" t="s">
        <v>2129</v>
      </c>
      <c r="CP119" t="s">
        <v>2129</v>
      </c>
      <c r="CQ119" t="s">
        <v>2129</v>
      </c>
      <c r="CR119" t="s">
        <v>2129</v>
      </c>
      <c r="CS119" t="s">
        <v>2129</v>
      </c>
      <c r="CT119" t="s">
        <v>3017</v>
      </c>
      <c r="CU119" t="s">
        <v>3018</v>
      </c>
      <c r="CV119" t="s">
        <v>2129</v>
      </c>
      <c r="CW119" t="s">
        <v>2129</v>
      </c>
      <c r="CX119" t="s">
        <v>2129</v>
      </c>
      <c r="CY119" t="s">
        <v>2129</v>
      </c>
      <c r="CZ119" t="s">
        <v>2129</v>
      </c>
      <c r="DA119" t="s">
        <v>2129</v>
      </c>
      <c r="DB119" t="s">
        <v>2129</v>
      </c>
      <c r="DC119" t="s">
        <v>2129</v>
      </c>
      <c r="DD119" t="s">
        <v>2129</v>
      </c>
      <c r="DE119" t="s">
        <v>2129</v>
      </c>
      <c r="DF119" t="s">
        <v>2129</v>
      </c>
      <c r="DG119" t="s">
        <v>2129</v>
      </c>
      <c r="DH119" t="s">
        <v>2129</v>
      </c>
      <c r="DJ119" t="s">
        <v>2129</v>
      </c>
      <c r="DK119" t="s">
        <v>2129</v>
      </c>
      <c r="DL119" t="s">
        <v>3985</v>
      </c>
      <c r="DM119" t="s">
        <v>3986</v>
      </c>
      <c r="DN119" t="s">
        <v>3987</v>
      </c>
      <c r="DO119" t="s">
        <v>2129</v>
      </c>
      <c r="DP119" t="s">
        <v>2129</v>
      </c>
      <c r="DQ119" t="s">
        <v>2129</v>
      </c>
      <c r="DR119" t="s">
        <v>2129</v>
      </c>
      <c r="DS119" t="s">
        <v>2129</v>
      </c>
      <c r="DT119" t="s">
        <v>2129</v>
      </c>
      <c r="DU119" t="s">
        <v>2129</v>
      </c>
      <c r="DV119" t="s">
        <v>2129</v>
      </c>
      <c r="DW119" t="s">
        <v>2129</v>
      </c>
      <c r="DX119" t="s">
        <v>2129</v>
      </c>
      <c r="DY119" t="s">
        <v>2129</v>
      </c>
      <c r="DZ119" t="s">
        <v>2129</v>
      </c>
      <c r="EA119" t="s">
        <v>2129</v>
      </c>
      <c r="EB119" t="s">
        <v>2129</v>
      </c>
      <c r="EC119" t="s">
        <v>2129</v>
      </c>
      <c r="ED119" t="s">
        <v>2129</v>
      </c>
      <c r="EE119" t="s">
        <v>2129</v>
      </c>
      <c r="EF119" t="s">
        <v>2129</v>
      </c>
      <c r="EG119" t="s">
        <v>2129</v>
      </c>
      <c r="EH119" t="s">
        <v>2129</v>
      </c>
    </row>
    <row r="120" spans="1:138" x14ac:dyDescent="0.25">
      <c r="A120" t="s">
        <v>3238</v>
      </c>
      <c r="B120" t="s">
        <v>3232</v>
      </c>
      <c r="C120">
        <v>23188</v>
      </c>
      <c r="E120" t="s">
        <v>14</v>
      </c>
      <c r="F120" t="s">
        <v>10</v>
      </c>
      <c r="G120" t="s">
        <v>2177</v>
      </c>
      <c r="H120" t="s">
        <v>44</v>
      </c>
      <c r="I120" t="s">
        <v>2127</v>
      </c>
      <c r="J120" t="s">
        <v>2156</v>
      </c>
      <c r="K120" t="s">
        <v>2129</v>
      </c>
      <c r="L120" t="s">
        <v>2178</v>
      </c>
      <c r="M120" t="s">
        <v>2130</v>
      </c>
      <c r="N120" t="s">
        <v>2129</v>
      </c>
      <c r="O120" t="s">
        <v>2137</v>
      </c>
      <c r="P120" t="s">
        <v>2145</v>
      </c>
      <c r="Q120" t="s">
        <v>2145</v>
      </c>
      <c r="R120" s="37">
        <v>46098.616666666669</v>
      </c>
      <c r="S120" s="37">
        <v>46098.62777777778</v>
      </c>
      <c r="T120" s="37">
        <v>46100.368750000001</v>
      </c>
      <c r="U120" s="37"/>
      <c r="V120" t="s">
        <v>2129</v>
      </c>
      <c r="W120" t="s">
        <v>2129</v>
      </c>
      <c r="X120" t="s">
        <v>2129</v>
      </c>
      <c r="Y120">
        <v>0</v>
      </c>
      <c r="Z120" t="s">
        <v>2129</v>
      </c>
      <c r="AA120" t="s">
        <v>2129</v>
      </c>
      <c r="AB120" t="s">
        <v>2129</v>
      </c>
      <c r="AC120" t="s">
        <v>2145</v>
      </c>
      <c r="AD120" t="s">
        <v>2129</v>
      </c>
      <c r="AE120" t="s">
        <v>2129</v>
      </c>
      <c r="AF120" t="s">
        <v>2129</v>
      </c>
      <c r="AG120" t="s">
        <v>2129</v>
      </c>
      <c r="AH120" t="s">
        <v>2129</v>
      </c>
      <c r="AI120" t="s">
        <v>2129</v>
      </c>
      <c r="AJ120" t="s">
        <v>2129</v>
      </c>
      <c r="AK120" t="s">
        <v>2129</v>
      </c>
      <c r="AL120" t="s">
        <v>2129</v>
      </c>
      <c r="AM120" t="s">
        <v>2129</v>
      </c>
      <c r="AN120" t="s">
        <v>2129</v>
      </c>
      <c r="AO120" t="s">
        <v>2129</v>
      </c>
      <c r="AP120" t="s">
        <v>2129</v>
      </c>
      <c r="AQ120" t="s">
        <v>2129</v>
      </c>
      <c r="AR120" t="s">
        <v>2129</v>
      </c>
      <c r="AS120" t="s">
        <v>2129</v>
      </c>
      <c r="AT120" t="s">
        <v>2129</v>
      </c>
      <c r="AU120" t="s">
        <v>2129</v>
      </c>
      <c r="AV120" t="s">
        <v>2129</v>
      </c>
      <c r="AW120" t="s">
        <v>2129</v>
      </c>
      <c r="AX120" t="s">
        <v>2129</v>
      </c>
      <c r="AY120" t="s">
        <v>2129</v>
      </c>
      <c r="AZ120" t="s">
        <v>2129</v>
      </c>
      <c r="BA120" t="s">
        <v>2129</v>
      </c>
      <c r="BB120" t="s">
        <v>2129</v>
      </c>
      <c r="BC120" t="s">
        <v>2129</v>
      </c>
      <c r="BD120" t="s">
        <v>2129</v>
      </c>
      <c r="BE120" t="s">
        <v>2129</v>
      </c>
      <c r="BF120" t="s">
        <v>2129</v>
      </c>
      <c r="BG120" t="s">
        <v>2129</v>
      </c>
      <c r="BH120" t="s">
        <v>2129</v>
      </c>
      <c r="BI120" t="s">
        <v>2129</v>
      </c>
      <c r="BJ120" t="s">
        <v>2129</v>
      </c>
      <c r="BK120" t="s">
        <v>2129</v>
      </c>
      <c r="BL120" t="s">
        <v>2129</v>
      </c>
      <c r="BM120" t="s">
        <v>2129</v>
      </c>
      <c r="BN120" t="s">
        <v>2129</v>
      </c>
      <c r="BO120" t="s">
        <v>2129</v>
      </c>
      <c r="BP120" t="s">
        <v>2129</v>
      </c>
      <c r="BS120" t="s">
        <v>2129</v>
      </c>
      <c r="BT120" t="s">
        <v>2129</v>
      </c>
      <c r="BW120" t="s">
        <v>2129</v>
      </c>
      <c r="BX120" t="s">
        <v>2129</v>
      </c>
      <c r="BY120" t="s">
        <v>2129</v>
      </c>
      <c r="BZ120" t="s">
        <v>2129</v>
      </c>
      <c r="CA120" t="s">
        <v>2129</v>
      </c>
      <c r="CB120" t="s">
        <v>2129</v>
      </c>
      <c r="CC120" t="s">
        <v>2129</v>
      </c>
      <c r="CD120" t="s">
        <v>2129</v>
      </c>
      <c r="CE120" t="s">
        <v>2129</v>
      </c>
      <c r="CF120" t="s">
        <v>2129</v>
      </c>
      <c r="CG120" t="s">
        <v>2129</v>
      </c>
      <c r="CH120" t="s">
        <v>2129</v>
      </c>
      <c r="CI120" t="s">
        <v>2129</v>
      </c>
      <c r="CJ120" t="s">
        <v>2129</v>
      </c>
      <c r="CK120" t="s">
        <v>2129</v>
      </c>
      <c r="CL120" t="s">
        <v>2129</v>
      </c>
      <c r="CM120" t="s">
        <v>2129</v>
      </c>
      <c r="CN120" t="s">
        <v>2129</v>
      </c>
      <c r="CO120" t="s">
        <v>2129</v>
      </c>
      <c r="CP120" t="s">
        <v>2129</v>
      </c>
      <c r="CQ120" t="s">
        <v>2129</v>
      </c>
      <c r="CR120" t="s">
        <v>2129</v>
      </c>
      <c r="CS120" t="s">
        <v>2129</v>
      </c>
      <c r="CT120" t="s">
        <v>3988</v>
      </c>
      <c r="CU120" t="s">
        <v>3989</v>
      </c>
      <c r="CV120" t="s">
        <v>2129</v>
      </c>
      <c r="CW120" t="s">
        <v>2129</v>
      </c>
      <c r="CX120" t="s">
        <v>2129</v>
      </c>
      <c r="CY120" t="s">
        <v>2129</v>
      </c>
      <c r="CZ120" t="s">
        <v>2129</v>
      </c>
      <c r="DA120" t="s">
        <v>2129</v>
      </c>
      <c r="DB120" t="s">
        <v>2129</v>
      </c>
      <c r="DC120" t="s">
        <v>2129</v>
      </c>
      <c r="DD120" t="s">
        <v>2129</v>
      </c>
      <c r="DE120" t="s">
        <v>2129</v>
      </c>
      <c r="DF120" t="s">
        <v>2129</v>
      </c>
      <c r="DG120" t="s">
        <v>2129</v>
      </c>
      <c r="DH120" t="s">
        <v>2129</v>
      </c>
      <c r="DI120">
        <v>50</v>
      </c>
      <c r="DJ120" t="s">
        <v>2129</v>
      </c>
      <c r="DK120" t="s">
        <v>2129</v>
      </c>
      <c r="DL120" t="s">
        <v>2129</v>
      </c>
      <c r="DM120" t="s">
        <v>2129</v>
      </c>
      <c r="DN120" t="s">
        <v>2129</v>
      </c>
      <c r="DO120" t="s">
        <v>2129</v>
      </c>
      <c r="DP120" t="s">
        <v>2129</v>
      </c>
      <c r="DQ120" t="s">
        <v>2129</v>
      </c>
      <c r="DR120" t="s">
        <v>2129</v>
      </c>
      <c r="DS120" t="s">
        <v>2129</v>
      </c>
      <c r="DT120" t="s">
        <v>2129</v>
      </c>
      <c r="DU120" t="s">
        <v>2129</v>
      </c>
      <c r="DV120" t="s">
        <v>2129</v>
      </c>
      <c r="DW120" t="s">
        <v>2129</v>
      </c>
      <c r="DX120" t="s">
        <v>2129</v>
      </c>
      <c r="DY120" t="s">
        <v>2129</v>
      </c>
      <c r="DZ120" t="s">
        <v>2129</v>
      </c>
      <c r="EA120" t="s">
        <v>2129</v>
      </c>
      <c r="EB120" t="s">
        <v>2129</v>
      </c>
      <c r="EC120" t="s">
        <v>2129</v>
      </c>
      <c r="ED120" t="s">
        <v>2129</v>
      </c>
      <c r="EE120" t="s">
        <v>2129</v>
      </c>
      <c r="EF120" t="s">
        <v>2129</v>
      </c>
      <c r="EG120" t="s">
        <v>2129</v>
      </c>
      <c r="EH120" t="s">
        <v>2129</v>
      </c>
    </row>
    <row r="121" spans="1:138" x14ac:dyDescent="0.25">
      <c r="A121" t="s">
        <v>3237</v>
      </c>
      <c r="B121" t="s">
        <v>3231</v>
      </c>
      <c r="C121">
        <v>23187</v>
      </c>
      <c r="E121" t="s">
        <v>14</v>
      </c>
      <c r="F121" t="s">
        <v>10</v>
      </c>
      <c r="G121" t="s">
        <v>2177</v>
      </c>
      <c r="H121" t="s">
        <v>44</v>
      </c>
      <c r="I121" t="s">
        <v>2127</v>
      </c>
      <c r="J121" t="s">
        <v>2156</v>
      </c>
      <c r="K121" t="s">
        <v>2129</v>
      </c>
      <c r="L121" t="s">
        <v>2178</v>
      </c>
      <c r="M121" t="s">
        <v>2130</v>
      </c>
      <c r="N121" t="s">
        <v>2129</v>
      </c>
      <c r="O121" t="s">
        <v>2137</v>
      </c>
      <c r="P121" t="s">
        <v>2145</v>
      </c>
      <c r="Q121" t="s">
        <v>2145</v>
      </c>
      <c r="R121" s="37">
        <v>46098.609722222223</v>
      </c>
      <c r="S121" s="37">
        <v>46098.624305555553</v>
      </c>
      <c r="T121" s="37">
        <v>46100.368750000001</v>
      </c>
      <c r="U121" s="37"/>
      <c r="V121" t="s">
        <v>2129</v>
      </c>
      <c r="W121" t="s">
        <v>2129</v>
      </c>
      <c r="X121" t="s">
        <v>2129</v>
      </c>
      <c r="Y121">
        <v>0</v>
      </c>
      <c r="Z121" t="s">
        <v>2129</v>
      </c>
      <c r="AA121" t="s">
        <v>3990</v>
      </c>
      <c r="AB121" t="s">
        <v>2129</v>
      </c>
      <c r="AC121" t="s">
        <v>2145</v>
      </c>
      <c r="AD121" t="s">
        <v>2129</v>
      </c>
      <c r="AE121" t="s">
        <v>2129</v>
      </c>
      <c r="AF121" t="s">
        <v>2129</v>
      </c>
      <c r="AG121" t="s">
        <v>2129</v>
      </c>
      <c r="AH121" t="s">
        <v>2129</v>
      </c>
      <c r="AI121" t="s">
        <v>2129</v>
      </c>
      <c r="AJ121" t="s">
        <v>2129</v>
      </c>
      <c r="AK121" t="s">
        <v>2129</v>
      </c>
      <c r="AL121" t="s">
        <v>2129</v>
      </c>
      <c r="AM121" t="s">
        <v>2129</v>
      </c>
      <c r="AN121" t="s">
        <v>2129</v>
      </c>
      <c r="AO121" t="s">
        <v>2129</v>
      </c>
      <c r="AP121" t="s">
        <v>2129</v>
      </c>
      <c r="AQ121" t="s">
        <v>2129</v>
      </c>
      <c r="AR121" t="s">
        <v>2129</v>
      </c>
      <c r="AS121" t="s">
        <v>2129</v>
      </c>
      <c r="AT121" t="s">
        <v>2129</v>
      </c>
      <c r="AU121" t="s">
        <v>2129</v>
      </c>
      <c r="AV121" t="s">
        <v>2129</v>
      </c>
      <c r="AW121" t="s">
        <v>2129</v>
      </c>
      <c r="AX121" t="s">
        <v>2129</v>
      </c>
      <c r="AY121" t="s">
        <v>2129</v>
      </c>
      <c r="AZ121" t="s">
        <v>2129</v>
      </c>
      <c r="BA121" t="s">
        <v>2129</v>
      </c>
      <c r="BB121" t="s">
        <v>2129</v>
      </c>
      <c r="BC121" t="s">
        <v>2129</v>
      </c>
      <c r="BD121" t="s">
        <v>2129</v>
      </c>
      <c r="BE121" t="s">
        <v>2129</v>
      </c>
      <c r="BF121" t="s">
        <v>2129</v>
      </c>
      <c r="BG121" t="s">
        <v>2129</v>
      </c>
      <c r="BH121" t="s">
        <v>2129</v>
      </c>
      <c r="BI121" t="s">
        <v>2129</v>
      </c>
      <c r="BJ121" t="s">
        <v>2129</v>
      </c>
      <c r="BK121" t="s">
        <v>2129</v>
      </c>
      <c r="BL121" t="s">
        <v>2129</v>
      </c>
      <c r="BM121" t="s">
        <v>2129</v>
      </c>
      <c r="BN121" t="s">
        <v>2129</v>
      </c>
      <c r="BO121" t="s">
        <v>2129</v>
      </c>
      <c r="BP121" t="s">
        <v>2129</v>
      </c>
      <c r="BS121" t="s">
        <v>2129</v>
      </c>
      <c r="BT121" t="s">
        <v>2129</v>
      </c>
      <c r="BW121" t="s">
        <v>2129</v>
      </c>
      <c r="BX121" t="s">
        <v>2129</v>
      </c>
      <c r="BY121" t="s">
        <v>2129</v>
      </c>
      <c r="BZ121" t="s">
        <v>2129</v>
      </c>
      <c r="CA121" t="s">
        <v>2129</v>
      </c>
      <c r="CB121" t="s">
        <v>2129</v>
      </c>
      <c r="CC121" t="s">
        <v>2129</v>
      </c>
      <c r="CD121" t="s">
        <v>2129</v>
      </c>
      <c r="CE121" t="s">
        <v>2129</v>
      </c>
      <c r="CF121" t="s">
        <v>2129</v>
      </c>
      <c r="CG121" t="s">
        <v>2129</v>
      </c>
      <c r="CH121" t="s">
        <v>2129</v>
      </c>
      <c r="CI121" t="s">
        <v>2129</v>
      </c>
      <c r="CJ121" t="s">
        <v>2129</v>
      </c>
      <c r="CK121" t="s">
        <v>2129</v>
      </c>
      <c r="CL121" t="s">
        <v>2129</v>
      </c>
      <c r="CM121" t="s">
        <v>2129</v>
      </c>
      <c r="CN121" t="s">
        <v>2129</v>
      </c>
      <c r="CO121" t="s">
        <v>2129</v>
      </c>
      <c r="CP121" t="s">
        <v>2129</v>
      </c>
      <c r="CQ121" t="s">
        <v>2129</v>
      </c>
      <c r="CR121" t="s">
        <v>2129</v>
      </c>
      <c r="CS121" t="s">
        <v>2129</v>
      </c>
      <c r="CT121" t="s">
        <v>3991</v>
      </c>
      <c r="CU121" t="s">
        <v>3989</v>
      </c>
      <c r="CV121" t="s">
        <v>2129</v>
      </c>
      <c r="CW121" t="s">
        <v>2129</v>
      </c>
      <c r="CX121" t="s">
        <v>2129</v>
      </c>
      <c r="CY121" t="s">
        <v>2129</v>
      </c>
      <c r="CZ121" t="s">
        <v>2129</v>
      </c>
      <c r="DA121" t="s">
        <v>2129</v>
      </c>
      <c r="DB121" t="s">
        <v>2129</v>
      </c>
      <c r="DC121" t="s">
        <v>2129</v>
      </c>
      <c r="DD121" t="s">
        <v>2129</v>
      </c>
      <c r="DE121" t="s">
        <v>2129</v>
      </c>
      <c r="DF121" t="s">
        <v>2129</v>
      </c>
      <c r="DG121" t="s">
        <v>2129</v>
      </c>
      <c r="DH121" t="s">
        <v>2129</v>
      </c>
      <c r="DI121">
        <v>20</v>
      </c>
      <c r="DJ121" t="s">
        <v>2129</v>
      </c>
      <c r="DK121" t="s">
        <v>2129</v>
      </c>
      <c r="DL121" t="s">
        <v>2129</v>
      </c>
      <c r="DM121" t="s">
        <v>2129</v>
      </c>
      <c r="DN121" t="s">
        <v>2129</v>
      </c>
      <c r="DO121" t="s">
        <v>2129</v>
      </c>
      <c r="DP121" t="s">
        <v>2129</v>
      </c>
      <c r="DQ121" t="s">
        <v>2129</v>
      </c>
      <c r="DR121" t="s">
        <v>2129</v>
      </c>
      <c r="DS121" t="s">
        <v>2129</v>
      </c>
      <c r="DT121" t="s">
        <v>2129</v>
      </c>
      <c r="DU121" t="s">
        <v>2129</v>
      </c>
      <c r="DV121" t="s">
        <v>2129</v>
      </c>
      <c r="DW121" t="s">
        <v>2129</v>
      </c>
      <c r="DX121" t="s">
        <v>2129</v>
      </c>
      <c r="DY121" t="s">
        <v>2129</v>
      </c>
      <c r="DZ121" t="s">
        <v>2129</v>
      </c>
      <c r="EA121" t="s">
        <v>2129</v>
      </c>
      <c r="EB121" t="s">
        <v>2129</v>
      </c>
      <c r="EC121" t="s">
        <v>2129</v>
      </c>
      <c r="ED121" t="s">
        <v>2129</v>
      </c>
      <c r="EE121" t="s">
        <v>2129</v>
      </c>
      <c r="EF121" t="s">
        <v>2129</v>
      </c>
      <c r="EG121" t="s">
        <v>2129</v>
      </c>
      <c r="EH121" t="s">
        <v>2129</v>
      </c>
    </row>
    <row r="122" spans="1:138" x14ac:dyDescent="0.25">
      <c r="A122" t="s">
        <v>2159</v>
      </c>
      <c r="B122" t="s">
        <v>3992</v>
      </c>
      <c r="C122">
        <v>23173</v>
      </c>
      <c r="E122" t="s">
        <v>2136</v>
      </c>
      <c r="F122" t="s">
        <v>10</v>
      </c>
      <c r="G122" t="s">
        <v>2177</v>
      </c>
      <c r="H122" t="s">
        <v>44</v>
      </c>
      <c r="I122" t="s">
        <v>2127</v>
      </c>
      <c r="J122" t="s">
        <v>2156</v>
      </c>
      <c r="K122" t="s">
        <v>2129</v>
      </c>
      <c r="L122" t="s">
        <v>2178</v>
      </c>
      <c r="M122" t="s">
        <v>2130</v>
      </c>
      <c r="N122" t="s">
        <v>2129</v>
      </c>
      <c r="O122" t="s">
        <v>2129</v>
      </c>
      <c r="P122" t="s">
        <v>2156</v>
      </c>
      <c r="Q122" t="s">
        <v>2156</v>
      </c>
      <c r="R122" s="37">
        <v>46098.423611111109</v>
      </c>
      <c r="S122" s="37">
        <v>46098.423611111109</v>
      </c>
      <c r="T122" s="37">
        <v>46100.368750000001</v>
      </c>
      <c r="U122" s="37"/>
      <c r="V122" t="s">
        <v>2129</v>
      </c>
      <c r="W122" t="s">
        <v>2129</v>
      </c>
      <c r="X122" t="s">
        <v>2129</v>
      </c>
      <c r="Y122">
        <v>0</v>
      </c>
      <c r="Z122" t="s">
        <v>2129</v>
      </c>
      <c r="AA122" t="s">
        <v>2129</v>
      </c>
      <c r="AB122" t="s">
        <v>2129</v>
      </c>
      <c r="AC122" t="s">
        <v>2156</v>
      </c>
      <c r="AD122" t="s">
        <v>2129</v>
      </c>
      <c r="AE122" t="s">
        <v>2129</v>
      </c>
      <c r="AF122" t="s">
        <v>2129</v>
      </c>
      <c r="AG122" t="s">
        <v>2129</v>
      </c>
      <c r="AH122" t="s">
        <v>2129</v>
      </c>
      <c r="AI122" t="s">
        <v>2129</v>
      </c>
      <c r="AJ122" t="s">
        <v>2129</v>
      </c>
      <c r="AK122" t="s">
        <v>2129</v>
      </c>
      <c r="AL122" t="s">
        <v>2129</v>
      </c>
      <c r="AM122" t="s">
        <v>2129</v>
      </c>
      <c r="AN122" t="s">
        <v>2129</v>
      </c>
      <c r="AO122" t="s">
        <v>2129</v>
      </c>
      <c r="AP122" t="s">
        <v>2129</v>
      </c>
      <c r="AQ122" t="s">
        <v>2129</v>
      </c>
      <c r="AR122" t="s">
        <v>2129</v>
      </c>
      <c r="AS122" t="s">
        <v>2129</v>
      </c>
      <c r="AT122" t="s">
        <v>2129</v>
      </c>
      <c r="AU122" t="s">
        <v>2129</v>
      </c>
      <c r="AV122" t="s">
        <v>2129</v>
      </c>
      <c r="AW122" t="s">
        <v>2129</v>
      </c>
      <c r="AX122" t="s">
        <v>2129</v>
      </c>
      <c r="AY122" t="s">
        <v>2129</v>
      </c>
      <c r="AZ122" t="s">
        <v>2129</v>
      </c>
      <c r="BA122" t="s">
        <v>2129</v>
      </c>
      <c r="BB122" t="s">
        <v>2129</v>
      </c>
      <c r="BC122" t="s">
        <v>2129</v>
      </c>
      <c r="BD122" t="s">
        <v>2129</v>
      </c>
      <c r="BE122" t="s">
        <v>2129</v>
      </c>
      <c r="BF122" t="s">
        <v>2129</v>
      </c>
      <c r="BG122" t="s">
        <v>2129</v>
      </c>
      <c r="BH122" t="s">
        <v>2129</v>
      </c>
      <c r="BI122" t="s">
        <v>2129</v>
      </c>
      <c r="BJ122" t="s">
        <v>2129</v>
      </c>
      <c r="BK122" t="s">
        <v>2129</v>
      </c>
      <c r="BL122" t="s">
        <v>2129</v>
      </c>
      <c r="BM122" t="s">
        <v>2129</v>
      </c>
      <c r="BN122" t="s">
        <v>2129</v>
      </c>
      <c r="BO122" t="s">
        <v>2129</v>
      </c>
      <c r="BP122" t="s">
        <v>2129</v>
      </c>
      <c r="BS122" t="s">
        <v>2129</v>
      </c>
      <c r="BT122" t="s">
        <v>2129</v>
      </c>
      <c r="BW122" t="s">
        <v>2129</v>
      </c>
      <c r="BX122" t="s">
        <v>2129</v>
      </c>
      <c r="BY122" t="s">
        <v>2129</v>
      </c>
      <c r="BZ122" t="s">
        <v>2129</v>
      </c>
      <c r="CA122" t="s">
        <v>2129</v>
      </c>
      <c r="CB122" t="s">
        <v>2129</v>
      </c>
      <c r="CC122" t="s">
        <v>2129</v>
      </c>
      <c r="CD122" t="s">
        <v>2129</v>
      </c>
      <c r="CE122" t="s">
        <v>2129</v>
      </c>
      <c r="CF122" t="s">
        <v>2129</v>
      </c>
      <c r="CG122" t="s">
        <v>2129</v>
      </c>
      <c r="CH122" t="s">
        <v>2129</v>
      </c>
      <c r="CI122" t="s">
        <v>2129</v>
      </c>
      <c r="CJ122" t="s">
        <v>2129</v>
      </c>
      <c r="CK122" t="s">
        <v>2129</v>
      </c>
      <c r="CL122" t="s">
        <v>2129</v>
      </c>
      <c r="CM122" t="s">
        <v>2129</v>
      </c>
      <c r="CN122" t="s">
        <v>2129</v>
      </c>
      <c r="CO122" t="s">
        <v>2129</v>
      </c>
      <c r="CP122" t="s">
        <v>2129</v>
      </c>
      <c r="CQ122" t="s">
        <v>2129</v>
      </c>
      <c r="CR122" t="s">
        <v>2129</v>
      </c>
      <c r="CS122" t="s">
        <v>2129</v>
      </c>
      <c r="CT122" t="s">
        <v>3993</v>
      </c>
      <c r="CU122" t="s">
        <v>3989</v>
      </c>
      <c r="CV122" t="s">
        <v>2129</v>
      </c>
      <c r="CW122" t="s">
        <v>2129</v>
      </c>
      <c r="CX122" t="s">
        <v>2129</v>
      </c>
      <c r="CY122" t="s">
        <v>2129</v>
      </c>
      <c r="CZ122" t="s">
        <v>2129</v>
      </c>
      <c r="DA122" t="s">
        <v>2129</v>
      </c>
      <c r="DB122" t="s">
        <v>2129</v>
      </c>
      <c r="DC122" t="s">
        <v>2129</v>
      </c>
      <c r="DD122" t="s">
        <v>2129</v>
      </c>
      <c r="DE122" t="s">
        <v>2129</v>
      </c>
      <c r="DF122" t="s">
        <v>2129</v>
      </c>
      <c r="DG122" t="s">
        <v>2129</v>
      </c>
      <c r="DH122" t="s">
        <v>2129</v>
      </c>
      <c r="DJ122" t="s">
        <v>2129</v>
      </c>
      <c r="DK122" t="s">
        <v>2129</v>
      </c>
      <c r="DL122" t="s">
        <v>2129</v>
      </c>
      <c r="DM122" t="s">
        <v>2129</v>
      </c>
      <c r="DN122" t="s">
        <v>2129</v>
      </c>
      <c r="DO122" t="s">
        <v>2129</v>
      </c>
      <c r="DP122" t="s">
        <v>2129</v>
      </c>
      <c r="DQ122" t="s">
        <v>2129</v>
      </c>
      <c r="DR122" t="s">
        <v>2129</v>
      </c>
      <c r="DS122" t="s">
        <v>2129</v>
      </c>
      <c r="DT122" t="s">
        <v>2129</v>
      </c>
      <c r="DU122" t="s">
        <v>2129</v>
      </c>
      <c r="DV122" t="s">
        <v>2129</v>
      </c>
      <c r="DW122" t="s">
        <v>2129</v>
      </c>
      <c r="DX122" t="s">
        <v>2129</v>
      </c>
      <c r="DY122" t="s">
        <v>2129</v>
      </c>
      <c r="DZ122" t="s">
        <v>2129</v>
      </c>
      <c r="EA122" t="s">
        <v>2129</v>
      </c>
      <c r="EB122" t="s">
        <v>2129</v>
      </c>
      <c r="EC122" t="s">
        <v>2129</v>
      </c>
      <c r="ED122" t="s">
        <v>2129</v>
      </c>
      <c r="EE122" t="s">
        <v>2129</v>
      </c>
      <c r="EF122" t="s">
        <v>2129</v>
      </c>
      <c r="EG122" t="s">
        <v>2129</v>
      </c>
      <c r="EH122" t="s">
        <v>2129</v>
      </c>
    </row>
    <row r="123" spans="1:138" x14ac:dyDescent="0.25">
      <c r="A123" t="s">
        <v>2159</v>
      </c>
      <c r="B123" t="s">
        <v>3994</v>
      </c>
      <c r="C123">
        <v>23172</v>
      </c>
      <c r="E123" t="s">
        <v>2136</v>
      </c>
      <c r="F123" t="s">
        <v>10</v>
      </c>
      <c r="G123" t="s">
        <v>2177</v>
      </c>
      <c r="H123" t="s">
        <v>44</v>
      </c>
      <c r="I123" t="s">
        <v>2127</v>
      </c>
      <c r="J123" t="s">
        <v>2156</v>
      </c>
      <c r="K123" t="s">
        <v>2129</v>
      </c>
      <c r="L123" t="s">
        <v>2178</v>
      </c>
      <c r="M123" t="s">
        <v>2130</v>
      </c>
      <c r="N123" t="s">
        <v>2129</v>
      </c>
      <c r="O123" t="s">
        <v>2129</v>
      </c>
      <c r="P123" t="s">
        <v>2156</v>
      </c>
      <c r="Q123" t="s">
        <v>2156</v>
      </c>
      <c r="R123" s="37">
        <v>46098.423611111109</v>
      </c>
      <c r="S123" s="37">
        <v>46098.423611111109</v>
      </c>
      <c r="T123" s="37">
        <v>46100.368750000001</v>
      </c>
      <c r="U123" s="37"/>
      <c r="V123" t="s">
        <v>2129</v>
      </c>
      <c r="W123" t="s">
        <v>2129</v>
      </c>
      <c r="X123" t="s">
        <v>2129</v>
      </c>
      <c r="Y123">
        <v>0</v>
      </c>
      <c r="Z123" t="s">
        <v>2129</v>
      </c>
      <c r="AA123" t="s">
        <v>2129</v>
      </c>
      <c r="AB123" t="s">
        <v>2129</v>
      </c>
      <c r="AC123" t="s">
        <v>2156</v>
      </c>
      <c r="AD123" t="s">
        <v>2129</v>
      </c>
      <c r="AE123" t="s">
        <v>2129</v>
      </c>
      <c r="AF123" t="s">
        <v>2129</v>
      </c>
      <c r="AG123" t="s">
        <v>2129</v>
      </c>
      <c r="AH123" t="s">
        <v>2129</v>
      </c>
      <c r="AI123" t="s">
        <v>2129</v>
      </c>
      <c r="AJ123" t="s">
        <v>2129</v>
      </c>
      <c r="AK123" t="s">
        <v>2129</v>
      </c>
      <c r="AL123" t="s">
        <v>2129</v>
      </c>
      <c r="AM123" t="s">
        <v>2129</v>
      </c>
      <c r="AN123" t="s">
        <v>2129</v>
      </c>
      <c r="AO123" t="s">
        <v>2129</v>
      </c>
      <c r="AP123" t="s">
        <v>2129</v>
      </c>
      <c r="AQ123" t="s">
        <v>2129</v>
      </c>
      <c r="AR123" t="s">
        <v>2129</v>
      </c>
      <c r="AS123" t="s">
        <v>2129</v>
      </c>
      <c r="AT123" t="s">
        <v>2129</v>
      </c>
      <c r="AU123" t="s">
        <v>2129</v>
      </c>
      <c r="AV123" t="s">
        <v>2129</v>
      </c>
      <c r="AW123" t="s">
        <v>2129</v>
      </c>
      <c r="AX123" t="s">
        <v>2129</v>
      </c>
      <c r="AY123" t="s">
        <v>2129</v>
      </c>
      <c r="AZ123" t="s">
        <v>2129</v>
      </c>
      <c r="BA123" t="s">
        <v>2129</v>
      </c>
      <c r="BB123" t="s">
        <v>2129</v>
      </c>
      <c r="BC123" t="s">
        <v>2129</v>
      </c>
      <c r="BD123" t="s">
        <v>2129</v>
      </c>
      <c r="BE123" t="s">
        <v>2129</v>
      </c>
      <c r="BF123" t="s">
        <v>2129</v>
      </c>
      <c r="BG123" t="s">
        <v>2129</v>
      </c>
      <c r="BH123" t="s">
        <v>2129</v>
      </c>
      <c r="BI123" t="s">
        <v>2129</v>
      </c>
      <c r="BJ123" t="s">
        <v>2129</v>
      </c>
      <c r="BK123" t="s">
        <v>2129</v>
      </c>
      <c r="BL123" t="s">
        <v>2129</v>
      </c>
      <c r="BM123" t="s">
        <v>2129</v>
      </c>
      <c r="BN123" t="s">
        <v>2129</v>
      </c>
      <c r="BO123" t="s">
        <v>2129</v>
      </c>
      <c r="BP123" t="s">
        <v>2129</v>
      </c>
      <c r="BS123" t="s">
        <v>2129</v>
      </c>
      <c r="BT123" t="s">
        <v>2129</v>
      </c>
      <c r="BW123" t="s">
        <v>2129</v>
      </c>
      <c r="BX123" t="s">
        <v>2129</v>
      </c>
      <c r="BY123" t="s">
        <v>2129</v>
      </c>
      <c r="BZ123" t="s">
        <v>2129</v>
      </c>
      <c r="CA123" t="s">
        <v>2129</v>
      </c>
      <c r="CB123" t="s">
        <v>2129</v>
      </c>
      <c r="CC123" t="s">
        <v>2129</v>
      </c>
      <c r="CD123" t="s">
        <v>2129</v>
      </c>
      <c r="CE123" t="s">
        <v>2129</v>
      </c>
      <c r="CF123" t="s">
        <v>2129</v>
      </c>
      <c r="CG123" t="s">
        <v>2129</v>
      </c>
      <c r="CH123" t="s">
        <v>2129</v>
      </c>
      <c r="CI123" t="s">
        <v>2129</v>
      </c>
      <c r="CJ123" t="s">
        <v>2129</v>
      </c>
      <c r="CK123" t="s">
        <v>2129</v>
      </c>
      <c r="CL123" t="s">
        <v>2129</v>
      </c>
      <c r="CM123" t="s">
        <v>2129</v>
      </c>
      <c r="CN123" t="s">
        <v>2129</v>
      </c>
      <c r="CO123" t="s">
        <v>2129</v>
      </c>
      <c r="CP123" t="s">
        <v>2129</v>
      </c>
      <c r="CQ123" t="s">
        <v>2129</v>
      </c>
      <c r="CR123" t="s">
        <v>2129</v>
      </c>
      <c r="CS123" t="s">
        <v>2129</v>
      </c>
      <c r="CT123" t="s">
        <v>3995</v>
      </c>
      <c r="CU123" t="s">
        <v>3989</v>
      </c>
      <c r="CV123" t="s">
        <v>2129</v>
      </c>
      <c r="CW123" t="s">
        <v>2129</v>
      </c>
      <c r="CX123" t="s">
        <v>2129</v>
      </c>
      <c r="CY123" t="s">
        <v>2129</v>
      </c>
      <c r="CZ123" t="s">
        <v>2129</v>
      </c>
      <c r="DA123" t="s">
        <v>2129</v>
      </c>
      <c r="DB123" t="s">
        <v>2129</v>
      </c>
      <c r="DC123" t="s">
        <v>2129</v>
      </c>
      <c r="DD123" t="s">
        <v>2129</v>
      </c>
      <c r="DE123" t="s">
        <v>2129</v>
      </c>
      <c r="DF123" t="s">
        <v>2129</v>
      </c>
      <c r="DG123" t="s">
        <v>2129</v>
      </c>
      <c r="DH123" t="s">
        <v>2129</v>
      </c>
      <c r="DJ123" t="s">
        <v>2129</v>
      </c>
      <c r="DK123" t="s">
        <v>2129</v>
      </c>
      <c r="DL123" t="s">
        <v>2129</v>
      </c>
      <c r="DM123" t="s">
        <v>2129</v>
      </c>
      <c r="DN123" t="s">
        <v>2129</v>
      </c>
      <c r="DO123" t="s">
        <v>2129</v>
      </c>
      <c r="DP123" t="s">
        <v>2129</v>
      </c>
      <c r="DQ123" t="s">
        <v>2129</v>
      </c>
      <c r="DR123" t="s">
        <v>2129</v>
      </c>
      <c r="DS123" t="s">
        <v>2129</v>
      </c>
      <c r="DT123" t="s">
        <v>2129</v>
      </c>
      <c r="DU123" t="s">
        <v>2129</v>
      </c>
      <c r="DV123" t="s">
        <v>2129</v>
      </c>
      <c r="DW123" t="s">
        <v>2129</v>
      </c>
      <c r="DX123" t="s">
        <v>2129</v>
      </c>
      <c r="DY123" t="s">
        <v>2129</v>
      </c>
      <c r="DZ123" t="s">
        <v>2129</v>
      </c>
      <c r="EA123" t="s">
        <v>2129</v>
      </c>
      <c r="EB123" t="s">
        <v>2129</v>
      </c>
      <c r="EC123" t="s">
        <v>2129</v>
      </c>
      <c r="ED123" t="s">
        <v>2129</v>
      </c>
      <c r="EE123" t="s">
        <v>2129</v>
      </c>
      <c r="EF123" t="s">
        <v>2129</v>
      </c>
      <c r="EG123" t="s">
        <v>2129</v>
      </c>
      <c r="EH123" t="s">
        <v>2129</v>
      </c>
    </row>
    <row r="124" spans="1:138" x14ac:dyDescent="0.25">
      <c r="A124" t="s">
        <v>2159</v>
      </c>
      <c r="B124" t="s">
        <v>3996</v>
      </c>
      <c r="C124">
        <v>23171</v>
      </c>
      <c r="E124" t="s">
        <v>2136</v>
      </c>
      <c r="F124" t="s">
        <v>10</v>
      </c>
      <c r="G124" t="s">
        <v>2177</v>
      </c>
      <c r="H124" t="s">
        <v>44</v>
      </c>
      <c r="I124" t="s">
        <v>2127</v>
      </c>
      <c r="J124" t="s">
        <v>2156</v>
      </c>
      <c r="K124" t="s">
        <v>2129</v>
      </c>
      <c r="L124" t="s">
        <v>2178</v>
      </c>
      <c r="M124" t="s">
        <v>2130</v>
      </c>
      <c r="N124" t="s">
        <v>2129</v>
      </c>
      <c r="O124" t="s">
        <v>2129</v>
      </c>
      <c r="P124" t="s">
        <v>2156</v>
      </c>
      <c r="Q124" t="s">
        <v>2156</v>
      </c>
      <c r="R124" s="37">
        <v>46098.423611111109</v>
      </c>
      <c r="S124" s="37">
        <v>46098.423611111109</v>
      </c>
      <c r="T124" s="37">
        <v>46100.368750000001</v>
      </c>
      <c r="U124" s="37"/>
      <c r="V124" t="s">
        <v>2129</v>
      </c>
      <c r="W124" t="s">
        <v>2129</v>
      </c>
      <c r="X124" t="s">
        <v>2129</v>
      </c>
      <c r="Y124">
        <v>0</v>
      </c>
      <c r="Z124" t="s">
        <v>2129</v>
      </c>
      <c r="AA124" t="s">
        <v>2129</v>
      </c>
      <c r="AB124" t="s">
        <v>2129</v>
      </c>
      <c r="AC124" t="s">
        <v>2156</v>
      </c>
      <c r="AD124" t="s">
        <v>2129</v>
      </c>
      <c r="AE124" t="s">
        <v>2129</v>
      </c>
      <c r="AF124" t="s">
        <v>2129</v>
      </c>
      <c r="AG124" t="s">
        <v>2129</v>
      </c>
      <c r="AH124" t="s">
        <v>2129</v>
      </c>
      <c r="AI124" t="s">
        <v>2129</v>
      </c>
      <c r="AJ124" t="s">
        <v>2129</v>
      </c>
      <c r="AK124" t="s">
        <v>2129</v>
      </c>
      <c r="AL124" t="s">
        <v>2129</v>
      </c>
      <c r="AM124" t="s">
        <v>2129</v>
      </c>
      <c r="AN124" t="s">
        <v>2129</v>
      </c>
      <c r="AO124" t="s">
        <v>2129</v>
      </c>
      <c r="AP124" t="s">
        <v>2129</v>
      </c>
      <c r="AQ124" t="s">
        <v>2129</v>
      </c>
      <c r="AR124" t="s">
        <v>2129</v>
      </c>
      <c r="AS124" t="s">
        <v>2129</v>
      </c>
      <c r="AT124" t="s">
        <v>2129</v>
      </c>
      <c r="AU124" t="s">
        <v>2129</v>
      </c>
      <c r="AV124" t="s">
        <v>2129</v>
      </c>
      <c r="AW124" t="s">
        <v>2129</v>
      </c>
      <c r="AX124" t="s">
        <v>2129</v>
      </c>
      <c r="AY124" t="s">
        <v>2129</v>
      </c>
      <c r="AZ124" t="s">
        <v>2129</v>
      </c>
      <c r="BA124" t="s">
        <v>2129</v>
      </c>
      <c r="BB124" t="s">
        <v>2129</v>
      </c>
      <c r="BC124" t="s">
        <v>2129</v>
      </c>
      <c r="BD124" t="s">
        <v>2129</v>
      </c>
      <c r="BE124" t="s">
        <v>2129</v>
      </c>
      <c r="BF124" t="s">
        <v>2129</v>
      </c>
      <c r="BG124" t="s">
        <v>2129</v>
      </c>
      <c r="BH124" t="s">
        <v>2129</v>
      </c>
      <c r="BI124" t="s">
        <v>2129</v>
      </c>
      <c r="BJ124" t="s">
        <v>2129</v>
      </c>
      <c r="BK124" t="s">
        <v>2129</v>
      </c>
      <c r="BL124" t="s">
        <v>2129</v>
      </c>
      <c r="BM124" t="s">
        <v>2129</v>
      </c>
      <c r="BN124" t="s">
        <v>2129</v>
      </c>
      <c r="BO124" t="s">
        <v>2129</v>
      </c>
      <c r="BP124" t="s">
        <v>2129</v>
      </c>
      <c r="BS124" t="s">
        <v>2129</v>
      </c>
      <c r="BT124" t="s">
        <v>2129</v>
      </c>
      <c r="BW124" t="s">
        <v>2129</v>
      </c>
      <c r="BX124" t="s">
        <v>2129</v>
      </c>
      <c r="BY124" t="s">
        <v>2129</v>
      </c>
      <c r="BZ124" t="s">
        <v>2129</v>
      </c>
      <c r="CA124" t="s">
        <v>2129</v>
      </c>
      <c r="CB124" t="s">
        <v>2129</v>
      </c>
      <c r="CC124" t="s">
        <v>2129</v>
      </c>
      <c r="CD124" t="s">
        <v>2129</v>
      </c>
      <c r="CE124" t="s">
        <v>2129</v>
      </c>
      <c r="CF124" t="s">
        <v>2129</v>
      </c>
      <c r="CG124" t="s">
        <v>2129</v>
      </c>
      <c r="CH124" t="s">
        <v>2129</v>
      </c>
      <c r="CI124" t="s">
        <v>2129</v>
      </c>
      <c r="CJ124" t="s">
        <v>2129</v>
      </c>
      <c r="CK124" t="s">
        <v>2129</v>
      </c>
      <c r="CL124" t="s">
        <v>2129</v>
      </c>
      <c r="CM124" t="s">
        <v>2129</v>
      </c>
      <c r="CN124" t="s">
        <v>2129</v>
      </c>
      <c r="CO124" t="s">
        <v>2129</v>
      </c>
      <c r="CP124" t="s">
        <v>2129</v>
      </c>
      <c r="CQ124" t="s">
        <v>2129</v>
      </c>
      <c r="CR124" t="s">
        <v>2129</v>
      </c>
      <c r="CS124" t="s">
        <v>2129</v>
      </c>
      <c r="CT124" t="s">
        <v>3997</v>
      </c>
      <c r="CU124" t="s">
        <v>3989</v>
      </c>
      <c r="CV124" t="s">
        <v>2129</v>
      </c>
      <c r="CW124" t="s">
        <v>2129</v>
      </c>
      <c r="CX124" t="s">
        <v>2129</v>
      </c>
      <c r="CY124" t="s">
        <v>2129</v>
      </c>
      <c r="CZ124" t="s">
        <v>2129</v>
      </c>
      <c r="DA124" t="s">
        <v>2129</v>
      </c>
      <c r="DB124" t="s">
        <v>2129</v>
      </c>
      <c r="DC124" t="s">
        <v>2129</v>
      </c>
      <c r="DD124" t="s">
        <v>2129</v>
      </c>
      <c r="DE124" t="s">
        <v>2129</v>
      </c>
      <c r="DF124" t="s">
        <v>2129</v>
      </c>
      <c r="DG124" t="s">
        <v>2129</v>
      </c>
      <c r="DH124" t="s">
        <v>2129</v>
      </c>
      <c r="DJ124" t="s">
        <v>2129</v>
      </c>
      <c r="DK124" t="s">
        <v>2129</v>
      </c>
      <c r="DL124" t="s">
        <v>2129</v>
      </c>
      <c r="DM124" t="s">
        <v>2129</v>
      </c>
      <c r="DN124" t="s">
        <v>2129</v>
      </c>
      <c r="DO124" t="s">
        <v>2129</v>
      </c>
      <c r="DP124" t="s">
        <v>2129</v>
      </c>
      <c r="DQ124" t="s">
        <v>2129</v>
      </c>
      <c r="DR124" t="s">
        <v>2129</v>
      </c>
      <c r="DS124" t="s">
        <v>2129</v>
      </c>
      <c r="DT124" t="s">
        <v>2129</v>
      </c>
      <c r="DU124" t="s">
        <v>2129</v>
      </c>
      <c r="DV124" t="s">
        <v>2129</v>
      </c>
      <c r="DW124" t="s">
        <v>2129</v>
      </c>
      <c r="DX124" t="s">
        <v>2129</v>
      </c>
      <c r="DY124" t="s">
        <v>2129</v>
      </c>
      <c r="DZ124" t="s">
        <v>2129</v>
      </c>
      <c r="EA124" t="s">
        <v>2129</v>
      </c>
      <c r="EB124" t="s">
        <v>2129</v>
      </c>
      <c r="EC124" t="s">
        <v>2129</v>
      </c>
      <c r="ED124" t="s">
        <v>2129</v>
      </c>
      <c r="EE124" t="s">
        <v>2129</v>
      </c>
      <c r="EF124" t="s">
        <v>2129</v>
      </c>
      <c r="EG124" t="s">
        <v>2129</v>
      </c>
      <c r="EH124" t="s">
        <v>2129</v>
      </c>
    </row>
    <row r="125" spans="1:138" x14ac:dyDescent="0.25">
      <c r="A125" t="s">
        <v>2159</v>
      </c>
      <c r="B125" t="s">
        <v>3998</v>
      </c>
      <c r="C125">
        <v>23170</v>
      </c>
      <c r="E125" t="s">
        <v>2136</v>
      </c>
      <c r="F125" t="s">
        <v>10</v>
      </c>
      <c r="G125" t="s">
        <v>2177</v>
      </c>
      <c r="H125" t="s">
        <v>44</v>
      </c>
      <c r="I125" t="s">
        <v>2127</v>
      </c>
      <c r="J125" t="s">
        <v>2156</v>
      </c>
      <c r="K125" t="s">
        <v>2129</v>
      </c>
      <c r="L125" t="s">
        <v>2178</v>
      </c>
      <c r="M125" t="s">
        <v>2130</v>
      </c>
      <c r="N125" t="s">
        <v>2129</v>
      </c>
      <c r="O125" t="s">
        <v>2129</v>
      </c>
      <c r="P125" t="s">
        <v>2156</v>
      </c>
      <c r="Q125" t="s">
        <v>2156</v>
      </c>
      <c r="R125" s="37">
        <v>46098.423611111109</v>
      </c>
      <c r="S125" s="37">
        <v>46098.423611111109</v>
      </c>
      <c r="T125" s="37">
        <v>46100.368750000001</v>
      </c>
      <c r="U125" s="37"/>
      <c r="V125" t="s">
        <v>2129</v>
      </c>
      <c r="W125" t="s">
        <v>2129</v>
      </c>
      <c r="X125" t="s">
        <v>2129</v>
      </c>
      <c r="Y125">
        <v>0</v>
      </c>
      <c r="Z125" t="s">
        <v>2129</v>
      </c>
      <c r="AA125" t="s">
        <v>2129</v>
      </c>
      <c r="AB125" t="s">
        <v>2129</v>
      </c>
      <c r="AC125" t="s">
        <v>2156</v>
      </c>
      <c r="AD125" t="s">
        <v>2129</v>
      </c>
      <c r="AE125" t="s">
        <v>2129</v>
      </c>
      <c r="AF125" t="s">
        <v>2129</v>
      </c>
      <c r="AG125" t="s">
        <v>2129</v>
      </c>
      <c r="AH125" t="s">
        <v>2129</v>
      </c>
      <c r="AI125" t="s">
        <v>2129</v>
      </c>
      <c r="AJ125" t="s">
        <v>2129</v>
      </c>
      <c r="AK125" t="s">
        <v>2129</v>
      </c>
      <c r="AL125" t="s">
        <v>2129</v>
      </c>
      <c r="AM125" t="s">
        <v>2129</v>
      </c>
      <c r="AN125" t="s">
        <v>2129</v>
      </c>
      <c r="AO125" t="s">
        <v>2129</v>
      </c>
      <c r="AP125" t="s">
        <v>2129</v>
      </c>
      <c r="AQ125" t="s">
        <v>2129</v>
      </c>
      <c r="AR125" t="s">
        <v>2129</v>
      </c>
      <c r="AS125" t="s">
        <v>2129</v>
      </c>
      <c r="AT125" t="s">
        <v>2129</v>
      </c>
      <c r="AU125" t="s">
        <v>2129</v>
      </c>
      <c r="AV125" t="s">
        <v>2129</v>
      </c>
      <c r="AW125" t="s">
        <v>2129</v>
      </c>
      <c r="AX125" t="s">
        <v>2129</v>
      </c>
      <c r="AY125" t="s">
        <v>2129</v>
      </c>
      <c r="AZ125" t="s">
        <v>2129</v>
      </c>
      <c r="BA125" t="s">
        <v>2129</v>
      </c>
      <c r="BB125" t="s">
        <v>2129</v>
      </c>
      <c r="BC125" t="s">
        <v>2129</v>
      </c>
      <c r="BD125" t="s">
        <v>2129</v>
      </c>
      <c r="BE125" t="s">
        <v>2129</v>
      </c>
      <c r="BF125" t="s">
        <v>2129</v>
      </c>
      <c r="BG125" t="s">
        <v>2129</v>
      </c>
      <c r="BH125" t="s">
        <v>2129</v>
      </c>
      <c r="BI125" t="s">
        <v>2129</v>
      </c>
      <c r="BJ125" t="s">
        <v>2129</v>
      </c>
      <c r="BK125" t="s">
        <v>2129</v>
      </c>
      <c r="BL125" t="s">
        <v>2129</v>
      </c>
      <c r="BM125" t="s">
        <v>2129</v>
      </c>
      <c r="BN125" t="s">
        <v>2129</v>
      </c>
      <c r="BO125" t="s">
        <v>2129</v>
      </c>
      <c r="BP125" t="s">
        <v>2129</v>
      </c>
      <c r="BS125" t="s">
        <v>2129</v>
      </c>
      <c r="BT125" t="s">
        <v>2129</v>
      </c>
      <c r="BW125" t="s">
        <v>2129</v>
      </c>
      <c r="BX125" t="s">
        <v>2129</v>
      </c>
      <c r="BY125" t="s">
        <v>2129</v>
      </c>
      <c r="BZ125" t="s">
        <v>2129</v>
      </c>
      <c r="CA125" t="s">
        <v>2129</v>
      </c>
      <c r="CB125" t="s">
        <v>2129</v>
      </c>
      <c r="CC125" t="s">
        <v>2129</v>
      </c>
      <c r="CD125" t="s">
        <v>2129</v>
      </c>
      <c r="CE125" t="s">
        <v>2129</v>
      </c>
      <c r="CF125" t="s">
        <v>2129</v>
      </c>
      <c r="CG125" t="s">
        <v>2129</v>
      </c>
      <c r="CH125" t="s">
        <v>2129</v>
      </c>
      <c r="CI125" t="s">
        <v>2129</v>
      </c>
      <c r="CJ125" t="s">
        <v>2129</v>
      </c>
      <c r="CK125" t="s">
        <v>2129</v>
      </c>
      <c r="CL125" t="s">
        <v>2129</v>
      </c>
      <c r="CM125" t="s">
        <v>2129</v>
      </c>
      <c r="CN125" t="s">
        <v>2129</v>
      </c>
      <c r="CO125" t="s">
        <v>2129</v>
      </c>
      <c r="CP125" t="s">
        <v>2129</v>
      </c>
      <c r="CQ125" t="s">
        <v>2129</v>
      </c>
      <c r="CR125" t="s">
        <v>2129</v>
      </c>
      <c r="CS125" t="s">
        <v>2129</v>
      </c>
      <c r="CT125" t="s">
        <v>3999</v>
      </c>
      <c r="CU125" t="s">
        <v>3989</v>
      </c>
      <c r="CV125" t="s">
        <v>2129</v>
      </c>
      <c r="CW125" t="s">
        <v>2129</v>
      </c>
      <c r="CX125" t="s">
        <v>2129</v>
      </c>
      <c r="CY125" t="s">
        <v>2129</v>
      </c>
      <c r="CZ125" t="s">
        <v>2129</v>
      </c>
      <c r="DA125" t="s">
        <v>2129</v>
      </c>
      <c r="DB125" t="s">
        <v>2129</v>
      </c>
      <c r="DC125" t="s">
        <v>2129</v>
      </c>
      <c r="DD125" t="s">
        <v>2129</v>
      </c>
      <c r="DE125" t="s">
        <v>2129</v>
      </c>
      <c r="DF125" t="s">
        <v>2129</v>
      </c>
      <c r="DG125" t="s">
        <v>2129</v>
      </c>
      <c r="DH125" t="s">
        <v>2129</v>
      </c>
      <c r="DJ125" t="s">
        <v>2129</v>
      </c>
      <c r="DK125" t="s">
        <v>2129</v>
      </c>
      <c r="DL125" t="s">
        <v>2129</v>
      </c>
      <c r="DM125" t="s">
        <v>2129</v>
      </c>
      <c r="DN125" t="s">
        <v>2129</v>
      </c>
      <c r="DO125" t="s">
        <v>2129</v>
      </c>
      <c r="DP125" t="s">
        <v>2129</v>
      </c>
      <c r="DQ125" t="s">
        <v>2129</v>
      </c>
      <c r="DR125" t="s">
        <v>2129</v>
      </c>
      <c r="DS125" t="s">
        <v>2129</v>
      </c>
      <c r="DT125" t="s">
        <v>2129</v>
      </c>
      <c r="DU125" t="s">
        <v>2129</v>
      </c>
      <c r="DV125" t="s">
        <v>2129</v>
      </c>
      <c r="DW125" t="s">
        <v>2129</v>
      </c>
      <c r="DX125" t="s">
        <v>2129</v>
      </c>
      <c r="DY125" t="s">
        <v>2129</v>
      </c>
      <c r="DZ125" t="s">
        <v>2129</v>
      </c>
      <c r="EA125" t="s">
        <v>2129</v>
      </c>
      <c r="EB125" t="s">
        <v>2129</v>
      </c>
      <c r="EC125" t="s">
        <v>2129</v>
      </c>
      <c r="ED125" t="s">
        <v>2129</v>
      </c>
      <c r="EE125" t="s">
        <v>2129</v>
      </c>
      <c r="EF125" t="s">
        <v>2129</v>
      </c>
      <c r="EG125" t="s">
        <v>2129</v>
      </c>
      <c r="EH125" t="s">
        <v>2129</v>
      </c>
    </row>
    <row r="126" spans="1:138" x14ac:dyDescent="0.25">
      <c r="A126" t="s">
        <v>1723</v>
      </c>
      <c r="B126" t="s">
        <v>3019</v>
      </c>
      <c r="C126">
        <v>23093</v>
      </c>
      <c r="E126" t="s">
        <v>2136</v>
      </c>
      <c r="F126" t="s">
        <v>10</v>
      </c>
      <c r="G126" t="s">
        <v>2177</v>
      </c>
      <c r="H126" t="s">
        <v>44</v>
      </c>
      <c r="I126" t="s">
        <v>2127</v>
      </c>
      <c r="J126" t="s">
        <v>2156</v>
      </c>
      <c r="K126" t="s">
        <v>2129</v>
      </c>
      <c r="L126" t="s">
        <v>2178</v>
      </c>
      <c r="M126" t="s">
        <v>2130</v>
      </c>
      <c r="N126" t="s">
        <v>2129</v>
      </c>
      <c r="O126" t="s">
        <v>2825</v>
      </c>
      <c r="P126" t="s">
        <v>2156</v>
      </c>
      <c r="Q126" t="s">
        <v>2156</v>
      </c>
      <c r="R126" s="37">
        <v>46084.538194444445</v>
      </c>
      <c r="S126" s="37">
        <v>46099.73541666667</v>
      </c>
      <c r="T126" s="37">
        <v>46100.368750000001</v>
      </c>
      <c r="U126" s="37"/>
      <c r="V126" t="s">
        <v>2129</v>
      </c>
      <c r="W126" t="s">
        <v>2129</v>
      </c>
      <c r="X126" t="s">
        <v>2129</v>
      </c>
      <c r="Y126">
        <v>0</v>
      </c>
      <c r="Z126" t="s">
        <v>2129</v>
      </c>
      <c r="AA126" t="s">
        <v>2129</v>
      </c>
      <c r="AB126" t="s">
        <v>2129</v>
      </c>
      <c r="AC126" t="s">
        <v>2156</v>
      </c>
      <c r="AD126" t="s">
        <v>2129</v>
      </c>
      <c r="AE126" t="s">
        <v>2129</v>
      </c>
      <c r="AF126" t="s">
        <v>2129</v>
      </c>
      <c r="AG126" t="s">
        <v>2129</v>
      </c>
      <c r="AH126" t="s">
        <v>4000</v>
      </c>
      <c r="AI126" t="s">
        <v>4001</v>
      </c>
      <c r="AJ126" t="s">
        <v>4002</v>
      </c>
      <c r="AK126" t="s">
        <v>4003</v>
      </c>
      <c r="AL126" t="s">
        <v>4004</v>
      </c>
      <c r="AM126" t="s">
        <v>2129</v>
      </c>
      <c r="AN126" t="s">
        <v>2129</v>
      </c>
      <c r="AO126" t="s">
        <v>2129</v>
      </c>
      <c r="AP126" t="s">
        <v>2129</v>
      </c>
      <c r="AQ126" t="s">
        <v>2129</v>
      </c>
      <c r="AR126" t="s">
        <v>2129</v>
      </c>
      <c r="AS126" t="s">
        <v>2129</v>
      </c>
      <c r="AT126" t="s">
        <v>2129</v>
      </c>
      <c r="AU126" t="s">
        <v>2129</v>
      </c>
      <c r="AV126" t="s">
        <v>2129</v>
      </c>
      <c r="AW126" t="s">
        <v>2129</v>
      </c>
      <c r="AX126" t="s">
        <v>2129</v>
      </c>
      <c r="AY126" t="s">
        <v>2129</v>
      </c>
      <c r="AZ126" t="s">
        <v>2129</v>
      </c>
      <c r="BA126" t="s">
        <v>2129</v>
      </c>
      <c r="BB126" t="s">
        <v>2129</v>
      </c>
      <c r="BC126" t="s">
        <v>2129</v>
      </c>
      <c r="BD126" t="s">
        <v>2129</v>
      </c>
      <c r="BE126" t="s">
        <v>2129</v>
      </c>
      <c r="BF126" t="s">
        <v>2129</v>
      </c>
      <c r="BG126" t="s">
        <v>2129</v>
      </c>
      <c r="BH126" t="s">
        <v>2129</v>
      </c>
      <c r="BI126" t="s">
        <v>2129</v>
      </c>
      <c r="BJ126" t="s">
        <v>2129</v>
      </c>
      <c r="BK126" t="s">
        <v>2129</v>
      </c>
      <c r="BL126" t="s">
        <v>2129</v>
      </c>
      <c r="BM126" t="s">
        <v>2129</v>
      </c>
      <c r="BN126" t="s">
        <v>2129</v>
      </c>
      <c r="BO126" t="s">
        <v>2129</v>
      </c>
      <c r="BP126" t="s">
        <v>2129</v>
      </c>
      <c r="BQ126">
        <v>7200</v>
      </c>
      <c r="BR126">
        <v>106200</v>
      </c>
      <c r="BS126" t="s">
        <v>2129</v>
      </c>
      <c r="BT126" t="s">
        <v>2129</v>
      </c>
      <c r="BU126">
        <v>7200</v>
      </c>
      <c r="BV126">
        <v>106200</v>
      </c>
      <c r="BW126" t="s">
        <v>2129</v>
      </c>
      <c r="BX126" t="s">
        <v>2129</v>
      </c>
      <c r="BY126" t="s">
        <v>2129</v>
      </c>
      <c r="BZ126" t="s">
        <v>2129</v>
      </c>
      <c r="CA126" t="s">
        <v>2129</v>
      </c>
      <c r="CB126" t="s">
        <v>2129</v>
      </c>
      <c r="CC126" t="s">
        <v>2129</v>
      </c>
      <c r="CD126" t="s">
        <v>2129</v>
      </c>
      <c r="CE126" t="s">
        <v>2129</v>
      </c>
      <c r="CF126" t="s">
        <v>2129</v>
      </c>
      <c r="CG126" t="s">
        <v>2129</v>
      </c>
      <c r="CH126" t="s">
        <v>2129</v>
      </c>
      <c r="CI126" t="s">
        <v>2129</v>
      </c>
      <c r="CJ126" t="s">
        <v>2129</v>
      </c>
      <c r="CK126" t="s">
        <v>2129</v>
      </c>
      <c r="CL126" t="s">
        <v>2129</v>
      </c>
      <c r="CM126" t="s">
        <v>2129</v>
      </c>
      <c r="CN126" t="s">
        <v>2129</v>
      </c>
      <c r="CO126" t="s">
        <v>2129</v>
      </c>
      <c r="CP126" t="s">
        <v>2129</v>
      </c>
      <c r="CQ126" t="s">
        <v>2129</v>
      </c>
      <c r="CR126" t="s">
        <v>2129</v>
      </c>
      <c r="CS126" t="s">
        <v>2129</v>
      </c>
      <c r="CT126" t="s">
        <v>3020</v>
      </c>
      <c r="CU126" t="s">
        <v>3021</v>
      </c>
      <c r="CV126" t="s">
        <v>2129</v>
      </c>
      <c r="CW126" t="s">
        <v>2129</v>
      </c>
      <c r="CX126" t="s">
        <v>2129</v>
      </c>
      <c r="CY126" t="s">
        <v>2129</v>
      </c>
      <c r="CZ126" t="s">
        <v>2129</v>
      </c>
      <c r="DA126" t="s">
        <v>2129</v>
      </c>
      <c r="DB126" t="s">
        <v>2129</v>
      </c>
      <c r="DC126" t="s">
        <v>2129</v>
      </c>
      <c r="DD126" t="s">
        <v>2129</v>
      </c>
      <c r="DE126" t="s">
        <v>2129</v>
      </c>
      <c r="DF126" t="s">
        <v>2129</v>
      </c>
      <c r="DG126" t="s">
        <v>2129</v>
      </c>
      <c r="DH126" t="s">
        <v>2129</v>
      </c>
      <c r="DJ126" t="s">
        <v>2129</v>
      </c>
      <c r="DK126" t="s">
        <v>2129</v>
      </c>
      <c r="DL126" t="s">
        <v>2129</v>
      </c>
      <c r="DM126" t="s">
        <v>2129</v>
      </c>
      <c r="DN126" t="s">
        <v>2129</v>
      </c>
      <c r="DO126" t="s">
        <v>2129</v>
      </c>
      <c r="DP126" t="s">
        <v>2129</v>
      </c>
      <c r="DQ126" t="s">
        <v>2129</v>
      </c>
      <c r="DR126" t="s">
        <v>2129</v>
      </c>
      <c r="DS126" t="s">
        <v>2129</v>
      </c>
      <c r="DT126" t="s">
        <v>2129</v>
      </c>
      <c r="DU126" t="s">
        <v>2129</v>
      </c>
      <c r="DV126" t="s">
        <v>2129</v>
      </c>
      <c r="DW126" t="s">
        <v>2129</v>
      </c>
      <c r="DX126" t="s">
        <v>2129</v>
      </c>
      <c r="DY126" t="s">
        <v>2129</v>
      </c>
      <c r="DZ126" t="s">
        <v>2129</v>
      </c>
      <c r="EA126" t="s">
        <v>2129</v>
      </c>
      <c r="EB126" t="s">
        <v>2129</v>
      </c>
      <c r="EC126" t="s">
        <v>2129</v>
      </c>
      <c r="ED126" t="s">
        <v>2129</v>
      </c>
      <c r="EE126" t="s">
        <v>2129</v>
      </c>
      <c r="EF126" t="s">
        <v>2129</v>
      </c>
      <c r="EG126" t="s">
        <v>2129</v>
      </c>
      <c r="EH126" t="s">
        <v>2129</v>
      </c>
    </row>
    <row r="127" spans="1:138" x14ac:dyDescent="0.25">
      <c r="A127" t="s">
        <v>1723</v>
      </c>
      <c r="B127" t="s">
        <v>3022</v>
      </c>
      <c r="C127">
        <v>23092</v>
      </c>
      <c r="E127" t="s">
        <v>2136</v>
      </c>
      <c r="F127" t="s">
        <v>10</v>
      </c>
      <c r="G127" t="s">
        <v>2177</v>
      </c>
      <c r="H127" t="s">
        <v>44</v>
      </c>
      <c r="I127" t="s">
        <v>2127</v>
      </c>
      <c r="J127" t="s">
        <v>2156</v>
      </c>
      <c r="K127" t="s">
        <v>2129</v>
      </c>
      <c r="L127" t="s">
        <v>2178</v>
      </c>
      <c r="M127" t="s">
        <v>2130</v>
      </c>
      <c r="N127" t="s">
        <v>2129</v>
      </c>
      <c r="O127" t="s">
        <v>2380</v>
      </c>
      <c r="P127" t="s">
        <v>2156</v>
      </c>
      <c r="Q127" t="s">
        <v>2156</v>
      </c>
      <c r="R127" s="37">
        <v>46084.538194444445</v>
      </c>
      <c r="S127" s="37">
        <v>46090.32916666667</v>
      </c>
      <c r="T127" s="37">
        <v>46100.368750000001</v>
      </c>
      <c r="U127" s="37"/>
      <c r="V127" t="s">
        <v>2129</v>
      </c>
      <c r="W127" t="s">
        <v>2129</v>
      </c>
      <c r="X127" t="s">
        <v>2129</v>
      </c>
      <c r="Y127">
        <v>0</v>
      </c>
      <c r="Z127" t="s">
        <v>2129</v>
      </c>
      <c r="AA127" t="s">
        <v>2129</v>
      </c>
      <c r="AB127" t="s">
        <v>2129</v>
      </c>
      <c r="AC127" t="s">
        <v>2156</v>
      </c>
      <c r="AD127" t="s">
        <v>2129</v>
      </c>
      <c r="AE127" t="s">
        <v>2129</v>
      </c>
      <c r="AF127" t="s">
        <v>2129</v>
      </c>
      <c r="AG127" t="s">
        <v>2129</v>
      </c>
      <c r="AH127" t="s">
        <v>2129</v>
      </c>
      <c r="AI127" t="s">
        <v>2129</v>
      </c>
      <c r="AJ127" t="s">
        <v>2129</v>
      </c>
      <c r="AK127" t="s">
        <v>2129</v>
      </c>
      <c r="AL127" t="s">
        <v>2129</v>
      </c>
      <c r="AM127" t="s">
        <v>2129</v>
      </c>
      <c r="AN127" t="s">
        <v>2129</v>
      </c>
      <c r="AO127" t="s">
        <v>2129</v>
      </c>
      <c r="AP127" t="s">
        <v>2129</v>
      </c>
      <c r="AQ127" t="s">
        <v>2129</v>
      </c>
      <c r="AR127" t="s">
        <v>2129</v>
      </c>
      <c r="AS127" t="s">
        <v>2129</v>
      </c>
      <c r="AT127" t="s">
        <v>2129</v>
      </c>
      <c r="AU127" t="s">
        <v>2129</v>
      </c>
      <c r="AV127" t="s">
        <v>2129</v>
      </c>
      <c r="AW127" t="s">
        <v>2129</v>
      </c>
      <c r="AX127" t="s">
        <v>2129</v>
      </c>
      <c r="AY127" t="s">
        <v>2129</v>
      </c>
      <c r="AZ127" t="s">
        <v>2129</v>
      </c>
      <c r="BA127" t="s">
        <v>2129</v>
      </c>
      <c r="BB127" t="s">
        <v>2129</v>
      </c>
      <c r="BC127" t="s">
        <v>2129</v>
      </c>
      <c r="BD127" t="s">
        <v>2129</v>
      </c>
      <c r="BE127" t="s">
        <v>2129</v>
      </c>
      <c r="BF127" t="s">
        <v>2129</v>
      </c>
      <c r="BG127" t="s">
        <v>2129</v>
      </c>
      <c r="BH127" t="s">
        <v>2129</v>
      </c>
      <c r="BI127" t="s">
        <v>2129</v>
      </c>
      <c r="BJ127" t="s">
        <v>2129</v>
      </c>
      <c r="BK127" t="s">
        <v>2129</v>
      </c>
      <c r="BL127" t="s">
        <v>2129</v>
      </c>
      <c r="BM127" t="s">
        <v>2129</v>
      </c>
      <c r="BN127" t="s">
        <v>2129</v>
      </c>
      <c r="BO127" t="s">
        <v>2129</v>
      </c>
      <c r="BP127" t="s">
        <v>2129</v>
      </c>
      <c r="BS127" t="s">
        <v>2129</v>
      </c>
      <c r="BT127" t="s">
        <v>2129</v>
      </c>
      <c r="BW127" t="s">
        <v>2129</v>
      </c>
      <c r="BX127" t="s">
        <v>2129</v>
      </c>
      <c r="BY127" t="s">
        <v>2129</v>
      </c>
      <c r="BZ127" t="s">
        <v>2129</v>
      </c>
      <c r="CA127" t="s">
        <v>2129</v>
      </c>
      <c r="CB127" t="s">
        <v>2129</v>
      </c>
      <c r="CC127" t="s">
        <v>2129</v>
      </c>
      <c r="CD127" t="s">
        <v>2129</v>
      </c>
      <c r="CE127" t="s">
        <v>2129</v>
      </c>
      <c r="CF127" t="s">
        <v>2129</v>
      </c>
      <c r="CG127" t="s">
        <v>2129</v>
      </c>
      <c r="CH127" t="s">
        <v>2129</v>
      </c>
      <c r="CI127" t="s">
        <v>2129</v>
      </c>
      <c r="CJ127" t="s">
        <v>2129</v>
      </c>
      <c r="CK127" t="s">
        <v>2129</v>
      </c>
      <c r="CL127" t="s">
        <v>2129</v>
      </c>
      <c r="CM127" t="s">
        <v>2129</v>
      </c>
      <c r="CN127" t="s">
        <v>2129</v>
      </c>
      <c r="CO127" t="s">
        <v>2129</v>
      </c>
      <c r="CP127" t="s">
        <v>2129</v>
      </c>
      <c r="CQ127" t="s">
        <v>2129</v>
      </c>
      <c r="CR127" t="s">
        <v>2129</v>
      </c>
      <c r="CS127" t="s">
        <v>2129</v>
      </c>
      <c r="CT127" t="s">
        <v>3023</v>
      </c>
      <c r="CU127" t="s">
        <v>3021</v>
      </c>
      <c r="CV127" t="s">
        <v>2129</v>
      </c>
      <c r="CW127" t="s">
        <v>2129</v>
      </c>
      <c r="CX127" t="s">
        <v>2129</v>
      </c>
      <c r="CY127" t="s">
        <v>2129</v>
      </c>
      <c r="CZ127" t="s">
        <v>2129</v>
      </c>
      <c r="DA127" t="s">
        <v>2129</v>
      </c>
      <c r="DB127" t="s">
        <v>2129</v>
      </c>
      <c r="DC127" t="s">
        <v>2129</v>
      </c>
      <c r="DD127" t="s">
        <v>2129</v>
      </c>
      <c r="DE127" t="s">
        <v>2129</v>
      </c>
      <c r="DF127" t="s">
        <v>2129</v>
      </c>
      <c r="DG127" t="s">
        <v>2129</v>
      </c>
      <c r="DH127" t="s">
        <v>2129</v>
      </c>
      <c r="DJ127" t="s">
        <v>2129</v>
      </c>
      <c r="DK127" t="s">
        <v>2129</v>
      </c>
      <c r="DL127" t="s">
        <v>2129</v>
      </c>
      <c r="DM127" t="s">
        <v>2129</v>
      </c>
      <c r="DN127" t="s">
        <v>2129</v>
      </c>
      <c r="DO127" t="s">
        <v>2129</v>
      </c>
      <c r="DP127" t="s">
        <v>2129</v>
      </c>
      <c r="DQ127" t="s">
        <v>2129</v>
      </c>
      <c r="DR127" t="s">
        <v>2129</v>
      </c>
      <c r="DS127" t="s">
        <v>2129</v>
      </c>
      <c r="DT127" t="s">
        <v>2129</v>
      </c>
      <c r="DU127" t="s">
        <v>2129</v>
      </c>
      <c r="DV127" t="s">
        <v>2129</v>
      </c>
      <c r="DW127" t="s">
        <v>2129</v>
      </c>
      <c r="DX127" t="s">
        <v>2129</v>
      </c>
      <c r="DY127" t="s">
        <v>2129</v>
      </c>
      <c r="DZ127" t="s">
        <v>2129</v>
      </c>
      <c r="EA127" t="s">
        <v>2129</v>
      </c>
      <c r="EB127" t="s">
        <v>2129</v>
      </c>
      <c r="EC127" t="s">
        <v>2129</v>
      </c>
      <c r="ED127" t="s">
        <v>2129</v>
      </c>
      <c r="EE127" t="s">
        <v>2129</v>
      </c>
      <c r="EF127" t="s">
        <v>2129</v>
      </c>
      <c r="EG127" t="s">
        <v>2129</v>
      </c>
      <c r="EH127" t="s">
        <v>2129</v>
      </c>
    </row>
    <row r="128" spans="1:138" x14ac:dyDescent="0.25">
      <c r="A128" t="s">
        <v>1723</v>
      </c>
      <c r="B128" t="s">
        <v>3024</v>
      </c>
      <c r="C128">
        <v>23091</v>
      </c>
      <c r="E128" t="s">
        <v>2136</v>
      </c>
      <c r="F128" t="s">
        <v>10</v>
      </c>
      <c r="G128" t="s">
        <v>2177</v>
      </c>
      <c r="H128" t="s">
        <v>44</v>
      </c>
      <c r="I128" t="s">
        <v>2127</v>
      </c>
      <c r="J128" t="s">
        <v>2156</v>
      </c>
      <c r="K128" t="s">
        <v>2129</v>
      </c>
      <c r="L128" t="s">
        <v>2178</v>
      </c>
      <c r="M128" t="s">
        <v>2130</v>
      </c>
      <c r="N128" t="s">
        <v>2129</v>
      </c>
      <c r="O128" t="s">
        <v>2180</v>
      </c>
      <c r="P128" t="s">
        <v>2156</v>
      </c>
      <c r="Q128" t="s">
        <v>2156</v>
      </c>
      <c r="R128" s="37">
        <v>46084.538194444445</v>
      </c>
      <c r="S128" s="37">
        <v>46097.649305555555</v>
      </c>
      <c r="T128" s="37">
        <v>46100.368750000001</v>
      </c>
      <c r="U128" s="37"/>
      <c r="V128" t="s">
        <v>2129</v>
      </c>
      <c r="W128" t="s">
        <v>2129</v>
      </c>
      <c r="X128" t="s">
        <v>2129</v>
      </c>
      <c r="Y128">
        <v>0</v>
      </c>
      <c r="Z128" t="s">
        <v>2129</v>
      </c>
      <c r="AA128" t="s">
        <v>2129</v>
      </c>
      <c r="AB128" t="s">
        <v>2129</v>
      </c>
      <c r="AC128" t="s">
        <v>2156</v>
      </c>
      <c r="AD128" t="s">
        <v>2129</v>
      </c>
      <c r="AE128" t="s">
        <v>2129</v>
      </c>
      <c r="AF128" t="s">
        <v>2129</v>
      </c>
      <c r="AG128" t="s">
        <v>2129</v>
      </c>
      <c r="AH128" t="s">
        <v>4005</v>
      </c>
      <c r="AI128" t="s">
        <v>4006</v>
      </c>
      <c r="AJ128" t="s">
        <v>4007</v>
      </c>
      <c r="AK128" t="s">
        <v>4008</v>
      </c>
      <c r="AL128" t="s">
        <v>2129</v>
      </c>
      <c r="AM128" t="s">
        <v>2129</v>
      </c>
      <c r="AN128" t="s">
        <v>2129</v>
      </c>
      <c r="AO128" t="s">
        <v>2129</v>
      </c>
      <c r="AP128" t="s">
        <v>2129</v>
      </c>
      <c r="AQ128" t="s">
        <v>2129</v>
      </c>
      <c r="AR128" t="s">
        <v>2129</v>
      </c>
      <c r="AS128" t="s">
        <v>2129</v>
      </c>
      <c r="AT128" t="s">
        <v>2129</v>
      </c>
      <c r="AU128" t="s">
        <v>2129</v>
      </c>
      <c r="AV128" t="s">
        <v>2129</v>
      </c>
      <c r="AW128" t="s">
        <v>2129</v>
      </c>
      <c r="AX128" t="s">
        <v>2129</v>
      </c>
      <c r="AY128" t="s">
        <v>2129</v>
      </c>
      <c r="AZ128" t="s">
        <v>2129</v>
      </c>
      <c r="BA128" t="s">
        <v>2129</v>
      </c>
      <c r="BB128" t="s">
        <v>2129</v>
      </c>
      <c r="BC128" t="s">
        <v>2129</v>
      </c>
      <c r="BD128" t="s">
        <v>2129</v>
      </c>
      <c r="BE128" t="s">
        <v>2129</v>
      </c>
      <c r="BF128" t="s">
        <v>2129</v>
      </c>
      <c r="BG128" t="s">
        <v>2129</v>
      </c>
      <c r="BH128" t="s">
        <v>2129</v>
      </c>
      <c r="BI128" t="s">
        <v>2129</v>
      </c>
      <c r="BJ128" t="s">
        <v>2129</v>
      </c>
      <c r="BK128" t="s">
        <v>2129</v>
      </c>
      <c r="BL128" t="s">
        <v>2129</v>
      </c>
      <c r="BM128" t="s">
        <v>2129</v>
      </c>
      <c r="BN128" t="s">
        <v>2129</v>
      </c>
      <c r="BO128" t="s">
        <v>2129</v>
      </c>
      <c r="BP128" t="s">
        <v>2129</v>
      </c>
      <c r="BQ128">
        <v>0</v>
      </c>
      <c r="BR128">
        <v>42600</v>
      </c>
      <c r="BS128" t="s">
        <v>2129</v>
      </c>
      <c r="BT128" t="s">
        <v>2129</v>
      </c>
      <c r="BU128">
        <v>0</v>
      </c>
      <c r="BV128">
        <v>42600</v>
      </c>
      <c r="BW128" t="s">
        <v>2129</v>
      </c>
      <c r="BX128" t="s">
        <v>2129</v>
      </c>
      <c r="BY128" t="s">
        <v>2129</v>
      </c>
      <c r="BZ128" t="s">
        <v>2129</v>
      </c>
      <c r="CA128" t="s">
        <v>2129</v>
      </c>
      <c r="CB128" t="s">
        <v>2129</v>
      </c>
      <c r="CC128" t="s">
        <v>2129</v>
      </c>
      <c r="CD128" t="s">
        <v>2129</v>
      </c>
      <c r="CE128" t="s">
        <v>2129</v>
      </c>
      <c r="CF128" t="s">
        <v>2129</v>
      </c>
      <c r="CG128" t="s">
        <v>2129</v>
      </c>
      <c r="CH128" t="s">
        <v>2129</v>
      </c>
      <c r="CI128" t="s">
        <v>2129</v>
      </c>
      <c r="CJ128" t="s">
        <v>2129</v>
      </c>
      <c r="CK128" t="s">
        <v>2129</v>
      </c>
      <c r="CL128" t="s">
        <v>2129</v>
      </c>
      <c r="CM128" t="s">
        <v>2129</v>
      </c>
      <c r="CN128" t="s">
        <v>2129</v>
      </c>
      <c r="CO128" t="s">
        <v>2129</v>
      </c>
      <c r="CP128" t="s">
        <v>2129</v>
      </c>
      <c r="CQ128" t="s">
        <v>2129</v>
      </c>
      <c r="CR128" t="s">
        <v>2129</v>
      </c>
      <c r="CS128" t="s">
        <v>2129</v>
      </c>
      <c r="CT128" t="s">
        <v>3025</v>
      </c>
      <c r="CU128" t="s">
        <v>3021</v>
      </c>
      <c r="CV128" t="s">
        <v>2129</v>
      </c>
      <c r="CW128" t="s">
        <v>2129</v>
      </c>
      <c r="CX128" t="s">
        <v>2129</v>
      </c>
      <c r="CY128" t="s">
        <v>2129</v>
      </c>
      <c r="CZ128" t="s">
        <v>2129</v>
      </c>
      <c r="DA128" t="s">
        <v>2129</v>
      </c>
      <c r="DB128" t="s">
        <v>2129</v>
      </c>
      <c r="DC128" t="s">
        <v>2129</v>
      </c>
      <c r="DD128" t="s">
        <v>2129</v>
      </c>
      <c r="DE128" t="s">
        <v>2129</v>
      </c>
      <c r="DF128" t="s">
        <v>2129</v>
      </c>
      <c r="DG128" t="s">
        <v>2129</v>
      </c>
      <c r="DH128" t="s">
        <v>2129</v>
      </c>
      <c r="DJ128" t="s">
        <v>2129</v>
      </c>
      <c r="DK128" t="s">
        <v>2129</v>
      </c>
      <c r="DL128" t="s">
        <v>2129</v>
      </c>
      <c r="DM128" t="s">
        <v>2129</v>
      </c>
      <c r="DN128" t="s">
        <v>2129</v>
      </c>
      <c r="DO128" t="s">
        <v>2129</v>
      </c>
      <c r="DP128" t="s">
        <v>2129</v>
      </c>
      <c r="DQ128" t="s">
        <v>2129</v>
      </c>
      <c r="DR128" t="s">
        <v>2129</v>
      </c>
      <c r="DS128" t="s">
        <v>2129</v>
      </c>
      <c r="DT128" t="s">
        <v>2129</v>
      </c>
      <c r="DU128" t="s">
        <v>2129</v>
      </c>
      <c r="DV128" t="s">
        <v>2129</v>
      </c>
      <c r="DW128" t="s">
        <v>2129</v>
      </c>
      <c r="DX128" t="s">
        <v>2129</v>
      </c>
      <c r="DY128" t="s">
        <v>2129</v>
      </c>
      <c r="DZ128" t="s">
        <v>2129</v>
      </c>
      <c r="EA128" t="s">
        <v>2129</v>
      </c>
      <c r="EB128" t="s">
        <v>2129</v>
      </c>
      <c r="EC128" t="s">
        <v>2129</v>
      </c>
      <c r="ED128" t="s">
        <v>2129</v>
      </c>
      <c r="EE128" t="s">
        <v>2129</v>
      </c>
      <c r="EF128" t="s">
        <v>2129</v>
      </c>
      <c r="EG128" t="s">
        <v>2129</v>
      </c>
      <c r="EH128" t="s">
        <v>2129</v>
      </c>
    </row>
    <row r="129" spans="1:138" x14ac:dyDescent="0.25">
      <c r="A129" t="s">
        <v>1723</v>
      </c>
      <c r="B129" t="s">
        <v>3026</v>
      </c>
      <c r="C129">
        <v>23090</v>
      </c>
      <c r="E129" t="s">
        <v>2136</v>
      </c>
      <c r="F129" t="s">
        <v>10</v>
      </c>
      <c r="G129" t="s">
        <v>2177</v>
      </c>
      <c r="H129" t="s">
        <v>44</v>
      </c>
      <c r="I129" t="s">
        <v>2127</v>
      </c>
      <c r="J129" t="s">
        <v>2156</v>
      </c>
      <c r="K129" t="s">
        <v>2129</v>
      </c>
      <c r="L129" t="s">
        <v>2178</v>
      </c>
      <c r="M129" t="s">
        <v>2130</v>
      </c>
      <c r="N129" t="s">
        <v>2129</v>
      </c>
      <c r="O129" t="s">
        <v>2137</v>
      </c>
      <c r="P129" t="s">
        <v>2156</v>
      </c>
      <c r="Q129" t="s">
        <v>2156</v>
      </c>
      <c r="R129" s="37">
        <v>46084.538194444445</v>
      </c>
      <c r="S129" s="37">
        <v>46099.736111111109</v>
      </c>
      <c r="T129" s="37">
        <v>46100.368750000001</v>
      </c>
      <c r="U129" s="37"/>
      <c r="V129" t="s">
        <v>2129</v>
      </c>
      <c r="W129" t="s">
        <v>2129</v>
      </c>
      <c r="X129" t="s">
        <v>2129</v>
      </c>
      <c r="Y129">
        <v>0</v>
      </c>
      <c r="Z129" t="s">
        <v>2129</v>
      </c>
      <c r="AA129" t="s">
        <v>2129</v>
      </c>
      <c r="AB129" t="s">
        <v>2129</v>
      </c>
      <c r="AC129" t="s">
        <v>2156</v>
      </c>
      <c r="AD129" t="s">
        <v>2129</v>
      </c>
      <c r="AE129" t="s">
        <v>2129</v>
      </c>
      <c r="AF129" t="s">
        <v>2129</v>
      </c>
      <c r="AG129" t="s">
        <v>2129</v>
      </c>
      <c r="AH129" t="s">
        <v>4009</v>
      </c>
      <c r="AI129" t="s">
        <v>2129</v>
      </c>
      <c r="AJ129" t="s">
        <v>2129</v>
      </c>
      <c r="AK129" t="s">
        <v>2129</v>
      </c>
      <c r="AL129" t="s">
        <v>2129</v>
      </c>
      <c r="AM129" t="s">
        <v>2129</v>
      </c>
      <c r="AN129" t="s">
        <v>2129</v>
      </c>
      <c r="AO129" t="s">
        <v>2129</v>
      </c>
      <c r="AP129" t="s">
        <v>2129</v>
      </c>
      <c r="AQ129" t="s">
        <v>2129</v>
      </c>
      <c r="AR129" t="s">
        <v>2129</v>
      </c>
      <c r="AS129" t="s">
        <v>2129</v>
      </c>
      <c r="AT129" t="s">
        <v>2129</v>
      </c>
      <c r="AU129" t="s">
        <v>2129</v>
      </c>
      <c r="AV129" t="s">
        <v>2129</v>
      </c>
      <c r="AW129" t="s">
        <v>2129</v>
      </c>
      <c r="AX129" t="s">
        <v>2129</v>
      </c>
      <c r="AY129" t="s">
        <v>2129</v>
      </c>
      <c r="AZ129" t="s">
        <v>2129</v>
      </c>
      <c r="BA129" t="s">
        <v>2129</v>
      </c>
      <c r="BB129" t="s">
        <v>2129</v>
      </c>
      <c r="BC129" t="s">
        <v>2129</v>
      </c>
      <c r="BD129" t="s">
        <v>2129</v>
      </c>
      <c r="BE129" t="s">
        <v>2129</v>
      </c>
      <c r="BF129" t="s">
        <v>2129</v>
      </c>
      <c r="BG129" t="s">
        <v>2129</v>
      </c>
      <c r="BH129" t="s">
        <v>2129</v>
      </c>
      <c r="BI129" t="s">
        <v>2129</v>
      </c>
      <c r="BJ129" t="s">
        <v>2129</v>
      </c>
      <c r="BK129" t="s">
        <v>2129</v>
      </c>
      <c r="BL129" t="s">
        <v>2129</v>
      </c>
      <c r="BM129" t="s">
        <v>2129</v>
      </c>
      <c r="BN129" t="s">
        <v>2129</v>
      </c>
      <c r="BO129" t="s">
        <v>2129</v>
      </c>
      <c r="BP129" t="s">
        <v>2129</v>
      </c>
      <c r="BQ129">
        <v>0</v>
      </c>
      <c r="BR129">
        <v>7200</v>
      </c>
      <c r="BS129" t="s">
        <v>2129</v>
      </c>
      <c r="BT129" t="s">
        <v>2129</v>
      </c>
      <c r="BU129">
        <v>0</v>
      </c>
      <c r="BV129">
        <v>7200</v>
      </c>
      <c r="BW129" t="s">
        <v>2129</v>
      </c>
      <c r="BX129" t="s">
        <v>2129</v>
      </c>
      <c r="BY129" t="s">
        <v>2129</v>
      </c>
      <c r="BZ129" t="s">
        <v>2129</v>
      </c>
      <c r="CA129" t="s">
        <v>2129</v>
      </c>
      <c r="CB129" t="s">
        <v>2129</v>
      </c>
      <c r="CC129" t="s">
        <v>2129</v>
      </c>
      <c r="CD129" t="s">
        <v>2129</v>
      </c>
      <c r="CE129" t="s">
        <v>2129</v>
      </c>
      <c r="CF129" t="s">
        <v>2129</v>
      </c>
      <c r="CG129" t="s">
        <v>2129</v>
      </c>
      <c r="CH129" t="s">
        <v>2129</v>
      </c>
      <c r="CI129" t="s">
        <v>2129</v>
      </c>
      <c r="CJ129" t="s">
        <v>2129</v>
      </c>
      <c r="CK129" t="s">
        <v>2129</v>
      </c>
      <c r="CL129" t="s">
        <v>2129</v>
      </c>
      <c r="CM129" t="s">
        <v>2129</v>
      </c>
      <c r="CN129" t="s">
        <v>2129</v>
      </c>
      <c r="CO129" t="s">
        <v>2129</v>
      </c>
      <c r="CP129" t="s">
        <v>2129</v>
      </c>
      <c r="CQ129" t="s">
        <v>2129</v>
      </c>
      <c r="CR129" t="s">
        <v>2129</v>
      </c>
      <c r="CS129" t="s">
        <v>2129</v>
      </c>
      <c r="CT129" t="s">
        <v>3027</v>
      </c>
      <c r="CU129" t="s">
        <v>3021</v>
      </c>
      <c r="CV129" t="s">
        <v>2129</v>
      </c>
      <c r="CW129" t="s">
        <v>2129</v>
      </c>
      <c r="CX129" t="s">
        <v>2129</v>
      </c>
      <c r="CY129" t="s">
        <v>2129</v>
      </c>
      <c r="CZ129" t="s">
        <v>2129</v>
      </c>
      <c r="DA129" t="s">
        <v>2129</v>
      </c>
      <c r="DB129" t="s">
        <v>2129</v>
      </c>
      <c r="DC129" t="s">
        <v>2129</v>
      </c>
      <c r="DD129" t="s">
        <v>2129</v>
      </c>
      <c r="DE129" t="s">
        <v>2129</v>
      </c>
      <c r="DF129" t="s">
        <v>2129</v>
      </c>
      <c r="DG129" t="s">
        <v>2129</v>
      </c>
      <c r="DH129" t="s">
        <v>2129</v>
      </c>
      <c r="DJ129" t="s">
        <v>2129</v>
      </c>
      <c r="DK129" t="s">
        <v>2129</v>
      </c>
      <c r="DL129" t="s">
        <v>2129</v>
      </c>
      <c r="DM129" t="s">
        <v>2129</v>
      </c>
      <c r="DN129" t="s">
        <v>2129</v>
      </c>
      <c r="DO129" t="s">
        <v>2129</v>
      </c>
      <c r="DP129" t="s">
        <v>2129</v>
      </c>
      <c r="DQ129" t="s">
        <v>2129</v>
      </c>
      <c r="DR129" t="s">
        <v>2129</v>
      </c>
      <c r="DS129" t="s">
        <v>2129</v>
      </c>
      <c r="DT129" t="s">
        <v>2129</v>
      </c>
      <c r="DU129" t="s">
        <v>2129</v>
      </c>
      <c r="DV129" t="s">
        <v>2129</v>
      </c>
      <c r="DW129" t="s">
        <v>2129</v>
      </c>
      <c r="DX129" t="s">
        <v>2129</v>
      </c>
      <c r="DY129" t="s">
        <v>2129</v>
      </c>
      <c r="DZ129" t="s">
        <v>2129</v>
      </c>
      <c r="EA129" t="s">
        <v>2129</v>
      </c>
      <c r="EB129" t="s">
        <v>2129</v>
      </c>
      <c r="EC129" t="s">
        <v>2129</v>
      </c>
      <c r="ED129" t="s">
        <v>2129</v>
      </c>
      <c r="EE129" t="s">
        <v>2129</v>
      </c>
      <c r="EF129" t="s">
        <v>2129</v>
      </c>
      <c r="EG129" t="s">
        <v>2129</v>
      </c>
      <c r="EH129" t="s">
        <v>2129</v>
      </c>
    </row>
    <row r="130" spans="1:138" x14ac:dyDescent="0.25">
      <c r="A130" t="s">
        <v>2135</v>
      </c>
      <c r="B130" t="s">
        <v>3028</v>
      </c>
      <c r="C130">
        <v>23057</v>
      </c>
      <c r="E130" t="s">
        <v>2136</v>
      </c>
      <c r="F130" t="s">
        <v>16</v>
      </c>
      <c r="G130" t="s">
        <v>2177</v>
      </c>
      <c r="H130" t="s">
        <v>44</v>
      </c>
      <c r="I130" t="s">
        <v>2127</v>
      </c>
      <c r="J130" t="s">
        <v>2156</v>
      </c>
      <c r="K130" t="s">
        <v>2129</v>
      </c>
      <c r="L130" t="s">
        <v>2178</v>
      </c>
      <c r="M130" t="s">
        <v>2130</v>
      </c>
      <c r="N130" t="s">
        <v>2153</v>
      </c>
      <c r="O130" t="s">
        <v>2825</v>
      </c>
      <c r="P130" t="s">
        <v>2150</v>
      </c>
      <c r="Q130" t="s">
        <v>2150</v>
      </c>
      <c r="R130" s="37">
        <v>46080.667361111111</v>
      </c>
      <c r="S130" s="37">
        <v>46090.328472222223</v>
      </c>
      <c r="T130" s="37">
        <v>46100.368750000001</v>
      </c>
      <c r="U130" s="37">
        <v>46090.328472222223</v>
      </c>
      <c r="V130" t="s">
        <v>2129</v>
      </c>
      <c r="W130" t="s">
        <v>2129</v>
      </c>
      <c r="X130" t="s">
        <v>2129</v>
      </c>
      <c r="Y130">
        <v>0</v>
      </c>
      <c r="Z130" t="s">
        <v>2129</v>
      </c>
      <c r="AA130" t="s">
        <v>2129</v>
      </c>
      <c r="AB130" t="s">
        <v>2129</v>
      </c>
      <c r="AC130" t="s">
        <v>2150</v>
      </c>
      <c r="AD130" t="s">
        <v>2129</v>
      </c>
      <c r="AE130" t="s">
        <v>2129</v>
      </c>
      <c r="AF130" t="s">
        <v>2129</v>
      </c>
      <c r="AG130" t="s">
        <v>2129</v>
      </c>
      <c r="AH130" t="s">
        <v>3029</v>
      </c>
      <c r="AI130" t="s">
        <v>3030</v>
      </c>
      <c r="AJ130" t="s">
        <v>3031</v>
      </c>
      <c r="AK130" t="s">
        <v>3032</v>
      </c>
      <c r="AL130" t="s">
        <v>3033</v>
      </c>
      <c r="AM130" t="s">
        <v>3034</v>
      </c>
      <c r="AN130" t="s">
        <v>3035</v>
      </c>
      <c r="AO130" t="s">
        <v>2129</v>
      </c>
      <c r="AP130" t="s">
        <v>2129</v>
      </c>
      <c r="AQ130" t="s">
        <v>2129</v>
      </c>
      <c r="AR130" t="s">
        <v>2129</v>
      </c>
      <c r="AS130" t="s">
        <v>2129</v>
      </c>
      <c r="AT130" t="s">
        <v>2129</v>
      </c>
      <c r="AU130" t="s">
        <v>2129</v>
      </c>
      <c r="AV130" t="s">
        <v>2129</v>
      </c>
      <c r="AW130" t="s">
        <v>2129</v>
      </c>
      <c r="AX130" t="s">
        <v>2129</v>
      </c>
      <c r="AY130" t="s">
        <v>2129</v>
      </c>
      <c r="AZ130" t="s">
        <v>2129</v>
      </c>
      <c r="BA130" t="s">
        <v>2129</v>
      </c>
      <c r="BB130" t="s">
        <v>2129</v>
      </c>
      <c r="BC130" t="s">
        <v>2129</v>
      </c>
      <c r="BD130" t="s">
        <v>2129</v>
      </c>
      <c r="BE130" t="s">
        <v>2129</v>
      </c>
      <c r="BF130" t="s">
        <v>2129</v>
      </c>
      <c r="BG130" t="s">
        <v>2129</v>
      </c>
      <c r="BH130" t="s">
        <v>2129</v>
      </c>
      <c r="BI130" t="s">
        <v>2129</v>
      </c>
      <c r="BJ130" t="s">
        <v>2129</v>
      </c>
      <c r="BK130" t="s">
        <v>2129</v>
      </c>
      <c r="BL130" t="s">
        <v>2129</v>
      </c>
      <c r="BM130" t="s">
        <v>2129</v>
      </c>
      <c r="BN130" t="s">
        <v>2129</v>
      </c>
      <c r="BO130" t="s">
        <v>2129</v>
      </c>
      <c r="BP130" t="s">
        <v>2129</v>
      </c>
      <c r="BQ130">
        <v>0</v>
      </c>
      <c r="BR130">
        <v>117000</v>
      </c>
      <c r="BS130" t="s">
        <v>2129</v>
      </c>
      <c r="BT130" t="s">
        <v>2129</v>
      </c>
      <c r="BU130">
        <v>0</v>
      </c>
      <c r="BV130">
        <v>117000</v>
      </c>
      <c r="BW130" t="s">
        <v>2129</v>
      </c>
      <c r="BX130" t="s">
        <v>2129</v>
      </c>
      <c r="BY130" t="s">
        <v>2129</v>
      </c>
      <c r="BZ130" t="s">
        <v>2129</v>
      </c>
      <c r="CA130" t="s">
        <v>2129</v>
      </c>
      <c r="CB130" t="s">
        <v>2129</v>
      </c>
      <c r="CC130" t="s">
        <v>2129</v>
      </c>
      <c r="CD130" t="s">
        <v>2129</v>
      </c>
      <c r="CE130" t="s">
        <v>2129</v>
      </c>
      <c r="CF130" t="s">
        <v>2129</v>
      </c>
      <c r="CG130" t="s">
        <v>2129</v>
      </c>
      <c r="CH130" t="s">
        <v>2129</v>
      </c>
      <c r="CI130" t="s">
        <v>2129</v>
      </c>
      <c r="CJ130" t="s">
        <v>2129</v>
      </c>
      <c r="CK130" t="s">
        <v>2129</v>
      </c>
      <c r="CL130" t="s">
        <v>2129</v>
      </c>
      <c r="CM130" t="s">
        <v>2129</v>
      </c>
      <c r="CN130" t="s">
        <v>2129</v>
      </c>
      <c r="CO130" t="s">
        <v>2129</v>
      </c>
      <c r="CP130" t="s">
        <v>2129</v>
      </c>
      <c r="CQ130" t="s">
        <v>2129</v>
      </c>
      <c r="CR130" t="s">
        <v>2129</v>
      </c>
      <c r="CS130" t="s">
        <v>2129</v>
      </c>
      <c r="CT130" t="s">
        <v>3036</v>
      </c>
      <c r="CU130" t="s">
        <v>3037</v>
      </c>
      <c r="CV130" t="s">
        <v>2129</v>
      </c>
      <c r="CW130" t="s">
        <v>2129</v>
      </c>
      <c r="CX130" t="s">
        <v>2129</v>
      </c>
      <c r="CY130" t="s">
        <v>2129</v>
      </c>
      <c r="CZ130" t="s">
        <v>2129</v>
      </c>
      <c r="DA130" t="s">
        <v>2129</v>
      </c>
      <c r="DB130" t="s">
        <v>2129</v>
      </c>
      <c r="DC130" t="s">
        <v>2129</v>
      </c>
      <c r="DD130" t="s">
        <v>2129</v>
      </c>
      <c r="DE130" t="s">
        <v>2129</v>
      </c>
      <c r="DF130" t="s">
        <v>2129</v>
      </c>
      <c r="DG130" t="s">
        <v>2129</v>
      </c>
      <c r="DH130" t="s">
        <v>2129</v>
      </c>
      <c r="DJ130" t="s">
        <v>2129</v>
      </c>
      <c r="DK130" t="s">
        <v>2129</v>
      </c>
      <c r="DL130" t="s">
        <v>2129</v>
      </c>
      <c r="DM130" t="s">
        <v>2129</v>
      </c>
      <c r="DN130" t="s">
        <v>2129</v>
      </c>
      <c r="DO130" t="s">
        <v>2129</v>
      </c>
      <c r="DP130" t="s">
        <v>2129</v>
      </c>
      <c r="DQ130" t="s">
        <v>2129</v>
      </c>
      <c r="DR130" t="s">
        <v>2129</v>
      </c>
      <c r="DS130" t="s">
        <v>2129</v>
      </c>
      <c r="DT130" t="s">
        <v>2129</v>
      </c>
      <c r="DU130" t="s">
        <v>2129</v>
      </c>
      <c r="DV130" t="s">
        <v>2129</v>
      </c>
      <c r="DW130" t="s">
        <v>2129</v>
      </c>
      <c r="DX130" t="s">
        <v>2129</v>
      </c>
      <c r="DY130" t="s">
        <v>2129</v>
      </c>
      <c r="DZ130" t="s">
        <v>2129</v>
      </c>
      <c r="EA130" t="s">
        <v>2129</v>
      </c>
      <c r="EB130" t="s">
        <v>2129</v>
      </c>
      <c r="EC130" t="s">
        <v>2129</v>
      </c>
      <c r="ED130" t="s">
        <v>2129</v>
      </c>
      <c r="EE130" t="s">
        <v>2129</v>
      </c>
      <c r="EF130" t="s">
        <v>2129</v>
      </c>
      <c r="EG130" t="s">
        <v>2129</v>
      </c>
      <c r="EH130" t="s">
        <v>2129</v>
      </c>
    </row>
    <row r="131" spans="1:138" x14ac:dyDescent="0.25">
      <c r="A131" t="s">
        <v>3224</v>
      </c>
      <c r="B131" t="s">
        <v>4010</v>
      </c>
      <c r="C131">
        <v>23009</v>
      </c>
      <c r="E131" t="s">
        <v>14</v>
      </c>
      <c r="F131" t="s">
        <v>10</v>
      </c>
      <c r="G131" t="s">
        <v>2177</v>
      </c>
      <c r="H131" t="s">
        <v>44</v>
      </c>
      <c r="I131" t="s">
        <v>2127</v>
      </c>
      <c r="J131" t="s">
        <v>2156</v>
      </c>
      <c r="K131" t="s">
        <v>2129</v>
      </c>
      <c r="L131" t="s">
        <v>2178</v>
      </c>
      <c r="M131" t="s">
        <v>2130</v>
      </c>
      <c r="N131" t="s">
        <v>2129</v>
      </c>
      <c r="O131" t="s">
        <v>2137</v>
      </c>
      <c r="P131" t="s">
        <v>2145</v>
      </c>
      <c r="Q131" t="s">
        <v>2145</v>
      </c>
      <c r="R131" s="37">
        <v>46073.537499999999</v>
      </c>
      <c r="S131" s="37">
        <v>46099.738194444442</v>
      </c>
      <c r="T131" s="37">
        <v>46100.368750000001</v>
      </c>
      <c r="U131" s="37"/>
      <c r="V131" t="s">
        <v>2129</v>
      </c>
      <c r="W131" t="s">
        <v>2129</v>
      </c>
      <c r="X131" t="s">
        <v>2129</v>
      </c>
      <c r="Y131">
        <v>0</v>
      </c>
      <c r="Z131" t="s">
        <v>2129</v>
      </c>
      <c r="AA131" t="s">
        <v>4011</v>
      </c>
      <c r="AB131" t="s">
        <v>2129</v>
      </c>
      <c r="AC131" t="s">
        <v>2137</v>
      </c>
      <c r="AD131" t="s">
        <v>2145</v>
      </c>
      <c r="AE131" t="s">
        <v>2129</v>
      </c>
      <c r="AF131" t="s">
        <v>2129</v>
      </c>
      <c r="AG131" t="s">
        <v>2129</v>
      </c>
      <c r="AH131" t="s">
        <v>4012</v>
      </c>
      <c r="AI131" t="s">
        <v>4013</v>
      </c>
      <c r="AJ131" t="s">
        <v>4014</v>
      </c>
      <c r="AK131" t="s">
        <v>4015</v>
      </c>
      <c r="AL131" t="s">
        <v>4016</v>
      </c>
      <c r="AM131" t="s">
        <v>4017</v>
      </c>
      <c r="AN131" t="s">
        <v>4018</v>
      </c>
      <c r="AO131" t="s">
        <v>4019</v>
      </c>
      <c r="AP131" t="s">
        <v>4020</v>
      </c>
      <c r="AQ131" t="s">
        <v>4021</v>
      </c>
      <c r="AR131" t="s">
        <v>4022</v>
      </c>
      <c r="AS131" t="s">
        <v>4023</v>
      </c>
      <c r="AT131" t="s">
        <v>4024</v>
      </c>
      <c r="AU131" t="s">
        <v>4025</v>
      </c>
      <c r="AV131" t="s">
        <v>2129</v>
      </c>
      <c r="AW131" t="s">
        <v>2129</v>
      </c>
      <c r="AX131" t="s">
        <v>2129</v>
      </c>
      <c r="AY131" t="s">
        <v>2129</v>
      </c>
      <c r="AZ131" t="s">
        <v>2129</v>
      </c>
      <c r="BA131" t="s">
        <v>2129</v>
      </c>
      <c r="BB131" t="s">
        <v>2129</v>
      </c>
      <c r="BC131" t="s">
        <v>2129</v>
      </c>
      <c r="BD131" t="s">
        <v>2129</v>
      </c>
      <c r="BE131" t="s">
        <v>2129</v>
      </c>
      <c r="BF131" t="s">
        <v>2129</v>
      </c>
      <c r="BG131" t="s">
        <v>2129</v>
      </c>
      <c r="BH131" t="s">
        <v>2129</v>
      </c>
      <c r="BI131" t="s">
        <v>2129</v>
      </c>
      <c r="BJ131" t="s">
        <v>2129</v>
      </c>
      <c r="BK131" t="s">
        <v>2129</v>
      </c>
      <c r="BL131" t="s">
        <v>2129</v>
      </c>
      <c r="BM131" t="s">
        <v>2129</v>
      </c>
      <c r="BN131" t="s">
        <v>2129</v>
      </c>
      <c r="BO131" t="s">
        <v>2129</v>
      </c>
      <c r="BP131" t="s">
        <v>2129</v>
      </c>
      <c r="BQ131">
        <v>0</v>
      </c>
      <c r="BR131">
        <v>316800</v>
      </c>
      <c r="BS131" t="s">
        <v>2129</v>
      </c>
      <c r="BT131" t="s">
        <v>2129</v>
      </c>
      <c r="BU131">
        <v>0</v>
      </c>
      <c r="BV131">
        <v>316800</v>
      </c>
      <c r="BW131" t="s">
        <v>2129</v>
      </c>
      <c r="BX131" t="s">
        <v>2129</v>
      </c>
      <c r="BY131" t="s">
        <v>4026</v>
      </c>
      <c r="BZ131" t="s">
        <v>4027</v>
      </c>
      <c r="CA131" t="s">
        <v>2129</v>
      </c>
      <c r="CB131" t="s">
        <v>2129</v>
      </c>
      <c r="CC131" t="s">
        <v>2129</v>
      </c>
      <c r="CD131" t="s">
        <v>2129</v>
      </c>
      <c r="CE131" t="s">
        <v>2129</v>
      </c>
      <c r="CF131" t="s">
        <v>2129</v>
      </c>
      <c r="CG131" t="s">
        <v>2129</v>
      </c>
      <c r="CH131" t="s">
        <v>2129</v>
      </c>
      <c r="CI131" t="s">
        <v>2129</v>
      </c>
      <c r="CJ131" t="s">
        <v>2129</v>
      </c>
      <c r="CK131" t="s">
        <v>2129</v>
      </c>
      <c r="CL131" t="s">
        <v>2129</v>
      </c>
      <c r="CM131" t="s">
        <v>2129</v>
      </c>
      <c r="CN131" t="s">
        <v>2129</v>
      </c>
      <c r="CO131" t="s">
        <v>2129</v>
      </c>
      <c r="CP131" t="s">
        <v>2129</v>
      </c>
      <c r="CQ131" t="s">
        <v>2129</v>
      </c>
      <c r="CR131" t="s">
        <v>2129</v>
      </c>
      <c r="CS131" t="s">
        <v>2129</v>
      </c>
      <c r="CT131" t="s">
        <v>4028</v>
      </c>
      <c r="CU131" t="s">
        <v>3037</v>
      </c>
      <c r="CV131" t="s">
        <v>3021</v>
      </c>
      <c r="CW131" t="s">
        <v>2129</v>
      </c>
      <c r="CX131" t="s">
        <v>2129</v>
      </c>
      <c r="CY131" t="s">
        <v>2129</v>
      </c>
      <c r="CZ131" t="s">
        <v>2129</v>
      </c>
      <c r="DA131" t="s">
        <v>2129</v>
      </c>
      <c r="DB131" t="s">
        <v>2129</v>
      </c>
      <c r="DC131" t="s">
        <v>2129</v>
      </c>
      <c r="DD131" t="s">
        <v>2129</v>
      </c>
      <c r="DE131" t="s">
        <v>2129</v>
      </c>
      <c r="DF131" t="s">
        <v>2129</v>
      </c>
      <c r="DG131" t="s">
        <v>2129</v>
      </c>
      <c r="DH131" t="s">
        <v>2129</v>
      </c>
      <c r="DI131">
        <v>50</v>
      </c>
      <c r="DJ131" t="s">
        <v>2129</v>
      </c>
      <c r="DK131" t="s">
        <v>2129</v>
      </c>
      <c r="DL131" t="s">
        <v>4029</v>
      </c>
      <c r="DM131" t="s">
        <v>2129</v>
      </c>
      <c r="DN131" t="s">
        <v>2129</v>
      </c>
      <c r="DO131" t="s">
        <v>2129</v>
      </c>
      <c r="DP131" t="s">
        <v>2129</v>
      </c>
      <c r="DQ131" t="s">
        <v>2129</v>
      </c>
      <c r="DR131" t="s">
        <v>2129</v>
      </c>
      <c r="DS131" t="s">
        <v>2129</v>
      </c>
      <c r="DT131" t="s">
        <v>2129</v>
      </c>
      <c r="DU131" t="s">
        <v>2129</v>
      </c>
      <c r="DV131" t="s">
        <v>2129</v>
      </c>
      <c r="DW131" t="s">
        <v>2129</v>
      </c>
      <c r="DX131" t="s">
        <v>2129</v>
      </c>
      <c r="DY131" t="s">
        <v>2129</v>
      </c>
      <c r="DZ131" t="s">
        <v>2129</v>
      </c>
      <c r="EA131" t="s">
        <v>2129</v>
      </c>
      <c r="EB131" t="s">
        <v>2129</v>
      </c>
      <c r="EC131" t="s">
        <v>2129</v>
      </c>
      <c r="ED131" t="s">
        <v>2129</v>
      </c>
      <c r="EE131" t="s">
        <v>2129</v>
      </c>
      <c r="EF131" t="s">
        <v>2129</v>
      </c>
      <c r="EG131" t="s">
        <v>2129</v>
      </c>
      <c r="EH131" t="s">
        <v>2129</v>
      </c>
    </row>
    <row r="132" spans="1:138" x14ac:dyDescent="0.25">
      <c r="A132" t="s">
        <v>2159</v>
      </c>
      <c r="B132" t="s">
        <v>3038</v>
      </c>
      <c r="C132">
        <v>23001</v>
      </c>
      <c r="E132" t="s">
        <v>2136</v>
      </c>
      <c r="F132" t="s">
        <v>16</v>
      </c>
      <c r="G132" t="s">
        <v>2177</v>
      </c>
      <c r="H132" t="s">
        <v>44</v>
      </c>
      <c r="I132" t="s">
        <v>2127</v>
      </c>
      <c r="J132" t="s">
        <v>2156</v>
      </c>
      <c r="K132" t="s">
        <v>2129</v>
      </c>
      <c r="L132" t="s">
        <v>2178</v>
      </c>
      <c r="M132" t="s">
        <v>2130</v>
      </c>
      <c r="N132" t="s">
        <v>16</v>
      </c>
      <c r="O132" t="s">
        <v>2156</v>
      </c>
      <c r="P132" t="s">
        <v>2156</v>
      </c>
      <c r="Q132" t="s">
        <v>2156</v>
      </c>
      <c r="R132" s="37">
        <v>46073.392361111109</v>
      </c>
      <c r="S132" s="37">
        <v>46090.328472222223</v>
      </c>
      <c r="T132" s="37">
        <v>46100.368750000001</v>
      </c>
      <c r="U132" s="37">
        <v>46090.328472222223</v>
      </c>
      <c r="V132" t="s">
        <v>2129</v>
      </c>
      <c r="W132" t="s">
        <v>2129</v>
      </c>
      <c r="X132" t="s">
        <v>2129</v>
      </c>
      <c r="Y132">
        <v>0</v>
      </c>
      <c r="Z132" t="s">
        <v>2129</v>
      </c>
      <c r="AA132" t="s">
        <v>2129</v>
      </c>
      <c r="AB132" t="s">
        <v>2129</v>
      </c>
      <c r="AC132" t="s">
        <v>2156</v>
      </c>
      <c r="AD132" t="s">
        <v>2129</v>
      </c>
      <c r="AE132" t="s">
        <v>2129</v>
      </c>
      <c r="AF132" t="s">
        <v>2129</v>
      </c>
      <c r="AG132" t="s">
        <v>2129</v>
      </c>
      <c r="AH132" t="s">
        <v>2129</v>
      </c>
      <c r="AI132" t="s">
        <v>2129</v>
      </c>
      <c r="AJ132" t="s">
        <v>2129</v>
      </c>
      <c r="AK132" t="s">
        <v>2129</v>
      </c>
      <c r="AL132" t="s">
        <v>2129</v>
      </c>
      <c r="AM132" t="s">
        <v>2129</v>
      </c>
      <c r="AN132" t="s">
        <v>2129</v>
      </c>
      <c r="AO132" t="s">
        <v>2129</v>
      </c>
      <c r="AP132" t="s">
        <v>2129</v>
      </c>
      <c r="AQ132" t="s">
        <v>2129</v>
      </c>
      <c r="AR132" t="s">
        <v>2129</v>
      </c>
      <c r="AS132" t="s">
        <v>2129</v>
      </c>
      <c r="AT132" t="s">
        <v>2129</v>
      </c>
      <c r="AU132" t="s">
        <v>2129</v>
      </c>
      <c r="AV132" t="s">
        <v>2129</v>
      </c>
      <c r="AW132" t="s">
        <v>2129</v>
      </c>
      <c r="AX132" t="s">
        <v>2129</v>
      </c>
      <c r="AY132" t="s">
        <v>2129</v>
      </c>
      <c r="AZ132" t="s">
        <v>2129</v>
      </c>
      <c r="BA132" t="s">
        <v>2129</v>
      </c>
      <c r="BB132" t="s">
        <v>2129</v>
      </c>
      <c r="BC132" t="s">
        <v>2129</v>
      </c>
      <c r="BD132" t="s">
        <v>2129</v>
      </c>
      <c r="BE132" t="s">
        <v>2129</v>
      </c>
      <c r="BF132" t="s">
        <v>2129</v>
      </c>
      <c r="BG132" t="s">
        <v>2129</v>
      </c>
      <c r="BH132" t="s">
        <v>2129</v>
      </c>
      <c r="BI132" t="s">
        <v>2129</v>
      </c>
      <c r="BJ132" t="s">
        <v>2129</v>
      </c>
      <c r="BK132" t="s">
        <v>2129</v>
      </c>
      <c r="BL132" t="s">
        <v>2129</v>
      </c>
      <c r="BM132" t="s">
        <v>2129</v>
      </c>
      <c r="BN132" t="s">
        <v>2129</v>
      </c>
      <c r="BO132" t="s">
        <v>2129</v>
      </c>
      <c r="BP132" t="s">
        <v>2129</v>
      </c>
      <c r="BS132" t="s">
        <v>2129</v>
      </c>
      <c r="BT132" t="s">
        <v>2129</v>
      </c>
      <c r="BW132" t="s">
        <v>2129</v>
      </c>
      <c r="BX132" t="s">
        <v>2129</v>
      </c>
      <c r="BY132" t="s">
        <v>2129</v>
      </c>
      <c r="BZ132" t="s">
        <v>2129</v>
      </c>
      <c r="CA132" t="s">
        <v>2129</v>
      </c>
      <c r="CB132" t="s">
        <v>2129</v>
      </c>
      <c r="CC132" t="s">
        <v>2129</v>
      </c>
      <c r="CD132" t="s">
        <v>2129</v>
      </c>
      <c r="CE132" t="s">
        <v>2129</v>
      </c>
      <c r="CF132" t="s">
        <v>2129</v>
      </c>
      <c r="CG132" t="s">
        <v>2129</v>
      </c>
      <c r="CH132" t="s">
        <v>2129</v>
      </c>
      <c r="CI132" t="s">
        <v>2129</v>
      </c>
      <c r="CJ132" t="s">
        <v>2129</v>
      </c>
      <c r="CK132" t="s">
        <v>2129</v>
      </c>
      <c r="CL132" t="s">
        <v>2129</v>
      </c>
      <c r="CM132" t="s">
        <v>2129</v>
      </c>
      <c r="CN132" t="s">
        <v>2129</v>
      </c>
      <c r="CO132" t="s">
        <v>2129</v>
      </c>
      <c r="CP132" t="s">
        <v>2129</v>
      </c>
      <c r="CQ132" t="s">
        <v>2129</v>
      </c>
      <c r="CR132" t="s">
        <v>2129</v>
      </c>
      <c r="CS132" t="s">
        <v>2129</v>
      </c>
      <c r="CT132" t="s">
        <v>3039</v>
      </c>
      <c r="CU132" t="s">
        <v>3037</v>
      </c>
      <c r="CV132" t="s">
        <v>2129</v>
      </c>
      <c r="CW132" t="s">
        <v>2129</v>
      </c>
      <c r="CX132" t="s">
        <v>2129</v>
      </c>
      <c r="CY132" t="s">
        <v>2129</v>
      </c>
      <c r="CZ132" t="s">
        <v>2129</v>
      </c>
      <c r="DA132" t="s">
        <v>2129</v>
      </c>
      <c r="DB132" t="s">
        <v>2129</v>
      </c>
      <c r="DC132" t="s">
        <v>2129</v>
      </c>
      <c r="DD132" t="s">
        <v>2129</v>
      </c>
      <c r="DE132" t="s">
        <v>2129</v>
      </c>
      <c r="DF132" t="s">
        <v>2129</v>
      </c>
      <c r="DG132" t="s">
        <v>2129</v>
      </c>
      <c r="DH132" t="s">
        <v>2129</v>
      </c>
      <c r="DJ132" t="s">
        <v>2129</v>
      </c>
      <c r="DK132" t="s">
        <v>2129</v>
      </c>
      <c r="DL132" t="s">
        <v>2129</v>
      </c>
      <c r="DM132" t="s">
        <v>2129</v>
      </c>
      <c r="DN132" t="s">
        <v>2129</v>
      </c>
      <c r="DO132" t="s">
        <v>2129</v>
      </c>
      <c r="DP132" t="s">
        <v>2129</v>
      </c>
      <c r="DQ132" t="s">
        <v>2129</v>
      </c>
      <c r="DR132" t="s">
        <v>2129</v>
      </c>
      <c r="DS132" t="s">
        <v>2129</v>
      </c>
      <c r="DT132" t="s">
        <v>2129</v>
      </c>
      <c r="DU132" t="s">
        <v>2129</v>
      </c>
      <c r="DV132" t="s">
        <v>2129</v>
      </c>
      <c r="DW132" t="s">
        <v>2129</v>
      </c>
      <c r="DX132" t="s">
        <v>2129</v>
      </c>
      <c r="DY132" t="s">
        <v>2129</v>
      </c>
      <c r="DZ132" t="s">
        <v>2129</v>
      </c>
      <c r="EA132" t="s">
        <v>2129</v>
      </c>
      <c r="EB132" t="s">
        <v>2129</v>
      </c>
      <c r="EC132" t="s">
        <v>2129</v>
      </c>
      <c r="ED132" t="s">
        <v>2129</v>
      </c>
      <c r="EE132" t="s">
        <v>2129</v>
      </c>
      <c r="EF132" t="s">
        <v>2129</v>
      </c>
      <c r="EG132" t="s">
        <v>2129</v>
      </c>
      <c r="EH132" t="s">
        <v>2129</v>
      </c>
    </row>
    <row r="133" spans="1:138" x14ac:dyDescent="0.25">
      <c r="A133" t="s">
        <v>2159</v>
      </c>
      <c r="B133" t="s">
        <v>3040</v>
      </c>
      <c r="C133">
        <v>23000</v>
      </c>
      <c r="E133" t="s">
        <v>2136</v>
      </c>
      <c r="F133" t="s">
        <v>16</v>
      </c>
      <c r="G133" t="s">
        <v>2177</v>
      </c>
      <c r="H133" t="s">
        <v>44</v>
      </c>
      <c r="I133" t="s">
        <v>2127</v>
      </c>
      <c r="J133" t="s">
        <v>2156</v>
      </c>
      <c r="K133" t="s">
        <v>2129</v>
      </c>
      <c r="L133" t="s">
        <v>2178</v>
      </c>
      <c r="M133" t="s">
        <v>2130</v>
      </c>
      <c r="N133" t="s">
        <v>16</v>
      </c>
      <c r="O133" t="s">
        <v>2156</v>
      </c>
      <c r="P133" t="s">
        <v>2156</v>
      </c>
      <c r="Q133" t="s">
        <v>2156</v>
      </c>
      <c r="R133" s="37">
        <v>46073.392361111109</v>
      </c>
      <c r="S133" s="37">
        <v>46090.328472222223</v>
      </c>
      <c r="T133" s="37">
        <v>46100.368750000001</v>
      </c>
      <c r="U133" s="37">
        <v>46090.328472222223</v>
      </c>
      <c r="V133" t="s">
        <v>2129</v>
      </c>
      <c r="W133" t="s">
        <v>2129</v>
      </c>
      <c r="X133" t="s">
        <v>2129</v>
      </c>
      <c r="Y133">
        <v>0</v>
      </c>
      <c r="Z133" t="s">
        <v>2129</v>
      </c>
      <c r="AA133" t="s">
        <v>2129</v>
      </c>
      <c r="AB133" t="s">
        <v>2129</v>
      </c>
      <c r="AC133" t="s">
        <v>2156</v>
      </c>
      <c r="AD133" t="s">
        <v>2129</v>
      </c>
      <c r="AE133" t="s">
        <v>2129</v>
      </c>
      <c r="AF133" t="s">
        <v>2129</v>
      </c>
      <c r="AG133" t="s">
        <v>2129</v>
      </c>
      <c r="AH133" t="s">
        <v>2129</v>
      </c>
      <c r="AI133" t="s">
        <v>2129</v>
      </c>
      <c r="AJ133" t="s">
        <v>2129</v>
      </c>
      <c r="AK133" t="s">
        <v>2129</v>
      </c>
      <c r="AL133" t="s">
        <v>2129</v>
      </c>
      <c r="AM133" t="s">
        <v>2129</v>
      </c>
      <c r="AN133" t="s">
        <v>2129</v>
      </c>
      <c r="AO133" t="s">
        <v>2129</v>
      </c>
      <c r="AP133" t="s">
        <v>2129</v>
      </c>
      <c r="AQ133" t="s">
        <v>2129</v>
      </c>
      <c r="AR133" t="s">
        <v>2129</v>
      </c>
      <c r="AS133" t="s">
        <v>2129</v>
      </c>
      <c r="AT133" t="s">
        <v>2129</v>
      </c>
      <c r="AU133" t="s">
        <v>2129</v>
      </c>
      <c r="AV133" t="s">
        <v>2129</v>
      </c>
      <c r="AW133" t="s">
        <v>2129</v>
      </c>
      <c r="AX133" t="s">
        <v>2129</v>
      </c>
      <c r="AY133" t="s">
        <v>2129</v>
      </c>
      <c r="AZ133" t="s">
        <v>2129</v>
      </c>
      <c r="BA133" t="s">
        <v>2129</v>
      </c>
      <c r="BB133" t="s">
        <v>2129</v>
      </c>
      <c r="BC133" t="s">
        <v>2129</v>
      </c>
      <c r="BD133" t="s">
        <v>2129</v>
      </c>
      <c r="BE133" t="s">
        <v>2129</v>
      </c>
      <c r="BF133" t="s">
        <v>2129</v>
      </c>
      <c r="BG133" t="s">
        <v>2129</v>
      </c>
      <c r="BH133" t="s">
        <v>2129</v>
      </c>
      <c r="BI133" t="s">
        <v>2129</v>
      </c>
      <c r="BJ133" t="s">
        <v>2129</v>
      </c>
      <c r="BK133" t="s">
        <v>2129</v>
      </c>
      <c r="BL133" t="s">
        <v>2129</v>
      </c>
      <c r="BM133" t="s">
        <v>2129</v>
      </c>
      <c r="BN133" t="s">
        <v>2129</v>
      </c>
      <c r="BO133" t="s">
        <v>2129</v>
      </c>
      <c r="BP133" t="s">
        <v>2129</v>
      </c>
      <c r="BS133" t="s">
        <v>2129</v>
      </c>
      <c r="BT133" t="s">
        <v>2129</v>
      </c>
      <c r="BW133" t="s">
        <v>2129</v>
      </c>
      <c r="BX133" t="s">
        <v>2129</v>
      </c>
      <c r="BY133" t="s">
        <v>2129</v>
      </c>
      <c r="BZ133" t="s">
        <v>2129</v>
      </c>
      <c r="CA133" t="s">
        <v>2129</v>
      </c>
      <c r="CB133" t="s">
        <v>2129</v>
      </c>
      <c r="CC133" t="s">
        <v>2129</v>
      </c>
      <c r="CD133" t="s">
        <v>2129</v>
      </c>
      <c r="CE133" t="s">
        <v>2129</v>
      </c>
      <c r="CF133" t="s">
        <v>2129</v>
      </c>
      <c r="CG133" t="s">
        <v>2129</v>
      </c>
      <c r="CH133" t="s">
        <v>2129</v>
      </c>
      <c r="CI133" t="s">
        <v>2129</v>
      </c>
      <c r="CJ133" t="s">
        <v>2129</v>
      </c>
      <c r="CK133" t="s">
        <v>2129</v>
      </c>
      <c r="CL133" t="s">
        <v>2129</v>
      </c>
      <c r="CM133" t="s">
        <v>2129</v>
      </c>
      <c r="CN133" t="s">
        <v>2129</v>
      </c>
      <c r="CO133" t="s">
        <v>2129</v>
      </c>
      <c r="CP133" t="s">
        <v>2129</v>
      </c>
      <c r="CQ133" t="s">
        <v>2129</v>
      </c>
      <c r="CR133" t="s">
        <v>2129</v>
      </c>
      <c r="CS133" t="s">
        <v>2129</v>
      </c>
      <c r="CT133" t="s">
        <v>3041</v>
      </c>
      <c r="CU133" t="s">
        <v>3037</v>
      </c>
      <c r="CV133" t="s">
        <v>2129</v>
      </c>
      <c r="CW133" t="s">
        <v>2129</v>
      </c>
      <c r="CX133" t="s">
        <v>2129</v>
      </c>
      <c r="CY133" t="s">
        <v>2129</v>
      </c>
      <c r="CZ133" t="s">
        <v>2129</v>
      </c>
      <c r="DA133" t="s">
        <v>2129</v>
      </c>
      <c r="DB133" t="s">
        <v>2129</v>
      </c>
      <c r="DC133" t="s">
        <v>2129</v>
      </c>
      <c r="DD133" t="s">
        <v>2129</v>
      </c>
      <c r="DE133" t="s">
        <v>2129</v>
      </c>
      <c r="DF133" t="s">
        <v>2129</v>
      </c>
      <c r="DG133" t="s">
        <v>2129</v>
      </c>
      <c r="DH133" t="s">
        <v>2129</v>
      </c>
      <c r="DJ133" t="s">
        <v>2129</v>
      </c>
      <c r="DK133" t="s">
        <v>2129</v>
      </c>
      <c r="DL133" t="s">
        <v>2129</v>
      </c>
      <c r="DM133" t="s">
        <v>2129</v>
      </c>
      <c r="DN133" t="s">
        <v>2129</v>
      </c>
      <c r="DO133" t="s">
        <v>2129</v>
      </c>
      <c r="DP133" t="s">
        <v>2129</v>
      </c>
      <c r="DQ133" t="s">
        <v>2129</v>
      </c>
      <c r="DR133" t="s">
        <v>2129</v>
      </c>
      <c r="DS133" t="s">
        <v>2129</v>
      </c>
      <c r="DT133" t="s">
        <v>2129</v>
      </c>
      <c r="DU133" t="s">
        <v>2129</v>
      </c>
      <c r="DV133" t="s">
        <v>2129</v>
      </c>
      <c r="DW133" t="s">
        <v>2129</v>
      </c>
      <c r="DX133" t="s">
        <v>2129</v>
      </c>
      <c r="DY133" t="s">
        <v>2129</v>
      </c>
      <c r="DZ133" t="s">
        <v>2129</v>
      </c>
      <c r="EA133" t="s">
        <v>2129</v>
      </c>
      <c r="EB133" t="s">
        <v>2129</v>
      </c>
      <c r="EC133" t="s">
        <v>2129</v>
      </c>
      <c r="ED133" t="s">
        <v>2129</v>
      </c>
      <c r="EE133" t="s">
        <v>2129</v>
      </c>
      <c r="EF133" t="s">
        <v>2129</v>
      </c>
      <c r="EG133" t="s">
        <v>2129</v>
      </c>
      <c r="EH133" t="s">
        <v>2129</v>
      </c>
    </row>
    <row r="134" spans="1:138" x14ac:dyDescent="0.25">
      <c r="A134" t="s">
        <v>2135</v>
      </c>
      <c r="B134" t="s">
        <v>3042</v>
      </c>
      <c r="C134">
        <v>22999</v>
      </c>
      <c r="E134" t="s">
        <v>2136</v>
      </c>
      <c r="F134" t="s">
        <v>16</v>
      </c>
      <c r="G134" t="s">
        <v>2177</v>
      </c>
      <c r="H134" t="s">
        <v>44</v>
      </c>
      <c r="I134" t="s">
        <v>2127</v>
      </c>
      <c r="J134" t="s">
        <v>2156</v>
      </c>
      <c r="K134" t="s">
        <v>2129</v>
      </c>
      <c r="L134" t="s">
        <v>2178</v>
      </c>
      <c r="M134" t="s">
        <v>2130</v>
      </c>
      <c r="N134" t="s">
        <v>16</v>
      </c>
      <c r="O134" t="s">
        <v>2156</v>
      </c>
      <c r="P134" t="s">
        <v>2156</v>
      </c>
      <c r="Q134" t="s">
        <v>2156</v>
      </c>
      <c r="R134" s="37">
        <v>46073.392361111109</v>
      </c>
      <c r="S134" s="37">
        <v>46090.328472222223</v>
      </c>
      <c r="T134" s="37">
        <v>46100.368750000001</v>
      </c>
      <c r="U134" s="37">
        <v>46090.328472222223</v>
      </c>
      <c r="V134" t="s">
        <v>2129</v>
      </c>
      <c r="W134" t="s">
        <v>2129</v>
      </c>
      <c r="X134" t="s">
        <v>2129</v>
      </c>
      <c r="Y134">
        <v>0</v>
      </c>
      <c r="Z134" t="s">
        <v>2129</v>
      </c>
      <c r="AA134" t="s">
        <v>2129</v>
      </c>
      <c r="AB134" t="s">
        <v>2129</v>
      </c>
      <c r="AC134" t="s">
        <v>2156</v>
      </c>
      <c r="AD134" t="s">
        <v>2129</v>
      </c>
      <c r="AE134" t="s">
        <v>2129</v>
      </c>
      <c r="AF134" t="s">
        <v>2129</v>
      </c>
      <c r="AG134" t="s">
        <v>2129</v>
      </c>
      <c r="AH134" t="s">
        <v>3043</v>
      </c>
      <c r="AI134" t="s">
        <v>4030</v>
      </c>
      <c r="AJ134" t="s">
        <v>4031</v>
      </c>
      <c r="AK134" t="s">
        <v>4032</v>
      </c>
      <c r="AL134" t="s">
        <v>2129</v>
      </c>
      <c r="AM134" t="s">
        <v>2129</v>
      </c>
      <c r="AN134" t="s">
        <v>2129</v>
      </c>
      <c r="AO134" t="s">
        <v>2129</v>
      </c>
      <c r="AP134" t="s">
        <v>2129</v>
      </c>
      <c r="AQ134" t="s">
        <v>2129</v>
      </c>
      <c r="AR134" t="s">
        <v>2129</v>
      </c>
      <c r="AS134" t="s">
        <v>2129</v>
      </c>
      <c r="AT134" t="s">
        <v>2129</v>
      </c>
      <c r="AU134" t="s">
        <v>2129</v>
      </c>
      <c r="AV134" t="s">
        <v>2129</v>
      </c>
      <c r="AW134" t="s">
        <v>2129</v>
      </c>
      <c r="AX134" t="s">
        <v>2129</v>
      </c>
      <c r="AY134" t="s">
        <v>2129</v>
      </c>
      <c r="AZ134" t="s">
        <v>2129</v>
      </c>
      <c r="BA134" t="s">
        <v>2129</v>
      </c>
      <c r="BB134" t="s">
        <v>2129</v>
      </c>
      <c r="BC134" t="s">
        <v>2129</v>
      </c>
      <c r="BD134" t="s">
        <v>2129</v>
      </c>
      <c r="BE134" t="s">
        <v>2129</v>
      </c>
      <c r="BF134" t="s">
        <v>2129</v>
      </c>
      <c r="BG134" t="s">
        <v>2129</v>
      </c>
      <c r="BH134" t="s">
        <v>2129</v>
      </c>
      <c r="BI134" t="s">
        <v>2129</v>
      </c>
      <c r="BJ134" t="s">
        <v>2129</v>
      </c>
      <c r="BK134" t="s">
        <v>2129</v>
      </c>
      <c r="BL134" t="s">
        <v>2129</v>
      </c>
      <c r="BM134" t="s">
        <v>2129</v>
      </c>
      <c r="BN134" t="s">
        <v>2129</v>
      </c>
      <c r="BO134" t="s">
        <v>2129</v>
      </c>
      <c r="BP134" t="s">
        <v>2129</v>
      </c>
      <c r="BQ134">
        <v>0</v>
      </c>
      <c r="BR134">
        <v>19800</v>
      </c>
      <c r="BS134" t="s">
        <v>2129</v>
      </c>
      <c r="BT134" t="s">
        <v>2129</v>
      </c>
      <c r="BU134">
        <v>0</v>
      </c>
      <c r="BV134">
        <v>19800</v>
      </c>
      <c r="BW134" t="s">
        <v>2129</v>
      </c>
      <c r="BX134" t="s">
        <v>2129</v>
      </c>
      <c r="BY134" t="s">
        <v>2129</v>
      </c>
      <c r="BZ134" t="s">
        <v>2129</v>
      </c>
      <c r="CA134" t="s">
        <v>2129</v>
      </c>
      <c r="CB134" t="s">
        <v>2129</v>
      </c>
      <c r="CC134" t="s">
        <v>2129</v>
      </c>
      <c r="CD134" t="s">
        <v>2129</v>
      </c>
      <c r="CE134" t="s">
        <v>2129</v>
      </c>
      <c r="CF134" t="s">
        <v>2129</v>
      </c>
      <c r="CG134" t="s">
        <v>2129</v>
      </c>
      <c r="CH134" t="s">
        <v>2129</v>
      </c>
      <c r="CI134" t="s">
        <v>2129</v>
      </c>
      <c r="CJ134" t="s">
        <v>2129</v>
      </c>
      <c r="CK134" t="s">
        <v>2129</v>
      </c>
      <c r="CL134" t="s">
        <v>2129</v>
      </c>
      <c r="CM134" t="s">
        <v>2129</v>
      </c>
      <c r="CN134" t="s">
        <v>2129</v>
      </c>
      <c r="CO134" t="s">
        <v>2129</v>
      </c>
      <c r="CP134" t="s">
        <v>2129</v>
      </c>
      <c r="CQ134" t="s">
        <v>2129</v>
      </c>
      <c r="CR134" t="s">
        <v>2129</v>
      </c>
      <c r="CS134" t="s">
        <v>2129</v>
      </c>
      <c r="CT134" t="s">
        <v>3044</v>
      </c>
      <c r="CU134" t="s">
        <v>3037</v>
      </c>
      <c r="CV134" t="s">
        <v>2129</v>
      </c>
      <c r="CW134" t="s">
        <v>2129</v>
      </c>
      <c r="CX134" t="s">
        <v>2129</v>
      </c>
      <c r="CY134" t="s">
        <v>2129</v>
      </c>
      <c r="CZ134" t="s">
        <v>2129</v>
      </c>
      <c r="DA134" t="s">
        <v>2129</v>
      </c>
      <c r="DB134" t="s">
        <v>2129</v>
      </c>
      <c r="DC134" t="s">
        <v>2129</v>
      </c>
      <c r="DD134" t="s">
        <v>2129</v>
      </c>
      <c r="DE134" t="s">
        <v>2129</v>
      </c>
      <c r="DF134" t="s">
        <v>2129</v>
      </c>
      <c r="DG134" t="s">
        <v>2129</v>
      </c>
      <c r="DH134" t="s">
        <v>2129</v>
      </c>
      <c r="DJ134" t="s">
        <v>2129</v>
      </c>
      <c r="DK134" t="s">
        <v>2129</v>
      </c>
      <c r="DL134" t="s">
        <v>2129</v>
      </c>
      <c r="DM134" t="s">
        <v>2129</v>
      </c>
      <c r="DN134" t="s">
        <v>2129</v>
      </c>
      <c r="DO134" t="s">
        <v>2129</v>
      </c>
      <c r="DP134" t="s">
        <v>2129</v>
      </c>
      <c r="DQ134" t="s">
        <v>2129</v>
      </c>
      <c r="DR134" t="s">
        <v>2129</v>
      </c>
      <c r="DS134" t="s">
        <v>2129</v>
      </c>
      <c r="DT134" t="s">
        <v>2129</v>
      </c>
      <c r="DU134" t="s">
        <v>2129</v>
      </c>
      <c r="DV134" t="s">
        <v>2129</v>
      </c>
      <c r="DW134" t="s">
        <v>2129</v>
      </c>
      <c r="DX134" t="s">
        <v>2129</v>
      </c>
      <c r="DY134" t="s">
        <v>2129</v>
      </c>
      <c r="DZ134" t="s">
        <v>2129</v>
      </c>
      <c r="EA134" t="s">
        <v>2129</v>
      </c>
      <c r="EB134" t="s">
        <v>2129</v>
      </c>
      <c r="EC134" t="s">
        <v>2129</v>
      </c>
      <c r="ED134" t="s">
        <v>2129</v>
      </c>
      <c r="EE134" t="s">
        <v>2129</v>
      </c>
      <c r="EF134" t="s">
        <v>2129</v>
      </c>
      <c r="EG134" t="s">
        <v>2129</v>
      </c>
      <c r="EH134" t="s">
        <v>2129</v>
      </c>
    </row>
    <row r="135" spans="1:138" x14ac:dyDescent="0.25">
      <c r="A135" t="s">
        <v>1756</v>
      </c>
      <c r="B135" t="s">
        <v>1755</v>
      </c>
      <c r="C135">
        <v>22352</v>
      </c>
      <c r="E135" t="s">
        <v>14</v>
      </c>
      <c r="F135" t="s">
        <v>27</v>
      </c>
      <c r="G135" t="s">
        <v>2177</v>
      </c>
      <c r="H135" t="s">
        <v>44</v>
      </c>
      <c r="I135" t="s">
        <v>2127</v>
      </c>
      <c r="J135" t="s">
        <v>2156</v>
      </c>
      <c r="K135" t="s">
        <v>2129</v>
      </c>
      <c r="L135" t="s">
        <v>2178</v>
      </c>
      <c r="M135" t="s">
        <v>2130</v>
      </c>
      <c r="N135" t="s">
        <v>2129</v>
      </c>
      <c r="O135" t="s">
        <v>2145</v>
      </c>
      <c r="P135" t="s">
        <v>2145</v>
      </c>
      <c r="Q135" t="s">
        <v>2145</v>
      </c>
      <c r="R135" s="37">
        <v>45946.806250000001</v>
      </c>
      <c r="S135" s="37">
        <v>46090.328472222223</v>
      </c>
      <c r="T135" s="37">
        <v>46100.368750000001</v>
      </c>
      <c r="U135" s="37"/>
      <c r="V135" t="s">
        <v>2129</v>
      </c>
      <c r="W135" t="s">
        <v>2129</v>
      </c>
      <c r="X135" t="s">
        <v>2129</v>
      </c>
      <c r="Y135">
        <v>0</v>
      </c>
      <c r="Z135" t="s">
        <v>2129</v>
      </c>
      <c r="AA135" t="s">
        <v>2390</v>
      </c>
      <c r="AB135" t="s">
        <v>2129</v>
      </c>
      <c r="AC135" t="s">
        <v>2145</v>
      </c>
      <c r="AD135" t="s">
        <v>2156</v>
      </c>
      <c r="AE135" t="s">
        <v>2129</v>
      </c>
      <c r="AF135" t="s">
        <v>2129</v>
      </c>
      <c r="AG135" t="s">
        <v>2129</v>
      </c>
      <c r="AH135" t="s">
        <v>2129</v>
      </c>
      <c r="AI135" t="s">
        <v>2129</v>
      </c>
      <c r="AJ135" t="s">
        <v>2129</v>
      </c>
      <c r="AK135" t="s">
        <v>2129</v>
      </c>
      <c r="AL135" t="s">
        <v>2129</v>
      </c>
      <c r="AM135" t="s">
        <v>2129</v>
      </c>
      <c r="AN135" t="s">
        <v>2129</v>
      </c>
      <c r="AO135" t="s">
        <v>2129</v>
      </c>
      <c r="AP135" t="s">
        <v>2129</v>
      </c>
      <c r="AQ135" t="s">
        <v>2129</v>
      </c>
      <c r="AR135" t="s">
        <v>2129</v>
      </c>
      <c r="AS135" t="s">
        <v>2129</v>
      </c>
      <c r="AT135" t="s">
        <v>2129</v>
      </c>
      <c r="AU135" t="s">
        <v>2129</v>
      </c>
      <c r="AV135" t="s">
        <v>2129</v>
      </c>
      <c r="AW135" t="s">
        <v>2129</v>
      </c>
      <c r="AX135" t="s">
        <v>2129</v>
      </c>
      <c r="AY135" t="s">
        <v>2129</v>
      </c>
      <c r="AZ135" t="s">
        <v>2129</v>
      </c>
      <c r="BA135" t="s">
        <v>2129</v>
      </c>
      <c r="BB135" t="s">
        <v>2129</v>
      </c>
      <c r="BC135" t="s">
        <v>2129</v>
      </c>
      <c r="BD135" t="s">
        <v>2129</v>
      </c>
      <c r="BE135" t="s">
        <v>2129</v>
      </c>
      <c r="BF135" t="s">
        <v>2129</v>
      </c>
      <c r="BG135" t="s">
        <v>2129</v>
      </c>
      <c r="BH135" t="s">
        <v>2129</v>
      </c>
      <c r="BI135" t="s">
        <v>2129</v>
      </c>
      <c r="BJ135" t="s">
        <v>2129</v>
      </c>
      <c r="BK135" t="s">
        <v>2129</v>
      </c>
      <c r="BL135" t="s">
        <v>2129</v>
      </c>
      <c r="BM135" t="s">
        <v>2129</v>
      </c>
      <c r="BN135" t="s">
        <v>2129</v>
      </c>
      <c r="BO135" t="s">
        <v>2129</v>
      </c>
      <c r="BP135" t="s">
        <v>2129</v>
      </c>
      <c r="BS135" t="s">
        <v>2129</v>
      </c>
      <c r="BT135" t="s">
        <v>2129</v>
      </c>
      <c r="BW135" t="s">
        <v>2129</v>
      </c>
      <c r="BX135" t="s">
        <v>2129</v>
      </c>
      <c r="BY135" t="s">
        <v>1165</v>
      </c>
      <c r="BZ135" t="s">
        <v>2391</v>
      </c>
      <c r="CA135" t="s">
        <v>3045</v>
      </c>
      <c r="CB135" t="s">
        <v>2392</v>
      </c>
      <c r="CC135" t="s">
        <v>2393</v>
      </c>
      <c r="CD135" t="s">
        <v>2394</v>
      </c>
      <c r="CE135" t="s">
        <v>2129</v>
      </c>
      <c r="CF135" t="s">
        <v>2129</v>
      </c>
      <c r="CG135" t="s">
        <v>2129</v>
      </c>
      <c r="CH135" t="s">
        <v>2129</v>
      </c>
      <c r="CI135" t="s">
        <v>2129</v>
      </c>
      <c r="CJ135" t="s">
        <v>2129</v>
      </c>
      <c r="CK135" t="s">
        <v>2129</v>
      </c>
      <c r="CL135" t="s">
        <v>2129</v>
      </c>
      <c r="CM135" t="s">
        <v>2129</v>
      </c>
      <c r="CN135" t="s">
        <v>2129</v>
      </c>
      <c r="CO135" t="s">
        <v>2129</v>
      </c>
      <c r="CP135" t="s">
        <v>2129</v>
      </c>
      <c r="CQ135" t="s">
        <v>2129</v>
      </c>
      <c r="CR135" t="s">
        <v>2129</v>
      </c>
      <c r="CS135" t="s">
        <v>2129</v>
      </c>
      <c r="CT135" t="s">
        <v>2395</v>
      </c>
      <c r="CU135" t="s">
        <v>2181</v>
      </c>
      <c r="CV135" t="s">
        <v>2179</v>
      </c>
      <c r="CW135" t="s">
        <v>2311</v>
      </c>
      <c r="CX135" t="s">
        <v>2389</v>
      </c>
      <c r="CY135" t="s">
        <v>2388</v>
      </c>
      <c r="CZ135" t="s">
        <v>2619</v>
      </c>
      <c r="DA135" t="s">
        <v>2705</v>
      </c>
      <c r="DB135" t="s">
        <v>2824</v>
      </c>
      <c r="DC135" t="s">
        <v>3037</v>
      </c>
      <c r="DD135" t="s">
        <v>3021</v>
      </c>
      <c r="DE135" t="s">
        <v>2129</v>
      </c>
      <c r="DF135" t="s">
        <v>2129</v>
      </c>
      <c r="DG135" t="s">
        <v>2129</v>
      </c>
      <c r="DH135" t="s">
        <v>2129</v>
      </c>
      <c r="DJ135" t="s">
        <v>2129</v>
      </c>
      <c r="DK135" t="s">
        <v>2129</v>
      </c>
      <c r="DL135" t="s">
        <v>2396</v>
      </c>
      <c r="DM135" t="s">
        <v>2397</v>
      </c>
      <c r="DN135" t="s">
        <v>2706</v>
      </c>
      <c r="DO135" t="s">
        <v>3046</v>
      </c>
      <c r="DP135" t="s">
        <v>2129</v>
      </c>
      <c r="DQ135" t="s">
        <v>2129</v>
      </c>
      <c r="DR135" t="s">
        <v>2129</v>
      </c>
      <c r="DS135" t="s">
        <v>2129</v>
      </c>
      <c r="DT135" t="s">
        <v>2129</v>
      </c>
      <c r="DU135" t="s">
        <v>2129</v>
      </c>
      <c r="DV135" t="s">
        <v>2129</v>
      </c>
      <c r="DW135" t="s">
        <v>2129</v>
      </c>
      <c r="DX135" t="s">
        <v>2129</v>
      </c>
      <c r="DY135" t="s">
        <v>2129</v>
      </c>
      <c r="DZ135" t="s">
        <v>2129</v>
      </c>
      <c r="EA135" t="s">
        <v>2129</v>
      </c>
      <c r="EB135" t="s">
        <v>2129</v>
      </c>
      <c r="EC135" t="s">
        <v>2129</v>
      </c>
      <c r="ED135" t="s">
        <v>2129</v>
      </c>
      <c r="EE135" t="s">
        <v>2129</v>
      </c>
      <c r="EF135" t="s">
        <v>2129</v>
      </c>
      <c r="EG135" t="s">
        <v>2129</v>
      </c>
      <c r="EH135" t="s">
        <v>2129</v>
      </c>
    </row>
    <row r="136" spans="1:138" x14ac:dyDescent="0.25">
      <c r="A136" t="s">
        <v>2874</v>
      </c>
      <c r="B136" t="s">
        <v>2872</v>
      </c>
      <c r="C136">
        <v>23079</v>
      </c>
      <c r="E136" t="s">
        <v>14</v>
      </c>
      <c r="F136" t="s">
        <v>1820</v>
      </c>
      <c r="G136" t="s">
        <v>3047</v>
      </c>
      <c r="H136" t="s">
        <v>1386</v>
      </c>
      <c r="I136" t="s">
        <v>2127</v>
      </c>
      <c r="J136" t="s">
        <v>2128</v>
      </c>
      <c r="K136" t="s">
        <v>2129</v>
      </c>
      <c r="L136" t="s">
        <v>2129</v>
      </c>
      <c r="M136" t="s">
        <v>2130</v>
      </c>
      <c r="N136" t="s">
        <v>2129</v>
      </c>
      <c r="O136" t="s">
        <v>2827</v>
      </c>
      <c r="P136" t="s">
        <v>2190</v>
      </c>
      <c r="Q136" t="s">
        <v>2190</v>
      </c>
      <c r="R136" s="37">
        <v>46083.686111111114</v>
      </c>
      <c r="S136" s="37">
        <v>46093.665972222225</v>
      </c>
      <c r="T136" s="37">
        <v>46087.729166666664</v>
      </c>
      <c r="U136" s="37"/>
      <c r="V136" t="s">
        <v>2129</v>
      </c>
      <c r="W136" t="s">
        <v>2129</v>
      </c>
      <c r="X136" t="s">
        <v>2129</v>
      </c>
      <c r="Y136">
        <v>0</v>
      </c>
      <c r="Z136" t="s">
        <v>2129</v>
      </c>
      <c r="AA136" t="s">
        <v>4033</v>
      </c>
      <c r="AB136" t="s">
        <v>2129</v>
      </c>
      <c r="AC136" t="s">
        <v>2190</v>
      </c>
      <c r="AD136" t="s">
        <v>2129</v>
      </c>
      <c r="AE136" t="s">
        <v>2129</v>
      </c>
      <c r="AF136" t="s">
        <v>2129</v>
      </c>
      <c r="AG136" t="s">
        <v>2129</v>
      </c>
      <c r="AH136" t="s">
        <v>4034</v>
      </c>
      <c r="AI136" t="s">
        <v>4035</v>
      </c>
      <c r="AJ136" t="s">
        <v>2129</v>
      </c>
      <c r="AK136" t="s">
        <v>2129</v>
      </c>
      <c r="AL136" t="s">
        <v>2129</v>
      </c>
      <c r="AM136" t="s">
        <v>2129</v>
      </c>
      <c r="AN136" t="s">
        <v>2129</v>
      </c>
      <c r="AO136" t="s">
        <v>2129</v>
      </c>
      <c r="AP136" t="s">
        <v>2129</v>
      </c>
      <c r="AQ136" t="s">
        <v>2129</v>
      </c>
      <c r="AR136" t="s">
        <v>2129</v>
      </c>
      <c r="AS136" t="s">
        <v>2129</v>
      </c>
      <c r="AT136" t="s">
        <v>2129</v>
      </c>
      <c r="AU136" t="s">
        <v>2129</v>
      </c>
      <c r="AV136" t="s">
        <v>2129</v>
      </c>
      <c r="AW136" t="s">
        <v>2129</v>
      </c>
      <c r="AX136" t="s">
        <v>2129</v>
      </c>
      <c r="AY136" t="s">
        <v>2129</v>
      </c>
      <c r="AZ136" t="s">
        <v>2129</v>
      </c>
      <c r="BA136" t="s">
        <v>2129</v>
      </c>
      <c r="BB136" t="s">
        <v>2129</v>
      </c>
      <c r="BC136" t="s">
        <v>2129</v>
      </c>
      <c r="BD136" t="s">
        <v>2129</v>
      </c>
      <c r="BE136" t="s">
        <v>2129</v>
      </c>
      <c r="BF136" t="s">
        <v>2129</v>
      </c>
      <c r="BG136" t="s">
        <v>2129</v>
      </c>
      <c r="BH136" t="s">
        <v>2129</v>
      </c>
      <c r="BI136" t="s">
        <v>2129</v>
      </c>
      <c r="BJ136" t="s">
        <v>2129</v>
      </c>
      <c r="BK136" t="s">
        <v>2129</v>
      </c>
      <c r="BL136" t="s">
        <v>2129</v>
      </c>
      <c r="BM136" t="s">
        <v>2129</v>
      </c>
      <c r="BN136" t="s">
        <v>2129</v>
      </c>
      <c r="BO136" t="s">
        <v>2129</v>
      </c>
      <c r="BP136" t="s">
        <v>2129</v>
      </c>
      <c r="BQ136">
        <v>0</v>
      </c>
      <c r="BR136">
        <v>194400</v>
      </c>
      <c r="BS136" t="s">
        <v>2129</v>
      </c>
      <c r="BT136" t="s">
        <v>2129</v>
      </c>
      <c r="BU136">
        <v>0</v>
      </c>
      <c r="BV136">
        <v>194400</v>
      </c>
      <c r="BW136" t="s">
        <v>2129</v>
      </c>
      <c r="BX136" t="s">
        <v>2129</v>
      </c>
      <c r="BY136" t="s">
        <v>2129</v>
      </c>
      <c r="BZ136" t="s">
        <v>2129</v>
      </c>
      <c r="CA136" t="s">
        <v>2129</v>
      </c>
      <c r="CB136" t="s">
        <v>2129</v>
      </c>
      <c r="CC136" t="s">
        <v>2129</v>
      </c>
      <c r="CD136" t="s">
        <v>2129</v>
      </c>
      <c r="CE136" t="s">
        <v>2129</v>
      </c>
      <c r="CF136" t="s">
        <v>2129</v>
      </c>
      <c r="CG136" t="s">
        <v>2129</v>
      </c>
      <c r="CH136" t="s">
        <v>2129</v>
      </c>
      <c r="CI136" t="s">
        <v>2129</v>
      </c>
      <c r="CJ136" t="s">
        <v>2129</v>
      </c>
      <c r="CK136" t="s">
        <v>2129</v>
      </c>
      <c r="CL136" t="s">
        <v>2129</v>
      </c>
      <c r="CM136" t="s">
        <v>2129</v>
      </c>
      <c r="CN136" t="s">
        <v>2129</v>
      </c>
      <c r="CO136" t="s">
        <v>2129</v>
      </c>
      <c r="CP136" t="s">
        <v>2129</v>
      </c>
      <c r="CQ136" t="s">
        <v>2129</v>
      </c>
      <c r="CR136" t="s">
        <v>2129</v>
      </c>
      <c r="CS136" t="s">
        <v>2129</v>
      </c>
      <c r="CT136" t="s">
        <v>4036</v>
      </c>
      <c r="CU136" t="s">
        <v>4037</v>
      </c>
      <c r="CV136" t="s">
        <v>4038</v>
      </c>
      <c r="CW136" t="s">
        <v>2129</v>
      </c>
      <c r="CX136" t="s">
        <v>2129</v>
      </c>
      <c r="CY136" t="s">
        <v>2129</v>
      </c>
      <c r="CZ136" t="s">
        <v>2129</v>
      </c>
      <c r="DA136" t="s">
        <v>2129</v>
      </c>
      <c r="DB136" t="s">
        <v>2129</v>
      </c>
      <c r="DC136" t="s">
        <v>2129</v>
      </c>
      <c r="DD136" t="s">
        <v>2129</v>
      </c>
      <c r="DE136" t="s">
        <v>2129</v>
      </c>
      <c r="DF136" t="s">
        <v>2129</v>
      </c>
      <c r="DG136" t="s">
        <v>2129</v>
      </c>
      <c r="DH136" t="s">
        <v>2129</v>
      </c>
      <c r="DI136">
        <v>130</v>
      </c>
      <c r="DJ136" t="s">
        <v>2129</v>
      </c>
      <c r="DK136" t="s">
        <v>2129</v>
      </c>
      <c r="DL136" t="s">
        <v>2129</v>
      </c>
      <c r="DM136" t="s">
        <v>2129</v>
      </c>
      <c r="DN136" t="s">
        <v>2129</v>
      </c>
      <c r="DO136" t="s">
        <v>2129</v>
      </c>
      <c r="DP136" t="s">
        <v>2129</v>
      </c>
      <c r="DQ136" t="s">
        <v>2129</v>
      </c>
      <c r="DR136" t="s">
        <v>2129</v>
      </c>
      <c r="DS136" t="s">
        <v>2129</v>
      </c>
      <c r="DT136" t="s">
        <v>2129</v>
      </c>
      <c r="DU136" t="s">
        <v>2129</v>
      </c>
      <c r="DV136" t="s">
        <v>2129</v>
      </c>
      <c r="DW136" t="s">
        <v>2129</v>
      </c>
      <c r="DX136" t="s">
        <v>2129</v>
      </c>
      <c r="DY136" t="s">
        <v>2129</v>
      </c>
      <c r="DZ136" t="s">
        <v>2129</v>
      </c>
      <c r="EA136" t="s">
        <v>2129</v>
      </c>
      <c r="EB136" t="s">
        <v>2129</v>
      </c>
      <c r="EC136" t="s">
        <v>2129</v>
      </c>
      <c r="ED136" t="s">
        <v>2129</v>
      </c>
      <c r="EE136" t="s">
        <v>2129</v>
      </c>
      <c r="EF136" t="s">
        <v>2129</v>
      </c>
      <c r="EG136" t="s">
        <v>2129</v>
      </c>
      <c r="EH136" t="s">
        <v>2129</v>
      </c>
    </row>
    <row r="137" spans="1:138" x14ac:dyDescent="0.25">
      <c r="A137" t="s">
        <v>2878</v>
      </c>
      <c r="B137" t="s">
        <v>2877</v>
      </c>
      <c r="C137">
        <v>23069</v>
      </c>
      <c r="E137" t="s">
        <v>14</v>
      </c>
      <c r="F137" t="s">
        <v>16</v>
      </c>
      <c r="G137" t="s">
        <v>3047</v>
      </c>
      <c r="H137" t="s">
        <v>1386</v>
      </c>
      <c r="I137" t="s">
        <v>2127</v>
      </c>
      <c r="J137" t="s">
        <v>2128</v>
      </c>
      <c r="K137" t="s">
        <v>2129</v>
      </c>
      <c r="L137" t="s">
        <v>2129</v>
      </c>
      <c r="M137" t="s">
        <v>2130</v>
      </c>
      <c r="N137" t="s">
        <v>2153</v>
      </c>
      <c r="O137" t="s">
        <v>2128</v>
      </c>
      <c r="P137" t="s">
        <v>2145</v>
      </c>
      <c r="Q137" t="s">
        <v>2145</v>
      </c>
      <c r="R137" s="37">
        <v>46083.415972222225</v>
      </c>
      <c r="S137" s="37">
        <v>46099.469444444447</v>
      </c>
      <c r="T137" s="37">
        <v>46087.729166666664</v>
      </c>
      <c r="U137" s="37">
        <v>46099.469444444447</v>
      </c>
      <c r="V137" t="s">
        <v>2129</v>
      </c>
      <c r="W137" t="s">
        <v>2129</v>
      </c>
      <c r="X137" t="s">
        <v>2129</v>
      </c>
      <c r="Y137">
        <v>0</v>
      </c>
      <c r="Z137" t="s">
        <v>2129</v>
      </c>
      <c r="AA137" t="s">
        <v>2912</v>
      </c>
      <c r="AB137" t="s">
        <v>2129</v>
      </c>
      <c r="AC137" t="s">
        <v>2145</v>
      </c>
      <c r="AD137" t="s">
        <v>2129</v>
      </c>
      <c r="AE137" t="s">
        <v>2129</v>
      </c>
      <c r="AF137" t="s">
        <v>2129</v>
      </c>
      <c r="AG137" t="s">
        <v>2129</v>
      </c>
      <c r="AH137" t="s">
        <v>2129</v>
      </c>
      <c r="AI137" t="s">
        <v>2129</v>
      </c>
      <c r="AJ137" t="s">
        <v>2129</v>
      </c>
      <c r="AK137" t="s">
        <v>2129</v>
      </c>
      <c r="AL137" t="s">
        <v>2129</v>
      </c>
      <c r="AM137" t="s">
        <v>2129</v>
      </c>
      <c r="AN137" t="s">
        <v>2129</v>
      </c>
      <c r="AO137" t="s">
        <v>2129</v>
      </c>
      <c r="AP137" t="s">
        <v>2129</v>
      </c>
      <c r="AQ137" t="s">
        <v>2129</v>
      </c>
      <c r="AR137" t="s">
        <v>2129</v>
      </c>
      <c r="AS137" t="s">
        <v>2129</v>
      </c>
      <c r="AT137" t="s">
        <v>2129</v>
      </c>
      <c r="AU137" t="s">
        <v>2129</v>
      </c>
      <c r="AV137" t="s">
        <v>2129</v>
      </c>
      <c r="AW137" t="s">
        <v>2129</v>
      </c>
      <c r="AX137" t="s">
        <v>2129</v>
      </c>
      <c r="AY137" t="s">
        <v>2129</v>
      </c>
      <c r="AZ137" t="s">
        <v>2129</v>
      </c>
      <c r="BA137" t="s">
        <v>2129</v>
      </c>
      <c r="BB137" t="s">
        <v>2129</v>
      </c>
      <c r="BC137" t="s">
        <v>2129</v>
      </c>
      <c r="BD137" t="s">
        <v>2129</v>
      </c>
      <c r="BE137" t="s">
        <v>2129</v>
      </c>
      <c r="BF137" t="s">
        <v>2129</v>
      </c>
      <c r="BG137" t="s">
        <v>2129</v>
      </c>
      <c r="BH137" t="s">
        <v>2129</v>
      </c>
      <c r="BI137" t="s">
        <v>2129</v>
      </c>
      <c r="BJ137" t="s">
        <v>2129</v>
      </c>
      <c r="BK137" t="s">
        <v>2129</v>
      </c>
      <c r="BL137" t="s">
        <v>2129</v>
      </c>
      <c r="BM137" t="s">
        <v>2129</v>
      </c>
      <c r="BN137" t="s">
        <v>2129</v>
      </c>
      <c r="BO137" t="s">
        <v>2129</v>
      </c>
      <c r="BP137" t="s">
        <v>2129</v>
      </c>
      <c r="BQ137">
        <v>0</v>
      </c>
      <c r="BS137" t="s">
        <v>2129</v>
      </c>
      <c r="BT137" t="s">
        <v>2129</v>
      </c>
      <c r="BU137">
        <v>0</v>
      </c>
      <c r="BW137" t="s">
        <v>2129</v>
      </c>
      <c r="BX137" t="s">
        <v>2129</v>
      </c>
      <c r="BY137" t="s">
        <v>2129</v>
      </c>
      <c r="BZ137" t="s">
        <v>2129</v>
      </c>
      <c r="CA137" t="s">
        <v>2129</v>
      </c>
      <c r="CB137" t="s">
        <v>2129</v>
      </c>
      <c r="CC137" t="s">
        <v>2129</v>
      </c>
      <c r="CD137" t="s">
        <v>2129</v>
      </c>
      <c r="CE137" t="s">
        <v>2129</v>
      </c>
      <c r="CF137" t="s">
        <v>2129</v>
      </c>
      <c r="CG137" t="s">
        <v>2129</v>
      </c>
      <c r="CH137" t="s">
        <v>2129</v>
      </c>
      <c r="CI137" t="s">
        <v>2129</v>
      </c>
      <c r="CJ137" t="s">
        <v>2129</v>
      </c>
      <c r="CK137" t="s">
        <v>2129</v>
      </c>
      <c r="CL137" t="s">
        <v>2129</v>
      </c>
      <c r="CM137" t="s">
        <v>2913</v>
      </c>
      <c r="CN137" t="s">
        <v>2129</v>
      </c>
      <c r="CO137" t="s">
        <v>2129</v>
      </c>
      <c r="CP137" t="s">
        <v>2129</v>
      </c>
      <c r="CQ137" t="s">
        <v>2129</v>
      </c>
      <c r="CR137" t="s">
        <v>2129</v>
      </c>
      <c r="CS137" t="s">
        <v>2129</v>
      </c>
      <c r="CT137" t="s">
        <v>4039</v>
      </c>
      <c r="CU137" t="s">
        <v>4037</v>
      </c>
      <c r="CV137" t="s">
        <v>4038</v>
      </c>
      <c r="CW137" t="s">
        <v>2129</v>
      </c>
      <c r="CX137" t="s">
        <v>2129</v>
      </c>
      <c r="CY137" t="s">
        <v>2129</v>
      </c>
      <c r="CZ137" t="s">
        <v>2129</v>
      </c>
      <c r="DA137" t="s">
        <v>2129</v>
      </c>
      <c r="DB137" t="s">
        <v>2129</v>
      </c>
      <c r="DC137" t="s">
        <v>2129</v>
      </c>
      <c r="DD137" t="s">
        <v>2129</v>
      </c>
      <c r="DE137" t="s">
        <v>2129</v>
      </c>
      <c r="DF137" t="s">
        <v>2129</v>
      </c>
      <c r="DG137" t="s">
        <v>2129</v>
      </c>
      <c r="DH137" t="s">
        <v>2129</v>
      </c>
      <c r="DI137">
        <v>50</v>
      </c>
      <c r="DJ137" t="s">
        <v>2129</v>
      </c>
      <c r="DK137" t="s">
        <v>2129</v>
      </c>
      <c r="DL137" t="s">
        <v>2129</v>
      </c>
      <c r="DM137" t="s">
        <v>2129</v>
      </c>
      <c r="DN137" t="s">
        <v>2129</v>
      </c>
      <c r="DO137" t="s">
        <v>2129</v>
      </c>
      <c r="DP137" t="s">
        <v>2129</v>
      </c>
      <c r="DQ137" t="s">
        <v>2129</v>
      </c>
      <c r="DR137" t="s">
        <v>2129</v>
      </c>
      <c r="DS137" t="s">
        <v>2129</v>
      </c>
      <c r="DT137" t="s">
        <v>2129</v>
      </c>
      <c r="DU137" t="s">
        <v>2129</v>
      </c>
      <c r="DV137" t="s">
        <v>2129</v>
      </c>
      <c r="DW137" t="s">
        <v>2129</v>
      </c>
      <c r="DX137" t="s">
        <v>2129</v>
      </c>
      <c r="DY137" t="s">
        <v>2129</v>
      </c>
      <c r="DZ137" t="s">
        <v>2129</v>
      </c>
      <c r="EA137" t="s">
        <v>2129</v>
      </c>
      <c r="EB137" t="s">
        <v>2129</v>
      </c>
      <c r="EC137" t="s">
        <v>2129</v>
      </c>
      <c r="ED137" t="s">
        <v>2129</v>
      </c>
      <c r="EE137" t="s">
        <v>2129</v>
      </c>
      <c r="EF137" t="s">
        <v>2129</v>
      </c>
      <c r="EG137" t="s">
        <v>2129</v>
      </c>
      <c r="EH137" t="s">
        <v>2129</v>
      </c>
    </row>
    <row r="138" spans="1:138" x14ac:dyDescent="0.25">
      <c r="A138" t="s">
        <v>2135</v>
      </c>
      <c r="B138" t="s">
        <v>4040</v>
      </c>
      <c r="C138">
        <v>23203</v>
      </c>
      <c r="E138" t="s">
        <v>2136</v>
      </c>
      <c r="F138" t="s">
        <v>10</v>
      </c>
      <c r="G138" t="s">
        <v>2185</v>
      </c>
      <c r="H138" t="s">
        <v>41</v>
      </c>
      <c r="I138" t="s">
        <v>2127</v>
      </c>
      <c r="J138" t="s">
        <v>2128</v>
      </c>
      <c r="K138" t="s">
        <v>2186</v>
      </c>
      <c r="L138" t="s">
        <v>2187</v>
      </c>
      <c r="M138" t="s">
        <v>2130</v>
      </c>
      <c r="N138" t="s">
        <v>2129</v>
      </c>
      <c r="O138" t="s">
        <v>2182</v>
      </c>
      <c r="P138" t="s">
        <v>2128</v>
      </c>
      <c r="Q138" t="s">
        <v>2128</v>
      </c>
      <c r="R138" s="37">
        <v>46099.468055555553</v>
      </c>
      <c r="S138" s="37">
        <v>46099.756249999999</v>
      </c>
      <c r="T138" s="37">
        <v>46100.368750000001</v>
      </c>
      <c r="U138" s="37"/>
      <c r="V138" t="s">
        <v>2129</v>
      </c>
      <c r="W138" t="s">
        <v>2129</v>
      </c>
      <c r="X138" t="s">
        <v>2129</v>
      </c>
      <c r="Y138">
        <v>0</v>
      </c>
      <c r="Z138" t="s">
        <v>2129</v>
      </c>
      <c r="AA138" t="s">
        <v>2138</v>
      </c>
      <c r="AB138" t="s">
        <v>2129</v>
      </c>
      <c r="AC138" t="s">
        <v>2128</v>
      </c>
      <c r="AD138" t="s">
        <v>2129</v>
      </c>
      <c r="AE138" t="s">
        <v>2129</v>
      </c>
      <c r="AF138" t="s">
        <v>2129</v>
      </c>
      <c r="AG138" t="s">
        <v>2129</v>
      </c>
      <c r="AH138" t="s">
        <v>4041</v>
      </c>
      <c r="AI138" t="s">
        <v>2129</v>
      </c>
      <c r="AJ138" t="s">
        <v>2129</v>
      </c>
      <c r="AK138" t="s">
        <v>2129</v>
      </c>
      <c r="AL138" t="s">
        <v>2129</v>
      </c>
      <c r="AM138" t="s">
        <v>2129</v>
      </c>
      <c r="AN138" t="s">
        <v>2129</v>
      </c>
      <c r="AO138" t="s">
        <v>2129</v>
      </c>
      <c r="AP138" t="s">
        <v>2129</v>
      </c>
      <c r="AQ138" t="s">
        <v>2129</v>
      </c>
      <c r="AR138" t="s">
        <v>2129</v>
      </c>
      <c r="AS138" t="s">
        <v>2129</v>
      </c>
      <c r="AT138" t="s">
        <v>2129</v>
      </c>
      <c r="AU138" t="s">
        <v>2129</v>
      </c>
      <c r="AV138" t="s">
        <v>2129</v>
      </c>
      <c r="AW138" t="s">
        <v>2129</v>
      </c>
      <c r="AX138" t="s">
        <v>2129</v>
      </c>
      <c r="AY138" t="s">
        <v>2129</v>
      </c>
      <c r="AZ138" t="s">
        <v>2129</v>
      </c>
      <c r="BA138" t="s">
        <v>2129</v>
      </c>
      <c r="BB138" t="s">
        <v>2129</v>
      </c>
      <c r="BC138" t="s">
        <v>2129</v>
      </c>
      <c r="BD138" t="s">
        <v>2129</v>
      </c>
      <c r="BE138" t="s">
        <v>2129</v>
      </c>
      <c r="BF138" t="s">
        <v>2129</v>
      </c>
      <c r="BG138" t="s">
        <v>2129</v>
      </c>
      <c r="BH138" t="s">
        <v>2129</v>
      </c>
      <c r="BI138" t="s">
        <v>2129</v>
      </c>
      <c r="BJ138" t="s">
        <v>2129</v>
      </c>
      <c r="BK138" t="s">
        <v>2129</v>
      </c>
      <c r="BL138" t="s">
        <v>2129</v>
      </c>
      <c r="BM138" t="s">
        <v>2129</v>
      </c>
      <c r="BN138" t="s">
        <v>2129</v>
      </c>
      <c r="BO138" t="s">
        <v>2129</v>
      </c>
      <c r="BP138" t="s">
        <v>2129</v>
      </c>
      <c r="BQ138">
        <v>0</v>
      </c>
      <c r="BR138">
        <v>14400</v>
      </c>
      <c r="BS138" t="s">
        <v>2129</v>
      </c>
      <c r="BT138" t="s">
        <v>2129</v>
      </c>
      <c r="BU138">
        <v>0</v>
      </c>
      <c r="BV138">
        <v>14400</v>
      </c>
      <c r="BW138" t="s">
        <v>2129</v>
      </c>
      <c r="BX138" t="s">
        <v>2129</v>
      </c>
      <c r="BY138" t="s">
        <v>2129</v>
      </c>
      <c r="BZ138" t="s">
        <v>2129</v>
      </c>
      <c r="CA138" t="s">
        <v>2129</v>
      </c>
      <c r="CB138" t="s">
        <v>2129</v>
      </c>
      <c r="CC138" t="s">
        <v>2129</v>
      </c>
      <c r="CD138" t="s">
        <v>2129</v>
      </c>
      <c r="CE138" t="s">
        <v>2129</v>
      </c>
      <c r="CF138" t="s">
        <v>2129</v>
      </c>
      <c r="CG138" t="s">
        <v>2129</v>
      </c>
      <c r="CH138" t="s">
        <v>2129</v>
      </c>
      <c r="CI138" t="s">
        <v>2129</v>
      </c>
      <c r="CJ138" t="s">
        <v>2129</v>
      </c>
      <c r="CK138" t="s">
        <v>2129</v>
      </c>
      <c r="CL138" t="s">
        <v>2129</v>
      </c>
      <c r="CM138" t="s">
        <v>2129</v>
      </c>
      <c r="CN138" t="s">
        <v>2129</v>
      </c>
      <c r="CO138" t="s">
        <v>2129</v>
      </c>
      <c r="CP138" t="s">
        <v>2129</v>
      </c>
      <c r="CQ138" t="s">
        <v>2129</v>
      </c>
      <c r="CR138" t="s">
        <v>2129</v>
      </c>
      <c r="CS138" t="s">
        <v>2129</v>
      </c>
      <c r="CT138" t="s">
        <v>4042</v>
      </c>
      <c r="CU138" t="s">
        <v>4043</v>
      </c>
      <c r="CV138" t="s">
        <v>2129</v>
      </c>
      <c r="CW138" t="s">
        <v>2129</v>
      </c>
      <c r="CX138" t="s">
        <v>2129</v>
      </c>
      <c r="CY138" t="s">
        <v>2129</v>
      </c>
      <c r="CZ138" t="s">
        <v>2129</v>
      </c>
      <c r="DA138" t="s">
        <v>2129</v>
      </c>
      <c r="DB138" t="s">
        <v>2129</v>
      </c>
      <c r="DC138" t="s">
        <v>2129</v>
      </c>
      <c r="DD138" t="s">
        <v>2129</v>
      </c>
      <c r="DE138" t="s">
        <v>2129</v>
      </c>
      <c r="DF138" t="s">
        <v>2129</v>
      </c>
      <c r="DG138" t="s">
        <v>2129</v>
      </c>
      <c r="DH138" t="s">
        <v>2129</v>
      </c>
      <c r="DJ138" t="s">
        <v>2129</v>
      </c>
      <c r="DK138" t="s">
        <v>2129</v>
      </c>
      <c r="DL138" t="s">
        <v>2129</v>
      </c>
      <c r="DM138" t="s">
        <v>2129</v>
      </c>
      <c r="DN138" t="s">
        <v>2129</v>
      </c>
      <c r="DO138" t="s">
        <v>2129</v>
      </c>
      <c r="DP138" t="s">
        <v>2129</v>
      </c>
      <c r="DQ138" t="s">
        <v>2129</v>
      </c>
      <c r="DR138" t="s">
        <v>2129</v>
      </c>
      <c r="DS138" t="s">
        <v>2129</v>
      </c>
      <c r="DT138" t="s">
        <v>2129</v>
      </c>
      <c r="DU138" t="s">
        <v>2129</v>
      </c>
      <c r="DV138" t="s">
        <v>2129</v>
      </c>
      <c r="DW138" t="s">
        <v>2129</v>
      </c>
      <c r="DX138" t="s">
        <v>2129</v>
      </c>
      <c r="DY138" t="s">
        <v>2129</v>
      </c>
      <c r="DZ138" t="s">
        <v>2129</v>
      </c>
      <c r="EA138" t="s">
        <v>2129</v>
      </c>
      <c r="EB138" t="s">
        <v>2129</v>
      </c>
      <c r="EC138" t="s">
        <v>2129</v>
      </c>
      <c r="ED138" t="s">
        <v>2129</v>
      </c>
      <c r="EE138" t="s">
        <v>2129</v>
      </c>
      <c r="EF138" t="s">
        <v>2129</v>
      </c>
      <c r="EG138" t="s">
        <v>2129</v>
      </c>
      <c r="EH138" t="s">
        <v>2129</v>
      </c>
    </row>
    <row r="139" spans="1:138" x14ac:dyDescent="0.25">
      <c r="A139" t="s">
        <v>2135</v>
      </c>
      <c r="B139" t="s">
        <v>4044</v>
      </c>
      <c r="C139">
        <v>23202</v>
      </c>
      <c r="E139" t="s">
        <v>2136</v>
      </c>
      <c r="F139" t="s">
        <v>10</v>
      </c>
      <c r="G139" t="s">
        <v>2185</v>
      </c>
      <c r="H139" t="s">
        <v>41</v>
      </c>
      <c r="I139" t="s">
        <v>2127</v>
      </c>
      <c r="J139" t="s">
        <v>2128</v>
      </c>
      <c r="K139" t="s">
        <v>2186</v>
      </c>
      <c r="L139" t="s">
        <v>2187</v>
      </c>
      <c r="M139" t="s">
        <v>2130</v>
      </c>
      <c r="N139" t="s">
        <v>2129</v>
      </c>
      <c r="O139" t="s">
        <v>2160</v>
      </c>
      <c r="P139" t="s">
        <v>2128</v>
      </c>
      <c r="Q139" t="s">
        <v>2128</v>
      </c>
      <c r="R139" s="37">
        <v>46099.468055555553</v>
      </c>
      <c r="S139" s="37">
        <v>46099.468055555553</v>
      </c>
      <c r="T139" s="37">
        <v>46100.368750000001</v>
      </c>
      <c r="U139" s="37"/>
      <c r="V139" t="s">
        <v>2129</v>
      </c>
      <c r="W139" t="s">
        <v>2129</v>
      </c>
      <c r="X139" t="s">
        <v>2129</v>
      </c>
      <c r="Y139">
        <v>0</v>
      </c>
      <c r="Z139" t="s">
        <v>2129</v>
      </c>
      <c r="AA139" t="s">
        <v>2138</v>
      </c>
      <c r="AB139" t="s">
        <v>2129</v>
      </c>
      <c r="AC139" t="s">
        <v>2128</v>
      </c>
      <c r="AD139" t="s">
        <v>2129</v>
      </c>
      <c r="AE139" t="s">
        <v>2129</v>
      </c>
      <c r="AF139" t="s">
        <v>2129</v>
      </c>
      <c r="AG139" t="s">
        <v>2129</v>
      </c>
      <c r="AH139" t="s">
        <v>2129</v>
      </c>
      <c r="AI139" t="s">
        <v>2129</v>
      </c>
      <c r="AJ139" t="s">
        <v>2129</v>
      </c>
      <c r="AK139" t="s">
        <v>2129</v>
      </c>
      <c r="AL139" t="s">
        <v>2129</v>
      </c>
      <c r="AM139" t="s">
        <v>2129</v>
      </c>
      <c r="AN139" t="s">
        <v>2129</v>
      </c>
      <c r="AO139" t="s">
        <v>2129</v>
      </c>
      <c r="AP139" t="s">
        <v>2129</v>
      </c>
      <c r="AQ139" t="s">
        <v>2129</v>
      </c>
      <c r="AR139" t="s">
        <v>2129</v>
      </c>
      <c r="AS139" t="s">
        <v>2129</v>
      </c>
      <c r="AT139" t="s">
        <v>2129</v>
      </c>
      <c r="AU139" t="s">
        <v>2129</v>
      </c>
      <c r="AV139" t="s">
        <v>2129</v>
      </c>
      <c r="AW139" t="s">
        <v>2129</v>
      </c>
      <c r="AX139" t="s">
        <v>2129</v>
      </c>
      <c r="AY139" t="s">
        <v>2129</v>
      </c>
      <c r="AZ139" t="s">
        <v>2129</v>
      </c>
      <c r="BA139" t="s">
        <v>2129</v>
      </c>
      <c r="BB139" t="s">
        <v>2129</v>
      </c>
      <c r="BC139" t="s">
        <v>2129</v>
      </c>
      <c r="BD139" t="s">
        <v>2129</v>
      </c>
      <c r="BE139" t="s">
        <v>2129</v>
      </c>
      <c r="BF139" t="s">
        <v>2129</v>
      </c>
      <c r="BG139" t="s">
        <v>2129</v>
      </c>
      <c r="BH139" t="s">
        <v>2129</v>
      </c>
      <c r="BI139" t="s">
        <v>2129</v>
      </c>
      <c r="BJ139" t="s">
        <v>2129</v>
      </c>
      <c r="BK139" t="s">
        <v>2129</v>
      </c>
      <c r="BL139" t="s">
        <v>2129</v>
      </c>
      <c r="BM139" t="s">
        <v>2129</v>
      </c>
      <c r="BN139" t="s">
        <v>2129</v>
      </c>
      <c r="BO139" t="s">
        <v>2129</v>
      </c>
      <c r="BP139" t="s">
        <v>2129</v>
      </c>
      <c r="BS139" t="s">
        <v>2129</v>
      </c>
      <c r="BT139" t="s">
        <v>2129</v>
      </c>
      <c r="BW139" t="s">
        <v>2129</v>
      </c>
      <c r="BX139" t="s">
        <v>2129</v>
      </c>
      <c r="BY139" t="s">
        <v>2129</v>
      </c>
      <c r="BZ139" t="s">
        <v>2129</v>
      </c>
      <c r="CA139" t="s">
        <v>2129</v>
      </c>
      <c r="CB139" t="s">
        <v>2129</v>
      </c>
      <c r="CC139" t="s">
        <v>2129</v>
      </c>
      <c r="CD139" t="s">
        <v>2129</v>
      </c>
      <c r="CE139" t="s">
        <v>2129</v>
      </c>
      <c r="CF139" t="s">
        <v>2129</v>
      </c>
      <c r="CG139" t="s">
        <v>2129</v>
      </c>
      <c r="CH139" t="s">
        <v>2129</v>
      </c>
      <c r="CI139" t="s">
        <v>2129</v>
      </c>
      <c r="CJ139" t="s">
        <v>2129</v>
      </c>
      <c r="CK139" t="s">
        <v>2129</v>
      </c>
      <c r="CL139" t="s">
        <v>2129</v>
      </c>
      <c r="CM139" t="s">
        <v>2129</v>
      </c>
      <c r="CN139" t="s">
        <v>2129</v>
      </c>
      <c r="CO139" t="s">
        <v>2129</v>
      </c>
      <c r="CP139" t="s">
        <v>2129</v>
      </c>
      <c r="CQ139" t="s">
        <v>2129</v>
      </c>
      <c r="CR139" t="s">
        <v>2129</v>
      </c>
      <c r="CS139" t="s">
        <v>2129</v>
      </c>
      <c r="CT139" t="s">
        <v>4045</v>
      </c>
      <c r="CU139" t="s">
        <v>4043</v>
      </c>
      <c r="CV139" t="s">
        <v>2129</v>
      </c>
      <c r="CW139" t="s">
        <v>2129</v>
      </c>
      <c r="CX139" t="s">
        <v>2129</v>
      </c>
      <c r="CY139" t="s">
        <v>2129</v>
      </c>
      <c r="CZ139" t="s">
        <v>2129</v>
      </c>
      <c r="DA139" t="s">
        <v>2129</v>
      </c>
      <c r="DB139" t="s">
        <v>2129</v>
      </c>
      <c r="DC139" t="s">
        <v>2129</v>
      </c>
      <c r="DD139" t="s">
        <v>2129</v>
      </c>
      <c r="DE139" t="s">
        <v>2129</v>
      </c>
      <c r="DF139" t="s">
        <v>2129</v>
      </c>
      <c r="DG139" t="s">
        <v>2129</v>
      </c>
      <c r="DH139" t="s">
        <v>2129</v>
      </c>
      <c r="DJ139" t="s">
        <v>2129</v>
      </c>
      <c r="DK139" t="s">
        <v>2129</v>
      </c>
      <c r="DL139" t="s">
        <v>2129</v>
      </c>
      <c r="DM139" t="s">
        <v>2129</v>
      </c>
      <c r="DN139" t="s">
        <v>2129</v>
      </c>
      <c r="DO139" t="s">
        <v>2129</v>
      </c>
      <c r="DP139" t="s">
        <v>2129</v>
      </c>
      <c r="DQ139" t="s">
        <v>2129</v>
      </c>
      <c r="DR139" t="s">
        <v>2129</v>
      </c>
      <c r="DS139" t="s">
        <v>2129</v>
      </c>
      <c r="DT139" t="s">
        <v>2129</v>
      </c>
      <c r="DU139" t="s">
        <v>2129</v>
      </c>
      <c r="DV139" t="s">
        <v>2129</v>
      </c>
      <c r="DW139" t="s">
        <v>2129</v>
      </c>
      <c r="DX139" t="s">
        <v>2129</v>
      </c>
      <c r="DY139" t="s">
        <v>2129</v>
      </c>
      <c r="DZ139" t="s">
        <v>2129</v>
      </c>
      <c r="EA139" t="s">
        <v>2129</v>
      </c>
      <c r="EB139" t="s">
        <v>2129</v>
      </c>
      <c r="EC139" t="s">
        <v>2129</v>
      </c>
      <c r="ED139" t="s">
        <v>2129</v>
      </c>
      <c r="EE139" t="s">
        <v>2129</v>
      </c>
      <c r="EF139" t="s">
        <v>2129</v>
      </c>
      <c r="EG139" t="s">
        <v>2129</v>
      </c>
      <c r="EH139" t="s">
        <v>2129</v>
      </c>
    </row>
    <row r="140" spans="1:138" x14ac:dyDescent="0.25">
      <c r="A140" t="s">
        <v>2135</v>
      </c>
      <c r="B140" t="s">
        <v>4046</v>
      </c>
      <c r="C140">
        <v>23201</v>
      </c>
      <c r="E140" t="s">
        <v>2136</v>
      </c>
      <c r="F140" t="s">
        <v>10</v>
      </c>
      <c r="G140" t="s">
        <v>2185</v>
      </c>
      <c r="H140" t="s">
        <v>41</v>
      </c>
      <c r="I140" t="s">
        <v>2127</v>
      </c>
      <c r="J140" t="s">
        <v>2128</v>
      </c>
      <c r="K140" t="s">
        <v>2186</v>
      </c>
      <c r="L140" t="s">
        <v>2187</v>
      </c>
      <c r="M140" t="s">
        <v>2130</v>
      </c>
      <c r="N140" t="s">
        <v>2129</v>
      </c>
      <c r="O140" t="s">
        <v>4047</v>
      </c>
      <c r="P140" t="s">
        <v>2128</v>
      </c>
      <c r="Q140" t="s">
        <v>2128</v>
      </c>
      <c r="R140" s="37">
        <v>46099.468055555553</v>
      </c>
      <c r="S140" s="37">
        <v>46099.468055555553</v>
      </c>
      <c r="T140" s="37">
        <v>46100.368750000001</v>
      </c>
      <c r="U140" s="37"/>
      <c r="V140" t="s">
        <v>2129</v>
      </c>
      <c r="W140" t="s">
        <v>2129</v>
      </c>
      <c r="X140" t="s">
        <v>2129</v>
      </c>
      <c r="Y140">
        <v>0</v>
      </c>
      <c r="Z140" t="s">
        <v>2129</v>
      </c>
      <c r="AA140" t="s">
        <v>2138</v>
      </c>
      <c r="AB140" t="s">
        <v>2129</v>
      </c>
      <c r="AC140" t="s">
        <v>2128</v>
      </c>
      <c r="AD140" t="s">
        <v>2129</v>
      </c>
      <c r="AE140" t="s">
        <v>2129</v>
      </c>
      <c r="AF140" t="s">
        <v>2129</v>
      </c>
      <c r="AG140" t="s">
        <v>2129</v>
      </c>
      <c r="AH140" t="s">
        <v>2129</v>
      </c>
      <c r="AI140" t="s">
        <v>2129</v>
      </c>
      <c r="AJ140" t="s">
        <v>2129</v>
      </c>
      <c r="AK140" t="s">
        <v>2129</v>
      </c>
      <c r="AL140" t="s">
        <v>2129</v>
      </c>
      <c r="AM140" t="s">
        <v>2129</v>
      </c>
      <c r="AN140" t="s">
        <v>2129</v>
      </c>
      <c r="AO140" t="s">
        <v>2129</v>
      </c>
      <c r="AP140" t="s">
        <v>2129</v>
      </c>
      <c r="AQ140" t="s">
        <v>2129</v>
      </c>
      <c r="AR140" t="s">
        <v>2129</v>
      </c>
      <c r="AS140" t="s">
        <v>2129</v>
      </c>
      <c r="AT140" t="s">
        <v>2129</v>
      </c>
      <c r="AU140" t="s">
        <v>2129</v>
      </c>
      <c r="AV140" t="s">
        <v>2129</v>
      </c>
      <c r="AW140" t="s">
        <v>2129</v>
      </c>
      <c r="AX140" t="s">
        <v>2129</v>
      </c>
      <c r="AY140" t="s">
        <v>2129</v>
      </c>
      <c r="AZ140" t="s">
        <v>2129</v>
      </c>
      <c r="BA140" t="s">
        <v>2129</v>
      </c>
      <c r="BB140" t="s">
        <v>2129</v>
      </c>
      <c r="BC140" t="s">
        <v>2129</v>
      </c>
      <c r="BD140" t="s">
        <v>2129</v>
      </c>
      <c r="BE140" t="s">
        <v>2129</v>
      </c>
      <c r="BF140" t="s">
        <v>2129</v>
      </c>
      <c r="BG140" t="s">
        <v>2129</v>
      </c>
      <c r="BH140" t="s">
        <v>2129</v>
      </c>
      <c r="BI140" t="s">
        <v>2129</v>
      </c>
      <c r="BJ140" t="s">
        <v>2129</v>
      </c>
      <c r="BK140" t="s">
        <v>2129</v>
      </c>
      <c r="BL140" t="s">
        <v>2129</v>
      </c>
      <c r="BM140" t="s">
        <v>2129</v>
      </c>
      <c r="BN140" t="s">
        <v>2129</v>
      </c>
      <c r="BO140" t="s">
        <v>2129</v>
      </c>
      <c r="BP140" t="s">
        <v>2129</v>
      </c>
      <c r="BS140" t="s">
        <v>2129</v>
      </c>
      <c r="BT140" t="s">
        <v>2129</v>
      </c>
      <c r="BW140" t="s">
        <v>2129</v>
      </c>
      <c r="BX140" t="s">
        <v>2129</v>
      </c>
      <c r="BY140" t="s">
        <v>2129</v>
      </c>
      <c r="BZ140" t="s">
        <v>2129</v>
      </c>
      <c r="CA140" t="s">
        <v>2129</v>
      </c>
      <c r="CB140" t="s">
        <v>2129</v>
      </c>
      <c r="CC140" t="s">
        <v>2129</v>
      </c>
      <c r="CD140" t="s">
        <v>2129</v>
      </c>
      <c r="CE140" t="s">
        <v>2129</v>
      </c>
      <c r="CF140" t="s">
        <v>2129</v>
      </c>
      <c r="CG140" t="s">
        <v>2129</v>
      </c>
      <c r="CH140" t="s">
        <v>2129</v>
      </c>
      <c r="CI140" t="s">
        <v>2129</v>
      </c>
      <c r="CJ140" t="s">
        <v>2129</v>
      </c>
      <c r="CK140" t="s">
        <v>2129</v>
      </c>
      <c r="CL140" t="s">
        <v>2129</v>
      </c>
      <c r="CM140" t="s">
        <v>2129</v>
      </c>
      <c r="CN140" t="s">
        <v>2129</v>
      </c>
      <c r="CO140" t="s">
        <v>2129</v>
      </c>
      <c r="CP140" t="s">
        <v>2129</v>
      </c>
      <c r="CQ140" t="s">
        <v>2129</v>
      </c>
      <c r="CR140" t="s">
        <v>2129</v>
      </c>
      <c r="CS140" t="s">
        <v>2129</v>
      </c>
      <c r="CT140" t="s">
        <v>4048</v>
      </c>
      <c r="CU140" t="s">
        <v>4043</v>
      </c>
      <c r="CV140" t="s">
        <v>2129</v>
      </c>
      <c r="CW140" t="s">
        <v>2129</v>
      </c>
      <c r="CX140" t="s">
        <v>2129</v>
      </c>
      <c r="CY140" t="s">
        <v>2129</v>
      </c>
      <c r="CZ140" t="s">
        <v>2129</v>
      </c>
      <c r="DA140" t="s">
        <v>2129</v>
      </c>
      <c r="DB140" t="s">
        <v>2129</v>
      </c>
      <c r="DC140" t="s">
        <v>2129</v>
      </c>
      <c r="DD140" t="s">
        <v>2129</v>
      </c>
      <c r="DE140" t="s">
        <v>2129</v>
      </c>
      <c r="DF140" t="s">
        <v>2129</v>
      </c>
      <c r="DG140" t="s">
        <v>2129</v>
      </c>
      <c r="DH140" t="s">
        <v>2129</v>
      </c>
      <c r="DJ140" t="s">
        <v>2129</v>
      </c>
      <c r="DK140" t="s">
        <v>2129</v>
      </c>
      <c r="DL140" t="s">
        <v>2129</v>
      </c>
      <c r="DM140" t="s">
        <v>2129</v>
      </c>
      <c r="DN140" t="s">
        <v>2129</v>
      </c>
      <c r="DO140" t="s">
        <v>2129</v>
      </c>
      <c r="DP140" t="s">
        <v>2129</v>
      </c>
      <c r="DQ140" t="s">
        <v>2129</v>
      </c>
      <c r="DR140" t="s">
        <v>2129</v>
      </c>
      <c r="DS140" t="s">
        <v>2129</v>
      </c>
      <c r="DT140" t="s">
        <v>2129</v>
      </c>
      <c r="DU140" t="s">
        <v>2129</v>
      </c>
      <c r="DV140" t="s">
        <v>2129</v>
      </c>
      <c r="DW140" t="s">
        <v>2129</v>
      </c>
      <c r="DX140" t="s">
        <v>2129</v>
      </c>
      <c r="DY140" t="s">
        <v>2129</v>
      </c>
      <c r="DZ140" t="s">
        <v>2129</v>
      </c>
      <c r="EA140" t="s">
        <v>2129</v>
      </c>
      <c r="EB140" t="s">
        <v>2129</v>
      </c>
      <c r="EC140" t="s">
        <v>2129</v>
      </c>
      <c r="ED140" t="s">
        <v>2129</v>
      </c>
      <c r="EE140" t="s">
        <v>2129</v>
      </c>
      <c r="EF140" t="s">
        <v>2129</v>
      </c>
      <c r="EG140" t="s">
        <v>2129</v>
      </c>
      <c r="EH140" t="s">
        <v>2129</v>
      </c>
    </row>
    <row r="141" spans="1:138" x14ac:dyDescent="0.25">
      <c r="A141" t="s">
        <v>2135</v>
      </c>
      <c r="B141" t="s">
        <v>4049</v>
      </c>
      <c r="C141">
        <v>23200</v>
      </c>
      <c r="E141" t="s">
        <v>2136</v>
      </c>
      <c r="F141" t="s">
        <v>10</v>
      </c>
      <c r="G141" t="s">
        <v>2185</v>
      </c>
      <c r="H141" t="s">
        <v>41</v>
      </c>
      <c r="I141" t="s">
        <v>2127</v>
      </c>
      <c r="J141" t="s">
        <v>2128</v>
      </c>
      <c r="K141" t="s">
        <v>2186</v>
      </c>
      <c r="L141" t="s">
        <v>2187</v>
      </c>
      <c r="M141" t="s">
        <v>2130</v>
      </c>
      <c r="N141" t="s">
        <v>2129</v>
      </c>
      <c r="O141" t="s">
        <v>4050</v>
      </c>
      <c r="P141" t="s">
        <v>2128</v>
      </c>
      <c r="Q141" t="s">
        <v>2128</v>
      </c>
      <c r="R141" s="37">
        <v>46099.467361111114</v>
      </c>
      <c r="S141" s="37">
        <v>46099.468055555553</v>
      </c>
      <c r="T141" s="37">
        <v>46100.368750000001</v>
      </c>
      <c r="U141" s="37"/>
      <c r="V141" t="s">
        <v>2129</v>
      </c>
      <c r="W141" t="s">
        <v>2129</v>
      </c>
      <c r="X141" t="s">
        <v>2129</v>
      </c>
      <c r="Y141">
        <v>0</v>
      </c>
      <c r="Z141" t="s">
        <v>2129</v>
      </c>
      <c r="AA141" t="s">
        <v>2138</v>
      </c>
      <c r="AB141" t="s">
        <v>2129</v>
      </c>
      <c r="AC141" t="s">
        <v>2128</v>
      </c>
      <c r="AD141" t="s">
        <v>2129</v>
      </c>
      <c r="AE141" t="s">
        <v>2129</v>
      </c>
      <c r="AF141" t="s">
        <v>2129</v>
      </c>
      <c r="AG141" t="s">
        <v>2129</v>
      </c>
      <c r="AH141" t="s">
        <v>2129</v>
      </c>
      <c r="AI141" t="s">
        <v>2129</v>
      </c>
      <c r="AJ141" t="s">
        <v>2129</v>
      </c>
      <c r="AK141" t="s">
        <v>2129</v>
      </c>
      <c r="AL141" t="s">
        <v>2129</v>
      </c>
      <c r="AM141" t="s">
        <v>2129</v>
      </c>
      <c r="AN141" t="s">
        <v>2129</v>
      </c>
      <c r="AO141" t="s">
        <v>2129</v>
      </c>
      <c r="AP141" t="s">
        <v>2129</v>
      </c>
      <c r="AQ141" t="s">
        <v>2129</v>
      </c>
      <c r="AR141" t="s">
        <v>2129</v>
      </c>
      <c r="AS141" t="s">
        <v>2129</v>
      </c>
      <c r="AT141" t="s">
        <v>2129</v>
      </c>
      <c r="AU141" t="s">
        <v>2129</v>
      </c>
      <c r="AV141" t="s">
        <v>2129</v>
      </c>
      <c r="AW141" t="s">
        <v>2129</v>
      </c>
      <c r="AX141" t="s">
        <v>2129</v>
      </c>
      <c r="AY141" t="s">
        <v>2129</v>
      </c>
      <c r="AZ141" t="s">
        <v>2129</v>
      </c>
      <c r="BA141" t="s">
        <v>2129</v>
      </c>
      <c r="BB141" t="s">
        <v>2129</v>
      </c>
      <c r="BC141" t="s">
        <v>2129</v>
      </c>
      <c r="BD141" t="s">
        <v>2129</v>
      </c>
      <c r="BE141" t="s">
        <v>2129</v>
      </c>
      <c r="BF141" t="s">
        <v>2129</v>
      </c>
      <c r="BG141" t="s">
        <v>2129</v>
      </c>
      <c r="BH141" t="s">
        <v>2129</v>
      </c>
      <c r="BI141" t="s">
        <v>2129</v>
      </c>
      <c r="BJ141" t="s">
        <v>2129</v>
      </c>
      <c r="BK141" t="s">
        <v>2129</v>
      </c>
      <c r="BL141" t="s">
        <v>2129</v>
      </c>
      <c r="BM141" t="s">
        <v>2129</v>
      </c>
      <c r="BN141" t="s">
        <v>2129</v>
      </c>
      <c r="BO141" t="s">
        <v>2129</v>
      </c>
      <c r="BP141" t="s">
        <v>2129</v>
      </c>
      <c r="BS141" t="s">
        <v>2129</v>
      </c>
      <c r="BT141" t="s">
        <v>2129</v>
      </c>
      <c r="BW141" t="s">
        <v>2129</v>
      </c>
      <c r="BX141" t="s">
        <v>2129</v>
      </c>
      <c r="BY141" t="s">
        <v>2129</v>
      </c>
      <c r="BZ141" t="s">
        <v>2129</v>
      </c>
      <c r="CA141" t="s">
        <v>2129</v>
      </c>
      <c r="CB141" t="s">
        <v>2129</v>
      </c>
      <c r="CC141" t="s">
        <v>2129</v>
      </c>
      <c r="CD141" t="s">
        <v>2129</v>
      </c>
      <c r="CE141" t="s">
        <v>2129</v>
      </c>
      <c r="CF141" t="s">
        <v>2129</v>
      </c>
      <c r="CG141" t="s">
        <v>2129</v>
      </c>
      <c r="CH141" t="s">
        <v>2129</v>
      </c>
      <c r="CI141" t="s">
        <v>2129</v>
      </c>
      <c r="CJ141" t="s">
        <v>2129</v>
      </c>
      <c r="CK141" t="s">
        <v>2129</v>
      </c>
      <c r="CL141" t="s">
        <v>2129</v>
      </c>
      <c r="CM141" t="s">
        <v>2129</v>
      </c>
      <c r="CN141" t="s">
        <v>2129</v>
      </c>
      <c r="CO141" t="s">
        <v>2129</v>
      </c>
      <c r="CP141" t="s">
        <v>2129</v>
      </c>
      <c r="CQ141" t="s">
        <v>2129</v>
      </c>
      <c r="CR141" t="s">
        <v>2129</v>
      </c>
      <c r="CS141" t="s">
        <v>2129</v>
      </c>
      <c r="CT141" t="s">
        <v>4051</v>
      </c>
      <c r="CU141" t="s">
        <v>4043</v>
      </c>
      <c r="CV141" t="s">
        <v>2129</v>
      </c>
      <c r="CW141" t="s">
        <v>2129</v>
      </c>
      <c r="CX141" t="s">
        <v>2129</v>
      </c>
      <c r="CY141" t="s">
        <v>2129</v>
      </c>
      <c r="CZ141" t="s">
        <v>2129</v>
      </c>
      <c r="DA141" t="s">
        <v>2129</v>
      </c>
      <c r="DB141" t="s">
        <v>2129</v>
      </c>
      <c r="DC141" t="s">
        <v>2129</v>
      </c>
      <c r="DD141" t="s">
        <v>2129</v>
      </c>
      <c r="DE141" t="s">
        <v>2129</v>
      </c>
      <c r="DF141" t="s">
        <v>2129</v>
      </c>
      <c r="DG141" t="s">
        <v>2129</v>
      </c>
      <c r="DH141" t="s">
        <v>2129</v>
      </c>
      <c r="DJ141" t="s">
        <v>2129</v>
      </c>
      <c r="DK141" t="s">
        <v>2129</v>
      </c>
      <c r="DL141" t="s">
        <v>2129</v>
      </c>
      <c r="DM141" t="s">
        <v>2129</v>
      </c>
      <c r="DN141" t="s">
        <v>2129</v>
      </c>
      <c r="DO141" t="s">
        <v>2129</v>
      </c>
      <c r="DP141" t="s">
        <v>2129</v>
      </c>
      <c r="DQ141" t="s">
        <v>2129</v>
      </c>
      <c r="DR141" t="s">
        <v>2129</v>
      </c>
      <c r="DS141" t="s">
        <v>2129</v>
      </c>
      <c r="DT141" t="s">
        <v>2129</v>
      </c>
      <c r="DU141" t="s">
        <v>2129</v>
      </c>
      <c r="DV141" t="s">
        <v>2129</v>
      </c>
      <c r="DW141" t="s">
        <v>2129</v>
      </c>
      <c r="DX141" t="s">
        <v>2129</v>
      </c>
      <c r="DY141" t="s">
        <v>2129</v>
      </c>
      <c r="DZ141" t="s">
        <v>2129</v>
      </c>
      <c r="EA141" t="s">
        <v>2129</v>
      </c>
      <c r="EB141" t="s">
        <v>2129</v>
      </c>
      <c r="EC141" t="s">
        <v>2129</v>
      </c>
      <c r="ED141" t="s">
        <v>2129</v>
      </c>
      <c r="EE141" t="s">
        <v>2129</v>
      </c>
      <c r="EF141" t="s">
        <v>2129</v>
      </c>
      <c r="EG141" t="s">
        <v>2129</v>
      </c>
      <c r="EH141" t="s">
        <v>2129</v>
      </c>
    </row>
    <row r="142" spans="1:138" x14ac:dyDescent="0.25">
      <c r="A142" t="s">
        <v>4052</v>
      </c>
      <c r="B142" t="s">
        <v>3179</v>
      </c>
      <c r="C142">
        <v>23186</v>
      </c>
      <c r="E142" t="s">
        <v>14</v>
      </c>
      <c r="F142" t="s">
        <v>10</v>
      </c>
      <c r="G142" t="s">
        <v>2185</v>
      </c>
      <c r="H142" t="s">
        <v>41</v>
      </c>
      <c r="I142" t="s">
        <v>2127</v>
      </c>
      <c r="J142" t="s">
        <v>2128</v>
      </c>
      <c r="K142" t="s">
        <v>2186</v>
      </c>
      <c r="L142" t="s">
        <v>2187</v>
      </c>
      <c r="M142" t="s">
        <v>2130</v>
      </c>
      <c r="N142" t="s">
        <v>2129</v>
      </c>
      <c r="O142" t="s">
        <v>2129</v>
      </c>
      <c r="P142" t="s">
        <v>2190</v>
      </c>
      <c r="Q142" t="s">
        <v>2190</v>
      </c>
      <c r="R142" s="37">
        <v>46098.584722222222</v>
      </c>
      <c r="S142" s="37">
        <v>46098.588194444441</v>
      </c>
      <c r="T142" s="37">
        <v>46100.368750000001</v>
      </c>
      <c r="U142" s="37"/>
      <c r="V142" t="s">
        <v>2129</v>
      </c>
      <c r="W142" t="s">
        <v>2129</v>
      </c>
      <c r="X142" t="s">
        <v>2129</v>
      </c>
      <c r="Y142">
        <v>0</v>
      </c>
      <c r="Z142" t="s">
        <v>2129</v>
      </c>
      <c r="AA142" t="s">
        <v>4053</v>
      </c>
      <c r="AB142" t="s">
        <v>2129</v>
      </c>
      <c r="AC142" t="s">
        <v>2190</v>
      </c>
      <c r="AD142" t="s">
        <v>2129</v>
      </c>
      <c r="AE142" t="s">
        <v>2129</v>
      </c>
      <c r="AF142" t="s">
        <v>2129</v>
      </c>
      <c r="AG142" t="s">
        <v>2129</v>
      </c>
      <c r="AH142" t="s">
        <v>2129</v>
      </c>
      <c r="AI142" t="s">
        <v>2129</v>
      </c>
      <c r="AJ142" t="s">
        <v>2129</v>
      </c>
      <c r="AK142" t="s">
        <v>2129</v>
      </c>
      <c r="AL142" t="s">
        <v>2129</v>
      </c>
      <c r="AM142" t="s">
        <v>2129</v>
      </c>
      <c r="AN142" t="s">
        <v>2129</v>
      </c>
      <c r="AO142" t="s">
        <v>2129</v>
      </c>
      <c r="AP142" t="s">
        <v>2129</v>
      </c>
      <c r="AQ142" t="s">
        <v>2129</v>
      </c>
      <c r="AR142" t="s">
        <v>2129</v>
      </c>
      <c r="AS142" t="s">
        <v>2129</v>
      </c>
      <c r="AT142" t="s">
        <v>2129</v>
      </c>
      <c r="AU142" t="s">
        <v>2129</v>
      </c>
      <c r="AV142" t="s">
        <v>2129</v>
      </c>
      <c r="AW142" t="s">
        <v>2129</v>
      </c>
      <c r="AX142" t="s">
        <v>2129</v>
      </c>
      <c r="AY142" t="s">
        <v>2129</v>
      </c>
      <c r="AZ142" t="s">
        <v>2129</v>
      </c>
      <c r="BA142" t="s">
        <v>2129</v>
      </c>
      <c r="BB142" t="s">
        <v>2129</v>
      </c>
      <c r="BC142" t="s">
        <v>2129</v>
      </c>
      <c r="BD142" t="s">
        <v>2129</v>
      </c>
      <c r="BE142" t="s">
        <v>2129</v>
      </c>
      <c r="BF142" t="s">
        <v>2129</v>
      </c>
      <c r="BG142" t="s">
        <v>2129</v>
      </c>
      <c r="BH142" t="s">
        <v>2129</v>
      </c>
      <c r="BI142" t="s">
        <v>2129</v>
      </c>
      <c r="BJ142" t="s">
        <v>2129</v>
      </c>
      <c r="BK142" t="s">
        <v>2129</v>
      </c>
      <c r="BL142" t="s">
        <v>2129</v>
      </c>
      <c r="BM142" t="s">
        <v>2129</v>
      </c>
      <c r="BN142" t="s">
        <v>2129</v>
      </c>
      <c r="BO142" t="s">
        <v>2129</v>
      </c>
      <c r="BP142" t="s">
        <v>2129</v>
      </c>
      <c r="BS142" t="s">
        <v>2129</v>
      </c>
      <c r="BT142" t="s">
        <v>2129</v>
      </c>
      <c r="BW142" t="s">
        <v>2129</v>
      </c>
      <c r="BX142" t="s">
        <v>2129</v>
      </c>
      <c r="BY142" t="s">
        <v>2129</v>
      </c>
      <c r="BZ142" t="s">
        <v>2129</v>
      </c>
      <c r="CA142" t="s">
        <v>2129</v>
      </c>
      <c r="CB142" t="s">
        <v>2129</v>
      </c>
      <c r="CC142" t="s">
        <v>2129</v>
      </c>
      <c r="CD142" t="s">
        <v>2129</v>
      </c>
      <c r="CE142" t="s">
        <v>2129</v>
      </c>
      <c r="CF142" t="s">
        <v>2129</v>
      </c>
      <c r="CG142" t="s">
        <v>2129</v>
      </c>
      <c r="CH142" t="s">
        <v>2129</v>
      </c>
      <c r="CI142" t="s">
        <v>2129</v>
      </c>
      <c r="CJ142" t="s">
        <v>2129</v>
      </c>
      <c r="CK142" t="s">
        <v>2129</v>
      </c>
      <c r="CL142" t="s">
        <v>2129</v>
      </c>
      <c r="CM142" t="s">
        <v>2129</v>
      </c>
      <c r="CN142" t="s">
        <v>2129</v>
      </c>
      <c r="CO142" t="s">
        <v>2129</v>
      </c>
      <c r="CP142" t="s">
        <v>2129</v>
      </c>
      <c r="CQ142" t="s">
        <v>2129</v>
      </c>
      <c r="CR142" t="s">
        <v>2129</v>
      </c>
      <c r="CS142" t="s">
        <v>2129</v>
      </c>
      <c r="CT142" t="s">
        <v>4054</v>
      </c>
      <c r="CU142" t="s">
        <v>4043</v>
      </c>
      <c r="CV142" t="s">
        <v>2129</v>
      </c>
      <c r="CW142" t="s">
        <v>2129</v>
      </c>
      <c r="CX142" t="s">
        <v>2129</v>
      </c>
      <c r="CY142" t="s">
        <v>2129</v>
      </c>
      <c r="CZ142" t="s">
        <v>2129</v>
      </c>
      <c r="DA142" t="s">
        <v>2129</v>
      </c>
      <c r="DB142" t="s">
        <v>2129</v>
      </c>
      <c r="DC142" t="s">
        <v>2129</v>
      </c>
      <c r="DD142" t="s">
        <v>2129</v>
      </c>
      <c r="DE142" t="s">
        <v>2129</v>
      </c>
      <c r="DF142" t="s">
        <v>2129</v>
      </c>
      <c r="DG142" t="s">
        <v>2129</v>
      </c>
      <c r="DH142" t="s">
        <v>2129</v>
      </c>
      <c r="DJ142" t="s">
        <v>2129</v>
      </c>
      <c r="DK142" t="s">
        <v>2129</v>
      </c>
      <c r="DL142" t="s">
        <v>2129</v>
      </c>
      <c r="DM142" t="s">
        <v>2129</v>
      </c>
      <c r="DN142" t="s">
        <v>2129</v>
      </c>
      <c r="DO142" t="s">
        <v>2129</v>
      </c>
      <c r="DP142" t="s">
        <v>2129</v>
      </c>
      <c r="DQ142" t="s">
        <v>2129</v>
      </c>
      <c r="DR142" t="s">
        <v>2129</v>
      </c>
      <c r="DS142" t="s">
        <v>2129</v>
      </c>
      <c r="DT142" t="s">
        <v>2129</v>
      </c>
      <c r="DU142" t="s">
        <v>2129</v>
      </c>
      <c r="DV142" t="s">
        <v>2129</v>
      </c>
      <c r="DW142" t="s">
        <v>2129</v>
      </c>
      <c r="DX142" t="s">
        <v>2129</v>
      </c>
      <c r="DY142" t="s">
        <v>2129</v>
      </c>
      <c r="DZ142" t="s">
        <v>2129</v>
      </c>
      <c r="EA142" t="s">
        <v>2129</v>
      </c>
      <c r="EB142" t="s">
        <v>2129</v>
      </c>
      <c r="EC142" t="s">
        <v>2129</v>
      </c>
      <c r="ED142" t="s">
        <v>2129</v>
      </c>
      <c r="EE142" t="s">
        <v>2129</v>
      </c>
      <c r="EF142" t="s">
        <v>2129</v>
      </c>
      <c r="EG142" t="s">
        <v>2129</v>
      </c>
      <c r="EH142" t="s">
        <v>2129</v>
      </c>
    </row>
    <row r="143" spans="1:138" x14ac:dyDescent="0.25">
      <c r="A143" t="s">
        <v>3178</v>
      </c>
      <c r="B143" t="s">
        <v>3177</v>
      </c>
      <c r="C143">
        <v>23185</v>
      </c>
      <c r="E143" t="s">
        <v>14</v>
      </c>
      <c r="F143" t="s">
        <v>1820</v>
      </c>
      <c r="G143" t="s">
        <v>2185</v>
      </c>
      <c r="H143" t="s">
        <v>41</v>
      </c>
      <c r="I143" t="s">
        <v>2127</v>
      </c>
      <c r="J143" t="s">
        <v>2128</v>
      </c>
      <c r="K143" t="s">
        <v>2186</v>
      </c>
      <c r="L143" t="s">
        <v>2187</v>
      </c>
      <c r="M143" t="s">
        <v>2130</v>
      </c>
      <c r="N143" t="s">
        <v>2129</v>
      </c>
      <c r="O143" t="s">
        <v>2160</v>
      </c>
      <c r="P143" t="s">
        <v>2190</v>
      </c>
      <c r="Q143" t="s">
        <v>2190</v>
      </c>
      <c r="R143" s="37">
        <v>46098.583333333336</v>
      </c>
      <c r="S143" s="37">
        <v>46099.736805555556</v>
      </c>
      <c r="T143" s="37">
        <v>46100.368750000001</v>
      </c>
      <c r="U143" s="37"/>
      <c r="V143" t="s">
        <v>2129</v>
      </c>
      <c r="W143" t="s">
        <v>2129</v>
      </c>
      <c r="X143" t="s">
        <v>2129</v>
      </c>
      <c r="Y143">
        <v>0</v>
      </c>
      <c r="Z143" t="s">
        <v>2129</v>
      </c>
      <c r="AA143" t="s">
        <v>4055</v>
      </c>
      <c r="AB143" t="s">
        <v>2129</v>
      </c>
      <c r="AC143" t="s">
        <v>2190</v>
      </c>
      <c r="AD143" t="s">
        <v>2129</v>
      </c>
      <c r="AE143" t="s">
        <v>2129</v>
      </c>
      <c r="AF143" t="s">
        <v>2129</v>
      </c>
      <c r="AG143" t="s">
        <v>2129</v>
      </c>
      <c r="AH143" t="s">
        <v>4056</v>
      </c>
      <c r="AI143" t="s">
        <v>4057</v>
      </c>
      <c r="AJ143" t="s">
        <v>4058</v>
      </c>
      <c r="AK143" t="s">
        <v>2129</v>
      </c>
      <c r="AL143" t="s">
        <v>2129</v>
      </c>
      <c r="AM143" t="s">
        <v>2129</v>
      </c>
      <c r="AN143" t="s">
        <v>2129</v>
      </c>
      <c r="AO143" t="s">
        <v>2129</v>
      </c>
      <c r="AP143" t="s">
        <v>2129</v>
      </c>
      <c r="AQ143" t="s">
        <v>2129</v>
      </c>
      <c r="AR143" t="s">
        <v>2129</v>
      </c>
      <c r="AS143" t="s">
        <v>2129</v>
      </c>
      <c r="AT143" t="s">
        <v>2129</v>
      </c>
      <c r="AU143" t="s">
        <v>2129</v>
      </c>
      <c r="AV143" t="s">
        <v>2129</v>
      </c>
      <c r="AW143" t="s">
        <v>2129</v>
      </c>
      <c r="AX143" t="s">
        <v>2129</v>
      </c>
      <c r="AY143" t="s">
        <v>2129</v>
      </c>
      <c r="AZ143" t="s">
        <v>2129</v>
      </c>
      <c r="BA143" t="s">
        <v>2129</v>
      </c>
      <c r="BB143" t="s">
        <v>2129</v>
      </c>
      <c r="BC143" t="s">
        <v>2129</v>
      </c>
      <c r="BD143" t="s">
        <v>2129</v>
      </c>
      <c r="BE143" t="s">
        <v>2129</v>
      </c>
      <c r="BF143" t="s">
        <v>2129</v>
      </c>
      <c r="BG143" t="s">
        <v>2129</v>
      </c>
      <c r="BH143" t="s">
        <v>2129</v>
      </c>
      <c r="BI143" t="s">
        <v>2129</v>
      </c>
      <c r="BJ143" t="s">
        <v>2129</v>
      </c>
      <c r="BK143" t="s">
        <v>2129</v>
      </c>
      <c r="BL143" t="s">
        <v>2129</v>
      </c>
      <c r="BM143" t="s">
        <v>2129</v>
      </c>
      <c r="BN143" t="s">
        <v>2129</v>
      </c>
      <c r="BO143" t="s">
        <v>2129</v>
      </c>
      <c r="BP143" t="s">
        <v>2129</v>
      </c>
      <c r="BQ143">
        <v>0</v>
      </c>
      <c r="BR143">
        <v>84600</v>
      </c>
      <c r="BS143" t="s">
        <v>2129</v>
      </c>
      <c r="BT143" t="s">
        <v>2129</v>
      </c>
      <c r="BU143">
        <v>0</v>
      </c>
      <c r="BV143">
        <v>84600</v>
      </c>
      <c r="BW143" t="s">
        <v>2129</v>
      </c>
      <c r="BX143" t="s">
        <v>2129</v>
      </c>
      <c r="BY143" t="s">
        <v>2129</v>
      </c>
      <c r="BZ143" t="s">
        <v>4059</v>
      </c>
      <c r="CA143" t="s">
        <v>2129</v>
      </c>
      <c r="CB143" t="s">
        <v>2129</v>
      </c>
      <c r="CC143" t="s">
        <v>2129</v>
      </c>
      <c r="CD143" t="s">
        <v>2129</v>
      </c>
      <c r="CE143" t="s">
        <v>2129</v>
      </c>
      <c r="CF143" t="s">
        <v>2129</v>
      </c>
      <c r="CG143" t="s">
        <v>2129</v>
      </c>
      <c r="CH143" t="s">
        <v>2129</v>
      </c>
      <c r="CI143" t="s">
        <v>2129</v>
      </c>
      <c r="CJ143" t="s">
        <v>2129</v>
      </c>
      <c r="CK143" t="s">
        <v>2129</v>
      </c>
      <c r="CL143" t="s">
        <v>2129</v>
      </c>
      <c r="CM143" t="s">
        <v>2129</v>
      </c>
      <c r="CN143" t="s">
        <v>2129</v>
      </c>
      <c r="CO143" t="s">
        <v>2129</v>
      </c>
      <c r="CP143" t="s">
        <v>2129</v>
      </c>
      <c r="CQ143" t="s">
        <v>2129</v>
      </c>
      <c r="CR143" t="s">
        <v>2129</v>
      </c>
      <c r="CS143" t="s">
        <v>2129</v>
      </c>
      <c r="CT143" t="s">
        <v>4060</v>
      </c>
      <c r="CU143" t="s">
        <v>4043</v>
      </c>
      <c r="CV143" t="s">
        <v>2129</v>
      </c>
      <c r="CW143" t="s">
        <v>2129</v>
      </c>
      <c r="CX143" t="s">
        <v>2129</v>
      </c>
      <c r="CY143" t="s">
        <v>2129</v>
      </c>
      <c r="CZ143" t="s">
        <v>2129</v>
      </c>
      <c r="DA143" t="s">
        <v>2129</v>
      </c>
      <c r="DB143" t="s">
        <v>2129</v>
      </c>
      <c r="DC143" t="s">
        <v>2129</v>
      </c>
      <c r="DD143" t="s">
        <v>2129</v>
      </c>
      <c r="DE143" t="s">
        <v>2129</v>
      </c>
      <c r="DF143" t="s">
        <v>2129</v>
      </c>
      <c r="DG143" t="s">
        <v>2129</v>
      </c>
      <c r="DH143" t="s">
        <v>2129</v>
      </c>
      <c r="DI143">
        <v>30</v>
      </c>
      <c r="DJ143" t="s">
        <v>2129</v>
      </c>
      <c r="DK143" t="s">
        <v>2129</v>
      </c>
      <c r="DL143" t="s">
        <v>2129</v>
      </c>
      <c r="DM143" t="s">
        <v>2129</v>
      </c>
      <c r="DN143" t="s">
        <v>2129</v>
      </c>
      <c r="DO143" t="s">
        <v>2129</v>
      </c>
      <c r="DP143" t="s">
        <v>2129</v>
      </c>
      <c r="DQ143" t="s">
        <v>2129</v>
      </c>
      <c r="DR143" t="s">
        <v>2129</v>
      </c>
      <c r="DS143" t="s">
        <v>2129</v>
      </c>
      <c r="DT143" t="s">
        <v>2129</v>
      </c>
      <c r="DU143" t="s">
        <v>2129</v>
      </c>
      <c r="DV143" t="s">
        <v>2129</v>
      </c>
      <c r="DW143" t="s">
        <v>2129</v>
      </c>
      <c r="DX143" t="s">
        <v>2129</v>
      </c>
      <c r="DY143" t="s">
        <v>2129</v>
      </c>
      <c r="DZ143" t="s">
        <v>2129</v>
      </c>
      <c r="EA143" t="s">
        <v>2129</v>
      </c>
      <c r="EB143" t="s">
        <v>2129</v>
      </c>
      <c r="EC143" t="s">
        <v>2129</v>
      </c>
      <c r="ED143" t="s">
        <v>2129</v>
      </c>
      <c r="EE143" t="s">
        <v>2129</v>
      </c>
      <c r="EF143" t="s">
        <v>2129</v>
      </c>
      <c r="EG143" t="s">
        <v>2129</v>
      </c>
      <c r="EH143" t="s">
        <v>2129</v>
      </c>
    </row>
    <row r="144" spans="1:138" x14ac:dyDescent="0.25">
      <c r="A144" t="s">
        <v>4061</v>
      </c>
      <c r="B144" t="s">
        <v>3175</v>
      </c>
      <c r="C144">
        <v>23184</v>
      </c>
      <c r="E144" t="s">
        <v>14</v>
      </c>
      <c r="F144" t="s">
        <v>10</v>
      </c>
      <c r="G144" t="s">
        <v>2185</v>
      </c>
      <c r="H144" t="s">
        <v>41</v>
      </c>
      <c r="I144" t="s">
        <v>2127</v>
      </c>
      <c r="J144" t="s">
        <v>2128</v>
      </c>
      <c r="K144" t="s">
        <v>2186</v>
      </c>
      <c r="L144" t="s">
        <v>2187</v>
      </c>
      <c r="M144" t="s">
        <v>2130</v>
      </c>
      <c r="N144" t="s">
        <v>2129</v>
      </c>
      <c r="O144" t="s">
        <v>2129</v>
      </c>
      <c r="P144" t="s">
        <v>2190</v>
      </c>
      <c r="Q144" t="s">
        <v>2190</v>
      </c>
      <c r="R144" s="37">
        <v>46098.581944444442</v>
      </c>
      <c r="S144" s="37">
        <v>46098.587500000001</v>
      </c>
      <c r="T144" s="37">
        <v>46100.368750000001</v>
      </c>
      <c r="U144" s="37"/>
      <c r="V144" t="s">
        <v>2129</v>
      </c>
      <c r="W144" t="s">
        <v>2129</v>
      </c>
      <c r="X144" t="s">
        <v>2129</v>
      </c>
      <c r="Y144">
        <v>0</v>
      </c>
      <c r="Z144" t="s">
        <v>2129</v>
      </c>
      <c r="AA144" t="s">
        <v>4053</v>
      </c>
      <c r="AB144" t="s">
        <v>2129</v>
      </c>
      <c r="AC144" t="s">
        <v>2190</v>
      </c>
      <c r="AD144" t="s">
        <v>2129</v>
      </c>
      <c r="AE144" t="s">
        <v>2129</v>
      </c>
      <c r="AF144" t="s">
        <v>2129</v>
      </c>
      <c r="AG144" t="s">
        <v>2129</v>
      </c>
      <c r="AH144" t="s">
        <v>2129</v>
      </c>
      <c r="AI144" t="s">
        <v>2129</v>
      </c>
      <c r="AJ144" t="s">
        <v>2129</v>
      </c>
      <c r="AK144" t="s">
        <v>2129</v>
      </c>
      <c r="AL144" t="s">
        <v>2129</v>
      </c>
      <c r="AM144" t="s">
        <v>2129</v>
      </c>
      <c r="AN144" t="s">
        <v>2129</v>
      </c>
      <c r="AO144" t="s">
        <v>2129</v>
      </c>
      <c r="AP144" t="s">
        <v>2129</v>
      </c>
      <c r="AQ144" t="s">
        <v>2129</v>
      </c>
      <c r="AR144" t="s">
        <v>2129</v>
      </c>
      <c r="AS144" t="s">
        <v>2129</v>
      </c>
      <c r="AT144" t="s">
        <v>2129</v>
      </c>
      <c r="AU144" t="s">
        <v>2129</v>
      </c>
      <c r="AV144" t="s">
        <v>2129</v>
      </c>
      <c r="AW144" t="s">
        <v>2129</v>
      </c>
      <c r="AX144" t="s">
        <v>2129</v>
      </c>
      <c r="AY144" t="s">
        <v>2129</v>
      </c>
      <c r="AZ144" t="s">
        <v>2129</v>
      </c>
      <c r="BA144" t="s">
        <v>2129</v>
      </c>
      <c r="BB144" t="s">
        <v>2129</v>
      </c>
      <c r="BC144" t="s">
        <v>2129</v>
      </c>
      <c r="BD144" t="s">
        <v>2129</v>
      </c>
      <c r="BE144" t="s">
        <v>2129</v>
      </c>
      <c r="BF144" t="s">
        <v>2129</v>
      </c>
      <c r="BG144" t="s">
        <v>2129</v>
      </c>
      <c r="BH144" t="s">
        <v>2129</v>
      </c>
      <c r="BI144" t="s">
        <v>2129</v>
      </c>
      <c r="BJ144" t="s">
        <v>2129</v>
      </c>
      <c r="BK144" t="s">
        <v>2129</v>
      </c>
      <c r="BL144" t="s">
        <v>2129</v>
      </c>
      <c r="BM144" t="s">
        <v>2129</v>
      </c>
      <c r="BN144" t="s">
        <v>2129</v>
      </c>
      <c r="BO144" t="s">
        <v>2129</v>
      </c>
      <c r="BP144" t="s">
        <v>2129</v>
      </c>
      <c r="BS144" t="s">
        <v>2129</v>
      </c>
      <c r="BT144" t="s">
        <v>2129</v>
      </c>
      <c r="BW144" t="s">
        <v>2129</v>
      </c>
      <c r="BX144" t="s">
        <v>2129</v>
      </c>
      <c r="BY144" t="s">
        <v>2129</v>
      </c>
      <c r="BZ144" t="s">
        <v>2129</v>
      </c>
      <c r="CA144" t="s">
        <v>2129</v>
      </c>
      <c r="CB144" t="s">
        <v>2129</v>
      </c>
      <c r="CC144" t="s">
        <v>2129</v>
      </c>
      <c r="CD144" t="s">
        <v>2129</v>
      </c>
      <c r="CE144" t="s">
        <v>2129</v>
      </c>
      <c r="CF144" t="s">
        <v>2129</v>
      </c>
      <c r="CG144" t="s">
        <v>2129</v>
      </c>
      <c r="CH144" t="s">
        <v>2129</v>
      </c>
      <c r="CI144" t="s">
        <v>2129</v>
      </c>
      <c r="CJ144" t="s">
        <v>2129</v>
      </c>
      <c r="CK144" t="s">
        <v>2129</v>
      </c>
      <c r="CL144" t="s">
        <v>2129</v>
      </c>
      <c r="CM144" t="s">
        <v>2129</v>
      </c>
      <c r="CN144" t="s">
        <v>2129</v>
      </c>
      <c r="CO144" t="s">
        <v>2129</v>
      </c>
      <c r="CP144" t="s">
        <v>2129</v>
      </c>
      <c r="CQ144" t="s">
        <v>2129</v>
      </c>
      <c r="CR144" t="s">
        <v>2129</v>
      </c>
      <c r="CS144" t="s">
        <v>2129</v>
      </c>
      <c r="CT144" t="s">
        <v>4062</v>
      </c>
      <c r="CU144" t="s">
        <v>4043</v>
      </c>
      <c r="CV144" t="s">
        <v>2129</v>
      </c>
      <c r="CW144" t="s">
        <v>2129</v>
      </c>
      <c r="CX144" t="s">
        <v>2129</v>
      </c>
      <c r="CY144" t="s">
        <v>2129</v>
      </c>
      <c r="CZ144" t="s">
        <v>2129</v>
      </c>
      <c r="DA144" t="s">
        <v>2129</v>
      </c>
      <c r="DB144" t="s">
        <v>2129</v>
      </c>
      <c r="DC144" t="s">
        <v>2129</v>
      </c>
      <c r="DD144" t="s">
        <v>2129</v>
      </c>
      <c r="DE144" t="s">
        <v>2129</v>
      </c>
      <c r="DF144" t="s">
        <v>2129</v>
      </c>
      <c r="DG144" t="s">
        <v>2129</v>
      </c>
      <c r="DH144" t="s">
        <v>2129</v>
      </c>
      <c r="DJ144" t="s">
        <v>2129</v>
      </c>
      <c r="DK144" t="s">
        <v>2129</v>
      </c>
      <c r="DL144" t="s">
        <v>2129</v>
      </c>
      <c r="DM144" t="s">
        <v>2129</v>
      </c>
      <c r="DN144" t="s">
        <v>2129</v>
      </c>
      <c r="DO144" t="s">
        <v>2129</v>
      </c>
      <c r="DP144" t="s">
        <v>2129</v>
      </c>
      <c r="DQ144" t="s">
        <v>2129</v>
      </c>
      <c r="DR144" t="s">
        <v>2129</v>
      </c>
      <c r="DS144" t="s">
        <v>2129</v>
      </c>
      <c r="DT144" t="s">
        <v>2129</v>
      </c>
      <c r="DU144" t="s">
        <v>2129</v>
      </c>
      <c r="DV144" t="s">
        <v>2129</v>
      </c>
      <c r="DW144" t="s">
        <v>2129</v>
      </c>
      <c r="DX144" t="s">
        <v>2129</v>
      </c>
      <c r="DY144" t="s">
        <v>2129</v>
      </c>
      <c r="DZ144" t="s">
        <v>2129</v>
      </c>
      <c r="EA144" t="s">
        <v>2129</v>
      </c>
      <c r="EB144" t="s">
        <v>2129</v>
      </c>
      <c r="EC144" t="s">
        <v>2129</v>
      </c>
      <c r="ED144" t="s">
        <v>2129</v>
      </c>
      <c r="EE144" t="s">
        <v>2129</v>
      </c>
      <c r="EF144" t="s">
        <v>2129</v>
      </c>
      <c r="EG144" t="s">
        <v>2129</v>
      </c>
      <c r="EH144" t="s">
        <v>2129</v>
      </c>
    </row>
    <row r="145" spans="1:138" x14ac:dyDescent="0.25">
      <c r="A145" t="s">
        <v>4063</v>
      </c>
      <c r="B145" t="s">
        <v>3173</v>
      </c>
      <c r="C145">
        <v>23183</v>
      </c>
      <c r="E145" t="s">
        <v>14</v>
      </c>
      <c r="F145" t="s">
        <v>10</v>
      </c>
      <c r="G145" t="s">
        <v>2185</v>
      </c>
      <c r="H145" t="s">
        <v>41</v>
      </c>
      <c r="I145" t="s">
        <v>2127</v>
      </c>
      <c r="J145" t="s">
        <v>2128</v>
      </c>
      <c r="K145" t="s">
        <v>2186</v>
      </c>
      <c r="L145" t="s">
        <v>2187</v>
      </c>
      <c r="M145" t="s">
        <v>2130</v>
      </c>
      <c r="N145" t="s">
        <v>2129</v>
      </c>
      <c r="O145" t="s">
        <v>2129</v>
      </c>
      <c r="P145" t="s">
        <v>2190</v>
      </c>
      <c r="Q145" t="s">
        <v>2190</v>
      </c>
      <c r="R145" s="37">
        <v>46098.580555555556</v>
      </c>
      <c r="S145" s="37">
        <v>46098.723611111112</v>
      </c>
      <c r="T145" s="37">
        <v>46100.368750000001</v>
      </c>
      <c r="U145" s="37"/>
      <c r="V145" t="s">
        <v>2129</v>
      </c>
      <c r="W145" t="s">
        <v>2129</v>
      </c>
      <c r="X145" t="s">
        <v>2129</v>
      </c>
      <c r="Y145">
        <v>0</v>
      </c>
      <c r="Z145" t="s">
        <v>2129</v>
      </c>
      <c r="AA145" t="s">
        <v>4064</v>
      </c>
      <c r="AB145" t="s">
        <v>2129</v>
      </c>
      <c r="AC145" t="s">
        <v>2190</v>
      </c>
      <c r="AD145" t="s">
        <v>2129</v>
      </c>
      <c r="AE145" t="s">
        <v>2129</v>
      </c>
      <c r="AF145" t="s">
        <v>2129</v>
      </c>
      <c r="AG145" t="s">
        <v>2129</v>
      </c>
      <c r="AH145" t="s">
        <v>4065</v>
      </c>
      <c r="AI145" t="s">
        <v>4066</v>
      </c>
      <c r="AJ145" t="s">
        <v>2129</v>
      </c>
      <c r="AK145" t="s">
        <v>2129</v>
      </c>
      <c r="AL145" t="s">
        <v>2129</v>
      </c>
      <c r="AM145" t="s">
        <v>2129</v>
      </c>
      <c r="AN145" t="s">
        <v>2129</v>
      </c>
      <c r="AO145" t="s">
        <v>2129</v>
      </c>
      <c r="AP145" t="s">
        <v>2129</v>
      </c>
      <c r="AQ145" t="s">
        <v>2129</v>
      </c>
      <c r="AR145" t="s">
        <v>2129</v>
      </c>
      <c r="AS145" t="s">
        <v>2129</v>
      </c>
      <c r="AT145" t="s">
        <v>2129</v>
      </c>
      <c r="AU145" t="s">
        <v>2129</v>
      </c>
      <c r="AV145" t="s">
        <v>2129</v>
      </c>
      <c r="AW145" t="s">
        <v>2129</v>
      </c>
      <c r="AX145" t="s">
        <v>2129</v>
      </c>
      <c r="AY145" t="s">
        <v>2129</v>
      </c>
      <c r="AZ145" t="s">
        <v>2129</v>
      </c>
      <c r="BA145" t="s">
        <v>2129</v>
      </c>
      <c r="BB145" t="s">
        <v>2129</v>
      </c>
      <c r="BC145" t="s">
        <v>2129</v>
      </c>
      <c r="BD145" t="s">
        <v>2129</v>
      </c>
      <c r="BE145" t="s">
        <v>2129</v>
      </c>
      <c r="BF145" t="s">
        <v>2129</v>
      </c>
      <c r="BG145" t="s">
        <v>2129</v>
      </c>
      <c r="BH145" t="s">
        <v>2129</v>
      </c>
      <c r="BI145" t="s">
        <v>2129</v>
      </c>
      <c r="BJ145" t="s">
        <v>2129</v>
      </c>
      <c r="BK145" t="s">
        <v>2129</v>
      </c>
      <c r="BL145" t="s">
        <v>2129</v>
      </c>
      <c r="BM145" t="s">
        <v>2129</v>
      </c>
      <c r="BN145" t="s">
        <v>2129</v>
      </c>
      <c r="BO145" t="s">
        <v>2129</v>
      </c>
      <c r="BP145" t="s">
        <v>2129</v>
      </c>
      <c r="BQ145">
        <v>0</v>
      </c>
      <c r="BR145">
        <v>14400</v>
      </c>
      <c r="BS145" t="s">
        <v>2129</v>
      </c>
      <c r="BT145" t="s">
        <v>2129</v>
      </c>
      <c r="BU145">
        <v>0</v>
      </c>
      <c r="BV145">
        <v>14400</v>
      </c>
      <c r="BW145" t="s">
        <v>2129</v>
      </c>
      <c r="BX145" t="s">
        <v>2129</v>
      </c>
      <c r="BY145" t="s">
        <v>2129</v>
      </c>
      <c r="BZ145" t="s">
        <v>2129</v>
      </c>
      <c r="CA145" t="s">
        <v>2129</v>
      </c>
      <c r="CB145" t="s">
        <v>2129</v>
      </c>
      <c r="CC145" t="s">
        <v>2129</v>
      </c>
      <c r="CD145" t="s">
        <v>2129</v>
      </c>
      <c r="CE145" t="s">
        <v>2129</v>
      </c>
      <c r="CF145" t="s">
        <v>2129</v>
      </c>
      <c r="CG145" t="s">
        <v>2129</v>
      </c>
      <c r="CH145" t="s">
        <v>2129</v>
      </c>
      <c r="CI145" t="s">
        <v>2129</v>
      </c>
      <c r="CJ145" t="s">
        <v>2129</v>
      </c>
      <c r="CK145" t="s">
        <v>2129</v>
      </c>
      <c r="CL145" t="s">
        <v>2129</v>
      </c>
      <c r="CM145" t="s">
        <v>2129</v>
      </c>
      <c r="CN145" t="s">
        <v>2129</v>
      </c>
      <c r="CO145" t="s">
        <v>2129</v>
      </c>
      <c r="CP145" t="s">
        <v>2129</v>
      </c>
      <c r="CQ145" t="s">
        <v>2129</v>
      </c>
      <c r="CR145" t="s">
        <v>2129</v>
      </c>
      <c r="CS145" t="s">
        <v>2129</v>
      </c>
      <c r="CT145" t="s">
        <v>4067</v>
      </c>
      <c r="CU145" t="s">
        <v>4043</v>
      </c>
      <c r="CV145" t="s">
        <v>2129</v>
      </c>
      <c r="CW145" t="s">
        <v>2129</v>
      </c>
      <c r="CX145" t="s">
        <v>2129</v>
      </c>
      <c r="CY145" t="s">
        <v>2129</v>
      </c>
      <c r="CZ145" t="s">
        <v>2129</v>
      </c>
      <c r="DA145" t="s">
        <v>2129</v>
      </c>
      <c r="DB145" t="s">
        <v>2129</v>
      </c>
      <c r="DC145" t="s">
        <v>2129</v>
      </c>
      <c r="DD145" t="s">
        <v>2129</v>
      </c>
      <c r="DE145" t="s">
        <v>2129</v>
      </c>
      <c r="DF145" t="s">
        <v>2129</v>
      </c>
      <c r="DG145" t="s">
        <v>2129</v>
      </c>
      <c r="DH145" t="s">
        <v>2129</v>
      </c>
      <c r="DJ145" t="s">
        <v>2129</v>
      </c>
      <c r="DK145" t="s">
        <v>2129</v>
      </c>
      <c r="DL145" t="s">
        <v>2129</v>
      </c>
      <c r="DM145" t="s">
        <v>2129</v>
      </c>
      <c r="DN145" t="s">
        <v>2129</v>
      </c>
      <c r="DO145" t="s">
        <v>2129</v>
      </c>
      <c r="DP145" t="s">
        <v>2129</v>
      </c>
      <c r="DQ145" t="s">
        <v>2129</v>
      </c>
      <c r="DR145" t="s">
        <v>2129</v>
      </c>
      <c r="DS145" t="s">
        <v>2129</v>
      </c>
      <c r="DT145" t="s">
        <v>2129</v>
      </c>
      <c r="DU145" t="s">
        <v>2129</v>
      </c>
      <c r="DV145" t="s">
        <v>2129</v>
      </c>
      <c r="DW145" t="s">
        <v>2129</v>
      </c>
      <c r="DX145" t="s">
        <v>2129</v>
      </c>
      <c r="DY145" t="s">
        <v>2129</v>
      </c>
      <c r="DZ145" t="s">
        <v>2129</v>
      </c>
      <c r="EA145" t="s">
        <v>2129</v>
      </c>
      <c r="EB145" t="s">
        <v>2129</v>
      </c>
      <c r="EC145" t="s">
        <v>2129</v>
      </c>
      <c r="ED145" t="s">
        <v>2129</v>
      </c>
      <c r="EE145" t="s">
        <v>2129</v>
      </c>
      <c r="EF145" t="s">
        <v>2129</v>
      </c>
      <c r="EG145" t="s">
        <v>2129</v>
      </c>
      <c r="EH145" t="s">
        <v>2129</v>
      </c>
    </row>
    <row r="146" spans="1:138" x14ac:dyDescent="0.25">
      <c r="A146" t="s">
        <v>3172</v>
      </c>
      <c r="B146" t="s">
        <v>3171</v>
      </c>
      <c r="C146">
        <v>23165</v>
      </c>
      <c r="E146" t="s">
        <v>14</v>
      </c>
      <c r="F146" t="s">
        <v>10</v>
      </c>
      <c r="G146" t="s">
        <v>2185</v>
      </c>
      <c r="H146" t="s">
        <v>41</v>
      </c>
      <c r="I146" t="s">
        <v>2127</v>
      </c>
      <c r="J146" t="s">
        <v>2128</v>
      </c>
      <c r="K146" t="s">
        <v>2186</v>
      </c>
      <c r="L146" t="s">
        <v>2187</v>
      </c>
      <c r="M146" t="s">
        <v>3048</v>
      </c>
      <c r="N146" t="s">
        <v>2129</v>
      </c>
      <c r="O146" t="s">
        <v>2129</v>
      </c>
      <c r="P146" t="s">
        <v>2190</v>
      </c>
      <c r="Q146" t="s">
        <v>2190</v>
      </c>
      <c r="R146" s="37">
        <v>46098.381249999999</v>
      </c>
      <c r="S146" s="37">
        <v>46098.723611111112</v>
      </c>
      <c r="T146" s="37">
        <v>46100.368750000001</v>
      </c>
      <c r="U146" s="37"/>
      <c r="V146" t="s">
        <v>2129</v>
      </c>
      <c r="W146" t="s">
        <v>2129</v>
      </c>
      <c r="X146" t="s">
        <v>2129</v>
      </c>
      <c r="Y146">
        <v>0</v>
      </c>
      <c r="Z146" t="s">
        <v>2129</v>
      </c>
      <c r="AA146" t="s">
        <v>4068</v>
      </c>
      <c r="AB146" t="s">
        <v>2129</v>
      </c>
      <c r="AC146" t="s">
        <v>2190</v>
      </c>
      <c r="AD146" t="s">
        <v>2129</v>
      </c>
      <c r="AE146" t="s">
        <v>2129</v>
      </c>
      <c r="AF146" t="s">
        <v>2129</v>
      </c>
      <c r="AG146" t="s">
        <v>2129</v>
      </c>
      <c r="AH146" t="s">
        <v>4069</v>
      </c>
      <c r="AI146" t="s">
        <v>4070</v>
      </c>
      <c r="AJ146" t="s">
        <v>2129</v>
      </c>
      <c r="AK146" t="s">
        <v>2129</v>
      </c>
      <c r="AL146" t="s">
        <v>2129</v>
      </c>
      <c r="AM146" t="s">
        <v>2129</v>
      </c>
      <c r="AN146" t="s">
        <v>2129</v>
      </c>
      <c r="AO146" t="s">
        <v>2129</v>
      </c>
      <c r="AP146" t="s">
        <v>2129</v>
      </c>
      <c r="AQ146" t="s">
        <v>2129</v>
      </c>
      <c r="AR146" t="s">
        <v>2129</v>
      </c>
      <c r="AS146" t="s">
        <v>2129</v>
      </c>
      <c r="AT146" t="s">
        <v>2129</v>
      </c>
      <c r="AU146" t="s">
        <v>2129</v>
      </c>
      <c r="AV146" t="s">
        <v>2129</v>
      </c>
      <c r="AW146" t="s">
        <v>2129</v>
      </c>
      <c r="AX146" t="s">
        <v>2129</v>
      </c>
      <c r="AY146" t="s">
        <v>2129</v>
      </c>
      <c r="AZ146" t="s">
        <v>2129</v>
      </c>
      <c r="BA146" t="s">
        <v>2129</v>
      </c>
      <c r="BB146" t="s">
        <v>2129</v>
      </c>
      <c r="BC146" t="s">
        <v>2129</v>
      </c>
      <c r="BD146" t="s">
        <v>2129</v>
      </c>
      <c r="BE146" t="s">
        <v>2129</v>
      </c>
      <c r="BF146" t="s">
        <v>2129</v>
      </c>
      <c r="BG146" t="s">
        <v>2129</v>
      </c>
      <c r="BH146" t="s">
        <v>2129</v>
      </c>
      <c r="BI146" t="s">
        <v>2129</v>
      </c>
      <c r="BJ146" t="s">
        <v>2129</v>
      </c>
      <c r="BK146" t="s">
        <v>2129</v>
      </c>
      <c r="BL146" t="s">
        <v>2129</v>
      </c>
      <c r="BM146" t="s">
        <v>2129</v>
      </c>
      <c r="BN146" t="s">
        <v>2129</v>
      </c>
      <c r="BO146" t="s">
        <v>2129</v>
      </c>
      <c r="BP146" t="s">
        <v>2129</v>
      </c>
      <c r="BQ146">
        <v>0</v>
      </c>
      <c r="BR146">
        <v>14400</v>
      </c>
      <c r="BS146" t="s">
        <v>2129</v>
      </c>
      <c r="BT146" t="s">
        <v>2129</v>
      </c>
      <c r="BU146">
        <v>0</v>
      </c>
      <c r="BV146">
        <v>14400</v>
      </c>
      <c r="BW146" t="s">
        <v>2129</v>
      </c>
      <c r="BX146" t="s">
        <v>2129</v>
      </c>
      <c r="BY146" t="s">
        <v>2129</v>
      </c>
      <c r="BZ146" t="s">
        <v>4071</v>
      </c>
      <c r="CA146" t="s">
        <v>4072</v>
      </c>
      <c r="CB146" t="s">
        <v>4073</v>
      </c>
      <c r="CC146" t="s">
        <v>2129</v>
      </c>
      <c r="CD146" t="s">
        <v>2129</v>
      </c>
      <c r="CE146" t="s">
        <v>2129</v>
      </c>
      <c r="CF146" t="s">
        <v>2129</v>
      </c>
      <c r="CG146" t="s">
        <v>2129</v>
      </c>
      <c r="CH146" t="s">
        <v>2129</v>
      </c>
      <c r="CI146" t="s">
        <v>2129</v>
      </c>
      <c r="CJ146" t="s">
        <v>2129</v>
      </c>
      <c r="CK146" t="s">
        <v>2129</v>
      </c>
      <c r="CL146" t="s">
        <v>2129</v>
      </c>
      <c r="CM146" t="s">
        <v>2129</v>
      </c>
      <c r="CN146" t="s">
        <v>2129</v>
      </c>
      <c r="CO146" t="s">
        <v>2129</v>
      </c>
      <c r="CP146" t="s">
        <v>2129</v>
      </c>
      <c r="CQ146" t="s">
        <v>2129</v>
      </c>
      <c r="CR146" t="s">
        <v>2129</v>
      </c>
      <c r="CS146" t="s">
        <v>2129</v>
      </c>
      <c r="CT146" t="s">
        <v>4074</v>
      </c>
      <c r="CU146" t="s">
        <v>4043</v>
      </c>
      <c r="CV146" t="s">
        <v>2129</v>
      </c>
      <c r="CW146" t="s">
        <v>2129</v>
      </c>
      <c r="CX146" t="s">
        <v>2129</v>
      </c>
      <c r="CY146" t="s">
        <v>2129</v>
      </c>
      <c r="CZ146" t="s">
        <v>2129</v>
      </c>
      <c r="DA146" t="s">
        <v>2129</v>
      </c>
      <c r="DB146" t="s">
        <v>2129</v>
      </c>
      <c r="DC146" t="s">
        <v>2129</v>
      </c>
      <c r="DD146" t="s">
        <v>2129</v>
      </c>
      <c r="DE146" t="s">
        <v>2129</v>
      </c>
      <c r="DF146" t="s">
        <v>2129</v>
      </c>
      <c r="DG146" t="s">
        <v>2129</v>
      </c>
      <c r="DH146" t="s">
        <v>2129</v>
      </c>
      <c r="DI146">
        <v>10</v>
      </c>
      <c r="DJ146" t="s">
        <v>2129</v>
      </c>
      <c r="DK146" t="s">
        <v>2129</v>
      </c>
      <c r="DL146" t="s">
        <v>2129</v>
      </c>
      <c r="DM146" t="s">
        <v>2129</v>
      </c>
      <c r="DN146" t="s">
        <v>2129</v>
      </c>
      <c r="DO146" t="s">
        <v>2129</v>
      </c>
      <c r="DP146" t="s">
        <v>2129</v>
      </c>
      <c r="DQ146" t="s">
        <v>2129</v>
      </c>
      <c r="DR146" t="s">
        <v>2129</v>
      </c>
      <c r="DS146" t="s">
        <v>2129</v>
      </c>
      <c r="DT146" t="s">
        <v>2129</v>
      </c>
      <c r="DU146" t="s">
        <v>2129</v>
      </c>
      <c r="DV146" t="s">
        <v>2129</v>
      </c>
      <c r="DW146" t="s">
        <v>2129</v>
      </c>
      <c r="DX146" t="s">
        <v>2129</v>
      </c>
      <c r="DY146" t="s">
        <v>2129</v>
      </c>
      <c r="DZ146" t="s">
        <v>2129</v>
      </c>
      <c r="EA146" t="s">
        <v>2129</v>
      </c>
      <c r="EB146" t="s">
        <v>2129</v>
      </c>
      <c r="EC146" t="s">
        <v>2129</v>
      </c>
      <c r="ED146" t="s">
        <v>2129</v>
      </c>
      <c r="EE146" t="s">
        <v>2129</v>
      </c>
      <c r="EF146" t="s">
        <v>2129</v>
      </c>
      <c r="EG146" t="s">
        <v>2129</v>
      </c>
      <c r="EH146" t="s">
        <v>2129</v>
      </c>
    </row>
    <row r="147" spans="1:138" x14ac:dyDescent="0.25">
      <c r="A147" t="s">
        <v>3169</v>
      </c>
      <c r="B147" t="s">
        <v>3166</v>
      </c>
      <c r="C147">
        <v>23157</v>
      </c>
      <c r="E147" t="s">
        <v>77</v>
      </c>
      <c r="F147" t="s">
        <v>27</v>
      </c>
      <c r="G147" t="s">
        <v>2185</v>
      </c>
      <c r="H147" t="s">
        <v>41</v>
      </c>
      <c r="I147" t="s">
        <v>2127</v>
      </c>
      <c r="J147" t="s">
        <v>2128</v>
      </c>
      <c r="K147" t="s">
        <v>2186</v>
      </c>
      <c r="L147" t="s">
        <v>2187</v>
      </c>
      <c r="M147" t="s">
        <v>2130</v>
      </c>
      <c r="N147" t="s">
        <v>2129</v>
      </c>
      <c r="O147" t="s">
        <v>2182</v>
      </c>
      <c r="P147" t="s">
        <v>2128</v>
      </c>
      <c r="Q147" t="s">
        <v>2128</v>
      </c>
      <c r="R147" s="37">
        <v>46094.407638888886</v>
      </c>
      <c r="S147" s="37">
        <v>46099.466666666667</v>
      </c>
      <c r="T147" s="37">
        <v>46100.368750000001</v>
      </c>
      <c r="U147" s="37"/>
      <c r="V147" t="s">
        <v>2129</v>
      </c>
      <c r="W147" t="s">
        <v>2129</v>
      </c>
      <c r="X147" t="s">
        <v>2129</v>
      </c>
      <c r="Y147">
        <v>0</v>
      </c>
      <c r="Z147" t="s">
        <v>2129</v>
      </c>
      <c r="AA147" t="s">
        <v>4075</v>
      </c>
      <c r="AB147" t="s">
        <v>2129</v>
      </c>
      <c r="AC147" t="s">
        <v>2128</v>
      </c>
      <c r="AD147" t="s">
        <v>2129</v>
      </c>
      <c r="AE147" t="s">
        <v>2129</v>
      </c>
      <c r="AF147" t="s">
        <v>2129</v>
      </c>
      <c r="AG147" t="s">
        <v>2129</v>
      </c>
      <c r="AH147" t="s">
        <v>4076</v>
      </c>
      <c r="AI147" t="s">
        <v>4077</v>
      </c>
      <c r="AJ147" t="s">
        <v>4078</v>
      </c>
      <c r="AK147" t="s">
        <v>2129</v>
      </c>
      <c r="AL147" t="s">
        <v>2129</v>
      </c>
      <c r="AM147" t="s">
        <v>2129</v>
      </c>
      <c r="AN147" t="s">
        <v>2129</v>
      </c>
      <c r="AO147" t="s">
        <v>2129</v>
      </c>
      <c r="AP147" t="s">
        <v>2129</v>
      </c>
      <c r="AQ147" t="s">
        <v>2129</v>
      </c>
      <c r="AR147" t="s">
        <v>2129</v>
      </c>
      <c r="AS147" t="s">
        <v>2129</v>
      </c>
      <c r="AT147" t="s">
        <v>2129</v>
      </c>
      <c r="AU147" t="s">
        <v>2129</v>
      </c>
      <c r="AV147" t="s">
        <v>2129</v>
      </c>
      <c r="AW147" t="s">
        <v>2129</v>
      </c>
      <c r="AX147" t="s">
        <v>2129</v>
      </c>
      <c r="AY147" t="s">
        <v>2129</v>
      </c>
      <c r="AZ147" t="s">
        <v>2129</v>
      </c>
      <c r="BA147" t="s">
        <v>2129</v>
      </c>
      <c r="BB147" t="s">
        <v>2129</v>
      </c>
      <c r="BC147" t="s">
        <v>2129</v>
      </c>
      <c r="BD147" t="s">
        <v>2129</v>
      </c>
      <c r="BE147" t="s">
        <v>2129</v>
      </c>
      <c r="BF147" t="s">
        <v>2129</v>
      </c>
      <c r="BG147" t="s">
        <v>2129</v>
      </c>
      <c r="BH147" t="s">
        <v>2129</v>
      </c>
      <c r="BI147" t="s">
        <v>2129</v>
      </c>
      <c r="BJ147" t="s">
        <v>2129</v>
      </c>
      <c r="BK147" t="s">
        <v>2129</v>
      </c>
      <c r="BL147" t="s">
        <v>2129</v>
      </c>
      <c r="BM147" t="s">
        <v>2129</v>
      </c>
      <c r="BN147" t="s">
        <v>2129</v>
      </c>
      <c r="BO147" t="s">
        <v>2129</v>
      </c>
      <c r="BP147" t="s">
        <v>2129</v>
      </c>
      <c r="BQ147">
        <v>0</v>
      </c>
      <c r="BR147">
        <v>14400</v>
      </c>
      <c r="BS147" t="s">
        <v>2129</v>
      </c>
      <c r="BT147" t="s">
        <v>2129</v>
      </c>
      <c r="BU147">
        <v>0</v>
      </c>
      <c r="BV147">
        <v>14400</v>
      </c>
      <c r="BW147" t="s">
        <v>2129</v>
      </c>
      <c r="BX147" t="s">
        <v>2129</v>
      </c>
      <c r="BY147" t="s">
        <v>2129</v>
      </c>
      <c r="BZ147" t="s">
        <v>2129</v>
      </c>
      <c r="CA147" t="s">
        <v>2129</v>
      </c>
      <c r="CB147" t="s">
        <v>2129</v>
      </c>
      <c r="CC147" t="s">
        <v>2129</v>
      </c>
      <c r="CD147" t="s">
        <v>2129</v>
      </c>
      <c r="CE147" t="s">
        <v>2129</v>
      </c>
      <c r="CF147" t="s">
        <v>2129</v>
      </c>
      <c r="CG147" t="s">
        <v>2129</v>
      </c>
      <c r="CH147" t="s">
        <v>2129</v>
      </c>
      <c r="CI147" t="s">
        <v>2129</v>
      </c>
      <c r="CJ147" t="s">
        <v>2129</v>
      </c>
      <c r="CK147" t="s">
        <v>2129</v>
      </c>
      <c r="CL147" t="s">
        <v>2129</v>
      </c>
      <c r="CM147" t="s">
        <v>2129</v>
      </c>
      <c r="CN147" t="s">
        <v>2129</v>
      </c>
      <c r="CO147" t="s">
        <v>2129</v>
      </c>
      <c r="CP147" t="s">
        <v>2129</v>
      </c>
      <c r="CQ147" t="s">
        <v>2129</v>
      </c>
      <c r="CR147" t="s">
        <v>2129</v>
      </c>
      <c r="CS147" t="s">
        <v>2129</v>
      </c>
      <c r="CT147" t="s">
        <v>4079</v>
      </c>
      <c r="CU147" t="s">
        <v>3050</v>
      </c>
      <c r="CV147" t="s">
        <v>4043</v>
      </c>
      <c r="CW147" t="s">
        <v>2129</v>
      </c>
      <c r="CX147" t="s">
        <v>2129</v>
      </c>
      <c r="CY147" t="s">
        <v>2129</v>
      </c>
      <c r="CZ147" t="s">
        <v>2129</v>
      </c>
      <c r="DA147" t="s">
        <v>2129</v>
      </c>
      <c r="DB147" t="s">
        <v>2129</v>
      </c>
      <c r="DC147" t="s">
        <v>2129</v>
      </c>
      <c r="DD147" t="s">
        <v>2129</v>
      </c>
      <c r="DE147" t="s">
        <v>2129</v>
      </c>
      <c r="DF147" t="s">
        <v>2129</v>
      </c>
      <c r="DG147" t="s">
        <v>2129</v>
      </c>
      <c r="DH147" t="s">
        <v>2129</v>
      </c>
      <c r="DJ147" t="s">
        <v>2129</v>
      </c>
      <c r="DK147" t="s">
        <v>2129</v>
      </c>
      <c r="DL147" t="s">
        <v>2129</v>
      </c>
      <c r="DM147" t="s">
        <v>2129</v>
      </c>
      <c r="DN147" t="s">
        <v>2129</v>
      </c>
      <c r="DO147" t="s">
        <v>2129</v>
      </c>
      <c r="DP147" t="s">
        <v>2129</v>
      </c>
      <c r="DQ147" t="s">
        <v>2129</v>
      </c>
      <c r="DR147" t="s">
        <v>2129</v>
      </c>
      <c r="DS147" t="s">
        <v>2129</v>
      </c>
      <c r="DT147" t="s">
        <v>2129</v>
      </c>
      <c r="DU147" t="s">
        <v>2129</v>
      </c>
      <c r="DV147" t="s">
        <v>2129</v>
      </c>
      <c r="DW147" t="s">
        <v>2129</v>
      </c>
      <c r="DX147" t="s">
        <v>2129</v>
      </c>
      <c r="DY147" t="s">
        <v>2129</v>
      </c>
      <c r="DZ147" t="s">
        <v>2129</v>
      </c>
      <c r="EA147" t="s">
        <v>2129</v>
      </c>
      <c r="EB147" t="s">
        <v>2129</v>
      </c>
      <c r="EC147" t="s">
        <v>2129</v>
      </c>
      <c r="ED147" t="s">
        <v>2129</v>
      </c>
      <c r="EE147" t="s">
        <v>2129</v>
      </c>
      <c r="EF147" t="s">
        <v>2129</v>
      </c>
      <c r="EG147" t="s">
        <v>2129</v>
      </c>
      <c r="EH147" t="s">
        <v>2129</v>
      </c>
    </row>
    <row r="148" spans="1:138" x14ac:dyDescent="0.25">
      <c r="A148" t="s">
        <v>3168</v>
      </c>
      <c r="B148" t="s">
        <v>3165</v>
      </c>
      <c r="C148">
        <v>23155</v>
      </c>
      <c r="E148" t="s">
        <v>14</v>
      </c>
      <c r="F148" t="s">
        <v>1820</v>
      </c>
      <c r="G148" t="s">
        <v>2185</v>
      </c>
      <c r="H148" t="s">
        <v>41</v>
      </c>
      <c r="I148" t="s">
        <v>2127</v>
      </c>
      <c r="J148" t="s">
        <v>2128</v>
      </c>
      <c r="K148" t="s">
        <v>2186</v>
      </c>
      <c r="L148" t="s">
        <v>2187</v>
      </c>
      <c r="M148" t="s">
        <v>2130</v>
      </c>
      <c r="N148" t="s">
        <v>2129</v>
      </c>
      <c r="O148" t="s">
        <v>4047</v>
      </c>
      <c r="P148" t="s">
        <v>2190</v>
      </c>
      <c r="Q148" t="s">
        <v>2190</v>
      </c>
      <c r="R148" s="37">
        <v>46092.697222222225</v>
      </c>
      <c r="S148" s="37">
        <v>46099.466666666667</v>
      </c>
      <c r="T148" s="37">
        <v>46100.368750000001</v>
      </c>
      <c r="U148" s="37"/>
      <c r="V148" t="s">
        <v>2129</v>
      </c>
      <c r="W148" t="s">
        <v>2129</v>
      </c>
      <c r="X148" t="s">
        <v>2129</v>
      </c>
      <c r="Y148">
        <v>0</v>
      </c>
      <c r="Z148" t="s">
        <v>2129</v>
      </c>
      <c r="AA148" t="s">
        <v>4080</v>
      </c>
      <c r="AB148" t="s">
        <v>2129</v>
      </c>
      <c r="AC148" t="s">
        <v>2190</v>
      </c>
      <c r="AD148" t="s">
        <v>2128</v>
      </c>
      <c r="AE148" t="s">
        <v>2129</v>
      </c>
      <c r="AF148" t="s">
        <v>2129</v>
      </c>
      <c r="AG148" t="s">
        <v>2129</v>
      </c>
      <c r="AH148" t="s">
        <v>4081</v>
      </c>
      <c r="AI148" t="s">
        <v>4082</v>
      </c>
      <c r="AJ148" t="s">
        <v>4083</v>
      </c>
      <c r="AK148" t="s">
        <v>4084</v>
      </c>
      <c r="AL148" t="s">
        <v>4085</v>
      </c>
      <c r="AM148" t="s">
        <v>4086</v>
      </c>
      <c r="AN148" t="s">
        <v>4087</v>
      </c>
      <c r="AO148" t="s">
        <v>4088</v>
      </c>
      <c r="AP148" t="s">
        <v>2129</v>
      </c>
      <c r="AQ148" t="s">
        <v>2129</v>
      </c>
      <c r="AR148" t="s">
        <v>2129</v>
      </c>
      <c r="AS148" t="s">
        <v>2129</v>
      </c>
      <c r="AT148" t="s">
        <v>2129</v>
      </c>
      <c r="AU148" t="s">
        <v>2129</v>
      </c>
      <c r="AV148" t="s">
        <v>2129</v>
      </c>
      <c r="AW148" t="s">
        <v>2129</v>
      </c>
      <c r="AX148" t="s">
        <v>2129</v>
      </c>
      <c r="AY148" t="s">
        <v>2129</v>
      </c>
      <c r="AZ148" t="s">
        <v>2129</v>
      </c>
      <c r="BA148" t="s">
        <v>2129</v>
      </c>
      <c r="BB148" t="s">
        <v>2129</v>
      </c>
      <c r="BC148" t="s">
        <v>2129</v>
      </c>
      <c r="BD148" t="s">
        <v>2129</v>
      </c>
      <c r="BE148" t="s">
        <v>2129</v>
      </c>
      <c r="BF148" t="s">
        <v>2129</v>
      </c>
      <c r="BG148" t="s">
        <v>2129</v>
      </c>
      <c r="BH148" t="s">
        <v>2129</v>
      </c>
      <c r="BI148" t="s">
        <v>2129</v>
      </c>
      <c r="BJ148" t="s">
        <v>2129</v>
      </c>
      <c r="BK148" t="s">
        <v>2129</v>
      </c>
      <c r="BL148" t="s">
        <v>2129</v>
      </c>
      <c r="BM148" t="s">
        <v>2129</v>
      </c>
      <c r="BN148" t="s">
        <v>2129</v>
      </c>
      <c r="BO148" t="s">
        <v>2129</v>
      </c>
      <c r="BP148" t="s">
        <v>2129</v>
      </c>
      <c r="BQ148">
        <v>0</v>
      </c>
      <c r="BR148">
        <v>81000</v>
      </c>
      <c r="BS148" t="s">
        <v>2129</v>
      </c>
      <c r="BT148" t="s">
        <v>2129</v>
      </c>
      <c r="BU148">
        <v>0</v>
      </c>
      <c r="BV148">
        <v>81000</v>
      </c>
      <c r="BW148" t="s">
        <v>2129</v>
      </c>
      <c r="BX148" t="s">
        <v>2129</v>
      </c>
      <c r="BY148" t="s">
        <v>2129</v>
      </c>
      <c r="BZ148" t="s">
        <v>2129</v>
      </c>
      <c r="CA148" t="s">
        <v>2129</v>
      </c>
      <c r="CB148" t="s">
        <v>2129</v>
      </c>
      <c r="CC148" t="s">
        <v>2129</v>
      </c>
      <c r="CD148" t="s">
        <v>2129</v>
      </c>
      <c r="CE148" t="s">
        <v>2129</v>
      </c>
      <c r="CF148" t="s">
        <v>2129</v>
      </c>
      <c r="CG148" t="s">
        <v>2129</v>
      </c>
      <c r="CH148" t="s">
        <v>2129</v>
      </c>
      <c r="CI148" t="s">
        <v>2129</v>
      </c>
      <c r="CJ148" t="s">
        <v>2129</v>
      </c>
      <c r="CK148" t="s">
        <v>2129</v>
      </c>
      <c r="CL148" t="s">
        <v>2129</v>
      </c>
      <c r="CM148" t="s">
        <v>2129</v>
      </c>
      <c r="CN148" t="s">
        <v>2129</v>
      </c>
      <c r="CO148" t="s">
        <v>2129</v>
      </c>
      <c r="CP148" t="s">
        <v>2129</v>
      </c>
      <c r="CQ148" t="s">
        <v>2129</v>
      </c>
      <c r="CR148" t="s">
        <v>2129</v>
      </c>
      <c r="CS148" t="s">
        <v>2129</v>
      </c>
      <c r="CT148" t="s">
        <v>4089</v>
      </c>
      <c r="CU148" t="s">
        <v>3050</v>
      </c>
      <c r="CV148" t="s">
        <v>4043</v>
      </c>
      <c r="CW148" t="s">
        <v>2129</v>
      </c>
      <c r="CX148" t="s">
        <v>2129</v>
      </c>
      <c r="CY148" t="s">
        <v>2129</v>
      </c>
      <c r="CZ148" t="s">
        <v>2129</v>
      </c>
      <c r="DA148" t="s">
        <v>2129</v>
      </c>
      <c r="DB148" t="s">
        <v>2129</v>
      </c>
      <c r="DC148" t="s">
        <v>2129</v>
      </c>
      <c r="DD148" t="s">
        <v>2129</v>
      </c>
      <c r="DE148" t="s">
        <v>2129</v>
      </c>
      <c r="DF148" t="s">
        <v>2129</v>
      </c>
      <c r="DG148" t="s">
        <v>2129</v>
      </c>
      <c r="DH148" t="s">
        <v>2129</v>
      </c>
      <c r="DJ148" t="s">
        <v>2129</v>
      </c>
      <c r="DK148" t="s">
        <v>2129</v>
      </c>
      <c r="DL148" t="s">
        <v>2129</v>
      </c>
      <c r="DM148" t="s">
        <v>2129</v>
      </c>
      <c r="DN148" t="s">
        <v>2129</v>
      </c>
      <c r="DO148" t="s">
        <v>2129</v>
      </c>
      <c r="DP148" t="s">
        <v>2129</v>
      </c>
      <c r="DQ148" t="s">
        <v>2129</v>
      </c>
      <c r="DR148" t="s">
        <v>2129</v>
      </c>
      <c r="DS148" t="s">
        <v>2129</v>
      </c>
      <c r="DT148" t="s">
        <v>2129</v>
      </c>
      <c r="DU148" t="s">
        <v>2129</v>
      </c>
      <c r="DV148" t="s">
        <v>2129</v>
      </c>
      <c r="DW148" t="s">
        <v>2129</v>
      </c>
      <c r="DX148" t="s">
        <v>2129</v>
      </c>
      <c r="DY148" t="s">
        <v>2129</v>
      </c>
      <c r="DZ148" t="s">
        <v>2129</v>
      </c>
      <c r="EA148" t="s">
        <v>2129</v>
      </c>
      <c r="EB148" t="s">
        <v>2129</v>
      </c>
      <c r="EC148" t="s">
        <v>2129</v>
      </c>
      <c r="ED148" t="s">
        <v>2129</v>
      </c>
      <c r="EE148" t="s">
        <v>2129</v>
      </c>
      <c r="EF148" t="s">
        <v>2129</v>
      </c>
      <c r="EG148" t="s">
        <v>2129</v>
      </c>
      <c r="EH148" t="s">
        <v>2129</v>
      </c>
    </row>
    <row r="149" spans="1:138" x14ac:dyDescent="0.25">
      <c r="A149" t="s">
        <v>2135</v>
      </c>
      <c r="B149" t="s">
        <v>4090</v>
      </c>
      <c r="C149">
        <v>23123</v>
      </c>
      <c r="E149" t="s">
        <v>2136</v>
      </c>
      <c r="F149" t="s">
        <v>16</v>
      </c>
      <c r="G149" t="s">
        <v>2185</v>
      </c>
      <c r="H149" t="s">
        <v>41</v>
      </c>
      <c r="I149" t="s">
        <v>2127</v>
      </c>
      <c r="J149" t="s">
        <v>2128</v>
      </c>
      <c r="K149" t="s">
        <v>2186</v>
      </c>
      <c r="L149" t="s">
        <v>2187</v>
      </c>
      <c r="M149" t="s">
        <v>2130</v>
      </c>
      <c r="N149" t="s">
        <v>16</v>
      </c>
      <c r="O149" t="s">
        <v>2128</v>
      </c>
      <c r="P149" t="s">
        <v>2128</v>
      </c>
      <c r="Q149" t="s">
        <v>2128</v>
      </c>
      <c r="R149" s="37">
        <v>46087.711111111108</v>
      </c>
      <c r="S149" s="37">
        <v>46099.466666666667</v>
      </c>
      <c r="T149" s="37">
        <v>46100.368750000001</v>
      </c>
      <c r="U149" s="37">
        <v>46099.466666666667</v>
      </c>
      <c r="V149" t="s">
        <v>2129</v>
      </c>
      <c r="W149" t="s">
        <v>2129</v>
      </c>
      <c r="X149" t="s">
        <v>2129</v>
      </c>
      <c r="Y149">
        <v>0</v>
      </c>
      <c r="Z149" t="s">
        <v>2129</v>
      </c>
      <c r="AA149" t="s">
        <v>4091</v>
      </c>
      <c r="AB149" t="s">
        <v>2129</v>
      </c>
      <c r="AC149" t="s">
        <v>2128</v>
      </c>
      <c r="AD149" t="s">
        <v>2129</v>
      </c>
      <c r="AE149" t="s">
        <v>2129</v>
      </c>
      <c r="AF149" t="s">
        <v>2129</v>
      </c>
      <c r="AG149" t="s">
        <v>2129</v>
      </c>
      <c r="AH149" t="s">
        <v>4092</v>
      </c>
      <c r="AI149" t="s">
        <v>4093</v>
      </c>
      <c r="AJ149" t="s">
        <v>4094</v>
      </c>
      <c r="AK149" t="s">
        <v>2129</v>
      </c>
      <c r="AL149" t="s">
        <v>2129</v>
      </c>
      <c r="AM149" t="s">
        <v>2129</v>
      </c>
      <c r="AN149" t="s">
        <v>2129</v>
      </c>
      <c r="AO149" t="s">
        <v>2129</v>
      </c>
      <c r="AP149" t="s">
        <v>2129</v>
      </c>
      <c r="AQ149" t="s">
        <v>2129</v>
      </c>
      <c r="AR149" t="s">
        <v>2129</v>
      </c>
      <c r="AS149" t="s">
        <v>2129</v>
      </c>
      <c r="AT149" t="s">
        <v>2129</v>
      </c>
      <c r="AU149" t="s">
        <v>2129</v>
      </c>
      <c r="AV149" t="s">
        <v>2129</v>
      </c>
      <c r="AW149" t="s">
        <v>2129</v>
      </c>
      <c r="AX149" t="s">
        <v>2129</v>
      </c>
      <c r="AY149" t="s">
        <v>2129</v>
      </c>
      <c r="AZ149" t="s">
        <v>2129</v>
      </c>
      <c r="BA149" t="s">
        <v>2129</v>
      </c>
      <c r="BB149" t="s">
        <v>2129</v>
      </c>
      <c r="BC149" t="s">
        <v>2129</v>
      </c>
      <c r="BD149" t="s">
        <v>2129</v>
      </c>
      <c r="BE149" t="s">
        <v>2129</v>
      </c>
      <c r="BF149" t="s">
        <v>2129</v>
      </c>
      <c r="BG149" t="s">
        <v>2129</v>
      </c>
      <c r="BH149" t="s">
        <v>2129</v>
      </c>
      <c r="BI149" t="s">
        <v>2129</v>
      </c>
      <c r="BJ149" t="s">
        <v>2129</v>
      </c>
      <c r="BK149" t="s">
        <v>2129</v>
      </c>
      <c r="BL149" t="s">
        <v>2129</v>
      </c>
      <c r="BM149" t="s">
        <v>2129</v>
      </c>
      <c r="BN149" t="s">
        <v>2129</v>
      </c>
      <c r="BO149" t="s">
        <v>2129</v>
      </c>
      <c r="BP149" t="s">
        <v>2129</v>
      </c>
      <c r="BQ149">
        <v>0</v>
      </c>
      <c r="BR149">
        <v>115200</v>
      </c>
      <c r="BS149" t="s">
        <v>2129</v>
      </c>
      <c r="BT149" t="s">
        <v>2129</v>
      </c>
      <c r="BU149">
        <v>0</v>
      </c>
      <c r="BV149">
        <v>115200</v>
      </c>
      <c r="BW149" t="s">
        <v>2129</v>
      </c>
      <c r="BX149" t="s">
        <v>2129</v>
      </c>
      <c r="BY149" t="s">
        <v>2129</v>
      </c>
      <c r="BZ149" t="s">
        <v>2129</v>
      </c>
      <c r="CA149" t="s">
        <v>2129</v>
      </c>
      <c r="CB149" t="s">
        <v>2129</v>
      </c>
      <c r="CC149" t="s">
        <v>2129</v>
      </c>
      <c r="CD149" t="s">
        <v>2129</v>
      </c>
      <c r="CE149" t="s">
        <v>2129</v>
      </c>
      <c r="CF149" t="s">
        <v>2129</v>
      </c>
      <c r="CG149" t="s">
        <v>2129</v>
      </c>
      <c r="CH149" t="s">
        <v>2129</v>
      </c>
      <c r="CI149" t="s">
        <v>2129</v>
      </c>
      <c r="CJ149" t="s">
        <v>2129</v>
      </c>
      <c r="CK149" t="s">
        <v>2129</v>
      </c>
      <c r="CL149" t="s">
        <v>2129</v>
      </c>
      <c r="CM149" t="s">
        <v>2129</v>
      </c>
      <c r="CN149" t="s">
        <v>2129</v>
      </c>
      <c r="CO149" t="s">
        <v>2129</v>
      </c>
      <c r="CP149" t="s">
        <v>2129</v>
      </c>
      <c r="CQ149" t="s">
        <v>2129</v>
      </c>
      <c r="CR149" t="s">
        <v>2129</v>
      </c>
      <c r="CS149" t="s">
        <v>2129</v>
      </c>
      <c r="CT149" t="s">
        <v>4095</v>
      </c>
      <c r="CU149" t="s">
        <v>3050</v>
      </c>
      <c r="CV149" t="s">
        <v>2129</v>
      </c>
      <c r="CW149" t="s">
        <v>2129</v>
      </c>
      <c r="CX149" t="s">
        <v>2129</v>
      </c>
      <c r="CY149" t="s">
        <v>2129</v>
      </c>
      <c r="CZ149" t="s">
        <v>2129</v>
      </c>
      <c r="DA149" t="s">
        <v>2129</v>
      </c>
      <c r="DB149" t="s">
        <v>2129</v>
      </c>
      <c r="DC149" t="s">
        <v>2129</v>
      </c>
      <c r="DD149" t="s">
        <v>2129</v>
      </c>
      <c r="DE149" t="s">
        <v>2129</v>
      </c>
      <c r="DF149" t="s">
        <v>2129</v>
      </c>
      <c r="DG149" t="s">
        <v>2129</v>
      </c>
      <c r="DH149" t="s">
        <v>2129</v>
      </c>
      <c r="DJ149" t="s">
        <v>2129</v>
      </c>
      <c r="DK149" t="s">
        <v>2129</v>
      </c>
      <c r="DL149" t="s">
        <v>2129</v>
      </c>
      <c r="DM149" t="s">
        <v>2129</v>
      </c>
      <c r="DN149" t="s">
        <v>2129</v>
      </c>
      <c r="DO149" t="s">
        <v>2129</v>
      </c>
      <c r="DP149" t="s">
        <v>2129</v>
      </c>
      <c r="DQ149" t="s">
        <v>2129</v>
      </c>
      <c r="DR149" t="s">
        <v>2129</v>
      </c>
      <c r="DS149" t="s">
        <v>2129</v>
      </c>
      <c r="DT149" t="s">
        <v>2129</v>
      </c>
      <c r="DU149" t="s">
        <v>2129</v>
      </c>
      <c r="DV149" t="s">
        <v>2129</v>
      </c>
      <c r="DW149" t="s">
        <v>2129</v>
      </c>
      <c r="DX149" t="s">
        <v>2129</v>
      </c>
      <c r="DY149" t="s">
        <v>2129</v>
      </c>
      <c r="DZ149" t="s">
        <v>2129</v>
      </c>
      <c r="EA149" t="s">
        <v>2129</v>
      </c>
      <c r="EB149" t="s">
        <v>2129</v>
      </c>
      <c r="EC149" t="s">
        <v>2129</v>
      </c>
      <c r="ED149" t="s">
        <v>2129</v>
      </c>
      <c r="EE149" t="s">
        <v>2129</v>
      </c>
      <c r="EF149" t="s">
        <v>2129</v>
      </c>
      <c r="EG149" t="s">
        <v>2129</v>
      </c>
      <c r="EH149" t="s">
        <v>2129</v>
      </c>
    </row>
    <row r="150" spans="1:138" x14ac:dyDescent="0.25">
      <c r="A150" t="s">
        <v>2135</v>
      </c>
      <c r="B150" t="s">
        <v>4096</v>
      </c>
      <c r="C150">
        <v>23122</v>
      </c>
      <c r="E150" t="s">
        <v>2136</v>
      </c>
      <c r="F150" t="s">
        <v>16</v>
      </c>
      <c r="G150" t="s">
        <v>2185</v>
      </c>
      <c r="H150" t="s">
        <v>41</v>
      </c>
      <c r="I150" t="s">
        <v>2127</v>
      </c>
      <c r="J150" t="s">
        <v>2128</v>
      </c>
      <c r="K150" t="s">
        <v>2186</v>
      </c>
      <c r="L150" t="s">
        <v>2187</v>
      </c>
      <c r="M150" t="s">
        <v>2130</v>
      </c>
      <c r="N150" t="s">
        <v>16</v>
      </c>
      <c r="O150" t="s">
        <v>2128</v>
      </c>
      <c r="P150" t="s">
        <v>2128</v>
      </c>
      <c r="Q150" t="s">
        <v>2128</v>
      </c>
      <c r="R150" s="37">
        <v>46087.710416666669</v>
      </c>
      <c r="S150" s="37">
        <v>46099.466666666667</v>
      </c>
      <c r="T150" s="37">
        <v>46100.368750000001</v>
      </c>
      <c r="U150" s="37">
        <v>46099.466666666667</v>
      </c>
      <c r="V150" t="s">
        <v>2129</v>
      </c>
      <c r="W150" t="s">
        <v>2129</v>
      </c>
      <c r="X150" t="s">
        <v>2129</v>
      </c>
      <c r="Y150">
        <v>0</v>
      </c>
      <c r="Z150" t="s">
        <v>2129</v>
      </c>
      <c r="AA150" t="s">
        <v>4091</v>
      </c>
      <c r="AB150" t="s">
        <v>2129</v>
      </c>
      <c r="AC150" t="s">
        <v>2128</v>
      </c>
      <c r="AD150" t="s">
        <v>2129</v>
      </c>
      <c r="AE150" t="s">
        <v>2129</v>
      </c>
      <c r="AF150" t="s">
        <v>2129</v>
      </c>
      <c r="AG150" t="s">
        <v>2129</v>
      </c>
      <c r="AH150" t="s">
        <v>4097</v>
      </c>
      <c r="AI150" t="s">
        <v>4098</v>
      </c>
      <c r="AJ150" t="s">
        <v>4099</v>
      </c>
      <c r="AK150" t="s">
        <v>4100</v>
      </c>
      <c r="AL150" t="s">
        <v>4101</v>
      </c>
      <c r="AM150" t="s">
        <v>4102</v>
      </c>
      <c r="AN150" t="s">
        <v>4103</v>
      </c>
      <c r="AO150" t="s">
        <v>2129</v>
      </c>
      <c r="AP150" t="s">
        <v>2129</v>
      </c>
      <c r="AQ150" t="s">
        <v>2129</v>
      </c>
      <c r="AR150" t="s">
        <v>2129</v>
      </c>
      <c r="AS150" t="s">
        <v>2129</v>
      </c>
      <c r="AT150" t="s">
        <v>2129</v>
      </c>
      <c r="AU150" t="s">
        <v>2129</v>
      </c>
      <c r="AV150" t="s">
        <v>2129</v>
      </c>
      <c r="AW150" t="s">
        <v>2129</v>
      </c>
      <c r="AX150" t="s">
        <v>2129</v>
      </c>
      <c r="AY150" t="s">
        <v>2129</v>
      </c>
      <c r="AZ150" t="s">
        <v>2129</v>
      </c>
      <c r="BA150" t="s">
        <v>2129</v>
      </c>
      <c r="BB150" t="s">
        <v>2129</v>
      </c>
      <c r="BC150" t="s">
        <v>2129</v>
      </c>
      <c r="BD150" t="s">
        <v>2129</v>
      </c>
      <c r="BE150" t="s">
        <v>2129</v>
      </c>
      <c r="BF150" t="s">
        <v>2129</v>
      </c>
      <c r="BG150" t="s">
        <v>2129</v>
      </c>
      <c r="BH150" t="s">
        <v>2129</v>
      </c>
      <c r="BI150" t="s">
        <v>2129</v>
      </c>
      <c r="BJ150" t="s">
        <v>2129</v>
      </c>
      <c r="BK150" t="s">
        <v>2129</v>
      </c>
      <c r="BL150" t="s">
        <v>2129</v>
      </c>
      <c r="BM150" t="s">
        <v>2129</v>
      </c>
      <c r="BN150" t="s">
        <v>2129</v>
      </c>
      <c r="BO150" t="s">
        <v>2129</v>
      </c>
      <c r="BP150" t="s">
        <v>2129</v>
      </c>
      <c r="BQ150">
        <v>0</v>
      </c>
      <c r="BR150">
        <v>93600</v>
      </c>
      <c r="BS150" t="s">
        <v>2129</v>
      </c>
      <c r="BT150" t="s">
        <v>2129</v>
      </c>
      <c r="BU150">
        <v>0</v>
      </c>
      <c r="BV150">
        <v>93600</v>
      </c>
      <c r="BW150" t="s">
        <v>2129</v>
      </c>
      <c r="BX150" t="s">
        <v>2129</v>
      </c>
      <c r="BY150" t="s">
        <v>2129</v>
      </c>
      <c r="BZ150" t="s">
        <v>2129</v>
      </c>
      <c r="CA150" t="s">
        <v>2129</v>
      </c>
      <c r="CB150" t="s">
        <v>2129</v>
      </c>
      <c r="CC150" t="s">
        <v>2129</v>
      </c>
      <c r="CD150" t="s">
        <v>2129</v>
      </c>
      <c r="CE150" t="s">
        <v>2129</v>
      </c>
      <c r="CF150" t="s">
        <v>2129</v>
      </c>
      <c r="CG150" t="s">
        <v>2129</v>
      </c>
      <c r="CH150" t="s">
        <v>2129</v>
      </c>
      <c r="CI150" t="s">
        <v>2129</v>
      </c>
      <c r="CJ150" t="s">
        <v>2129</v>
      </c>
      <c r="CK150" t="s">
        <v>2129</v>
      </c>
      <c r="CL150" t="s">
        <v>2129</v>
      </c>
      <c r="CM150" t="s">
        <v>2129</v>
      </c>
      <c r="CN150" t="s">
        <v>2129</v>
      </c>
      <c r="CO150" t="s">
        <v>2129</v>
      </c>
      <c r="CP150" t="s">
        <v>2129</v>
      </c>
      <c r="CQ150" t="s">
        <v>2129</v>
      </c>
      <c r="CR150" t="s">
        <v>2129</v>
      </c>
      <c r="CS150" t="s">
        <v>2129</v>
      </c>
      <c r="CT150" t="s">
        <v>4104</v>
      </c>
      <c r="CU150" t="s">
        <v>3050</v>
      </c>
      <c r="CV150" t="s">
        <v>2129</v>
      </c>
      <c r="CW150" t="s">
        <v>2129</v>
      </c>
      <c r="CX150" t="s">
        <v>2129</v>
      </c>
      <c r="CY150" t="s">
        <v>2129</v>
      </c>
      <c r="CZ150" t="s">
        <v>2129</v>
      </c>
      <c r="DA150" t="s">
        <v>2129</v>
      </c>
      <c r="DB150" t="s">
        <v>2129</v>
      </c>
      <c r="DC150" t="s">
        <v>2129</v>
      </c>
      <c r="DD150" t="s">
        <v>2129</v>
      </c>
      <c r="DE150" t="s">
        <v>2129</v>
      </c>
      <c r="DF150" t="s">
        <v>2129</v>
      </c>
      <c r="DG150" t="s">
        <v>2129</v>
      </c>
      <c r="DH150" t="s">
        <v>2129</v>
      </c>
      <c r="DJ150" t="s">
        <v>2129</v>
      </c>
      <c r="DK150" t="s">
        <v>2129</v>
      </c>
      <c r="DL150" t="s">
        <v>2129</v>
      </c>
      <c r="DM150" t="s">
        <v>2129</v>
      </c>
      <c r="DN150" t="s">
        <v>2129</v>
      </c>
      <c r="DO150" t="s">
        <v>2129</v>
      </c>
      <c r="DP150" t="s">
        <v>2129</v>
      </c>
      <c r="DQ150" t="s">
        <v>2129</v>
      </c>
      <c r="DR150" t="s">
        <v>2129</v>
      </c>
      <c r="DS150" t="s">
        <v>2129</v>
      </c>
      <c r="DT150" t="s">
        <v>2129</v>
      </c>
      <c r="DU150" t="s">
        <v>2129</v>
      </c>
      <c r="DV150" t="s">
        <v>2129</v>
      </c>
      <c r="DW150" t="s">
        <v>2129</v>
      </c>
      <c r="DX150" t="s">
        <v>2129</v>
      </c>
      <c r="DY150" t="s">
        <v>2129</v>
      </c>
      <c r="DZ150" t="s">
        <v>2129</v>
      </c>
      <c r="EA150" t="s">
        <v>2129</v>
      </c>
      <c r="EB150" t="s">
        <v>2129</v>
      </c>
      <c r="EC150" t="s">
        <v>2129</v>
      </c>
      <c r="ED150" t="s">
        <v>2129</v>
      </c>
      <c r="EE150" t="s">
        <v>2129</v>
      </c>
      <c r="EF150" t="s">
        <v>2129</v>
      </c>
      <c r="EG150" t="s">
        <v>2129</v>
      </c>
      <c r="EH150" t="s">
        <v>2129</v>
      </c>
    </row>
    <row r="151" spans="1:138" x14ac:dyDescent="0.25">
      <c r="A151" t="s">
        <v>2135</v>
      </c>
      <c r="B151" t="s">
        <v>4105</v>
      </c>
      <c r="C151">
        <v>23121</v>
      </c>
      <c r="E151" t="s">
        <v>2136</v>
      </c>
      <c r="F151" t="s">
        <v>16</v>
      </c>
      <c r="G151" t="s">
        <v>2185</v>
      </c>
      <c r="H151" t="s">
        <v>41</v>
      </c>
      <c r="I151" t="s">
        <v>2127</v>
      </c>
      <c r="J151" t="s">
        <v>2128</v>
      </c>
      <c r="K151" t="s">
        <v>2186</v>
      </c>
      <c r="L151" t="s">
        <v>2187</v>
      </c>
      <c r="M151" t="s">
        <v>2130</v>
      </c>
      <c r="N151" t="s">
        <v>16</v>
      </c>
      <c r="O151" t="s">
        <v>2128</v>
      </c>
      <c r="P151" t="s">
        <v>2128</v>
      </c>
      <c r="Q151" t="s">
        <v>2128</v>
      </c>
      <c r="R151" s="37">
        <v>46087.710416666669</v>
      </c>
      <c r="S151" s="37">
        <v>46099.466666666667</v>
      </c>
      <c r="T151" s="37">
        <v>46100.368750000001</v>
      </c>
      <c r="U151" s="37">
        <v>46099.466666666667</v>
      </c>
      <c r="V151" t="s">
        <v>2129</v>
      </c>
      <c r="W151" t="s">
        <v>2129</v>
      </c>
      <c r="X151" t="s">
        <v>2129</v>
      </c>
      <c r="Y151">
        <v>0</v>
      </c>
      <c r="Z151" t="s">
        <v>2129</v>
      </c>
      <c r="AA151" t="s">
        <v>4091</v>
      </c>
      <c r="AB151" t="s">
        <v>2129</v>
      </c>
      <c r="AC151" t="s">
        <v>2128</v>
      </c>
      <c r="AD151" t="s">
        <v>2129</v>
      </c>
      <c r="AE151" t="s">
        <v>2129</v>
      </c>
      <c r="AF151" t="s">
        <v>2129</v>
      </c>
      <c r="AG151" t="s">
        <v>2129</v>
      </c>
      <c r="AH151" t="s">
        <v>4106</v>
      </c>
      <c r="AI151" t="s">
        <v>4107</v>
      </c>
      <c r="AJ151" t="s">
        <v>4108</v>
      </c>
      <c r="AK151" t="s">
        <v>4109</v>
      </c>
      <c r="AL151" t="s">
        <v>4110</v>
      </c>
      <c r="AM151" t="s">
        <v>4111</v>
      </c>
      <c r="AN151" t="s">
        <v>2129</v>
      </c>
      <c r="AO151" t="s">
        <v>2129</v>
      </c>
      <c r="AP151" t="s">
        <v>2129</v>
      </c>
      <c r="AQ151" t="s">
        <v>2129</v>
      </c>
      <c r="AR151" t="s">
        <v>2129</v>
      </c>
      <c r="AS151" t="s">
        <v>2129</v>
      </c>
      <c r="AT151" t="s">
        <v>2129</v>
      </c>
      <c r="AU151" t="s">
        <v>2129</v>
      </c>
      <c r="AV151" t="s">
        <v>2129</v>
      </c>
      <c r="AW151" t="s">
        <v>2129</v>
      </c>
      <c r="AX151" t="s">
        <v>2129</v>
      </c>
      <c r="AY151" t="s">
        <v>2129</v>
      </c>
      <c r="AZ151" t="s">
        <v>2129</v>
      </c>
      <c r="BA151" t="s">
        <v>2129</v>
      </c>
      <c r="BB151" t="s">
        <v>2129</v>
      </c>
      <c r="BC151" t="s">
        <v>2129</v>
      </c>
      <c r="BD151" t="s">
        <v>2129</v>
      </c>
      <c r="BE151" t="s">
        <v>2129</v>
      </c>
      <c r="BF151" t="s">
        <v>2129</v>
      </c>
      <c r="BG151" t="s">
        <v>2129</v>
      </c>
      <c r="BH151" t="s">
        <v>2129</v>
      </c>
      <c r="BI151" t="s">
        <v>2129</v>
      </c>
      <c r="BJ151" t="s">
        <v>2129</v>
      </c>
      <c r="BK151" t="s">
        <v>2129</v>
      </c>
      <c r="BL151" t="s">
        <v>2129</v>
      </c>
      <c r="BM151" t="s">
        <v>2129</v>
      </c>
      <c r="BN151" t="s">
        <v>2129</v>
      </c>
      <c r="BO151" t="s">
        <v>2129</v>
      </c>
      <c r="BP151" t="s">
        <v>2129</v>
      </c>
      <c r="BQ151">
        <v>0</v>
      </c>
      <c r="BR151">
        <v>82800</v>
      </c>
      <c r="BS151" t="s">
        <v>2129</v>
      </c>
      <c r="BT151" t="s">
        <v>2129</v>
      </c>
      <c r="BU151">
        <v>0</v>
      </c>
      <c r="BV151">
        <v>82800</v>
      </c>
      <c r="BW151" t="s">
        <v>2129</v>
      </c>
      <c r="BX151" t="s">
        <v>2129</v>
      </c>
      <c r="BY151" t="s">
        <v>2129</v>
      </c>
      <c r="BZ151" t="s">
        <v>2129</v>
      </c>
      <c r="CA151" t="s">
        <v>2129</v>
      </c>
      <c r="CB151" t="s">
        <v>2129</v>
      </c>
      <c r="CC151" t="s">
        <v>2129</v>
      </c>
      <c r="CD151" t="s">
        <v>2129</v>
      </c>
      <c r="CE151" t="s">
        <v>2129</v>
      </c>
      <c r="CF151" t="s">
        <v>2129</v>
      </c>
      <c r="CG151" t="s">
        <v>2129</v>
      </c>
      <c r="CH151" t="s">
        <v>2129</v>
      </c>
      <c r="CI151" t="s">
        <v>2129</v>
      </c>
      <c r="CJ151" t="s">
        <v>2129</v>
      </c>
      <c r="CK151" t="s">
        <v>2129</v>
      </c>
      <c r="CL151" t="s">
        <v>2129</v>
      </c>
      <c r="CM151" t="s">
        <v>2129</v>
      </c>
      <c r="CN151" t="s">
        <v>2129</v>
      </c>
      <c r="CO151" t="s">
        <v>2129</v>
      </c>
      <c r="CP151" t="s">
        <v>2129</v>
      </c>
      <c r="CQ151" t="s">
        <v>2129</v>
      </c>
      <c r="CR151" t="s">
        <v>2129</v>
      </c>
      <c r="CS151" t="s">
        <v>2129</v>
      </c>
      <c r="CT151" t="s">
        <v>4112</v>
      </c>
      <c r="CU151" t="s">
        <v>3050</v>
      </c>
      <c r="CV151" t="s">
        <v>2129</v>
      </c>
      <c r="CW151" t="s">
        <v>2129</v>
      </c>
      <c r="CX151" t="s">
        <v>2129</v>
      </c>
      <c r="CY151" t="s">
        <v>2129</v>
      </c>
      <c r="CZ151" t="s">
        <v>2129</v>
      </c>
      <c r="DA151" t="s">
        <v>2129</v>
      </c>
      <c r="DB151" t="s">
        <v>2129</v>
      </c>
      <c r="DC151" t="s">
        <v>2129</v>
      </c>
      <c r="DD151" t="s">
        <v>2129</v>
      </c>
      <c r="DE151" t="s">
        <v>2129</v>
      </c>
      <c r="DF151" t="s">
        <v>2129</v>
      </c>
      <c r="DG151" t="s">
        <v>2129</v>
      </c>
      <c r="DH151" t="s">
        <v>2129</v>
      </c>
      <c r="DJ151" t="s">
        <v>2129</v>
      </c>
      <c r="DK151" t="s">
        <v>2129</v>
      </c>
      <c r="DL151" t="s">
        <v>2129</v>
      </c>
      <c r="DM151" t="s">
        <v>2129</v>
      </c>
      <c r="DN151" t="s">
        <v>2129</v>
      </c>
      <c r="DO151" t="s">
        <v>2129</v>
      </c>
      <c r="DP151" t="s">
        <v>2129</v>
      </c>
      <c r="DQ151" t="s">
        <v>2129</v>
      </c>
      <c r="DR151" t="s">
        <v>2129</v>
      </c>
      <c r="DS151" t="s">
        <v>2129</v>
      </c>
      <c r="DT151" t="s">
        <v>2129</v>
      </c>
      <c r="DU151" t="s">
        <v>2129</v>
      </c>
      <c r="DV151" t="s">
        <v>2129</v>
      </c>
      <c r="DW151" t="s">
        <v>2129</v>
      </c>
      <c r="DX151" t="s">
        <v>2129</v>
      </c>
      <c r="DY151" t="s">
        <v>2129</v>
      </c>
      <c r="DZ151" t="s">
        <v>2129</v>
      </c>
      <c r="EA151" t="s">
        <v>2129</v>
      </c>
      <c r="EB151" t="s">
        <v>2129</v>
      </c>
      <c r="EC151" t="s">
        <v>2129</v>
      </c>
      <c r="ED151" t="s">
        <v>2129</v>
      </c>
      <c r="EE151" t="s">
        <v>2129</v>
      </c>
      <c r="EF151" t="s">
        <v>2129</v>
      </c>
      <c r="EG151" t="s">
        <v>2129</v>
      </c>
      <c r="EH151" t="s">
        <v>2129</v>
      </c>
    </row>
    <row r="152" spans="1:138" x14ac:dyDescent="0.25">
      <c r="A152" t="s">
        <v>2135</v>
      </c>
      <c r="B152" t="s">
        <v>4113</v>
      </c>
      <c r="C152">
        <v>23120</v>
      </c>
      <c r="E152" t="s">
        <v>2136</v>
      </c>
      <c r="F152" t="s">
        <v>16</v>
      </c>
      <c r="G152" t="s">
        <v>2185</v>
      </c>
      <c r="H152" t="s">
        <v>41</v>
      </c>
      <c r="I152" t="s">
        <v>2127</v>
      </c>
      <c r="J152" t="s">
        <v>2128</v>
      </c>
      <c r="K152" t="s">
        <v>2186</v>
      </c>
      <c r="L152" t="s">
        <v>2187</v>
      </c>
      <c r="M152" t="s">
        <v>2130</v>
      </c>
      <c r="N152" t="s">
        <v>16</v>
      </c>
      <c r="O152" t="s">
        <v>2128</v>
      </c>
      <c r="P152" t="s">
        <v>2128</v>
      </c>
      <c r="Q152" t="s">
        <v>2128</v>
      </c>
      <c r="R152" s="37">
        <v>46087.710416666669</v>
      </c>
      <c r="S152" s="37">
        <v>46099.466666666667</v>
      </c>
      <c r="T152" s="37">
        <v>46100.368750000001</v>
      </c>
      <c r="U152" s="37">
        <v>46099.466666666667</v>
      </c>
      <c r="V152" t="s">
        <v>2129</v>
      </c>
      <c r="W152" t="s">
        <v>2129</v>
      </c>
      <c r="X152" t="s">
        <v>2129</v>
      </c>
      <c r="Y152">
        <v>0</v>
      </c>
      <c r="Z152" t="s">
        <v>2129</v>
      </c>
      <c r="AA152" t="s">
        <v>4091</v>
      </c>
      <c r="AB152" t="s">
        <v>2129</v>
      </c>
      <c r="AC152" t="s">
        <v>2128</v>
      </c>
      <c r="AD152" t="s">
        <v>2129</v>
      </c>
      <c r="AE152" t="s">
        <v>2129</v>
      </c>
      <c r="AF152" t="s">
        <v>2129</v>
      </c>
      <c r="AG152" t="s">
        <v>2129</v>
      </c>
      <c r="AH152" t="s">
        <v>4114</v>
      </c>
      <c r="AI152" t="s">
        <v>4115</v>
      </c>
      <c r="AJ152" t="s">
        <v>4116</v>
      </c>
      <c r="AK152" t="s">
        <v>4117</v>
      </c>
      <c r="AL152" t="s">
        <v>4118</v>
      </c>
      <c r="AM152" t="s">
        <v>4119</v>
      </c>
      <c r="AN152" t="s">
        <v>4120</v>
      </c>
      <c r="AO152" t="s">
        <v>4121</v>
      </c>
      <c r="AP152" t="s">
        <v>2129</v>
      </c>
      <c r="AQ152" t="s">
        <v>2129</v>
      </c>
      <c r="AR152" t="s">
        <v>2129</v>
      </c>
      <c r="AS152" t="s">
        <v>2129</v>
      </c>
      <c r="AT152" t="s">
        <v>2129</v>
      </c>
      <c r="AU152" t="s">
        <v>2129</v>
      </c>
      <c r="AV152" t="s">
        <v>2129</v>
      </c>
      <c r="AW152" t="s">
        <v>2129</v>
      </c>
      <c r="AX152" t="s">
        <v>2129</v>
      </c>
      <c r="AY152" t="s">
        <v>2129</v>
      </c>
      <c r="AZ152" t="s">
        <v>2129</v>
      </c>
      <c r="BA152" t="s">
        <v>2129</v>
      </c>
      <c r="BB152" t="s">
        <v>2129</v>
      </c>
      <c r="BC152" t="s">
        <v>2129</v>
      </c>
      <c r="BD152" t="s">
        <v>2129</v>
      </c>
      <c r="BE152" t="s">
        <v>2129</v>
      </c>
      <c r="BF152" t="s">
        <v>2129</v>
      </c>
      <c r="BG152" t="s">
        <v>2129</v>
      </c>
      <c r="BH152" t="s">
        <v>2129</v>
      </c>
      <c r="BI152" t="s">
        <v>2129</v>
      </c>
      <c r="BJ152" t="s">
        <v>2129</v>
      </c>
      <c r="BK152" t="s">
        <v>2129</v>
      </c>
      <c r="BL152" t="s">
        <v>2129</v>
      </c>
      <c r="BM152" t="s">
        <v>2129</v>
      </c>
      <c r="BN152" t="s">
        <v>2129</v>
      </c>
      <c r="BO152" t="s">
        <v>2129</v>
      </c>
      <c r="BP152" t="s">
        <v>2129</v>
      </c>
      <c r="BQ152">
        <v>0</v>
      </c>
      <c r="BR152">
        <v>104400</v>
      </c>
      <c r="BS152" t="s">
        <v>2129</v>
      </c>
      <c r="BT152" t="s">
        <v>2129</v>
      </c>
      <c r="BU152">
        <v>0</v>
      </c>
      <c r="BV152">
        <v>104400</v>
      </c>
      <c r="BW152" t="s">
        <v>2129</v>
      </c>
      <c r="BX152" t="s">
        <v>2129</v>
      </c>
      <c r="BY152" t="s">
        <v>2129</v>
      </c>
      <c r="BZ152" t="s">
        <v>2129</v>
      </c>
      <c r="CA152" t="s">
        <v>2129</v>
      </c>
      <c r="CB152" t="s">
        <v>2129</v>
      </c>
      <c r="CC152" t="s">
        <v>2129</v>
      </c>
      <c r="CD152" t="s">
        <v>2129</v>
      </c>
      <c r="CE152" t="s">
        <v>2129</v>
      </c>
      <c r="CF152" t="s">
        <v>2129</v>
      </c>
      <c r="CG152" t="s">
        <v>2129</v>
      </c>
      <c r="CH152" t="s">
        <v>2129</v>
      </c>
      <c r="CI152" t="s">
        <v>2129</v>
      </c>
      <c r="CJ152" t="s">
        <v>2129</v>
      </c>
      <c r="CK152" t="s">
        <v>2129</v>
      </c>
      <c r="CL152" t="s">
        <v>2129</v>
      </c>
      <c r="CM152" t="s">
        <v>2129</v>
      </c>
      <c r="CN152" t="s">
        <v>2129</v>
      </c>
      <c r="CO152" t="s">
        <v>2129</v>
      </c>
      <c r="CP152" t="s">
        <v>2129</v>
      </c>
      <c r="CQ152" t="s">
        <v>2129</v>
      </c>
      <c r="CR152" t="s">
        <v>2129</v>
      </c>
      <c r="CS152" t="s">
        <v>2129</v>
      </c>
      <c r="CT152" t="s">
        <v>4122</v>
      </c>
      <c r="CU152" t="s">
        <v>3050</v>
      </c>
      <c r="CV152" t="s">
        <v>2129</v>
      </c>
      <c r="CW152" t="s">
        <v>2129</v>
      </c>
      <c r="CX152" t="s">
        <v>2129</v>
      </c>
      <c r="CY152" t="s">
        <v>2129</v>
      </c>
      <c r="CZ152" t="s">
        <v>2129</v>
      </c>
      <c r="DA152" t="s">
        <v>2129</v>
      </c>
      <c r="DB152" t="s">
        <v>2129</v>
      </c>
      <c r="DC152" t="s">
        <v>2129</v>
      </c>
      <c r="DD152" t="s">
        <v>2129</v>
      </c>
      <c r="DE152" t="s">
        <v>2129</v>
      </c>
      <c r="DF152" t="s">
        <v>2129</v>
      </c>
      <c r="DG152" t="s">
        <v>2129</v>
      </c>
      <c r="DH152" t="s">
        <v>2129</v>
      </c>
      <c r="DJ152" t="s">
        <v>2129</v>
      </c>
      <c r="DK152" t="s">
        <v>2129</v>
      </c>
      <c r="DL152" t="s">
        <v>2129</v>
      </c>
      <c r="DM152" t="s">
        <v>2129</v>
      </c>
      <c r="DN152" t="s">
        <v>2129</v>
      </c>
      <c r="DO152" t="s">
        <v>2129</v>
      </c>
      <c r="DP152" t="s">
        <v>2129</v>
      </c>
      <c r="DQ152" t="s">
        <v>2129</v>
      </c>
      <c r="DR152" t="s">
        <v>2129</v>
      </c>
      <c r="DS152" t="s">
        <v>2129</v>
      </c>
      <c r="DT152" t="s">
        <v>2129</v>
      </c>
      <c r="DU152" t="s">
        <v>2129</v>
      </c>
      <c r="DV152" t="s">
        <v>2129</v>
      </c>
      <c r="DW152" t="s">
        <v>2129</v>
      </c>
      <c r="DX152" t="s">
        <v>2129</v>
      </c>
      <c r="DY152" t="s">
        <v>2129</v>
      </c>
      <c r="DZ152" t="s">
        <v>2129</v>
      </c>
      <c r="EA152" t="s">
        <v>2129</v>
      </c>
      <c r="EB152" t="s">
        <v>2129</v>
      </c>
      <c r="EC152" t="s">
        <v>2129</v>
      </c>
      <c r="ED152" t="s">
        <v>2129</v>
      </c>
      <c r="EE152" t="s">
        <v>2129</v>
      </c>
      <c r="EF152" t="s">
        <v>2129</v>
      </c>
      <c r="EG152" t="s">
        <v>2129</v>
      </c>
      <c r="EH152" t="s">
        <v>2129</v>
      </c>
    </row>
    <row r="153" spans="1:138" x14ac:dyDescent="0.25">
      <c r="A153" t="s">
        <v>2890</v>
      </c>
      <c r="B153" t="s">
        <v>2889</v>
      </c>
      <c r="C153">
        <v>23104</v>
      </c>
      <c r="E153" t="s">
        <v>14</v>
      </c>
      <c r="F153" t="s">
        <v>1820</v>
      </c>
      <c r="G153" t="s">
        <v>2185</v>
      </c>
      <c r="H153" t="s">
        <v>41</v>
      </c>
      <c r="I153" t="s">
        <v>2127</v>
      </c>
      <c r="J153" t="s">
        <v>2128</v>
      </c>
      <c r="K153" t="s">
        <v>2186</v>
      </c>
      <c r="L153" t="s">
        <v>2187</v>
      </c>
      <c r="M153" t="s">
        <v>2130</v>
      </c>
      <c r="N153" t="s">
        <v>2129</v>
      </c>
      <c r="O153" t="s">
        <v>2160</v>
      </c>
      <c r="P153" t="s">
        <v>2190</v>
      </c>
      <c r="Q153" t="s">
        <v>2190</v>
      </c>
      <c r="R153" s="37">
        <v>46086.479861111111</v>
      </c>
      <c r="S153" s="37">
        <v>46099.466666666667</v>
      </c>
      <c r="T153" s="37">
        <v>46100.368750000001</v>
      </c>
      <c r="U153" s="37"/>
      <c r="V153" t="s">
        <v>2129</v>
      </c>
      <c r="W153" t="s">
        <v>2129</v>
      </c>
      <c r="X153" t="s">
        <v>2129</v>
      </c>
      <c r="Y153">
        <v>0</v>
      </c>
      <c r="Z153" t="s">
        <v>2129</v>
      </c>
      <c r="AA153" t="s">
        <v>4123</v>
      </c>
      <c r="AB153" t="s">
        <v>2129</v>
      </c>
      <c r="AC153" t="s">
        <v>2190</v>
      </c>
      <c r="AD153" t="s">
        <v>2128</v>
      </c>
      <c r="AE153" t="s">
        <v>2129</v>
      </c>
      <c r="AF153" t="s">
        <v>2129</v>
      </c>
      <c r="AG153" t="s">
        <v>2129</v>
      </c>
      <c r="AH153" t="s">
        <v>4124</v>
      </c>
      <c r="AI153" t="s">
        <v>4125</v>
      </c>
      <c r="AJ153" t="s">
        <v>4126</v>
      </c>
      <c r="AK153" t="s">
        <v>2129</v>
      </c>
      <c r="AL153" t="s">
        <v>2129</v>
      </c>
      <c r="AM153" t="s">
        <v>2129</v>
      </c>
      <c r="AN153" t="s">
        <v>2129</v>
      </c>
      <c r="AO153" t="s">
        <v>2129</v>
      </c>
      <c r="AP153" t="s">
        <v>2129</v>
      </c>
      <c r="AQ153" t="s">
        <v>2129</v>
      </c>
      <c r="AR153" t="s">
        <v>2129</v>
      </c>
      <c r="AS153" t="s">
        <v>2129</v>
      </c>
      <c r="AT153" t="s">
        <v>2129</v>
      </c>
      <c r="AU153" t="s">
        <v>2129</v>
      </c>
      <c r="AV153" t="s">
        <v>2129</v>
      </c>
      <c r="AW153" t="s">
        <v>2129</v>
      </c>
      <c r="AX153" t="s">
        <v>2129</v>
      </c>
      <c r="AY153" t="s">
        <v>2129</v>
      </c>
      <c r="AZ153" t="s">
        <v>2129</v>
      </c>
      <c r="BA153" t="s">
        <v>2129</v>
      </c>
      <c r="BB153" t="s">
        <v>2129</v>
      </c>
      <c r="BC153" t="s">
        <v>2129</v>
      </c>
      <c r="BD153" t="s">
        <v>2129</v>
      </c>
      <c r="BE153" t="s">
        <v>2129</v>
      </c>
      <c r="BF153" t="s">
        <v>2129</v>
      </c>
      <c r="BG153" t="s">
        <v>2129</v>
      </c>
      <c r="BH153" t="s">
        <v>2129</v>
      </c>
      <c r="BI153" t="s">
        <v>2129</v>
      </c>
      <c r="BJ153" t="s">
        <v>2129</v>
      </c>
      <c r="BK153" t="s">
        <v>2129</v>
      </c>
      <c r="BL153" t="s">
        <v>2129</v>
      </c>
      <c r="BM153" t="s">
        <v>2129</v>
      </c>
      <c r="BN153" t="s">
        <v>2129</v>
      </c>
      <c r="BO153" t="s">
        <v>2129</v>
      </c>
      <c r="BP153" t="s">
        <v>2129</v>
      </c>
      <c r="BQ153">
        <v>0</v>
      </c>
      <c r="BR153">
        <v>9000</v>
      </c>
      <c r="BS153" t="s">
        <v>2129</v>
      </c>
      <c r="BT153" t="s">
        <v>2129</v>
      </c>
      <c r="BU153">
        <v>0</v>
      </c>
      <c r="BV153">
        <v>9000</v>
      </c>
      <c r="BW153" t="s">
        <v>2129</v>
      </c>
      <c r="BX153" t="s">
        <v>2129</v>
      </c>
      <c r="BY153" t="s">
        <v>2129</v>
      </c>
      <c r="BZ153" t="s">
        <v>2129</v>
      </c>
      <c r="CA153" t="s">
        <v>2129</v>
      </c>
      <c r="CB153" t="s">
        <v>2129</v>
      </c>
      <c r="CC153" t="s">
        <v>2129</v>
      </c>
      <c r="CD153" t="s">
        <v>2129</v>
      </c>
      <c r="CE153" t="s">
        <v>2129</v>
      </c>
      <c r="CF153" t="s">
        <v>2129</v>
      </c>
      <c r="CG153" t="s">
        <v>2129</v>
      </c>
      <c r="CH153" t="s">
        <v>2129</v>
      </c>
      <c r="CI153" t="s">
        <v>2129</v>
      </c>
      <c r="CJ153" t="s">
        <v>2129</v>
      </c>
      <c r="CK153" t="s">
        <v>2129</v>
      </c>
      <c r="CL153" t="s">
        <v>2129</v>
      </c>
      <c r="CM153" t="s">
        <v>2129</v>
      </c>
      <c r="CN153" t="s">
        <v>2129</v>
      </c>
      <c r="CO153" t="s">
        <v>2129</v>
      </c>
      <c r="CP153" t="s">
        <v>2129</v>
      </c>
      <c r="CQ153" t="s">
        <v>2129</v>
      </c>
      <c r="CR153" t="s">
        <v>2129</v>
      </c>
      <c r="CS153" t="s">
        <v>2129</v>
      </c>
      <c r="CT153" t="s">
        <v>4127</v>
      </c>
      <c r="CU153" t="s">
        <v>3050</v>
      </c>
      <c r="CV153" t="s">
        <v>4043</v>
      </c>
      <c r="CW153" t="s">
        <v>2129</v>
      </c>
      <c r="CX153" t="s">
        <v>2129</v>
      </c>
      <c r="CY153" t="s">
        <v>2129</v>
      </c>
      <c r="CZ153" t="s">
        <v>2129</v>
      </c>
      <c r="DA153" t="s">
        <v>2129</v>
      </c>
      <c r="DB153" t="s">
        <v>2129</v>
      </c>
      <c r="DC153" t="s">
        <v>2129</v>
      </c>
      <c r="DD153" t="s">
        <v>2129</v>
      </c>
      <c r="DE153" t="s">
        <v>2129</v>
      </c>
      <c r="DF153" t="s">
        <v>2129</v>
      </c>
      <c r="DG153" t="s">
        <v>2129</v>
      </c>
      <c r="DH153" t="s">
        <v>2129</v>
      </c>
      <c r="DI153">
        <v>50</v>
      </c>
      <c r="DJ153" t="s">
        <v>2129</v>
      </c>
      <c r="DK153" t="s">
        <v>2129</v>
      </c>
      <c r="DL153" t="s">
        <v>4128</v>
      </c>
      <c r="DM153" t="s">
        <v>2129</v>
      </c>
      <c r="DN153" t="s">
        <v>2129</v>
      </c>
      <c r="DO153" t="s">
        <v>2129</v>
      </c>
      <c r="DP153" t="s">
        <v>2129</v>
      </c>
      <c r="DQ153" t="s">
        <v>2129</v>
      </c>
      <c r="DR153" t="s">
        <v>2129</v>
      </c>
      <c r="DS153" t="s">
        <v>2129</v>
      </c>
      <c r="DT153" t="s">
        <v>2129</v>
      </c>
      <c r="DU153" t="s">
        <v>2129</v>
      </c>
      <c r="DV153" t="s">
        <v>2129</v>
      </c>
      <c r="DW153" t="s">
        <v>2129</v>
      </c>
      <c r="DX153" t="s">
        <v>2129</v>
      </c>
      <c r="DY153" t="s">
        <v>2129</v>
      </c>
      <c r="DZ153" t="s">
        <v>2129</v>
      </c>
      <c r="EA153" t="s">
        <v>2129</v>
      </c>
      <c r="EB153" t="s">
        <v>2129</v>
      </c>
      <c r="EC153" t="s">
        <v>2129</v>
      </c>
      <c r="ED153" t="s">
        <v>2129</v>
      </c>
      <c r="EE153" t="s">
        <v>2129</v>
      </c>
      <c r="EF153" t="s">
        <v>2129</v>
      </c>
      <c r="EG153" t="s">
        <v>2129</v>
      </c>
      <c r="EH153" t="s">
        <v>2129</v>
      </c>
    </row>
    <row r="154" spans="1:138" x14ac:dyDescent="0.25">
      <c r="A154" t="s">
        <v>4129</v>
      </c>
      <c r="B154" t="s">
        <v>2884</v>
      </c>
      <c r="C154">
        <v>23065</v>
      </c>
      <c r="E154" t="s">
        <v>14</v>
      </c>
      <c r="F154" t="s">
        <v>16</v>
      </c>
      <c r="G154" t="s">
        <v>2185</v>
      </c>
      <c r="H154" t="s">
        <v>41</v>
      </c>
      <c r="I154" t="s">
        <v>2127</v>
      </c>
      <c r="J154" t="s">
        <v>2128</v>
      </c>
      <c r="K154" t="s">
        <v>2186</v>
      </c>
      <c r="L154" t="s">
        <v>2187</v>
      </c>
      <c r="M154" t="s">
        <v>2130</v>
      </c>
      <c r="N154" t="s">
        <v>16</v>
      </c>
      <c r="O154" t="s">
        <v>2190</v>
      </c>
      <c r="P154" t="s">
        <v>2190</v>
      </c>
      <c r="Q154" t="s">
        <v>2190</v>
      </c>
      <c r="R154" s="37">
        <v>46083.400694444441</v>
      </c>
      <c r="S154" s="37">
        <v>46098.563888888886</v>
      </c>
      <c r="T154" s="37">
        <v>46100.368750000001</v>
      </c>
      <c r="U154" s="37">
        <v>46097.618750000001</v>
      </c>
      <c r="V154" t="s">
        <v>2129</v>
      </c>
      <c r="W154" t="s">
        <v>2129</v>
      </c>
      <c r="X154" t="s">
        <v>2129</v>
      </c>
      <c r="Y154">
        <v>0</v>
      </c>
      <c r="Z154" t="s">
        <v>2129</v>
      </c>
      <c r="AA154" t="s">
        <v>4130</v>
      </c>
      <c r="AB154" t="s">
        <v>2129</v>
      </c>
      <c r="AC154" t="s">
        <v>2190</v>
      </c>
      <c r="AD154" t="s">
        <v>2129</v>
      </c>
      <c r="AE154" t="s">
        <v>2129</v>
      </c>
      <c r="AF154" t="s">
        <v>2129</v>
      </c>
      <c r="AG154" t="s">
        <v>2129</v>
      </c>
      <c r="AH154" t="s">
        <v>2129</v>
      </c>
      <c r="AI154" t="s">
        <v>2129</v>
      </c>
      <c r="AJ154" t="s">
        <v>2129</v>
      </c>
      <c r="AK154" t="s">
        <v>2129</v>
      </c>
      <c r="AL154" t="s">
        <v>2129</v>
      </c>
      <c r="AM154" t="s">
        <v>2129</v>
      </c>
      <c r="AN154" t="s">
        <v>2129</v>
      </c>
      <c r="AO154" t="s">
        <v>2129</v>
      </c>
      <c r="AP154" t="s">
        <v>2129</v>
      </c>
      <c r="AQ154" t="s">
        <v>2129</v>
      </c>
      <c r="AR154" t="s">
        <v>2129</v>
      </c>
      <c r="AS154" t="s">
        <v>2129</v>
      </c>
      <c r="AT154" t="s">
        <v>2129</v>
      </c>
      <c r="AU154" t="s">
        <v>2129</v>
      </c>
      <c r="AV154" t="s">
        <v>2129</v>
      </c>
      <c r="AW154" t="s">
        <v>2129</v>
      </c>
      <c r="AX154" t="s">
        <v>2129</v>
      </c>
      <c r="AY154" t="s">
        <v>2129</v>
      </c>
      <c r="AZ154" t="s">
        <v>2129</v>
      </c>
      <c r="BA154" t="s">
        <v>2129</v>
      </c>
      <c r="BB154" t="s">
        <v>2129</v>
      </c>
      <c r="BC154" t="s">
        <v>2129</v>
      </c>
      <c r="BD154" t="s">
        <v>2129</v>
      </c>
      <c r="BE154" t="s">
        <v>2129</v>
      </c>
      <c r="BF154" t="s">
        <v>2129</v>
      </c>
      <c r="BG154" t="s">
        <v>2129</v>
      </c>
      <c r="BH154" t="s">
        <v>2129</v>
      </c>
      <c r="BI154" t="s">
        <v>2129</v>
      </c>
      <c r="BJ154" t="s">
        <v>2129</v>
      </c>
      <c r="BK154" t="s">
        <v>2129</v>
      </c>
      <c r="BL154" t="s">
        <v>2129</v>
      </c>
      <c r="BM154" t="s">
        <v>2129</v>
      </c>
      <c r="BN154" t="s">
        <v>2129</v>
      </c>
      <c r="BO154" t="s">
        <v>2129</v>
      </c>
      <c r="BP154" t="s">
        <v>2129</v>
      </c>
      <c r="BS154" t="s">
        <v>2129</v>
      </c>
      <c r="BT154" t="s">
        <v>2129</v>
      </c>
      <c r="BW154" t="s">
        <v>2129</v>
      </c>
      <c r="BX154" t="s">
        <v>2129</v>
      </c>
      <c r="BY154" t="s">
        <v>2129</v>
      </c>
      <c r="BZ154" t="s">
        <v>2129</v>
      </c>
      <c r="CA154" t="s">
        <v>2129</v>
      </c>
      <c r="CB154" t="s">
        <v>2129</v>
      </c>
      <c r="CC154" t="s">
        <v>2129</v>
      </c>
      <c r="CD154" t="s">
        <v>2129</v>
      </c>
      <c r="CE154" t="s">
        <v>2129</v>
      </c>
      <c r="CF154" t="s">
        <v>2129</v>
      </c>
      <c r="CG154" t="s">
        <v>2129</v>
      </c>
      <c r="CH154" t="s">
        <v>2129</v>
      </c>
      <c r="CI154" t="s">
        <v>2129</v>
      </c>
      <c r="CJ154" t="s">
        <v>2129</v>
      </c>
      <c r="CK154" t="s">
        <v>2129</v>
      </c>
      <c r="CL154" t="s">
        <v>2129</v>
      </c>
      <c r="CM154" t="s">
        <v>2913</v>
      </c>
      <c r="CN154" t="s">
        <v>2129</v>
      </c>
      <c r="CO154" t="s">
        <v>2129</v>
      </c>
      <c r="CP154" t="s">
        <v>2129</v>
      </c>
      <c r="CQ154" t="s">
        <v>2129</v>
      </c>
      <c r="CR154" t="s">
        <v>2129</v>
      </c>
      <c r="CS154" t="s">
        <v>2129</v>
      </c>
      <c r="CT154" t="s">
        <v>4131</v>
      </c>
      <c r="CU154" t="s">
        <v>3050</v>
      </c>
      <c r="CV154" t="s">
        <v>2129</v>
      </c>
      <c r="CW154" t="s">
        <v>2129</v>
      </c>
      <c r="CX154" t="s">
        <v>2129</v>
      </c>
      <c r="CY154" t="s">
        <v>2129</v>
      </c>
      <c r="CZ154" t="s">
        <v>2129</v>
      </c>
      <c r="DA154" t="s">
        <v>2129</v>
      </c>
      <c r="DB154" t="s">
        <v>2129</v>
      </c>
      <c r="DC154" t="s">
        <v>2129</v>
      </c>
      <c r="DD154" t="s">
        <v>2129</v>
      </c>
      <c r="DE154" t="s">
        <v>2129</v>
      </c>
      <c r="DF154" t="s">
        <v>2129</v>
      </c>
      <c r="DG154" t="s">
        <v>2129</v>
      </c>
      <c r="DH154" t="s">
        <v>2129</v>
      </c>
      <c r="DI154">
        <v>80</v>
      </c>
      <c r="DJ154" t="s">
        <v>2129</v>
      </c>
      <c r="DK154" t="s">
        <v>2129</v>
      </c>
      <c r="DL154" t="s">
        <v>2129</v>
      </c>
      <c r="DM154" t="s">
        <v>2129</v>
      </c>
      <c r="DN154" t="s">
        <v>2129</v>
      </c>
      <c r="DO154" t="s">
        <v>2129</v>
      </c>
      <c r="DP154" t="s">
        <v>2129</v>
      </c>
      <c r="DQ154" t="s">
        <v>2129</v>
      </c>
      <c r="DR154" t="s">
        <v>2129</v>
      </c>
      <c r="DS154" t="s">
        <v>2129</v>
      </c>
      <c r="DT154" t="s">
        <v>2129</v>
      </c>
      <c r="DU154" t="s">
        <v>2129</v>
      </c>
      <c r="DV154" t="s">
        <v>2129</v>
      </c>
      <c r="DW154" t="s">
        <v>2129</v>
      </c>
      <c r="DX154" t="s">
        <v>2129</v>
      </c>
      <c r="DY154" t="s">
        <v>2129</v>
      </c>
      <c r="DZ154" t="s">
        <v>2129</v>
      </c>
      <c r="EA154" t="s">
        <v>2129</v>
      </c>
      <c r="EB154" t="s">
        <v>2129</v>
      </c>
      <c r="EC154" t="s">
        <v>2129</v>
      </c>
      <c r="ED154" t="s">
        <v>2129</v>
      </c>
      <c r="EE154" t="s">
        <v>2129</v>
      </c>
      <c r="EF154" t="s">
        <v>2129</v>
      </c>
      <c r="EG154" t="s">
        <v>2129</v>
      </c>
      <c r="EH154" t="s">
        <v>2129</v>
      </c>
    </row>
    <row r="155" spans="1:138" x14ac:dyDescent="0.25">
      <c r="A155" t="s">
        <v>2888</v>
      </c>
      <c r="B155" t="s">
        <v>2887</v>
      </c>
      <c r="C155">
        <v>23052</v>
      </c>
      <c r="E155" t="s">
        <v>2886</v>
      </c>
      <c r="F155" t="s">
        <v>16</v>
      </c>
      <c r="G155" t="s">
        <v>2185</v>
      </c>
      <c r="H155" t="s">
        <v>41</v>
      </c>
      <c r="I155" t="s">
        <v>2127</v>
      </c>
      <c r="J155" t="s">
        <v>2128</v>
      </c>
      <c r="K155" t="s">
        <v>2186</v>
      </c>
      <c r="L155" t="s">
        <v>2187</v>
      </c>
      <c r="M155" t="s">
        <v>2130</v>
      </c>
      <c r="N155" t="s">
        <v>2153</v>
      </c>
      <c r="O155" t="s">
        <v>2182</v>
      </c>
      <c r="P155" t="s">
        <v>2190</v>
      </c>
      <c r="Q155" t="s">
        <v>2190</v>
      </c>
      <c r="R155" s="37">
        <v>46079.606944444444</v>
      </c>
      <c r="S155" s="37">
        <v>46097.615972222222</v>
      </c>
      <c r="T155" s="37">
        <v>46100.368750000001</v>
      </c>
      <c r="U155" s="37">
        <v>46097.615972222222</v>
      </c>
      <c r="V155" t="s">
        <v>2129</v>
      </c>
      <c r="W155" t="s">
        <v>2129</v>
      </c>
      <c r="X155" t="s">
        <v>2129</v>
      </c>
      <c r="Y155">
        <v>0</v>
      </c>
      <c r="Z155" t="s">
        <v>2129</v>
      </c>
      <c r="AA155" t="s">
        <v>4132</v>
      </c>
      <c r="AB155" t="s">
        <v>2129</v>
      </c>
      <c r="AC155" t="s">
        <v>2190</v>
      </c>
      <c r="AD155" t="s">
        <v>2128</v>
      </c>
      <c r="AE155" t="s">
        <v>2129</v>
      </c>
      <c r="AF155" t="s">
        <v>2129</v>
      </c>
      <c r="AG155" t="s">
        <v>2129</v>
      </c>
      <c r="AH155" t="s">
        <v>4133</v>
      </c>
      <c r="AI155" t="s">
        <v>4134</v>
      </c>
      <c r="AJ155" t="s">
        <v>4135</v>
      </c>
      <c r="AK155" t="s">
        <v>4136</v>
      </c>
      <c r="AL155" t="s">
        <v>4137</v>
      </c>
      <c r="AM155" t="s">
        <v>2129</v>
      </c>
      <c r="AN155" t="s">
        <v>2129</v>
      </c>
      <c r="AO155" t="s">
        <v>2129</v>
      </c>
      <c r="AP155" t="s">
        <v>2129</v>
      </c>
      <c r="AQ155" t="s">
        <v>2129</v>
      </c>
      <c r="AR155" t="s">
        <v>2129</v>
      </c>
      <c r="AS155" t="s">
        <v>2129</v>
      </c>
      <c r="AT155" t="s">
        <v>2129</v>
      </c>
      <c r="AU155" t="s">
        <v>2129</v>
      </c>
      <c r="AV155" t="s">
        <v>2129</v>
      </c>
      <c r="AW155" t="s">
        <v>2129</v>
      </c>
      <c r="AX155" t="s">
        <v>2129</v>
      </c>
      <c r="AY155" t="s">
        <v>2129</v>
      </c>
      <c r="AZ155" t="s">
        <v>2129</v>
      </c>
      <c r="BA155" t="s">
        <v>2129</v>
      </c>
      <c r="BB155" t="s">
        <v>2129</v>
      </c>
      <c r="BC155" t="s">
        <v>2129</v>
      </c>
      <c r="BD155" t="s">
        <v>2129</v>
      </c>
      <c r="BE155" t="s">
        <v>2129</v>
      </c>
      <c r="BF155" t="s">
        <v>2129</v>
      </c>
      <c r="BG155" t="s">
        <v>2129</v>
      </c>
      <c r="BH155" t="s">
        <v>2129</v>
      </c>
      <c r="BI155" t="s">
        <v>2129</v>
      </c>
      <c r="BJ155" t="s">
        <v>2129</v>
      </c>
      <c r="BK155" t="s">
        <v>2129</v>
      </c>
      <c r="BL155" t="s">
        <v>2129</v>
      </c>
      <c r="BM155" t="s">
        <v>2129</v>
      </c>
      <c r="BN155" t="s">
        <v>2129</v>
      </c>
      <c r="BO155" t="s">
        <v>2129</v>
      </c>
      <c r="BP155" t="s">
        <v>2129</v>
      </c>
      <c r="BQ155">
        <v>0</v>
      </c>
      <c r="BR155">
        <v>50400</v>
      </c>
      <c r="BS155" t="s">
        <v>2129</v>
      </c>
      <c r="BT155" t="s">
        <v>2129</v>
      </c>
      <c r="BU155">
        <v>0</v>
      </c>
      <c r="BV155">
        <v>50400</v>
      </c>
      <c r="BW155" t="s">
        <v>2129</v>
      </c>
      <c r="BX155" t="s">
        <v>2129</v>
      </c>
      <c r="BY155" t="s">
        <v>2129</v>
      </c>
      <c r="BZ155" t="s">
        <v>2129</v>
      </c>
      <c r="CA155" t="s">
        <v>2129</v>
      </c>
      <c r="CB155" t="s">
        <v>2129</v>
      </c>
      <c r="CC155" t="s">
        <v>2129</v>
      </c>
      <c r="CD155" t="s">
        <v>2129</v>
      </c>
      <c r="CE155" t="s">
        <v>2129</v>
      </c>
      <c r="CF155" t="s">
        <v>2129</v>
      </c>
      <c r="CG155" t="s">
        <v>2129</v>
      </c>
      <c r="CH155" t="s">
        <v>2129</v>
      </c>
      <c r="CI155" t="s">
        <v>2129</v>
      </c>
      <c r="CJ155" t="s">
        <v>2129</v>
      </c>
      <c r="CK155" t="s">
        <v>2129</v>
      </c>
      <c r="CL155" t="s">
        <v>2129</v>
      </c>
      <c r="CM155" t="s">
        <v>2913</v>
      </c>
      <c r="CN155" t="s">
        <v>2129</v>
      </c>
      <c r="CO155" t="s">
        <v>2129</v>
      </c>
      <c r="CP155" t="s">
        <v>2129</v>
      </c>
      <c r="CQ155" t="s">
        <v>2129</v>
      </c>
      <c r="CR155" t="s">
        <v>2129</v>
      </c>
      <c r="CS155" t="s">
        <v>2129</v>
      </c>
      <c r="CT155" t="s">
        <v>4138</v>
      </c>
      <c r="CU155" t="s">
        <v>3050</v>
      </c>
      <c r="CV155" t="s">
        <v>2129</v>
      </c>
      <c r="CW155" t="s">
        <v>2129</v>
      </c>
      <c r="CX155" t="s">
        <v>2129</v>
      </c>
      <c r="CY155" t="s">
        <v>2129</v>
      </c>
      <c r="CZ155" t="s">
        <v>2129</v>
      </c>
      <c r="DA155" t="s">
        <v>2129</v>
      </c>
      <c r="DB155" t="s">
        <v>2129</v>
      </c>
      <c r="DC155" t="s">
        <v>2129</v>
      </c>
      <c r="DD155" t="s">
        <v>2129</v>
      </c>
      <c r="DE155" t="s">
        <v>2129</v>
      </c>
      <c r="DF155" t="s">
        <v>2129</v>
      </c>
      <c r="DG155" t="s">
        <v>2129</v>
      </c>
      <c r="DH155" t="s">
        <v>2129</v>
      </c>
      <c r="DI155">
        <v>30</v>
      </c>
      <c r="DJ155" t="s">
        <v>2129</v>
      </c>
      <c r="DK155" t="s">
        <v>2129</v>
      </c>
      <c r="DL155" t="s">
        <v>2129</v>
      </c>
      <c r="DM155" t="s">
        <v>2129</v>
      </c>
      <c r="DN155" t="s">
        <v>2129</v>
      </c>
      <c r="DO155" t="s">
        <v>2129</v>
      </c>
      <c r="DP155" t="s">
        <v>2129</v>
      </c>
      <c r="DQ155" t="s">
        <v>2129</v>
      </c>
      <c r="DR155" t="s">
        <v>2129</v>
      </c>
      <c r="DS155" t="s">
        <v>2129</v>
      </c>
      <c r="DT155" t="s">
        <v>2129</v>
      </c>
      <c r="DU155" t="s">
        <v>2129</v>
      </c>
      <c r="DV155" t="s">
        <v>2129</v>
      </c>
      <c r="DW155" t="s">
        <v>2129</v>
      </c>
      <c r="DX155" t="s">
        <v>2129</v>
      </c>
      <c r="DY155" t="s">
        <v>2129</v>
      </c>
      <c r="DZ155" t="s">
        <v>2129</v>
      </c>
      <c r="EA155" t="s">
        <v>2129</v>
      </c>
      <c r="EB155" t="s">
        <v>2129</v>
      </c>
      <c r="EC155" t="s">
        <v>2129</v>
      </c>
      <c r="ED155" t="s">
        <v>2129</v>
      </c>
      <c r="EE155" t="s">
        <v>2129</v>
      </c>
      <c r="EF155" t="s">
        <v>2129</v>
      </c>
      <c r="EG155" t="s">
        <v>2129</v>
      </c>
      <c r="EH155" t="s">
        <v>2129</v>
      </c>
    </row>
    <row r="156" spans="1:138" x14ac:dyDescent="0.25">
      <c r="A156" t="s">
        <v>4139</v>
      </c>
      <c r="B156" t="s">
        <v>4140</v>
      </c>
      <c r="C156">
        <v>23045</v>
      </c>
      <c r="E156" t="s">
        <v>14</v>
      </c>
      <c r="F156" t="s">
        <v>10</v>
      </c>
      <c r="G156" t="s">
        <v>2185</v>
      </c>
      <c r="H156" t="s">
        <v>41</v>
      </c>
      <c r="I156" t="s">
        <v>2127</v>
      </c>
      <c r="J156" t="s">
        <v>2128</v>
      </c>
      <c r="K156" t="s">
        <v>2186</v>
      </c>
      <c r="L156" t="s">
        <v>2187</v>
      </c>
      <c r="M156" t="s">
        <v>4141</v>
      </c>
      <c r="N156" t="s">
        <v>2129</v>
      </c>
      <c r="O156" t="s">
        <v>2129</v>
      </c>
      <c r="P156" t="s">
        <v>2190</v>
      </c>
      <c r="Q156" t="s">
        <v>2190</v>
      </c>
      <c r="R156" s="37">
        <v>46078.65902777778</v>
      </c>
      <c r="S156" s="37">
        <v>46098.370833333334</v>
      </c>
      <c r="T156" s="37">
        <v>46100.368750000001</v>
      </c>
      <c r="U156" s="37"/>
      <c r="V156" t="s">
        <v>2129</v>
      </c>
      <c r="W156" t="s">
        <v>2129</v>
      </c>
      <c r="X156" t="s">
        <v>2129</v>
      </c>
      <c r="Y156">
        <v>0</v>
      </c>
      <c r="Z156" t="s">
        <v>2129</v>
      </c>
      <c r="AA156" t="s">
        <v>4142</v>
      </c>
      <c r="AB156" t="s">
        <v>2129</v>
      </c>
      <c r="AC156" t="s">
        <v>2190</v>
      </c>
      <c r="AD156" t="s">
        <v>2129</v>
      </c>
      <c r="AE156" t="s">
        <v>2129</v>
      </c>
      <c r="AF156" t="s">
        <v>2129</v>
      </c>
      <c r="AG156" t="s">
        <v>2129</v>
      </c>
      <c r="AH156" t="s">
        <v>2129</v>
      </c>
      <c r="AI156" t="s">
        <v>2129</v>
      </c>
      <c r="AJ156" t="s">
        <v>2129</v>
      </c>
      <c r="AK156" t="s">
        <v>2129</v>
      </c>
      <c r="AL156" t="s">
        <v>2129</v>
      </c>
      <c r="AM156" t="s">
        <v>2129</v>
      </c>
      <c r="AN156" t="s">
        <v>2129</v>
      </c>
      <c r="AO156" t="s">
        <v>2129</v>
      </c>
      <c r="AP156" t="s">
        <v>2129</v>
      </c>
      <c r="AQ156" t="s">
        <v>2129</v>
      </c>
      <c r="AR156" t="s">
        <v>2129</v>
      </c>
      <c r="AS156" t="s">
        <v>2129</v>
      </c>
      <c r="AT156" t="s">
        <v>2129</v>
      </c>
      <c r="AU156" t="s">
        <v>2129</v>
      </c>
      <c r="AV156" t="s">
        <v>2129</v>
      </c>
      <c r="AW156" t="s">
        <v>2129</v>
      </c>
      <c r="AX156" t="s">
        <v>2129</v>
      </c>
      <c r="AY156" t="s">
        <v>2129</v>
      </c>
      <c r="AZ156" t="s">
        <v>2129</v>
      </c>
      <c r="BA156" t="s">
        <v>2129</v>
      </c>
      <c r="BB156" t="s">
        <v>2129</v>
      </c>
      <c r="BC156" t="s">
        <v>2129</v>
      </c>
      <c r="BD156" t="s">
        <v>2129</v>
      </c>
      <c r="BE156" t="s">
        <v>2129</v>
      </c>
      <c r="BF156" t="s">
        <v>2129</v>
      </c>
      <c r="BG156" t="s">
        <v>2129</v>
      </c>
      <c r="BH156" t="s">
        <v>2129</v>
      </c>
      <c r="BI156" t="s">
        <v>2129</v>
      </c>
      <c r="BJ156" t="s">
        <v>2129</v>
      </c>
      <c r="BK156" t="s">
        <v>2129</v>
      </c>
      <c r="BL156" t="s">
        <v>2129</v>
      </c>
      <c r="BM156" t="s">
        <v>2129</v>
      </c>
      <c r="BN156" t="s">
        <v>2129</v>
      </c>
      <c r="BO156" t="s">
        <v>2129</v>
      </c>
      <c r="BP156" t="s">
        <v>2129</v>
      </c>
      <c r="BS156" t="s">
        <v>2129</v>
      </c>
      <c r="BT156" t="s">
        <v>2129</v>
      </c>
      <c r="BW156" t="s">
        <v>2129</v>
      </c>
      <c r="BX156" t="s">
        <v>2129</v>
      </c>
      <c r="BY156" t="s">
        <v>2129</v>
      </c>
      <c r="BZ156" t="s">
        <v>2129</v>
      </c>
      <c r="CA156" t="s">
        <v>2129</v>
      </c>
      <c r="CB156" t="s">
        <v>2129</v>
      </c>
      <c r="CC156" t="s">
        <v>2129</v>
      </c>
      <c r="CD156" t="s">
        <v>2129</v>
      </c>
      <c r="CE156" t="s">
        <v>2129</v>
      </c>
      <c r="CF156" t="s">
        <v>2129</v>
      </c>
      <c r="CG156" t="s">
        <v>2129</v>
      </c>
      <c r="CH156" t="s">
        <v>2129</v>
      </c>
      <c r="CI156" t="s">
        <v>2129</v>
      </c>
      <c r="CJ156" t="s">
        <v>2129</v>
      </c>
      <c r="CK156" t="s">
        <v>2129</v>
      </c>
      <c r="CL156" t="s">
        <v>2129</v>
      </c>
      <c r="CM156" t="s">
        <v>3058</v>
      </c>
      <c r="CN156" t="s">
        <v>2129</v>
      </c>
      <c r="CO156" t="s">
        <v>2129</v>
      </c>
      <c r="CP156" t="s">
        <v>2129</v>
      </c>
      <c r="CQ156" t="s">
        <v>2129</v>
      </c>
      <c r="CR156" t="s">
        <v>2129</v>
      </c>
      <c r="CS156" t="s">
        <v>2129</v>
      </c>
      <c r="CT156" t="s">
        <v>4143</v>
      </c>
      <c r="CU156" t="s">
        <v>2129</v>
      </c>
      <c r="CV156" t="s">
        <v>2129</v>
      </c>
      <c r="CW156" t="s">
        <v>2129</v>
      </c>
      <c r="CX156" t="s">
        <v>2129</v>
      </c>
      <c r="CY156" t="s">
        <v>2129</v>
      </c>
      <c r="CZ156" t="s">
        <v>2129</v>
      </c>
      <c r="DA156" t="s">
        <v>2129</v>
      </c>
      <c r="DB156" t="s">
        <v>2129</v>
      </c>
      <c r="DC156" t="s">
        <v>2129</v>
      </c>
      <c r="DD156" t="s">
        <v>2129</v>
      </c>
      <c r="DE156" t="s">
        <v>2129</v>
      </c>
      <c r="DF156" t="s">
        <v>2129</v>
      </c>
      <c r="DG156" t="s">
        <v>2129</v>
      </c>
      <c r="DH156" t="s">
        <v>2129</v>
      </c>
      <c r="DJ156" t="s">
        <v>2129</v>
      </c>
      <c r="DK156" t="s">
        <v>2129</v>
      </c>
      <c r="DL156" t="s">
        <v>2129</v>
      </c>
      <c r="DM156" t="s">
        <v>2129</v>
      </c>
      <c r="DN156" t="s">
        <v>2129</v>
      </c>
      <c r="DO156" t="s">
        <v>2129</v>
      </c>
      <c r="DP156" t="s">
        <v>2129</v>
      </c>
      <c r="DQ156" t="s">
        <v>2129</v>
      </c>
      <c r="DR156" t="s">
        <v>2129</v>
      </c>
      <c r="DS156" t="s">
        <v>2129</v>
      </c>
      <c r="DT156" t="s">
        <v>2129</v>
      </c>
      <c r="DU156" t="s">
        <v>2129</v>
      </c>
      <c r="DV156" t="s">
        <v>2129</v>
      </c>
      <c r="DW156" t="s">
        <v>2129</v>
      </c>
      <c r="DX156" t="s">
        <v>2129</v>
      </c>
      <c r="DY156" t="s">
        <v>2129</v>
      </c>
      <c r="DZ156" t="s">
        <v>2129</v>
      </c>
      <c r="EA156" t="s">
        <v>2129</v>
      </c>
      <c r="EB156" t="s">
        <v>2129</v>
      </c>
      <c r="EC156" t="s">
        <v>2129</v>
      </c>
      <c r="ED156" t="s">
        <v>2129</v>
      </c>
      <c r="EE156" t="s">
        <v>2129</v>
      </c>
      <c r="EF156" t="s">
        <v>2129</v>
      </c>
      <c r="EG156" t="s">
        <v>2129</v>
      </c>
      <c r="EH156" t="s">
        <v>2129</v>
      </c>
    </row>
    <row r="157" spans="1:138" x14ac:dyDescent="0.25">
      <c r="A157" t="s">
        <v>4144</v>
      </c>
      <c r="B157" t="s">
        <v>4145</v>
      </c>
      <c r="C157">
        <v>23043</v>
      </c>
      <c r="E157" t="s">
        <v>14</v>
      </c>
      <c r="F157" t="s">
        <v>10</v>
      </c>
      <c r="G157" t="s">
        <v>2185</v>
      </c>
      <c r="H157" t="s">
        <v>41</v>
      </c>
      <c r="I157" t="s">
        <v>2127</v>
      </c>
      <c r="J157" t="s">
        <v>2128</v>
      </c>
      <c r="K157" t="s">
        <v>2186</v>
      </c>
      <c r="L157" t="s">
        <v>2187</v>
      </c>
      <c r="M157" t="s">
        <v>4141</v>
      </c>
      <c r="N157" t="s">
        <v>2129</v>
      </c>
      <c r="O157" t="s">
        <v>2129</v>
      </c>
      <c r="P157" t="s">
        <v>2190</v>
      </c>
      <c r="Q157" t="s">
        <v>2190</v>
      </c>
      <c r="R157" s="37">
        <v>46078.656944444447</v>
      </c>
      <c r="S157" s="37">
        <v>46098.370833333334</v>
      </c>
      <c r="T157" s="37">
        <v>46100.368750000001</v>
      </c>
      <c r="U157" s="37"/>
      <c r="V157" t="s">
        <v>2129</v>
      </c>
      <c r="W157" t="s">
        <v>2129</v>
      </c>
      <c r="X157" t="s">
        <v>2129</v>
      </c>
      <c r="Y157">
        <v>0</v>
      </c>
      <c r="Z157" t="s">
        <v>2129</v>
      </c>
      <c r="AA157" t="s">
        <v>4146</v>
      </c>
      <c r="AB157" t="s">
        <v>2129</v>
      </c>
      <c r="AC157" t="s">
        <v>2190</v>
      </c>
      <c r="AD157" t="s">
        <v>2129</v>
      </c>
      <c r="AE157" t="s">
        <v>2129</v>
      </c>
      <c r="AF157" t="s">
        <v>2129</v>
      </c>
      <c r="AG157" t="s">
        <v>2129</v>
      </c>
      <c r="AH157" t="s">
        <v>2129</v>
      </c>
      <c r="AI157" t="s">
        <v>2129</v>
      </c>
      <c r="AJ157" t="s">
        <v>2129</v>
      </c>
      <c r="AK157" t="s">
        <v>2129</v>
      </c>
      <c r="AL157" t="s">
        <v>2129</v>
      </c>
      <c r="AM157" t="s">
        <v>2129</v>
      </c>
      <c r="AN157" t="s">
        <v>2129</v>
      </c>
      <c r="AO157" t="s">
        <v>2129</v>
      </c>
      <c r="AP157" t="s">
        <v>2129</v>
      </c>
      <c r="AQ157" t="s">
        <v>2129</v>
      </c>
      <c r="AR157" t="s">
        <v>2129</v>
      </c>
      <c r="AS157" t="s">
        <v>2129</v>
      </c>
      <c r="AT157" t="s">
        <v>2129</v>
      </c>
      <c r="AU157" t="s">
        <v>2129</v>
      </c>
      <c r="AV157" t="s">
        <v>2129</v>
      </c>
      <c r="AW157" t="s">
        <v>2129</v>
      </c>
      <c r="AX157" t="s">
        <v>2129</v>
      </c>
      <c r="AY157" t="s">
        <v>2129</v>
      </c>
      <c r="AZ157" t="s">
        <v>2129</v>
      </c>
      <c r="BA157" t="s">
        <v>2129</v>
      </c>
      <c r="BB157" t="s">
        <v>2129</v>
      </c>
      <c r="BC157" t="s">
        <v>2129</v>
      </c>
      <c r="BD157" t="s">
        <v>2129</v>
      </c>
      <c r="BE157" t="s">
        <v>2129</v>
      </c>
      <c r="BF157" t="s">
        <v>2129</v>
      </c>
      <c r="BG157" t="s">
        <v>2129</v>
      </c>
      <c r="BH157" t="s">
        <v>2129</v>
      </c>
      <c r="BI157" t="s">
        <v>2129</v>
      </c>
      <c r="BJ157" t="s">
        <v>2129</v>
      </c>
      <c r="BK157" t="s">
        <v>2129</v>
      </c>
      <c r="BL157" t="s">
        <v>2129</v>
      </c>
      <c r="BM157" t="s">
        <v>2129</v>
      </c>
      <c r="BN157" t="s">
        <v>2129</v>
      </c>
      <c r="BO157" t="s">
        <v>2129</v>
      </c>
      <c r="BP157" t="s">
        <v>2129</v>
      </c>
      <c r="BS157" t="s">
        <v>2129</v>
      </c>
      <c r="BT157" t="s">
        <v>2129</v>
      </c>
      <c r="BW157" t="s">
        <v>2129</v>
      </c>
      <c r="BX157" t="s">
        <v>2129</v>
      </c>
      <c r="BY157" t="s">
        <v>2129</v>
      </c>
      <c r="BZ157" t="s">
        <v>2129</v>
      </c>
      <c r="CA157" t="s">
        <v>2129</v>
      </c>
      <c r="CB157" t="s">
        <v>2129</v>
      </c>
      <c r="CC157" t="s">
        <v>2129</v>
      </c>
      <c r="CD157" t="s">
        <v>2129</v>
      </c>
      <c r="CE157" t="s">
        <v>2129</v>
      </c>
      <c r="CF157" t="s">
        <v>2129</v>
      </c>
      <c r="CG157" t="s">
        <v>2129</v>
      </c>
      <c r="CH157" t="s">
        <v>2129</v>
      </c>
      <c r="CI157" t="s">
        <v>2129</v>
      </c>
      <c r="CJ157" t="s">
        <v>2129</v>
      </c>
      <c r="CK157" t="s">
        <v>2129</v>
      </c>
      <c r="CL157" t="s">
        <v>2129</v>
      </c>
      <c r="CM157" t="s">
        <v>3058</v>
      </c>
      <c r="CN157" t="s">
        <v>2129</v>
      </c>
      <c r="CO157" t="s">
        <v>2129</v>
      </c>
      <c r="CP157" t="s">
        <v>2129</v>
      </c>
      <c r="CQ157" t="s">
        <v>2129</v>
      </c>
      <c r="CR157" t="s">
        <v>2129</v>
      </c>
      <c r="CS157" t="s">
        <v>2129</v>
      </c>
      <c r="CT157" t="s">
        <v>4147</v>
      </c>
      <c r="CU157" t="s">
        <v>2129</v>
      </c>
      <c r="CV157" t="s">
        <v>2129</v>
      </c>
      <c r="CW157" t="s">
        <v>2129</v>
      </c>
      <c r="CX157" t="s">
        <v>2129</v>
      </c>
      <c r="CY157" t="s">
        <v>2129</v>
      </c>
      <c r="CZ157" t="s">
        <v>2129</v>
      </c>
      <c r="DA157" t="s">
        <v>2129</v>
      </c>
      <c r="DB157" t="s">
        <v>2129</v>
      </c>
      <c r="DC157" t="s">
        <v>2129</v>
      </c>
      <c r="DD157" t="s">
        <v>2129</v>
      </c>
      <c r="DE157" t="s">
        <v>2129</v>
      </c>
      <c r="DF157" t="s">
        <v>2129</v>
      </c>
      <c r="DG157" t="s">
        <v>2129</v>
      </c>
      <c r="DH157" t="s">
        <v>2129</v>
      </c>
      <c r="DJ157" t="s">
        <v>2129</v>
      </c>
      <c r="DK157" t="s">
        <v>2129</v>
      </c>
      <c r="DL157" t="s">
        <v>2129</v>
      </c>
      <c r="DM157" t="s">
        <v>2129</v>
      </c>
      <c r="DN157" t="s">
        <v>2129</v>
      </c>
      <c r="DO157" t="s">
        <v>2129</v>
      </c>
      <c r="DP157" t="s">
        <v>2129</v>
      </c>
      <c r="DQ157" t="s">
        <v>2129</v>
      </c>
      <c r="DR157" t="s">
        <v>2129</v>
      </c>
      <c r="DS157" t="s">
        <v>2129</v>
      </c>
      <c r="DT157" t="s">
        <v>2129</v>
      </c>
      <c r="DU157" t="s">
        <v>2129</v>
      </c>
      <c r="DV157" t="s">
        <v>2129</v>
      </c>
      <c r="DW157" t="s">
        <v>2129</v>
      </c>
      <c r="DX157" t="s">
        <v>2129</v>
      </c>
      <c r="DY157" t="s">
        <v>2129</v>
      </c>
      <c r="DZ157" t="s">
        <v>2129</v>
      </c>
      <c r="EA157" t="s">
        <v>2129</v>
      </c>
      <c r="EB157" t="s">
        <v>2129</v>
      </c>
      <c r="EC157" t="s">
        <v>2129</v>
      </c>
      <c r="ED157" t="s">
        <v>2129</v>
      </c>
      <c r="EE157" t="s">
        <v>2129</v>
      </c>
      <c r="EF157" t="s">
        <v>2129</v>
      </c>
      <c r="EG157" t="s">
        <v>2129</v>
      </c>
      <c r="EH157" t="s">
        <v>2129</v>
      </c>
    </row>
    <row r="158" spans="1:138" x14ac:dyDescent="0.25">
      <c r="A158" t="s">
        <v>2839</v>
      </c>
      <c r="B158" t="s">
        <v>2838</v>
      </c>
      <c r="C158">
        <v>23017</v>
      </c>
      <c r="E158" t="s">
        <v>77</v>
      </c>
      <c r="F158" t="s">
        <v>16</v>
      </c>
      <c r="G158" t="s">
        <v>2185</v>
      </c>
      <c r="H158" t="s">
        <v>41</v>
      </c>
      <c r="I158" t="s">
        <v>2127</v>
      </c>
      <c r="J158" t="s">
        <v>2128</v>
      </c>
      <c r="K158" t="s">
        <v>2186</v>
      </c>
      <c r="L158" t="s">
        <v>2187</v>
      </c>
      <c r="M158" t="s">
        <v>2130</v>
      </c>
      <c r="N158" t="s">
        <v>2153</v>
      </c>
      <c r="O158" t="s">
        <v>2182</v>
      </c>
      <c r="P158" t="s">
        <v>2128</v>
      </c>
      <c r="Q158" t="s">
        <v>2128</v>
      </c>
      <c r="R158" s="37">
        <v>46073.654861111114</v>
      </c>
      <c r="S158" s="37">
        <v>46090.698611111111</v>
      </c>
      <c r="T158" s="37">
        <v>46100.368750000001</v>
      </c>
      <c r="U158" s="37">
        <v>46087.709027777775</v>
      </c>
      <c r="V158" t="s">
        <v>2883</v>
      </c>
      <c r="W158" t="s">
        <v>2129</v>
      </c>
      <c r="X158" t="s">
        <v>2129</v>
      </c>
      <c r="Y158">
        <v>0</v>
      </c>
      <c r="Z158" t="s">
        <v>2129</v>
      </c>
      <c r="AA158" t="s">
        <v>4148</v>
      </c>
      <c r="AB158" t="s">
        <v>2129</v>
      </c>
      <c r="AC158" t="s">
        <v>2128</v>
      </c>
      <c r="AD158" t="s">
        <v>2129</v>
      </c>
      <c r="AE158" t="s">
        <v>2129</v>
      </c>
      <c r="AF158" t="s">
        <v>2129</v>
      </c>
      <c r="AG158" t="s">
        <v>2129</v>
      </c>
      <c r="AH158" t="s">
        <v>4149</v>
      </c>
      <c r="AI158" t="s">
        <v>4150</v>
      </c>
      <c r="AJ158" t="s">
        <v>4151</v>
      </c>
      <c r="AK158" t="s">
        <v>4152</v>
      </c>
      <c r="AL158" t="s">
        <v>4153</v>
      </c>
      <c r="AM158" t="s">
        <v>4154</v>
      </c>
      <c r="AN158" t="s">
        <v>2129</v>
      </c>
      <c r="AO158" t="s">
        <v>2129</v>
      </c>
      <c r="AP158" t="s">
        <v>2129</v>
      </c>
      <c r="AQ158" t="s">
        <v>2129</v>
      </c>
      <c r="AR158" t="s">
        <v>2129</v>
      </c>
      <c r="AS158" t="s">
        <v>2129</v>
      </c>
      <c r="AT158" t="s">
        <v>2129</v>
      </c>
      <c r="AU158" t="s">
        <v>2129</v>
      </c>
      <c r="AV158" t="s">
        <v>2129</v>
      </c>
      <c r="AW158" t="s">
        <v>2129</v>
      </c>
      <c r="AX158" t="s">
        <v>2129</v>
      </c>
      <c r="AY158" t="s">
        <v>2129</v>
      </c>
      <c r="AZ158" t="s">
        <v>2129</v>
      </c>
      <c r="BA158" t="s">
        <v>2129</v>
      </c>
      <c r="BB158" t="s">
        <v>2129</v>
      </c>
      <c r="BC158" t="s">
        <v>2129</v>
      </c>
      <c r="BD158" t="s">
        <v>2129</v>
      </c>
      <c r="BE158" t="s">
        <v>2129</v>
      </c>
      <c r="BF158" t="s">
        <v>2129</v>
      </c>
      <c r="BG158" t="s">
        <v>2129</v>
      </c>
      <c r="BH158" t="s">
        <v>2129</v>
      </c>
      <c r="BI158" t="s">
        <v>2129</v>
      </c>
      <c r="BJ158" t="s">
        <v>2129</v>
      </c>
      <c r="BK158" t="s">
        <v>2129</v>
      </c>
      <c r="BL158" t="s">
        <v>2129</v>
      </c>
      <c r="BM158" t="s">
        <v>2129</v>
      </c>
      <c r="BN158" t="s">
        <v>2129</v>
      </c>
      <c r="BO158" t="s">
        <v>2129</v>
      </c>
      <c r="BP158" t="s">
        <v>2129</v>
      </c>
      <c r="BQ158">
        <v>0</v>
      </c>
      <c r="BR158">
        <v>21600</v>
      </c>
      <c r="BS158" t="s">
        <v>2129</v>
      </c>
      <c r="BT158" t="s">
        <v>2129</v>
      </c>
      <c r="BU158">
        <v>0</v>
      </c>
      <c r="BV158">
        <v>21600</v>
      </c>
      <c r="BW158" t="s">
        <v>2129</v>
      </c>
      <c r="BX158" t="s">
        <v>2129</v>
      </c>
      <c r="BY158" t="s">
        <v>2129</v>
      </c>
      <c r="BZ158" t="s">
        <v>4155</v>
      </c>
      <c r="CA158" t="s">
        <v>2129</v>
      </c>
      <c r="CB158" t="s">
        <v>2129</v>
      </c>
      <c r="CC158" t="s">
        <v>2129</v>
      </c>
      <c r="CD158" t="s">
        <v>2129</v>
      </c>
      <c r="CE158" t="s">
        <v>2129</v>
      </c>
      <c r="CF158" t="s">
        <v>2129</v>
      </c>
      <c r="CG158" t="s">
        <v>2129</v>
      </c>
      <c r="CH158" t="s">
        <v>2129</v>
      </c>
      <c r="CI158" t="s">
        <v>2129</v>
      </c>
      <c r="CJ158" t="s">
        <v>2129</v>
      </c>
      <c r="CK158" t="s">
        <v>2129</v>
      </c>
      <c r="CL158" t="s">
        <v>2129</v>
      </c>
      <c r="CM158" t="s">
        <v>2129</v>
      </c>
      <c r="CN158" t="s">
        <v>2129</v>
      </c>
      <c r="CO158" t="s">
        <v>2129</v>
      </c>
      <c r="CP158" t="s">
        <v>2129</v>
      </c>
      <c r="CQ158" t="s">
        <v>2129</v>
      </c>
      <c r="CR158" t="s">
        <v>2129</v>
      </c>
      <c r="CS158" t="s">
        <v>2129</v>
      </c>
      <c r="CT158" t="s">
        <v>4156</v>
      </c>
      <c r="CU158" t="s">
        <v>3049</v>
      </c>
      <c r="CV158" t="s">
        <v>2129</v>
      </c>
      <c r="CW158" t="s">
        <v>2129</v>
      </c>
      <c r="CX158" t="s">
        <v>2129</v>
      </c>
      <c r="CY158" t="s">
        <v>2129</v>
      </c>
      <c r="CZ158" t="s">
        <v>2129</v>
      </c>
      <c r="DA158" t="s">
        <v>2129</v>
      </c>
      <c r="DB158" t="s">
        <v>2129</v>
      </c>
      <c r="DC158" t="s">
        <v>2129</v>
      </c>
      <c r="DD158" t="s">
        <v>2129</v>
      </c>
      <c r="DE158" t="s">
        <v>2129</v>
      </c>
      <c r="DF158" t="s">
        <v>2129</v>
      </c>
      <c r="DG158" t="s">
        <v>2129</v>
      </c>
      <c r="DH158" t="s">
        <v>2129</v>
      </c>
      <c r="DI158">
        <v>10</v>
      </c>
      <c r="DJ158" t="s">
        <v>2129</v>
      </c>
      <c r="DK158" t="s">
        <v>2129</v>
      </c>
      <c r="DL158" t="s">
        <v>2129</v>
      </c>
      <c r="DM158" t="s">
        <v>2129</v>
      </c>
      <c r="DN158" t="s">
        <v>2129</v>
      </c>
      <c r="DO158" t="s">
        <v>2129</v>
      </c>
      <c r="DP158" t="s">
        <v>2129</v>
      </c>
      <c r="DQ158" t="s">
        <v>2129</v>
      </c>
      <c r="DR158" t="s">
        <v>2129</v>
      </c>
      <c r="DS158" t="s">
        <v>2129</v>
      </c>
      <c r="DT158" t="s">
        <v>2129</v>
      </c>
      <c r="DU158" t="s">
        <v>2129</v>
      </c>
      <c r="DV158" t="s">
        <v>2129</v>
      </c>
      <c r="DW158" t="s">
        <v>2129</v>
      </c>
      <c r="DX158" t="s">
        <v>2129</v>
      </c>
      <c r="DY158" t="s">
        <v>2129</v>
      </c>
      <c r="DZ158" t="s">
        <v>2129</v>
      </c>
      <c r="EA158" t="s">
        <v>2129</v>
      </c>
      <c r="EB158" t="s">
        <v>2129</v>
      </c>
      <c r="EC158" t="s">
        <v>2129</v>
      </c>
      <c r="ED158" t="s">
        <v>2129</v>
      </c>
      <c r="EE158" t="s">
        <v>2129</v>
      </c>
      <c r="EF158" t="s">
        <v>2129</v>
      </c>
      <c r="EG158" t="s">
        <v>2129</v>
      </c>
      <c r="EH158" t="s">
        <v>2129</v>
      </c>
    </row>
    <row r="159" spans="1:138" x14ac:dyDescent="0.25">
      <c r="A159" t="s">
        <v>2460</v>
      </c>
      <c r="B159" t="s">
        <v>2538</v>
      </c>
      <c r="C159">
        <v>22785</v>
      </c>
      <c r="E159" t="s">
        <v>14</v>
      </c>
      <c r="F159" t="s">
        <v>1820</v>
      </c>
      <c r="G159" t="s">
        <v>2185</v>
      </c>
      <c r="H159" t="s">
        <v>41</v>
      </c>
      <c r="I159" t="s">
        <v>2127</v>
      </c>
      <c r="J159" t="s">
        <v>2128</v>
      </c>
      <c r="K159" t="s">
        <v>2186</v>
      </c>
      <c r="L159" t="s">
        <v>2187</v>
      </c>
      <c r="M159" t="s">
        <v>2130</v>
      </c>
      <c r="N159" t="s">
        <v>2129</v>
      </c>
      <c r="O159" t="s">
        <v>2160</v>
      </c>
      <c r="P159" t="s">
        <v>2190</v>
      </c>
      <c r="Q159" t="s">
        <v>2190</v>
      </c>
      <c r="R159" s="37">
        <v>46031.356249999997</v>
      </c>
      <c r="S159" s="37">
        <v>46099.466666666667</v>
      </c>
      <c r="T159" s="37">
        <v>46064.387499999997</v>
      </c>
      <c r="U159" s="37"/>
      <c r="V159" t="s">
        <v>2129</v>
      </c>
      <c r="W159" t="s">
        <v>2129</v>
      </c>
      <c r="X159" t="s">
        <v>2129</v>
      </c>
      <c r="Y159">
        <v>0</v>
      </c>
      <c r="Z159" t="s">
        <v>2129</v>
      </c>
      <c r="AA159" t="s">
        <v>4157</v>
      </c>
      <c r="AB159" t="s">
        <v>2129</v>
      </c>
      <c r="AC159" t="s">
        <v>2190</v>
      </c>
      <c r="AD159" t="s">
        <v>2128</v>
      </c>
      <c r="AE159" t="s">
        <v>2129</v>
      </c>
      <c r="AF159" t="s">
        <v>2129</v>
      </c>
      <c r="AG159" t="s">
        <v>2129</v>
      </c>
      <c r="AH159" t="s">
        <v>4158</v>
      </c>
      <c r="AI159" t="s">
        <v>4159</v>
      </c>
      <c r="AJ159" t="s">
        <v>4160</v>
      </c>
      <c r="AK159" t="s">
        <v>4161</v>
      </c>
      <c r="AL159" t="s">
        <v>4162</v>
      </c>
      <c r="AM159" t="s">
        <v>4163</v>
      </c>
      <c r="AN159" t="s">
        <v>4164</v>
      </c>
      <c r="AO159" t="s">
        <v>4165</v>
      </c>
      <c r="AP159" t="s">
        <v>4166</v>
      </c>
      <c r="AQ159" t="s">
        <v>4167</v>
      </c>
      <c r="AR159" t="s">
        <v>4168</v>
      </c>
      <c r="AS159" t="s">
        <v>4169</v>
      </c>
      <c r="AT159" t="s">
        <v>4170</v>
      </c>
      <c r="AU159" t="s">
        <v>4171</v>
      </c>
      <c r="AV159" t="s">
        <v>4172</v>
      </c>
      <c r="AW159" t="s">
        <v>4173</v>
      </c>
      <c r="AX159" t="s">
        <v>4174</v>
      </c>
      <c r="AY159" t="s">
        <v>4175</v>
      </c>
      <c r="AZ159" t="s">
        <v>2129</v>
      </c>
      <c r="BA159" t="s">
        <v>2129</v>
      </c>
      <c r="BB159" t="s">
        <v>2129</v>
      </c>
      <c r="BC159" t="s">
        <v>2129</v>
      </c>
      <c r="BD159" t="s">
        <v>2129</v>
      </c>
      <c r="BE159" t="s">
        <v>2129</v>
      </c>
      <c r="BF159" t="s">
        <v>2129</v>
      </c>
      <c r="BG159" t="s">
        <v>2129</v>
      </c>
      <c r="BH159" t="s">
        <v>2129</v>
      </c>
      <c r="BI159" t="s">
        <v>2129</v>
      </c>
      <c r="BJ159" t="s">
        <v>2129</v>
      </c>
      <c r="BK159" t="s">
        <v>2129</v>
      </c>
      <c r="BL159" t="s">
        <v>2129</v>
      </c>
      <c r="BM159" t="s">
        <v>2129</v>
      </c>
      <c r="BN159" t="s">
        <v>2129</v>
      </c>
      <c r="BO159" t="s">
        <v>2129</v>
      </c>
      <c r="BP159" t="s">
        <v>2129</v>
      </c>
      <c r="BQ159">
        <v>0</v>
      </c>
      <c r="BR159">
        <v>363600</v>
      </c>
      <c r="BS159" t="s">
        <v>2129</v>
      </c>
      <c r="BT159" t="s">
        <v>2129</v>
      </c>
      <c r="BU159">
        <v>0</v>
      </c>
      <c r="BV159">
        <v>363600</v>
      </c>
      <c r="BW159" t="s">
        <v>2129</v>
      </c>
      <c r="BX159" t="s">
        <v>2129</v>
      </c>
      <c r="BY159" t="s">
        <v>2129</v>
      </c>
      <c r="BZ159" t="s">
        <v>4176</v>
      </c>
      <c r="CA159" t="s">
        <v>2129</v>
      </c>
      <c r="CB159" t="s">
        <v>2129</v>
      </c>
      <c r="CC159" t="s">
        <v>2129</v>
      </c>
      <c r="CD159" t="s">
        <v>2129</v>
      </c>
      <c r="CE159" t="s">
        <v>2129</v>
      </c>
      <c r="CF159" t="s">
        <v>2129</v>
      </c>
      <c r="CG159" t="s">
        <v>2129</v>
      </c>
      <c r="CH159" t="s">
        <v>2129</v>
      </c>
      <c r="CI159" t="s">
        <v>2129</v>
      </c>
      <c r="CJ159" t="s">
        <v>2129</v>
      </c>
      <c r="CK159" t="s">
        <v>2129</v>
      </c>
      <c r="CL159" t="s">
        <v>2129</v>
      </c>
      <c r="CM159" t="s">
        <v>2484</v>
      </c>
      <c r="CN159" t="s">
        <v>2129</v>
      </c>
      <c r="CO159" t="s">
        <v>2129</v>
      </c>
      <c r="CP159" t="s">
        <v>2129</v>
      </c>
      <c r="CQ159" t="s">
        <v>2129</v>
      </c>
      <c r="CR159" t="s">
        <v>2129</v>
      </c>
      <c r="CS159" t="s">
        <v>2129</v>
      </c>
      <c r="CT159" t="s">
        <v>4177</v>
      </c>
      <c r="CU159" t="s">
        <v>2537</v>
      </c>
      <c r="CV159" t="s">
        <v>2707</v>
      </c>
      <c r="CW159" t="s">
        <v>2826</v>
      </c>
      <c r="CX159" t="s">
        <v>3049</v>
      </c>
      <c r="CY159" t="s">
        <v>3050</v>
      </c>
      <c r="CZ159" t="s">
        <v>4043</v>
      </c>
      <c r="DA159" t="s">
        <v>2129</v>
      </c>
      <c r="DB159" t="s">
        <v>2129</v>
      </c>
      <c r="DC159" t="s">
        <v>2129</v>
      </c>
      <c r="DD159" t="s">
        <v>2129</v>
      </c>
      <c r="DE159" t="s">
        <v>2129</v>
      </c>
      <c r="DF159" t="s">
        <v>2129</v>
      </c>
      <c r="DG159" t="s">
        <v>2129</v>
      </c>
      <c r="DH159" t="s">
        <v>2129</v>
      </c>
      <c r="DI159">
        <v>130</v>
      </c>
      <c r="DJ159" t="s">
        <v>2129</v>
      </c>
      <c r="DK159" t="s">
        <v>2129</v>
      </c>
      <c r="DL159" t="s">
        <v>2129</v>
      </c>
      <c r="DM159" t="s">
        <v>2129</v>
      </c>
      <c r="DN159" t="s">
        <v>2129</v>
      </c>
      <c r="DO159" t="s">
        <v>2129</v>
      </c>
      <c r="DP159" t="s">
        <v>2129</v>
      </c>
      <c r="DQ159" t="s">
        <v>2129</v>
      </c>
      <c r="DR159" t="s">
        <v>2129</v>
      </c>
      <c r="DS159" t="s">
        <v>2129</v>
      </c>
      <c r="DT159" t="s">
        <v>2129</v>
      </c>
      <c r="DU159" t="s">
        <v>2129</v>
      </c>
      <c r="DV159" t="s">
        <v>2129</v>
      </c>
      <c r="DW159" t="s">
        <v>2129</v>
      </c>
      <c r="DX159" t="s">
        <v>2129</v>
      </c>
      <c r="DY159" t="s">
        <v>2129</v>
      </c>
      <c r="DZ159" t="s">
        <v>2129</v>
      </c>
      <c r="EA159" t="s">
        <v>2129</v>
      </c>
      <c r="EB159" t="s">
        <v>2129</v>
      </c>
      <c r="EC159" t="s">
        <v>2129</v>
      </c>
      <c r="ED159" t="s">
        <v>2129</v>
      </c>
      <c r="EE159" t="s">
        <v>2129</v>
      </c>
      <c r="EF159" t="s">
        <v>2129</v>
      </c>
      <c r="EG159" t="s">
        <v>2129</v>
      </c>
      <c r="EH159" t="s">
        <v>2129</v>
      </c>
    </row>
    <row r="160" spans="1:138" x14ac:dyDescent="0.25">
      <c r="A160" t="s">
        <v>2274</v>
      </c>
      <c r="B160" t="s">
        <v>2273</v>
      </c>
      <c r="C160">
        <v>22604</v>
      </c>
      <c r="E160" t="s">
        <v>14</v>
      </c>
      <c r="F160" t="s">
        <v>10</v>
      </c>
      <c r="G160" t="s">
        <v>2185</v>
      </c>
      <c r="H160" t="s">
        <v>41</v>
      </c>
      <c r="I160" t="s">
        <v>2127</v>
      </c>
      <c r="J160" t="s">
        <v>2128</v>
      </c>
      <c r="K160" t="s">
        <v>2186</v>
      </c>
      <c r="L160" t="s">
        <v>2187</v>
      </c>
      <c r="M160" t="s">
        <v>2130</v>
      </c>
      <c r="N160" t="s">
        <v>2129</v>
      </c>
      <c r="O160" t="s">
        <v>2128</v>
      </c>
      <c r="P160" t="s">
        <v>2190</v>
      </c>
      <c r="Q160" t="s">
        <v>2190</v>
      </c>
      <c r="R160" s="37">
        <v>45994.479166666664</v>
      </c>
      <c r="S160" s="37">
        <v>46098.724305555559</v>
      </c>
      <c r="T160" s="37">
        <v>46100.368750000001</v>
      </c>
      <c r="U160" s="37"/>
      <c r="V160" t="s">
        <v>2129</v>
      </c>
      <c r="W160" t="s">
        <v>2129</v>
      </c>
      <c r="X160" t="s">
        <v>2129</v>
      </c>
      <c r="Y160">
        <v>0</v>
      </c>
      <c r="Z160" t="s">
        <v>2129</v>
      </c>
      <c r="AA160" t="s">
        <v>4178</v>
      </c>
      <c r="AB160" t="s">
        <v>2129</v>
      </c>
      <c r="AC160" t="s">
        <v>2190</v>
      </c>
      <c r="AD160" t="s">
        <v>2129</v>
      </c>
      <c r="AE160" t="s">
        <v>2129</v>
      </c>
      <c r="AF160" t="s">
        <v>2129</v>
      </c>
      <c r="AG160" t="s">
        <v>2129</v>
      </c>
      <c r="AH160" t="s">
        <v>4179</v>
      </c>
      <c r="AI160" t="s">
        <v>4180</v>
      </c>
      <c r="AJ160" t="s">
        <v>4181</v>
      </c>
      <c r="AK160" t="s">
        <v>4182</v>
      </c>
      <c r="AL160" t="s">
        <v>4183</v>
      </c>
      <c r="AM160" t="s">
        <v>4184</v>
      </c>
      <c r="AN160" t="s">
        <v>4185</v>
      </c>
      <c r="AO160" t="s">
        <v>4186</v>
      </c>
      <c r="AP160" t="s">
        <v>4187</v>
      </c>
      <c r="AQ160" t="s">
        <v>4188</v>
      </c>
      <c r="AR160" t="s">
        <v>4189</v>
      </c>
      <c r="AS160" t="s">
        <v>4190</v>
      </c>
      <c r="AT160" t="s">
        <v>4191</v>
      </c>
      <c r="AU160" t="s">
        <v>4192</v>
      </c>
      <c r="AV160" t="s">
        <v>2129</v>
      </c>
      <c r="AW160" t="s">
        <v>2129</v>
      </c>
      <c r="AX160" t="s">
        <v>2129</v>
      </c>
      <c r="AY160" t="s">
        <v>2129</v>
      </c>
      <c r="AZ160" t="s">
        <v>2129</v>
      </c>
      <c r="BA160" t="s">
        <v>2129</v>
      </c>
      <c r="BB160" t="s">
        <v>2129</v>
      </c>
      <c r="BC160" t="s">
        <v>2129</v>
      </c>
      <c r="BD160" t="s">
        <v>2129</v>
      </c>
      <c r="BE160" t="s">
        <v>2129</v>
      </c>
      <c r="BF160" t="s">
        <v>2129</v>
      </c>
      <c r="BG160" t="s">
        <v>2129</v>
      </c>
      <c r="BH160" t="s">
        <v>2129</v>
      </c>
      <c r="BI160" t="s">
        <v>2129</v>
      </c>
      <c r="BJ160" t="s">
        <v>2129</v>
      </c>
      <c r="BK160" t="s">
        <v>2129</v>
      </c>
      <c r="BL160" t="s">
        <v>2129</v>
      </c>
      <c r="BM160" t="s">
        <v>2129</v>
      </c>
      <c r="BN160" t="s">
        <v>2129</v>
      </c>
      <c r="BO160" t="s">
        <v>2129</v>
      </c>
      <c r="BP160" t="s">
        <v>2129</v>
      </c>
      <c r="BQ160">
        <v>0</v>
      </c>
      <c r="BR160">
        <v>243000</v>
      </c>
      <c r="BS160" t="s">
        <v>2129</v>
      </c>
      <c r="BT160" t="s">
        <v>2129</v>
      </c>
      <c r="BU160">
        <v>0</v>
      </c>
      <c r="BV160">
        <v>243000</v>
      </c>
      <c r="BW160" t="s">
        <v>2129</v>
      </c>
      <c r="BX160" t="s">
        <v>2275</v>
      </c>
      <c r="BY160" t="s">
        <v>2129</v>
      </c>
      <c r="BZ160" t="s">
        <v>4193</v>
      </c>
      <c r="CA160" t="s">
        <v>2129</v>
      </c>
      <c r="CB160" t="s">
        <v>2129</v>
      </c>
      <c r="CC160" t="s">
        <v>2129</v>
      </c>
      <c r="CD160" t="s">
        <v>2129</v>
      </c>
      <c r="CE160" t="s">
        <v>2129</v>
      </c>
      <c r="CF160" t="s">
        <v>2129</v>
      </c>
      <c r="CG160" t="s">
        <v>2129</v>
      </c>
      <c r="CH160" t="s">
        <v>2129</v>
      </c>
      <c r="CI160" t="s">
        <v>2129</v>
      </c>
      <c r="CJ160" t="s">
        <v>2129</v>
      </c>
      <c r="CK160" t="s">
        <v>2129</v>
      </c>
      <c r="CL160" t="s">
        <v>2129</v>
      </c>
      <c r="CM160" t="s">
        <v>2129</v>
      </c>
      <c r="CN160" t="s">
        <v>2129</v>
      </c>
      <c r="CO160" t="s">
        <v>2129</v>
      </c>
      <c r="CP160" t="s">
        <v>2129</v>
      </c>
      <c r="CQ160" t="s">
        <v>2129</v>
      </c>
      <c r="CR160" t="s">
        <v>2129</v>
      </c>
      <c r="CS160" t="s">
        <v>2129</v>
      </c>
      <c r="CT160" t="s">
        <v>4194</v>
      </c>
      <c r="CU160" t="s">
        <v>4195</v>
      </c>
      <c r="CV160" t="s">
        <v>4043</v>
      </c>
      <c r="CW160" t="s">
        <v>2129</v>
      </c>
      <c r="CX160" t="s">
        <v>2129</v>
      </c>
      <c r="CY160" t="s">
        <v>2129</v>
      </c>
      <c r="CZ160" t="s">
        <v>2129</v>
      </c>
      <c r="DA160" t="s">
        <v>2129</v>
      </c>
      <c r="DB160" t="s">
        <v>2129</v>
      </c>
      <c r="DC160" t="s">
        <v>2129</v>
      </c>
      <c r="DD160" t="s">
        <v>2129</v>
      </c>
      <c r="DE160" t="s">
        <v>2129</v>
      </c>
      <c r="DF160" t="s">
        <v>2129</v>
      </c>
      <c r="DG160" t="s">
        <v>2129</v>
      </c>
      <c r="DH160" t="s">
        <v>2129</v>
      </c>
      <c r="DI160">
        <v>80</v>
      </c>
      <c r="DJ160" t="s">
        <v>2129</v>
      </c>
      <c r="DK160" t="s">
        <v>2129</v>
      </c>
      <c r="DL160" t="s">
        <v>2129</v>
      </c>
      <c r="DM160" t="s">
        <v>2129</v>
      </c>
      <c r="DN160" t="s">
        <v>2129</v>
      </c>
      <c r="DO160" t="s">
        <v>2129</v>
      </c>
      <c r="DP160" t="s">
        <v>2129</v>
      </c>
      <c r="DQ160" t="s">
        <v>2129</v>
      </c>
      <c r="DR160" t="s">
        <v>2129</v>
      </c>
      <c r="DS160" t="s">
        <v>2129</v>
      </c>
      <c r="DT160" t="s">
        <v>2129</v>
      </c>
      <c r="DU160" t="s">
        <v>2129</v>
      </c>
      <c r="DV160" t="s">
        <v>2129</v>
      </c>
      <c r="DW160" t="s">
        <v>2129</v>
      </c>
      <c r="DX160" t="s">
        <v>2129</v>
      </c>
      <c r="DY160" t="s">
        <v>2129</v>
      </c>
      <c r="DZ160" t="s">
        <v>2129</v>
      </c>
      <c r="EA160" t="s">
        <v>2129</v>
      </c>
      <c r="EB160" t="s">
        <v>2129</v>
      </c>
      <c r="EC160" t="s">
        <v>2129</v>
      </c>
      <c r="ED160" t="s">
        <v>2129</v>
      </c>
      <c r="EE160" t="s">
        <v>2129</v>
      </c>
      <c r="EF160" t="s">
        <v>2129</v>
      </c>
      <c r="EG160" t="s">
        <v>2129</v>
      </c>
      <c r="EH160" t="s">
        <v>2129</v>
      </c>
    </row>
    <row r="161" spans="1:138" x14ac:dyDescent="0.25">
      <c r="A161" t="s">
        <v>2276</v>
      </c>
      <c r="B161" t="s">
        <v>2275</v>
      </c>
      <c r="C161">
        <v>22600</v>
      </c>
      <c r="E161" t="s">
        <v>14</v>
      </c>
      <c r="F161" t="s">
        <v>10</v>
      </c>
      <c r="G161" t="s">
        <v>2185</v>
      </c>
      <c r="H161" t="s">
        <v>41</v>
      </c>
      <c r="I161" t="s">
        <v>2127</v>
      </c>
      <c r="J161" t="s">
        <v>2128</v>
      </c>
      <c r="K161" t="s">
        <v>2186</v>
      </c>
      <c r="L161" t="s">
        <v>2187</v>
      </c>
      <c r="M161" t="s">
        <v>2130</v>
      </c>
      <c r="N161" t="s">
        <v>2129</v>
      </c>
      <c r="O161" t="s">
        <v>2129</v>
      </c>
      <c r="P161" t="s">
        <v>2190</v>
      </c>
      <c r="Q161" t="s">
        <v>2190</v>
      </c>
      <c r="R161" s="37">
        <v>45993.697916666664</v>
      </c>
      <c r="S161" s="37">
        <v>46098.581944444442</v>
      </c>
      <c r="T161" s="37">
        <v>46100.368750000001</v>
      </c>
      <c r="U161" s="37"/>
      <c r="V161" t="s">
        <v>2129</v>
      </c>
      <c r="W161" t="s">
        <v>2129</v>
      </c>
      <c r="X161" t="s">
        <v>2129</v>
      </c>
      <c r="Y161">
        <v>0</v>
      </c>
      <c r="Z161" t="s">
        <v>2129</v>
      </c>
      <c r="AA161" t="s">
        <v>4196</v>
      </c>
      <c r="AB161" t="s">
        <v>2129</v>
      </c>
      <c r="AC161" t="s">
        <v>2190</v>
      </c>
      <c r="AD161" t="s">
        <v>2129</v>
      </c>
      <c r="AE161" t="s">
        <v>2129</v>
      </c>
      <c r="AF161" t="s">
        <v>2129</v>
      </c>
      <c r="AG161" t="s">
        <v>2129</v>
      </c>
      <c r="AH161" t="s">
        <v>2129</v>
      </c>
      <c r="AI161" t="s">
        <v>2129</v>
      </c>
      <c r="AJ161" t="s">
        <v>2129</v>
      </c>
      <c r="AK161" t="s">
        <v>2129</v>
      </c>
      <c r="AL161" t="s">
        <v>2129</v>
      </c>
      <c r="AM161" t="s">
        <v>2129</v>
      </c>
      <c r="AN161" t="s">
        <v>2129</v>
      </c>
      <c r="AO161" t="s">
        <v>2129</v>
      </c>
      <c r="AP161" t="s">
        <v>2129</v>
      </c>
      <c r="AQ161" t="s">
        <v>2129</v>
      </c>
      <c r="AR161" t="s">
        <v>2129</v>
      </c>
      <c r="AS161" t="s">
        <v>2129</v>
      </c>
      <c r="AT161" t="s">
        <v>2129</v>
      </c>
      <c r="AU161" t="s">
        <v>2129</v>
      </c>
      <c r="AV161" t="s">
        <v>2129</v>
      </c>
      <c r="AW161" t="s">
        <v>2129</v>
      </c>
      <c r="AX161" t="s">
        <v>2129</v>
      </c>
      <c r="AY161" t="s">
        <v>2129</v>
      </c>
      <c r="AZ161" t="s">
        <v>2129</v>
      </c>
      <c r="BA161" t="s">
        <v>2129</v>
      </c>
      <c r="BB161" t="s">
        <v>2129</v>
      </c>
      <c r="BC161" t="s">
        <v>2129</v>
      </c>
      <c r="BD161" t="s">
        <v>2129</v>
      </c>
      <c r="BE161" t="s">
        <v>2129</v>
      </c>
      <c r="BF161" t="s">
        <v>2129</v>
      </c>
      <c r="BG161" t="s">
        <v>2129</v>
      </c>
      <c r="BH161" t="s">
        <v>2129</v>
      </c>
      <c r="BI161" t="s">
        <v>2129</v>
      </c>
      <c r="BJ161" t="s">
        <v>2129</v>
      </c>
      <c r="BK161" t="s">
        <v>2129</v>
      </c>
      <c r="BL161" t="s">
        <v>2129</v>
      </c>
      <c r="BM161" t="s">
        <v>2129</v>
      </c>
      <c r="BN161" t="s">
        <v>2129</v>
      </c>
      <c r="BO161" t="s">
        <v>2129</v>
      </c>
      <c r="BP161" t="s">
        <v>2129</v>
      </c>
      <c r="BS161" t="s">
        <v>2129</v>
      </c>
      <c r="BT161" t="s">
        <v>2129</v>
      </c>
      <c r="BW161" t="s">
        <v>2129</v>
      </c>
      <c r="BX161" t="s">
        <v>2129</v>
      </c>
      <c r="BY161" t="s">
        <v>2129</v>
      </c>
      <c r="BZ161" t="s">
        <v>4197</v>
      </c>
      <c r="CA161" t="s">
        <v>4198</v>
      </c>
      <c r="CB161" t="s">
        <v>4199</v>
      </c>
      <c r="CC161" t="s">
        <v>4200</v>
      </c>
      <c r="CD161" t="s">
        <v>2129</v>
      </c>
      <c r="CE161" t="s">
        <v>2129</v>
      </c>
      <c r="CF161" t="s">
        <v>2129</v>
      </c>
      <c r="CG161" t="s">
        <v>2129</v>
      </c>
      <c r="CH161" t="s">
        <v>2129</v>
      </c>
      <c r="CI161" t="s">
        <v>2129</v>
      </c>
      <c r="CJ161" t="s">
        <v>2129</v>
      </c>
      <c r="CK161" t="s">
        <v>2129</v>
      </c>
      <c r="CL161" t="s">
        <v>2129</v>
      </c>
      <c r="CM161" t="s">
        <v>2129</v>
      </c>
      <c r="CN161" t="s">
        <v>2129</v>
      </c>
      <c r="CO161" t="s">
        <v>2129</v>
      </c>
      <c r="CP161" t="s">
        <v>2129</v>
      </c>
      <c r="CQ161" t="s">
        <v>2129</v>
      </c>
      <c r="CR161" t="s">
        <v>2129</v>
      </c>
      <c r="CS161" t="s">
        <v>2129</v>
      </c>
      <c r="CT161" t="s">
        <v>4201</v>
      </c>
      <c r="CU161" t="s">
        <v>4195</v>
      </c>
      <c r="CV161" t="s">
        <v>4043</v>
      </c>
      <c r="CW161" t="s">
        <v>2129</v>
      </c>
      <c r="CX161" t="s">
        <v>2129</v>
      </c>
      <c r="CY161" t="s">
        <v>2129</v>
      </c>
      <c r="CZ161" t="s">
        <v>2129</v>
      </c>
      <c r="DA161" t="s">
        <v>2129</v>
      </c>
      <c r="DB161" t="s">
        <v>2129</v>
      </c>
      <c r="DC161" t="s">
        <v>2129</v>
      </c>
      <c r="DD161" t="s">
        <v>2129</v>
      </c>
      <c r="DE161" t="s">
        <v>2129</v>
      </c>
      <c r="DF161" t="s">
        <v>2129</v>
      </c>
      <c r="DG161" t="s">
        <v>2129</v>
      </c>
      <c r="DH161" t="s">
        <v>2129</v>
      </c>
      <c r="DI161">
        <v>130</v>
      </c>
      <c r="DJ161" t="s">
        <v>2129</v>
      </c>
      <c r="DK161" t="s">
        <v>2129</v>
      </c>
      <c r="DL161" t="s">
        <v>2129</v>
      </c>
      <c r="DM161" t="s">
        <v>2129</v>
      </c>
      <c r="DN161" t="s">
        <v>2129</v>
      </c>
      <c r="DO161" t="s">
        <v>2129</v>
      </c>
      <c r="DP161" t="s">
        <v>2129</v>
      </c>
      <c r="DQ161" t="s">
        <v>2129</v>
      </c>
      <c r="DR161" t="s">
        <v>2129</v>
      </c>
      <c r="DS161" t="s">
        <v>2129</v>
      </c>
      <c r="DT161" t="s">
        <v>2129</v>
      </c>
      <c r="DU161" t="s">
        <v>2129</v>
      </c>
      <c r="DV161" t="s">
        <v>2129</v>
      </c>
      <c r="DW161" t="s">
        <v>2129</v>
      </c>
      <c r="DX161" t="s">
        <v>2129</v>
      </c>
      <c r="DY161" t="s">
        <v>2129</v>
      </c>
      <c r="DZ161" t="s">
        <v>2129</v>
      </c>
      <c r="EA161" t="s">
        <v>2129</v>
      </c>
      <c r="EB161" t="s">
        <v>2129</v>
      </c>
      <c r="EC161" t="s">
        <v>2129</v>
      </c>
      <c r="ED161" t="s">
        <v>2129</v>
      </c>
      <c r="EE161" t="s">
        <v>2129</v>
      </c>
      <c r="EF161" t="s">
        <v>2129</v>
      </c>
      <c r="EG161" t="s">
        <v>2129</v>
      </c>
      <c r="EH161" t="s">
        <v>2129</v>
      </c>
    </row>
    <row r="162" spans="1:138" x14ac:dyDescent="0.25">
      <c r="A162" t="s">
        <v>2191</v>
      </c>
      <c r="B162" t="s">
        <v>2192</v>
      </c>
      <c r="C162">
        <v>22533</v>
      </c>
      <c r="E162" t="s">
        <v>14</v>
      </c>
      <c r="F162" t="s">
        <v>10</v>
      </c>
      <c r="G162" t="s">
        <v>2185</v>
      </c>
      <c r="H162" t="s">
        <v>41</v>
      </c>
      <c r="I162" t="s">
        <v>2127</v>
      </c>
      <c r="J162" t="s">
        <v>2128</v>
      </c>
      <c r="K162" t="s">
        <v>2186</v>
      </c>
      <c r="L162" t="s">
        <v>2187</v>
      </c>
      <c r="M162" t="s">
        <v>4141</v>
      </c>
      <c r="N162" t="s">
        <v>2129</v>
      </c>
      <c r="O162" t="s">
        <v>2129</v>
      </c>
      <c r="P162" t="s">
        <v>2190</v>
      </c>
      <c r="Q162" t="s">
        <v>2190</v>
      </c>
      <c r="R162" s="37">
        <v>45985.546527777777</v>
      </c>
      <c r="S162" s="37">
        <v>46092.698611111111</v>
      </c>
      <c r="T162" s="37">
        <v>46100.368750000001</v>
      </c>
      <c r="U162" s="37"/>
      <c r="V162" t="s">
        <v>2129</v>
      </c>
      <c r="W162" t="s">
        <v>2129</v>
      </c>
      <c r="X162" t="s">
        <v>2129</v>
      </c>
      <c r="Y162">
        <v>0</v>
      </c>
      <c r="Z162" t="s">
        <v>2129</v>
      </c>
      <c r="AA162" t="s">
        <v>4202</v>
      </c>
      <c r="AB162" t="s">
        <v>2129</v>
      </c>
      <c r="AC162" t="s">
        <v>2190</v>
      </c>
      <c r="AD162" t="s">
        <v>2129</v>
      </c>
      <c r="AE162" t="s">
        <v>2129</v>
      </c>
      <c r="AF162" t="s">
        <v>2129</v>
      </c>
      <c r="AG162" t="s">
        <v>2129</v>
      </c>
      <c r="AH162" t="s">
        <v>2129</v>
      </c>
      <c r="AI162" t="s">
        <v>2129</v>
      </c>
      <c r="AJ162" t="s">
        <v>2129</v>
      </c>
      <c r="AK162" t="s">
        <v>2129</v>
      </c>
      <c r="AL162" t="s">
        <v>2129</v>
      </c>
      <c r="AM162" t="s">
        <v>2129</v>
      </c>
      <c r="AN162" t="s">
        <v>2129</v>
      </c>
      <c r="AO162" t="s">
        <v>2129</v>
      </c>
      <c r="AP162" t="s">
        <v>2129</v>
      </c>
      <c r="AQ162" t="s">
        <v>2129</v>
      </c>
      <c r="AR162" t="s">
        <v>2129</v>
      </c>
      <c r="AS162" t="s">
        <v>2129</v>
      </c>
      <c r="AT162" t="s">
        <v>2129</v>
      </c>
      <c r="AU162" t="s">
        <v>2129</v>
      </c>
      <c r="AV162" t="s">
        <v>2129</v>
      </c>
      <c r="AW162" t="s">
        <v>2129</v>
      </c>
      <c r="AX162" t="s">
        <v>2129</v>
      </c>
      <c r="AY162" t="s">
        <v>2129</v>
      </c>
      <c r="AZ162" t="s">
        <v>2129</v>
      </c>
      <c r="BA162" t="s">
        <v>2129</v>
      </c>
      <c r="BB162" t="s">
        <v>2129</v>
      </c>
      <c r="BC162" t="s">
        <v>2129</v>
      </c>
      <c r="BD162" t="s">
        <v>2129</v>
      </c>
      <c r="BE162" t="s">
        <v>2129</v>
      </c>
      <c r="BF162" t="s">
        <v>2129</v>
      </c>
      <c r="BG162" t="s">
        <v>2129</v>
      </c>
      <c r="BH162" t="s">
        <v>2129</v>
      </c>
      <c r="BI162" t="s">
        <v>2129</v>
      </c>
      <c r="BJ162" t="s">
        <v>2129</v>
      </c>
      <c r="BK162" t="s">
        <v>2129</v>
      </c>
      <c r="BL162" t="s">
        <v>2129</v>
      </c>
      <c r="BM162" t="s">
        <v>2129</v>
      </c>
      <c r="BN162" t="s">
        <v>2129</v>
      </c>
      <c r="BO162" t="s">
        <v>2129</v>
      </c>
      <c r="BP162" t="s">
        <v>2129</v>
      </c>
      <c r="BS162" t="s">
        <v>2129</v>
      </c>
      <c r="BT162" t="s">
        <v>2129</v>
      </c>
      <c r="BW162" t="s">
        <v>2129</v>
      </c>
      <c r="BX162" t="s">
        <v>2129</v>
      </c>
      <c r="BY162" t="s">
        <v>2129</v>
      </c>
      <c r="BZ162" t="s">
        <v>2129</v>
      </c>
      <c r="CA162" t="s">
        <v>2129</v>
      </c>
      <c r="CB162" t="s">
        <v>2129</v>
      </c>
      <c r="CC162" t="s">
        <v>2129</v>
      </c>
      <c r="CD162" t="s">
        <v>2129</v>
      </c>
      <c r="CE162" t="s">
        <v>2129</v>
      </c>
      <c r="CF162" t="s">
        <v>2129</v>
      </c>
      <c r="CG162" t="s">
        <v>2129</v>
      </c>
      <c r="CH162" t="s">
        <v>2129</v>
      </c>
      <c r="CI162" t="s">
        <v>2129</v>
      </c>
      <c r="CJ162" t="s">
        <v>2129</v>
      </c>
      <c r="CK162" t="s">
        <v>2129</v>
      </c>
      <c r="CL162" t="s">
        <v>2129</v>
      </c>
      <c r="CM162" t="s">
        <v>2129</v>
      </c>
      <c r="CN162" t="s">
        <v>2129</v>
      </c>
      <c r="CO162" t="s">
        <v>2129</v>
      </c>
      <c r="CP162" t="s">
        <v>2129</v>
      </c>
      <c r="CQ162" t="s">
        <v>2129</v>
      </c>
      <c r="CR162" t="s">
        <v>2129</v>
      </c>
      <c r="CS162" t="s">
        <v>2129</v>
      </c>
      <c r="CT162" t="s">
        <v>4203</v>
      </c>
      <c r="CU162" t="s">
        <v>2129</v>
      </c>
      <c r="CV162" t="s">
        <v>2129</v>
      </c>
      <c r="CW162" t="s">
        <v>2129</v>
      </c>
      <c r="CX162" t="s">
        <v>2129</v>
      </c>
      <c r="CY162" t="s">
        <v>2129</v>
      </c>
      <c r="CZ162" t="s">
        <v>2129</v>
      </c>
      <c r="DA162" t="s">
        <v>2129</v>
      </c>
      <c r="DB162" t="s">
        <v>2129</v>
      </c>
      <c r="DC162" t="s">
        <v>2129</v>
      </c>
      <c r="DD162" t="s">
        <v>2129</v>
      </c>
      <c r="DE162" t="s">
        <v>2129</v>
      </c>
      <c r="DF162" t="s">
        <v>2129</v>
      </c>
      <c r="DG162" t="s">
        <v>2129</v>
      </c>
      <c r="DH162" t="s">
        <v>2129</v>
      </c>
      <c r="DJ162" t="s">
        <v>2129</v>
      </c>
      <c r="DK162" t="s">
        <v>2129</v>
      </c>
      <c r="DL162" t="s">
        <v>2129</v>
      </c>
      <c r="DM162" t="s">
        <v>2129</v>
      </c>
      <c r="DN162" t="s">
        <v>2129</v>
      </c>
      <c r="DO162" t="s">
        <v>2129</v>
      </c>
      <c r="DP162" t="s">
        <v>2129</v>
      </c>
      <c r="DQ162" t="s">
        <v>2129</v>
      </c>
      <c r="DR162" t="s">
        <v>2129</v>
      </c>
      <c r="DS162" t="s">
        <v>2129</v>
      </c>
      <c r="DT162" t="s">
        <v>2129</v>
      </c>
      <c r="DU162" t="s">
        <v>2129</v>
      </c>
      <c r="DV162" t="s">
        <v>2129</v>
      </c>
      <c r="DW162" t="s">
        <v>2129</v>
      </c>
      <c r="DX162" t="s">
        <v>2129</v>
      </c>
      <c r="DY162" t="s">
        <v>2129</v>
      </c>
      <c r="DZ162" t="s">
        <v>2129</v>
      </c>
      <c r="EA162" t="s">
        <v>2129</v>
      </c>
      <c r="EB162" t="s">
        <v>2129</v>
      </c>
      <c r="EC162" t="s">
        <v>2129</v>
      </c>
      <c r="ED162" t="s">
        <v>2129</v>
      </c>
      <c r="EE162" t="s">
        <v>2129</v>
      </c>
      <c r="EF162" t="s">
        <v>2129</v>
      </c>
      <c r="EG162" t="s">
        <v>2129</v>
      </c>
      <c r="EH162" t="s">
        <v>2129</v>
      </c>
    </row>
    <row r="163" spans="1:138" x14ac:dyDescent="0.25">
      <c r="A163" t="s">
        <v>2135</v>
      </c>
      <c r="B163" t="s">
        <v>4204</v>
      </c>
      <c r="C163">
        <v>23204</v>
      </c>
      <c r="E163" t="s">
        <v>2136</v>
      </c>
      <c r="F163" t="s">
        <v>10</v>
      </c>
      <c r="G163" t="s">
        <v>2195</v>
      </c>
      <c r="H163" t="s">
        <v>38</v>
      </c>
      <c r="I163" t="s">
        <v>2127</v>
      </c>
      <c r="J163" t="s">
        <v>2128</v>
      </c>
      <c r="K163" t="s">
        <v>2129</v>
      </c>
      <c r="L163" t="s">
        <v>2196</v>
      </c>
      <c r="M163" t="s">
        <v>2130</v>
      </c>
      <c r="N163" t="s">
        <v>2129</v>
      </c>
      <c r="O163" t="s">
        <v>2827</v>
      </c>
      <c r="P163" t="s">
        <v>2128</v>
      </c>
      <c r="Q163" t="s">
        <v>2128</v>
      </c>
      <c r="R163" s="37">
        <v>46099.46875</v>
      </c>
      <c r="S163" s="37">
        <v>46099.46875</v>
      </c>
      <c r="T163" s="37">
        <v>46100.368750000001</v>
      </c>
      <c r="U163" s="37"/>
      <c r="V163" t="s">
        <v>2129</v>
      </c>
      <c r="W163" t="s">
        <v>2129</v>
      </c>
      <c r="X163" t="s">
        <v>2129</v>
      </c>
      <c r="Y163">
        <v>0</v>
      </c>
      <c r="Z163" t="s">
        <v>2129</v>
      </c>
      <c r="AA163" t="s">
        <v>2138</v>
      </c>
      <c r="AB163" t="s">
        <v>2129</v>
      </c>
      <c r="AC163" t="s">
        <v>2128</v>
      </c>
      <c r="AD163" t="s">
        <v>2129</v>
      </c>
      <c r="AE163" t="s">
        <v>2129</v>
      </c>
      <c r="AF163" t="s">
        <v>2129</v>
      </c>
      <c r="AG163" t="s">
        <v>2129</v>
      </c>
      <c r="AH163" t="s">
        <v>2129</v>
      </c>
      <c r="AI163" t="s">
        <v>2129</v>
      </c>
      <c r="AJ163" t="s">
        <v>2129</v>
      </c>
      <c r="AK163" t="s">
        <v>2129</v>
      </c>
      <c r="AL163" t="s">
        <v>2129</v>
      </c>
      <c r="AM163" t="s">
        <v>2129</v>
      </c>
      <c r="AN163" t="s">
        <v>2129</v>
      </c>
      <c r="AO163" t="s">
        <v>2129</v>
      </c>
      <c r="AP163" t="s">
        <v>2129</v>
      </c>
      <c r="AQ163" t="s">
        <v>2129</v>
      </c>
      <c r="AR163" t="s">
        <v>2129</v>
      </c>
      <c r="AS163" t="s">
        <v>2129</v>
      </c>
      <c r="AT163" t="s">
        <v>2129</v>
      </c>
      <c r="AU163" t="s">
        <v>2129</v>
      </c>
      <c r="AV163" t="s">
        <v>2129</v>
      </c>
      <c r="AW163" t="s">
        <v>2129</v>
      </c>
      <c r="AX163" t="s">
        <v>2129</v>
      </c>
      <c r="AY163" t="s">
        <v>2129</v>
      </c>
      <c r="AZ163" t="s">
        <v>2129</v>
      </c>
      <c r="BA163" t="s">
        <v>2129</v>
      </c>
      <c r="BB163" t="s">
        <v>2129</v>
      </c>
      <c r="BC163" t="s">
        <v>2129</v>
      </c>
      <c r="BD163" t="s">
        <v>2129</v>
      </c>
      <c r="BE163" t="s">
        <v>2129</v>
      </c>
      <c r="BF163" t="s">
        <v>2129</v>
      </c>
      <c r="BG163" t="s">
        <v>2129</v>
      </c>
      <c r="BH163" t="s">
        <v>2129</v>
      </c>
      <c r="BI163" t="s">
        <v>2129</v>
      </c>
      <c r="BJ163" t="s">
        <v>2129</v>
      </c>
      <c r="BK163" t="s">
        <v>2129</v>
      </c>
      <c r="BL163" t="s">
        <v>2129</v>
      </c>
      <c r="BM163" t="s">
        <v>2129</v>
      </c>
      <c r="BN163" t="s">
        <v>2129</v>
      </c>
      <c r="BO163" t="s">
        <v>2129</v>
      </c>
      <c r="BP163" t="s">
        <v>2129</v>
      </c>
      <c r="BS163" t="s">
        <v>2129</v>
      </c>
      <c r="BT163" t="s">
        <v>2129</v>
      </c>
      <c r="BW163" t="s">
        <v>2129</v>
      </c>
      <c r="BX163" t="s">
        <v>2129</v>
      </c>
      <c r="BY163" t="s">
        <v>2129</v>
      </c>
      <c r="BZ163" t="s">
        <v>2129</v>
      </c>
      <c r="CA163" t="s">
        <v>2129</v>
      </c>
      <c r="CB163" t="s">
        <v>2129</v>
      </c>
      <c r="CC163" t="s">
        <v>2129</v>
      </c>
      <c r="CD163" t="s">
        <v>2129</v>
      </c>
      <c r="CE163" t="s">
        <v>2129</v>
      </c>
      <c r="CF163" t="s">
        <v>2129</v>
      </c>
      <c r="CG163" t="s">
        <v>2129</v>
      </c>
      <c r="CH163" t="s">
        <v>2129</v>
      </c>
      <c r="CI163" t="s">
        <v>2129</v>
      </c>
      <c r="CJ163" t="s">
        <v>2129</v>
      </c>
      <c r="CK163" t="s">
        <v>2129</v>
      </c>
      <c r="CL163" t="s">
        <v>2129</v>
      </c>
      <c r="CM163" t="s">
        <v>2129</v>
      </c>
      <c r="CN163" t="s">
        <v>2129</v>
      </c>
      <c r="CO163" t="s">
        <v>2129</v>
      </c>
      <c r="CP163" t="s">
        <v>2129</v>
      </c>
      <c r="CQ163" t="s">
        <v>2129</v>
      </c>
      <c r="CR163" t="s">
        <v>2129</v>
      </c>
      <c r="CS163" t="s">
        <v>2129</v>
      </c>
      <c r="CT163" t="s">
        <v>4205</v>
      </c>
      <c r="CU163" t="s">
        <v>4206</v>
      </c>
      <c r="CV163" t="s">
        <v>2129</v>
      </c>
      <c r="CW163" t="s">
        <v>2129</v>
      </c>
      <c r="CX163" t="s">
        <v>2129</v>
      </c>
      <c r="CY163" t="s">
        <v>2129</v>
      </c>
      <c r="CZ163" t="s">
        <v>2129</v>
      </c>
      <c r="DA163" t="s">
        <v>2129</v>
      </c>
      <c r="DB163" t="s">
        <v>2129</v>
      </c>
      <c r="DC163" t="s">
        <v>2129</v>
      </c>
      <c r="DD163" t="s">
        <v>2129</v>
      </c>
      <c r="DE163" t="s">
        <v>2129</v>
      </c>
      <c r="DF163" t="s">
        <v>2129</v>
      </c>
      <c r="DG163" t="s">
        <v>2129</v>
      </c>
      <c r="DH163" t="s">
        <v>2129</v>
      </c>
      <c r="DJ163" t="s">
        <v>2129</v>
      </c>
      <c r="DK163" t="s">
        <v>2129</v>
      </c>
      <c r="DL163" t="s">
        <v>2129</v>
      </c>
      <c r="DM163" t="s">
        <v>2129</v>
      </c>
      <c r="DN163" t="s">
        <v>2129</v>
      </c>
      <c r="DO163" t="s">
        <v>2129</v>
      </c>
      <c r="DP163" t="s">
        <v>2129</v>
      </c>
      <c r="DQ163" t="s">
        <v>2129</v>
      </c>
      <c r="DR163" t="s">
        <v>2129</v>
      </c>
      <c r="DS163" t="s">
        <v>2129</v>
      </c>
      <c r="DT163" t="s">
        <v>2129</v>
      </c>
      <c r="DU163" t="s">
        <v>2129</v>
      </c>
      <c r="DV163" t="s">
        <v>2129</v>
      </c>
      <c r="DW163" t="s">
        <v>2129</v>
      </c>
      <c r="DX163" t="s">
        <v>2129</v>
      </c>
      <c r="DY163" t="s">
        <v>2129</v>
      </c>
      <c r="DZ163" t="s">
        <v>2129</v>
      </c>
      <c r="EA163" t="s">
        <v>2129</v>
      </c>
      <c r="EB163" t="s">
        <v>2129</v>
      </c>
      <c r="EC163" t="s">
        <v>2129</v>
      </c>
      <c r="ED163" t="s">
        <v>2129</v>
      </c>
      <c r="EE163" t="s">
        <v>2129</v>
      </c>
      <c r="EF163" t="s">
        <v>2129</v>
      </c>
      <c r="EG163" t="s">
        <v>2129</v>
      </c>
      <c r="EH163" t="s">
        <v>2129</v>
      </c>
    </row>
    <row r="164" spans="1:138" x14ac:dyDescent="0.25">
      <c r="A164" t="s">
        <v>2135</v>
      </c>
      <c r="B164" t="s">
        <v>4207</v>
      </c>
      <c r="C164">
        <v>23119</v>
      </c>
      <c r="E164" t="s">
        <v>2136</v>
      </c>
      <c r="F164" t="s">
        <v>16</v>
      </c>
      <c r="G164" t="s">
        <v>2195</v>
      </c>
      <c r="H164" t="s">
        <v>38</v>
      </c>
      <c r="I164" t="s">
        <v>2127</v>
      </c>
      <c r="J164" t="s">
        <v>2128</v>
      </c>
      <c r="K164" t="s">
        <v>2129</v>
      </c>
      <c r="L164" t="s">
        <v>2196</v>
      </c>
      <c r="M164" t="s">
        <v>2130</v>
      </c>
      <c r="N164" t="s">
        <v>16</v>
      </c>
      <c r="O164" t="s">
        <v>2128</v>
      </c>
      <c r="P164" t="s">
        <v>2128</v>
      </c>
      <c r="Q164" t="s">
        <v>2128</v>
      </c>
      <c r="R164" s="37">
        <v>46087.707638888889</v>
      </c>
      <c r="S164" s="37">
        <v>46099.46875</v>
      </c>
      <c r="T164" s="37">
        <v>46100.368750000001</v>
      </c>
      <c r="U164" s="37">
        <v>46099.46875</v>
      </c>
      <c r="V164" t="s">
        <v>2129</v>
      </c>
      <c r="W164" t="s">
        <v>2129</v>
      </c>
      <c r="X164" t="s">
        <v>2129</v>
      </c>
      <c r="Y164">
        <v>0</v>
      </c>
      <c r="Z164" t="s">
        <v>2129</v>
      </c>
      <c r="AA164" t="s">
        <v>2138</v>
      </c>
      <c r="AB164" t="s">
        <v>2129</v>
      </c>
      <c r="AC164" t="s">
        <v>2128</v>
      </c>
      <c r="AD164" t="s">
        <v>2129</v>
      </c>
      <c r="AE164" t="s">
        <v>2129</v>
      </c>
      <c r="AF164" t="s">
        <v>2129</v>
      </c>
      <c r="AG164" t="s">
        <v>2129</v>
      </c>
      <c r="AH164" t="s">
        <v>2129</v>
      </c>
      <c r="AI164" t="s">
        <v>2129</v>
      </c>
      <c r="AJ164" t="s">
        <v>2129</v>
      </c>
      <c r="AK164" t="s">
        <v>2129</v>
      </c>
      <c r="AL164" t="s">
        <v>2129</v>
      </c>
      <c r="AM164" t="s">
        <v>2129</v>
      </c>
      <c r="AN164" t="s">
        <v>2129</v>
      </c>
      <c r="AO164" t="s">
        <v>2129</v>
      </c>
      <c r="AP164" t="s">
        <v>2129</v>
      </c>
      <c r="AQ164" t="s">
        <v>2129</v>
      </c>
      <c r="AR164" t="s">
        <v>2129</v>
      </c>
      <c r="AS164" t="s">
        <v>2129</v>
      </c>
      <c r="AT164" t="s">
        <v>2129</v>
      </c>
      <c r="AU164" t="s">
        <v>2129</v>
      </c>
      <c r="AV164" t="s">
        <v>2129</v>
      </c>
      <c r="AW164" t="s">
        <v>2129</v>
      </c>
      <c r="AX164" t="s">
        <v>2129</v>
      </c>
      <c r="AY164" t="s">
        <v>2129</v>
      </c>
      <c r="AZ164" t="s">
        <v>2129</v>
      </c>
      <c r="BA164" t="s">
        <v>2129</v>
      </c>
      <c r="BB164" t="s">
        <v>2129</v>
      </c>
      <c r="BC164" t="s">
        <v>2129</v>
      </c>
      <c r="BD164" t="s">
        <v>2129</v>
      </c>
      <c r="BE164" t="s">
        <v>2129</v>
      </c>
      <c r="BF164" t="s">
        <v>2129</v>
      </c>
      <c r="BG164" t="s">
        <v>2129</v>
      </c>
      <c r="BH164" t="s">
        <v>2129</v>
      </c>
      <c r="BI164" t="s">
        <v>2129</v>
      </c>
      <c r="BJ164" t="s">
        <v>2129</v>
      </c>
      <c r="BK164" t="s">
        <v>2129</v>
      </c>
      <c r="BL164" t="s">
        <v>2129</v>
      </c>
      <c r="BM164" t="s">
        <v>2129</v>
      </c>
      <c r="BN164" t="s">
        <v>2129</v>
      </c>
      <c r="BO164" t="s">
        <v>2129</v>
      </c>
      <c r="BP164" t="s">
        <v>2129</v>
      </c>
      <c r="BS164" t="s">
        <v>2129</v>
      </c>
      <c r="BT164" t="s">
        <v>2129</v>
      </c>
      <c r="BW164" t="s">
        <v>2129</v>
      </c>
      <c r="BX164" t="s">
        <v>2129</v>
      </c>
      <c r="BY164" t="s">
        <v>2129</v>
      </c>
      <c r="BZ164" t="s">
        <v>2129</v>
      </c>
      <c r="CA164" t="s">
        <v>2129</v>
      </c>
      <c r="CB164" t="s">
        <v>2129</v>
      </c>
      <c r="CC164" t="s">
        <v>2129</v>
      </c>
      <c r="CD164" t="s">
        <v>2129</v>
      </c>
      <c r="CE164" t="s">
        <v>2129</v>
      </c>
      <c r="CF164" t="s">
        <v>2129</v>
      </c>
      <c r="CG164" t="s">
        <v>2129</v>
      </c>
      <c r="CH164" t="s">
        <v>2129</v>
      </c>
      <c r="CI164" t="s">
        <v>2129</v>
      </c>
      <c r="CJ164" t="s">
        <v>2129</v>
      </c>
      <c r="CK164" t="s">
        <v>2129</v>
      </c>
      <c r="CL164" t="s">
        <v>2129</v>
      </c>
      <c r="CM164" t="s">
        <v>2129</v>
      </c>
      <c r="CN164" t="s">
        <v>2129</v>
      </c>
      <c r="CO164" t="s">
        <v>2129</v>
      </c>
      <c r="CP164" t="s">
        <v>2129</v>
      </c>
      <c r="CQ164" t="s">
        <v>2129</v>
      </c>
      <c r="CR164" t="s">
        <v>2129</v>
      </c>
      <c r="CS164" t="s">
        <v>2129</v>
      </c>
      <c r="CT164" t="s">
        <v>4208</v>
      </c>
      <c r="CU164" t="s">
        <v>4209</v>
      </c>
      <c r="CV164" t="s">
        <v>2129</v>
      </c>
      <c r="CW164" t="s">
        <v>2129</v>
      </c>
      <c r="CX164" t="s">
        <v>2129</v>
      </c>
      <c r="CY164" t="s">
        <v>2129</v>
      </c>
      <c r="CZ164" t="s">
        <v>2129</v>
      </c>
      <c r="DA164" t="s">
        <v>2129</v>
      </c>
      <c r="DB164" t="s">
        <v>2129</v>
      </c>
      <c r="DC164" t="s">
        <v>2129</v>
      </c>
      <c r="DD164" t="s">
        <v>2129</v>
      </c>
      <c r="DE164" t="s">
        <v>2129</v>
      </c>
      <c r="DF164" t="s">
        <v>2129</v>
      </c>
      <c r="DG164" t="s">
        <v>2129</v>
      </c>
      <c r="DH164" t="s">
        <v>2129</v>
      </c>
      <c r="DJ164" t="s">
        <v>2129</v>
      </c>
      <c r="DK164" t="s">
        <v>2129</v>
      </c>
      <c r="DL164" t="s">
        <v>2129</v>
      </c>
      <c r="DM164" t="s">
        <v>2129</v>
      </c>
      <c r="DN164" t="s">
        <v>2129</v>
      </c>
      <c r="DO164" t="s">
        <v>2129</v>
      </c>
      <c r="DP164" t="s">
        <v>2129</v>
      </c>
      <c r="DQ164" t="s">
        <v>2129</v>
      </c>
      <c r="DR164" t="s">
        <v>2129</v>
      </c>
      <c r="DS164" t="s">
        <v>2129</v>
      </c>
      <c r="DT164" t="s">
        <v>2129</v>
      </c>
      <c r="DU164" t="s">
        <v>2129</v>
      </c>
      <c r="DV164" t="s">
        <v>2129</v>
      </c>
      <c r="DW164" t="s">
        <v>2129</v>
      </c>
      <c r="DX164" t="s">
        <v>2129</v>
      </c>
      <c r="DY164" t="s">
        <v>2129</v>
      </c>
      <c r="DZ164" t="s">
        <v>2129</v>
      </c>
      <c r="EA164" t="s">
        <v>2129</v>
      </c>
      <c r="EB164" t="s">
        <v>2129</v>
      </c>
      <c r="EC164" t="s">
        <v>2129</v>
      </c>
      <c r="ED164" t="s">
        <v>2129</v>
      </c>
      <c r="EE164" t="s">
        <v>2129</v>
      </c>
      <c r="EF164" t="s">
        <v>2129</v>
      </c>
      <c r="EG164" t="s">
        <v>2129</v>
      </c>
      <c r="EH164" t="s">
        <v>2129</v>
      </c>
    </row>
    <row r="165" spans="1:138" x14ac:dyDescent="0.25">
      <c r="A165" t="s">
        <v>2876</v>
      </c>
      <c r="B165" t="s">
        <v>2875</v>
      </c>
      <c r="C165">
        <v>23078</v>
      </c>
      <c r="E165" t="s">
        <v>14</v>
      </c>
      <c r="F165" t="s">
        <v>1820</v>
      </c>
      <c r="G165" t="s">
        <v>2195</v>
      </c>
      <c r="H165" t="s">
        <v>38</v>
      </c>
      <c r="I165" t="s">
        <v>2127</v>
      </c>
      <c r="J165" t="s">
        <v>2128</v>
      </c>
      <c r="K165" t="s">
        <v>2129</v>
      </c>
      <c r="L165" t="s">
        <v>2196</v>
      </c>
      <c r="M165" t="s">
        <v>2130</v>
      </c>
      <c r="N165" t="s">
        <v>2129</v>
      </c>
      <c r="O165" t="s">
        <v>2827</v>
      </c>
      <c r="P165" t="s">
        <v>2190</v>
      </c>
      <c r="Q165" t="s">
        <v>2190</v>
      </c>
      <c r="R165" s="37">
        <v>46083.681250000001</v>
      </c>
      <c r="S165" s="37">
        <v>46099.46875</v>
      </c>
      <c r="T165" s="37">
        <v>46100.368750000001</v>
      </c>
      <c r="U165" s="37"/>
      <c r="V165" t="s">
        <v>2129</v>
      </c>
      <c r="W165" t="s">
        <v>2129</v>
      </c>
      <c r="X165" t="s">
        <v>2129</v>
      </c>
      <c r="Y165">
        <v>0</v>
      </c>
      <c r="Z165" t="s">
        <v>2129</v>
      </c>
      <c r="AA165" t="s">
        <v>4210</v>
      </c>
      <c r="AB165" t="s">
        <v>2129</v>
      </c>
      <c r="AC165" t="s">
        <v>2190</v>
      </c>
      <c r="AD165" t="s">
        <v>2129</v>
      </c>
      <c r="AE165" t="s">
        <v>2129</v>
      </c>
      <c r="AF165" t="s">
        <v>2129</v>
      </c>
      <c r="AG165" t="s">
        <v>2129</v>
      </c>
      <c r="AH165" t="s">
        <v>4211</v>
      </c>
      <c r="AI165" t="s">
        <v>4212</v>
      </c>
      <c r="AJ165" t="s">
        <v>2129</v>
      </c>
      <c r="AK165" t="s">
        <v>2129</v>
      </c>
      <c r="AL165" t="s">
        <v>2129</v>
      </c>
      <c r="AM165" t="s">
        <v>2129</v>
      </c>
      <c r="AN165" t="s">
        <v>2129</v>
      </c>
      <c r="AO165" t="s">
        <v>2129</v>
      </c>
      <c r="AP165" t="s">
        <v>2129</v>
      </c>
      <c r="AQ165" t="s">
        <v>2129</v>
      </c>
      <c r="AR165" t="s">
        <v>2129</v>
      </c>
      <c r="AS165" t="s">
        <v>2129</v>
      </c>
      <c r="AT165" t="s">
        <v>2129</v>
      </c>
      <c r="AU165" t="s">
        <v>2129</v>
      </c>
      <c r="AV165" t="s">
        <v>2129</v>
      </c>
      <c r="AW165" t="s">
        <v>2129</v>
      </c>
      <c r="AX165" t="s">
        <v>2129</v>
      </c>
      <c r="AY165" t="s">
        <v>2129</v>
      </c>
      <c r="AZ165" t="s">
        <v>2129</v>
      </c>
      <c r="BA165" t="s">
        <v>2129</v>
      </c>
      <c r="BB165" t="s">
        <v>2129</v>
      </c>
      <c r="BC165" t="s">
        <v>2129</v>
      </c>
      <c r="BD165" t="s">
        <v>2129</v>
      </c>
      <c r="BE165" t="s">
        <v>2129</v>
      </c>
      <c r="BF165" t="s">
        <v>2129</v>
      </c>
      <c r="BG165" t="s">
        <v>2129</v>
      </c>
      <c r="BH165" t="s">
        <v>2129</v>
      </c>
      <c r="BI165" t="s">
        <v>2129</v>
      </c>
      <c r="BJ165" t="s">
        <v>2129</v>
      </c>
      <c r="BK165" t="s">
        <v>2129</v>
      </c>
      <c r="BL165" t="s">
        <v>2129</v>
      </c>
      <c r="BM165" t="s">
        <v>2129</v>
      </c>
      <c r="BN165" t="s">
        <v>2129</v>
      </c>
      <c r="BO165" t="s">
        <v>2129</v>
      </c>
      <c r="BP165" t="s">
        <v>2129</v>
      </c>
      <c r="BQ165">
        <v>0</v>
      </c>
      <c r="BR165">
        <v>324000</v>
      </c>
      <c r="BS165" t="s">
        <v>2129</v>
      </c>
      <c r="BT165" t="s">
        <v>2129</v>
      </c>
      <c r="BU165">
        <v>0</v>
      </c>
      <c r="BV165">
        <v>324000</v>
      </c>
      <c r="BW165" t="s">
        <v>2129</v>
      </c>
      <c r="BX165" t="s">
        <v>2129</v>
      </c>
      <c r="BY165" t="s">
        <v>2129</v>
      </c>
      <c r="BZ165" t="s">
        <v>2129</v>
      </c>
      <c r="CA165" t="s">
        <v>2129</v>
      </c>
      <c r="CB165" t="s">
        <v>2129</v>
      </c>
      <c r="CC165" t="s">
        <v>2129</v>
      </c>
      <c r="CD165" t="s">
        <v>2129</v>
      </c>
      <c r="CE165" t="s">
        <v>2129</v>
      </c>
      <c r="CF165" t="s">
        <v>2129</v>
      </c>
      <c r="CG165" t="s">
        <v>2129</v>
      </c>
      <c r="CH165" t="s">
        <v>2129</v>
      </c>
      <c r="CI165" t="s">
        <v>2129</v>
      </c>
      <c r="CJ165" t="s">
        <v>2129</v>
      </c>
      <c r="CK165" t="s">
        <v>2129</v>
      </c>
      <c r="CL165" t="s">
        <v>2129</v>
      </c>
      <c r="CM165" t="s">
        <v>2129</v>
      </c>
      <c r="CN165" t="s">
        <v>2129</v>
      </c>
      <c r="CO165" t="s">
        <v>2129</v>
      </c>
      <c r="CP165" t="s">
        <v>2129</v>
      </c>
      <c r="CQ165" t="s">
        <v>2129</v>
      </c>
      <c r="CR165" t="s">
        <v>2129</v>
      </c>
      <c r="CS165" t="s">
        <v>2129</v>
      </c>
      <c r="CT165" t="s">
        <v>4213</v>
      </c>
      <c r="CU165" t="s">
        <v>4214</v>
      </c>
      <c r="CV165" t="s">
        <v>4209</v>
      </c>
      <c r="CW165" t="s">
        <v>4206</v>
      </c>
      <c r="CX165" t="s">
        <v>2129</v>
      </c>
      <c r="CY165" t="s">
        <v>2129</v>
      </c>
      <c r="CZ165" t="s">
        <v>2129</v>
      </c>
      <c r="DA165" t="s">
        <v>2129</v>
      </c>
      <c r="DB165" t="s">
        <v>2129</v>
      </c>
      <c r="DC165" t="s">
        <v>2129</v>
      </c>
      <c r="DD165" t="s">
        <v>2129</v>
      </c>
      <c r="DE165" t="s">
        <v>2129</v>
      </c>
      <c r="DF165" t="s">
        <v>2129</v>
      </c>
      <c r="DG165" t="s">
        <v>2129</v>
      </c>
      <c r="DH165" t="s">
        <v>2129</v>
      </c>
      <c r="DI165">
        <v>130</v>
      </c>
      <c r="DJ165" t="s">
        <v>2129</v>
      </c>
      <c r="DK165" t="s">
        <v>2129</v>
      </c>
      <c r="DL165" t="s">
        <v>2129</v>
      </c>
      <c r="DM165" t="s">
        <v>2129</v>
      </c>
      <c r="DN165" t="s">
        <v>2129</v>
      </c>
      <c r="DO165" t="s">
        <v>2129</v>
      </c>
      <c r="DP165" t="s">
        <v>2129</v>
      </c>
      <c r="DQ165" t="s">
        <v>2129</v>
      </c>
      <c r="DR165" t="s">
        <v>2129</v>
      </c>
      <c r="DS165" t="s">
        <v>2129</v>
      </c>
      <c r="DT165" t="s">
        <v>2129</v>
      </c>
      <c r="DU165" t="s">
        <v>2129</v>
      </c>
      <c r="DV165" t="s">
        <v>2129</v>
      </c>
      <c r="DW165" t="s">
        <v>2129</v>
      </c>
      <c r="DX165" t="s">
        <v>2129</v>
      </c>
      <c r="DY165" t="s">
        <v>2129</v>
      </c>
      <c r="DZ165" t="s">
        <v>2129</v>
      </c>
      <c r="EA165" t="s">
        <v>2129</v>
      </c>
      <c r="EB165" t="s">
        <v>2129</v>
      </c>
      <c r="EC165" t="s">
        <v>2129</v>
      </c>
      <c r="ED165" t="s">
        <v>2129</v>
      </c>
      <c r="EE165" t="s">
        <v>2129</v>
      </c>
      <c r="EF165" t="s">
        <v>2129</v>
      </c>
      <c r="EG165" t="s">
        <v>2129</v>
      </c>
      <c r="EH165" t="s">
        <v>2129</v>
      </c>
    </row>
    <row r="166" spans="1:138" x14ac:dyDescent="0.25">
      <c r="A166" t="s">
        <v>2880</v>
      </c>
      <c r="B166" t="s">
        <v>2879</v>
      </c>
      <c r="C166">
        <v>23064</v>
      </c>
      <c r="E166" t="s">
        <v>14</v>
      </c>
      <c r="F166" t="s">
        <v>16</v>
      </c>
      <c r="G166" t="s">
        <v>2195</v>
      </c>
      <c r="H166" t="s">
        <v>38</v>
      </c>
      <c r="I166" t="s">
        <v>2127</v>
      </c>
      <c r="J166" t="s">
        <v>2128</v>
      </c>
      <c r="K166" t="s">
        <v>2129</v>
      </c>
      <c r="L166" t="s">
        <v>2196</v>
      </c>
      <c r="M166" t="s">
        <v>2130</v>
      </c>
      <c r="N166" t="s">
        <v>2153</v>
      </c>
      <c r="O166" t="s">
        <v>2182</v>
      </c>
      <c r="P166" t="s">
        <v>2190</v>
      </c>
      <c r="Q166" t="s">
        <v>2190</v>
      </c>
      <c r="R166" s="37">
        <v>46083.4</v>
      </c>
      <c r="S166" s="37">
        <v>46097.616666666669</v>
      </c>
      <c r="T166" s="37">
        <v>46100.368750000001</v>
      </c>
      <c r="U166" s="37">
        <v>46097.616666666669</v>
      </c>
      <c r="V166" t="s">
        <v>2129</v>
      </c>
      <c r="W166" t="s">
        <v>2129</v>
      </c>
      <c r="X166" t="s">
        <v>2129</v>
      </c>
      <c r="Y166">
        <v>0</v>
      </c>
      <c r="Z166" t="s">
        <v>2129</v>
      </c>
      <c r="AA166" t="s">
        <v>4215</v>
      </c>
      <c r="AB166" t="s">
        <v>2129</v>
      </c>
      <c r="AC166" t="s">
        <v>2190</v>
      </c>
      <c r="AD166" t="s">
        <v>2129</v>
      </c>
      <c r="AE166" t="s">
        <v>2129</v>
      </c>
      <c r="AF166" t="s">
        <v>2129</v>
      </c>
      <c r="AG166" t="s">
        <v>2129</v>
      </c>
      <c r="AH166" t="s">
        <v>4216</v>
      </c>
      <c r="AI166" t="s">
        <v>4137</v>
      </c>
      <c r="AJ166" t="s">
        <v>2129</v>
      </c>
      <c r="AK166" t="s">
        <v>2129</v>
      </c>
      <c r="AL166" t="s">
        <v>2129</v>
      </c>
      <c r="AM166" t="s">
        <v>2129</v>
      </c>
      <c r="AN166" t="s">
        <v>2129</v>
      </c>
      <c r="AO166" t="s">
        <v>2129</v>
      </c>
      <c r="AP166" t="s">
        <v>2129</v>
      </c>
      <c r="AQ166" t="s">
        <v>2129</v>
      </c>
      <c r="AR166" t="s">
        <v>2129</v>
      </c>
      <c r="AS166" t="s">
        <v>2129</v>
      </c>
      <c r="AT166" t="s">
        <v>2129</v>
      </c>
      <c r="AU166" t="s">
        <v>2129</v>
      </c>
      <c r="AV166" t="s">
        <v>2129</v>
      </c>
      <c r="AW166" t="s">
        <v>2129</v>
      </c>
      <c r="AX166" t="s">
        <v>2129</v>
      </c>
      <c r="AY166" t="s">
        <v>2129</v>
      </c>
      <c r="AZ166" t="s">
        <v>2129</v>
      </c>
      <c r="BA166" t="s">
        <v>2129</v>
      </c>
      <c r="BB166" t="s">
        <v>2129</v>
      </c>
      <c r="BC166" t="s">
        <v>2129</v>
      </c>
      <c r="BD166" t="s">
        <v>2129</v>
      </c>
      <c r="BE166" t="s">
        <v>2129</v>
      </c>
      <c r="BF166" t="s">
        <v>2129</v>
      </c>
      <c r="BG166" t="s">
        <v>2129</v>
      </c>
      <c r="BH166" t="s">
        <v>2129</v>
      </c>
      <c r="BI166" t="s">
        <v>2129</v>
      </c>
      <c r="BJ166" t="s">
        <v>2129</v>
      </c>
      <c r="BK166" t="s">
        <v>2129</v>
      </c>
      <c r="BL166" t="s">
        <v>2129</v>
      </c>
      <c r="BM166" t="s">
        <v>2129</v>
      </c>
      <c r="BN166" t="s">
        <v>2129</v>
      </c>
      <c r="BO166" t="s">
        <v>2129</v>
      </c>
      <c r="BP166" t="s">
        <v>2129</v>
      </c>
      <c r="BQ166">
        <v>0</v>
      </c>
      <c r="BR166">
        <v>28800</v>
      </c>
      <c r="BS166" t="s">
        <v>2129</v>
      </c>
      <c r="BT166" t="s">
        <v>2129</v>
      </c>
      <c r="BU166">
        <v>0</v>
      </c>
      <c r="BV166">
        <v>28800</v>
      </c>
      <c r="BW166" t="s">
        <v>2129</v>
      </c>
      <c r="BX166" t="s">
        <v>2129</v>
      </c>
      <c r="BY166" t="s">
        <v>2129</v>
      </c>
      <c r="BZ166" t="s">
        <v>2129</v>
      </c>
      <c r="CA166" t="s">
        <v>2129</v>
      </c>
      <c r="CB166" t="s">
        <v>2129</v>
      </c>
      <c r="CC166" t="s">
        <v>2129</v>
      </c>
      <c r="CD166" t="s">
        <v>2129</v>
      </c>
      <c r="CE166" t="s">
        <v>2129</v>
      </c>
      <c r="CF166" t="s">
        <v>2129</v>
      </c>
      <c r="CG166" t="s">
        <v>2129</v>
      </c>
      <c r="CH166" t="s">
        <v>2129</v>
      </c>
      <c r="CI166" t="s">
        <v>2129</v>
      </c>
      <c r="CJ166" t="s">
        <v>2129</v>
      </c>
      <c r="CK166" t="s">
        <v>2129</v>
      </c>
      <c r="CL166" t="s">
        <v>2129</v>
      </c>
      <c r="CM166" t="s">
        <v>2913</v>
      </c>
      <c r="CN166" t="s">
        <v>2129</v>
      </c>
      <c r="CO166" t="s">
        <v>2129</v>
      </c>
      <c r="CP166" t="s">
        <v>2129</v>
      </c>
      <c r="CQ166" t="s">
        <v>2129</v>
      </c>
      <c r="CR166" t="s">
        <v>2129</v>
      </c>
      <c r="CS166" t="s">
        <v>2129</v>
      </c>
      <c r="CT166" t="s">
        <v>4217</v>
      </c>
      <c r="CU166" t="s">
        <v>4214</v>
      </c>
      <c r="CV166" t="s">
        <v>4209</v>
      </c>
      <c r="CW166" t="s">
        <v>2129</v>
      </c>
      <c r="CX166" t="s">
        <v>2129</v>
      </c>
      <c r="CY166" t="s">
        <v>2129</v>
      </c>
      <c r="CZ166" t="s">
        <v>2129</v>
      </c>
      <c r="DA166" t="s">
        <v>2129</v>
      </c>
      <c r="DB166" t="s">
        <v>2129</v>
      </c>
      <c r="DC166" t="s">
        <v>2129</v>
      </c>
      <c r="DD166" t="s">
        <v>2129</v>
      </c>
      <c r="DE166" t="s">
        <v>2129</v>
      </c>
      <c r="DF166" t="s">
        <v>2129</v>
      </c>
      <c r="DG166" t="s">
        <v>2129</v>
      </c>
      <c r="DH166" t="s">
        <v>2129</v>
      </c>
      <c r="DI166">
        <v>50</v>
      </c>
      <c r="DJ166" t="s">
        <v>2129</v>
      </c>
      <c r="DK166" t="s">
        <v>2129</v>
      </c>
      <c r="DL166" t="s">
        <v>2129</v>
      </c>
      <c r="DM166" t="s">
        <v>2129</v>
      </c>
      <c r="DN166" t="s">
        <v>2129</v>
      </c>
      <c r="DO166" t="s">
        <v>2129</v>
      </c>
      <c r="DP166" t="s">
        <v>2129</v>
      </c>
      <c r="DQ166" t="s">
        <v>2129</v>
      </c>
      <c r="DR166" t="s">
        <v>2129</v>
      </c>
      <c r="DS166" t="s">
        <v>2129</v>
      </c>
      <c r="DT166" t="s">
        <v>2129</v>
      </c>
      <c r="DU166" t="s">
        <v>2129</v>
      </c>
      <c r="DV166" t="s">
        <v>2129</v>
      </c>
      <c r="DW166" t="s">
        <v>2129</v>
      </c>
      <c r="DX166" t="s">
        <v>2129</v>
      </c>
      <c r="DY166" t="s">
        <v>2129</v>
      </c>
      <c r="DZ166" t="s">
        <v>2129</v>
      </c>
      <c r="EA166" t="s">
        <v>2129</v>
      </c>
      <c r="EB166" t="s">
        <v>2129</v>
      </c>
      <c r="EC166" t="s">
        <v>2129</v>
      </c>
      <c r="ED166" t="s">
        <v>2129</v>
      </c>
      <c r="EE166" t="s">
        <v>2129</v>
      </c>
      <c r="EF166" t="s">
        <v>2129</v>
      </c>
      <c r="EG166" t="s">
        <v>2129</v>
      </c>
      <c r="EH166" t="s">
        <v>2129</v>
      </c>
    </row>
    <row r="167" spans="1:138" x14ac:dyDescent="0.25">
      <c r="A167" t="s">
        <v>3051</v>
      </c>
      <c r="B167" t="s">
        <v>2913</v>
      </c>
      <c r="C167">
        <v>23046</v>
      </c>
      <c r="E167" t="s">
        <v>2154</v>
      </c>
      <c r="F167" t="s">
        <v>10</v>
      </c>
      <c r="G167" t="s">
        <v>2195</v>
      </c>
      <c r="H167" t="s">
        <v>38</v>
      </c>
      <c r="I167" t="s">
        <v>2127</v>
      </c>
      <c r="J167" t="s">
        <v>2128</v>
      </c>
      <c r="K167" t="s">
        <v>2129</v>
      </c>
      <c r="L167" t="s">
        <v>2196</v>
      </c>
      <c r="M167" t="s">
        <v>2130</v>
      </c>
      <c r="N167" t="s">
        <v>2129</v>
      </c>
      <c r="O167" t="s">
        <v>2129</v>
      </c>
      <c r="P167" t="s">
        <v>2145</v>
      </c>
      <c r="Q167" t="s">
        <v>2145</v>
      </c>
      <c r="R167" s="37">
        <v>46079.380555555559</v>
      </c>
      <c r="S167" s="37">
        <v>46098.520833333336</v>
      </c>
      <c r="T167" s="37">
        <v>46100.368750000001</v>
      </c>
      <c r="U167" s="37"/>
      <c r="V167" t="s">
        <v>2129</v>
      </c>
      <c r="W167" t="s">
        <v>2129</v>
      </c>
      <c r="X167" t="s">
        <v>2129</v>
      </c>
      <c r="Y167">
        <v>0</v>
      </c>
      <c r="Z167" t="s">
        <v>2129</v>
      </c>
      <c r="AA167" t="s">
        <v>3052</v>
      </c>
      <c r="AB167" t="s">
        <v>2129</v>
      </c>
      <c r="AC167" t="s">
        <v>2145</v>
      </c>
      <c r="AD167" t="s">
        <v>2129</v>
      </c>
      <c r="AE167" t="s">
        <v>2129</v>
      </c>
      <c r="AF167" t="s">
        <v>2129</v>
      </c>
      <c r="AG167" t="s">
        <v>2129</v>
      </c>
      <c r="AH167" t="s">
        <v>2129</v>
      </c>
      <c r="AI167" t="s">
        <v>2129</v>
      </c>
      <c r="AJ167" t="s">
        <v>2129</v>
      </c>
      <c r="AK167" t="s">
        <v>2129</v>
      </c>
      <c r="AL167" t="s">
        <v>2129</v>
      </c>
      <c r="AM167" t="s">
        <v>2129</v>
      </c>
      <c r="AN167" t="s">
        <v>2129</v>
      </c>
      <c r="AO167" t="s">
        <v>2129</v>
      </c>
      <c r="AP167" t="s">
        <v>2129</v>
      </c>
      <c r="AQ167" t="s">
        <v>2129</v>
      </c>
      <c r="AR167" t="s">
        <v>2129</v>
      </c>
      <c r="AS167" t="s">
        <v>2129</v>
      </c>
      <c r="AT167" t="s">
        <v>2129</v>
      </c>
      <c r="AU167" t="s">
        <v>2129</v>
      </c>
      <c r="AV167" t="s">
        <v>2129</v>
      </c>
      <c r="AW167" t="s">
        <v>2129</v>
      </c>
      <c r="AX167" t="s">
        <v>2129</v>
      </c>
      <c r="AY167" t="s">
        <v>2129</v>
      </c>
      <c r="AZ167" t="s">
        <v>2129</v>
      </c>
      <c r="BA167" t="s">
        <v>2129</v>
      </c>
      <c r="BB167" t="s">
        <v>2129</v>
      </c>
      <c r="BC167" t="s">
        <v>2129</v>
      </c>
      <c r="BD167" t="s">
        <v>2129</v>
      </c>
      <c r="BE167" t="s">
        <v>2129</v>
      </c>
      <c r="BF167" t="s">
        <v>2129</v>
      </c>
      <c r="BG167" t="s">
        <v>2129</v>
      </c>
      <c r="BH167" t="s">
        <v>2129</v>
      </c>
      <c r="BI167" t="s">
        <v>2129</v>
      </c>
      <c r="BJ167" t="s">
        <v>2129</v>
      </c>
      <c r="BK167" t="s">
        <v>2129</v>
      </c>
      <c r="BL167" t="s">
        <v>2129</v>
      </c>
      <c r="BM167" t="s">
        <v>2129</v>
      </c>
      <c r="BN167" t="s">
        <v>2129</v>
      </c>
      <c r="BO167" t="s">
        <v>2129</v>
      </c>
      <c r="BP167" t="s">
        <v>2129</v>
      </c>
      <c r="BS167" t="s">
        <v>2129</v>
      </c>
      <c r="BT167" t="s">
        <v>2129</v>
      </c>
      <c r="BW167" t="s">
        <v>2129</v>
      </c>
      <c r="BX167" t="s">
        <v>2129</v>
      </c>
      <c r="BY167" t="s">
        <v>2129</v>
      </c>
      <c r="BZ167" t="s">
        <v>2129</v>
      </c>
      <c r="CA167" t="s">
        <v>2129</v>
      </c>
      <c r="CB167" t="s">
        <v>2129</v>
      </c>
      <c r="CC167" t="s">
        <v>2129</v>
      </c>
      <c r="CD167" t="s">
        <v>2129</v>
      </c>
      <c r="CE167" t="s">
        <v>2129</v>
      </c>
      <c r="CF167" t="s">
        <v>2129</v>
      </c>
      <c r="CG167" t="s">
        <v>2129</v>
      </c>
      <c r="CH167" t="s">
        <v>2129</v>
      </c>
      <c r="CI167" t="s">
        <v>2129</v>
      </c>
      <c r="CJ167" t="s">
        <v>2129</v>
      </c>
      <c r="CK167" t="s">
        <v>2129</v>
      </c>
      <c r="CL167" t="s">
        <v>3053</v>
      </c>
      <c r="CM167" t="s">
        <v>2129</v>
      </c>
      <c r="CN167" t="s">
        <v>3051</v>
      </c>
      <c r="CO167" t="s">
        <v>10</v>
      </c>
      <c r="CP167" t="s">
        <v>2129</v>
      </c>
      <c r="CQ167" t="s">
        <v>2129</v>
      </c>
      <c r="CR167" t="s">
        <v>2129</v>
      </c>
      <c r="CS167" t="s">
        <v>2129</v>
      </c>
      <c r="CT167" t="s">
        <v>3054</v>
      </c>
      <c r="CU167" t="s">
        <v>2129</v>
      </c>
      <c r="CV167" t="s">
        <v>2129</v>
      </c>
      <c r="CW167" t="s">
        <v>2129</v>
      </c>
      <c r="CX167" t="s">
        <v>2129</v>
      </c>
      <c r="CY167" t="s">
        <v>2129</v>
      </c>
      <c r="CZ167" t="s">
        <v>2129</v>
      </c>
      <c r="DA167" t="s">
        <v>2129</v>
      </c>
      <c r="DB167" t="s">
        <v>2129</v>
      </c>
      <c r="DC167" t="s">
        <v>2129</v>
      </c>
      <c r="DD167" t="s">
        <v>2129</v>
      </c>
      <c r="DE167" t="s">
        <v>2129</v>
      </c>
      <c r="DF167" t="s">
        <v>2129</v>
      </c>
      <c r="DG167" t="s">
        <v>2129</v>
      </c>
      <c r="DH167" t="s">
        <v>2129</v>
      </c>
      <c r="DJ167" t="s">
        <v>2129</v>
      </c>
      <c r="DK167" t="s">
        <v>2129</v>
      </c>
      <c r="DL167" t="s">
        <v>2129</v>
      </c>
      <c r="DM167" t="s">
        <v>2129</v>
      </c>
      <c r="DN167" t="s">
        <v>2129</v>
      </c>
      <c r="DO167" t="s">
        <v>2129</v>
      </c>
      <c r="DP167" t="s">
        <v>2129</v>
      </c>
      <c r="DQ167" t="s">
        <v>2129</v>
      </c>
      <c r="DR167" t="s">
        <v>2129</v>
      </c>
      <c r="DS167" t="s">
        <v>2129</v>
      </c>
      <c r="DT167" t="s">
        <v>2129</v>
      </c>
      <c r="DU167" t="s">
        <v>2129</v>
      </c>
      <c r="DV167" t="s">
        <v>2129</v>
      </c>
      <c r="DW167" t="s">
        <v>2129</v>
      </c>
      <c r="DX167" t="s">
        <v>2129</v>
      </c>
      <c r="DY167" t="s">
        <v>2129</v>
      </c>
      <c r="DZ167" t="s">
        <v>2129</v>
      </c>
      <c r="EA167" t="s">
        <v>2129</v>
      </c>
      <c r="EB167" t="s">
        <v>2129</v>
      </c>
      <c r="EC167" t="s">
        <v>2129</v>
      </c>
      <c r="ED167" t="s">
        <v>2129</v>
      </c>
      <c r="EE167" t="s">
        <v>2129</v>
      </c>
      <c r="EF167" t="s">
        <v>2129</v>
      </c>
      <c r="EG167" t="s">
        <v>2129</v>
      </c>
      <c r="EH167" t="s">
        <v>2129</v>
      </c>
    </row>
    <row r="168" spans="1:138" x14ac:dyDescent="0.25">
      <c r="A168" t="s">
        <v>3055</v>
      </c>
      <c r="B168" t="s">
        <v>3056</v>
      </c>
      <c r="C168">
        <v>23044</v>
      </c>
      <c r="E168" t="s">
        <v>14</v>
      </c>
      <c r="F168" t="s">
        <v>10</v>
      </c>
      <c r="G168" t="s">
        <v>2195</v>
      </c>
      <c r="H168" t="s">
        <v>38</v>
      </c>
      <c r="I168" t="s">
        <v>2127</v>
      </c>
      <c r="J168" t="s">
        <v>2128</v>
      </c>
      <c r="K168" t="s">
        <v>2129</v>
      </c>
      <c r="L168" t="s">
        <v>2196</v>
      </c>
      <c r="M168" t="s">
        <v>4141</v>
      </c>
      <c r="N168" t="s">
        <v>2129</v>
      </c>
      <c r="O168" t="s">
        <v>2129</v>
      </c>
      <c r="P168" t="s">
        <v>2190</v>
      </c>
      <c r="Q168" t="s">
        <v>2190</v>
      </c>
      <c r="R168" s="37">
        <v>46078.657638888886</v>
      </c>
      <c r="S168" s="37">
        <v>46098.592361111114</v>
      </c>
      <c r="T168" s="37">
        <v>46100.368750000001</v>
      </c>
      <c r="U168" s="37"/>
      <c r="V168" t="s">
        <v>2129</v>
      </c>
      <c r="W168" t="s">
        <v>2129</v>
      </c>
      <c r="X168" t="s">
        <v>2129</v>
      </c>
      <c r="Y168">
        <v>0</v>
      </c>
      <c r="Z168" t="s">
        <v>2129</v>
      </c>
      <c r="AA168" t="s">
        <v>3057</v>
      </c>
      <c r="AB168" t="s">
        <v>2129</v>
      </c>
      <c r="AC168" t="s">
        <v>2190</v>
      </c>
      <c r="AD168" t="s">
        <v>2129</v>
      </c>
      <c r="AE168" t="s">
        <v>2129</v>
      </c>
      <c r="AF168" t="s">
        <v>2129</v>
      </c>
      <c r="AG168" t="s">
        <v>2129</v>
      </c>
      <c r="AH168" t="s">
        <v>2129</v>
      </c>
      <c r="AI168" t="s">
        <v>2129</v>
      </c>
      <c r="AJ168" t="s">
        <v>2129</v>
      </c>
      <c r="AK168" t="s">
        <v>2129</v>
      </c>
      <c r="AL168" t="s">
        <v>2129</v>
      </c>
      <c r="AM168" t="s">
        <v>2129</v>
      </c>
      <c r="AN168" t="s">
        <v>2129</v>
      </c>
      <c r="AO168" t="s">
        <v>2129</v>
      </c>
      <c r="AP168" t="s">
        <v>2129</v>
      </c>
      <c r="AQ168" t="s">
        <v>2129</v>
      </c>
      <c r="AR168" t="s">
        <v>2129</v>
      </c>
      <c r="AS168" t="s">
        <v>2129</v>
      </c>
      <c r="AT168" t="s">
        <v>2129</v>
      </c>
      <c r="AU168" t="s">
        <v>2129</v>
      </c>
      <c r="AV168" t="s">
        <v>2129</v>
      </c>
      <c r="AW168" t="s">
        <v>2129</v>
      </c>
      <c r="AX168" t="s">
        <v>2129</v>
      </c>
      <c r="AY168" t="s">
        <v>2129</v>
      </c>
      <c r="AZ168" t="s">
        <v>2129</v>
      </c>
      <c r="BA168" t="s">
        <v>2129</v>
      </c>
      <c r="BB168" t="s">
        <v>2129</v>
      </c>
      <c r="BC168" t="s">
        <v>2129</v>
      </c>
      <c r="BD168" t="s">
        <v>2129</v>
      </c>
      <c r="BE168" t="s">
        <v>2129</v>
      </c>
      <c r="BF168" t="s">
        <v>2129</v>
      </c>
      <c r="BG168" t="s">
        <v>2129</v>
      </c>
      <c r="BH168" t="s">
        <v>2129</v>
      </c>
      <c r="BI168" t="s">
        <v>2129</v>
      </c>
      <c r="BJ168" t="s">
        <v>2129</v>
      </c>
      <c r="BK168" t="s">
        <v>2129</v>
      </c>
      <c r="BL168" t="s">
        <v>2129</v>
      </c>
      <c r="BM168" t="s">
        <v>2129</v>
      </c>
      <c r="BN168" t="s">
        <v>2129</v>
      </c>
      <c r="BO168" t="s">
        <v>2129</v>
      </c>
      <c r="BP168" t="s">
        <v>2129</v>
      </c>
      <c r="BS168" t="s">
        <v>2129</v>
      </c>
      <c r="BT168" t="s">
        <v>2129</v>
      </c>
      <c r="BW168" t="s">
        <v>2129</v>
      </c>
      <c r="BX168" t="s">
        <v>2129</v>
      </c>
      <c r="BY168" t="s">
        <v>2129</v>
      </c>
      <c r="BZ168" t="s">
        <v>2129</v>
      </c>
      <c r="CA168" t="s">
        <v>2129</v>
      </c>
      <c r="CB168" t="s">
        <v>2129</v>
      </c>
      <c r="CC168" t="s">
        <v>2129</v>
      </c>
      <c r="CD168" t="s">
        <v>2129</v>
      </c>
      <c r="CE168" t="s">
        <v>2129</v>
      </c>
      <c r="CF168" t="s">
        <v>2129</v>
      </c>
      <c r="CG168" t="s">
        <v>2129</v>
      </c>
      <c r="CH168" t="s">
        <v>2129</v>
      </c>
      <c r="CI168" t="s">
        <v>2129</v>
      </c>
      <c r="CJ168" t="s">
        <v>2129</v>
      </c>
      <c r="CK168" t="s">
        <v>2129</v>
      </c>
      <c r="CL168" t="s">
        <v>2129</v>
      </c>
      <c r="CM168" t="s">
        <v>3058</v>
      </c>
      <c r="CN168" t="s">
        <v>2129</v>
      </c>
      <c r="CO168" t="s">
        <v>2129</v>
      </c>
      <c r="CP168" t="s">
        <v>2129</v>
      </c>
      <c r="CQ168" t="s">
        <v>2129</v>
      </c>
      <c r="CR168" t="s">
        <v>2129</v>
      </c>
      <c r="CS168" t="s">
        <v>2129</v>
      </c>
      <c r="CT168" t="s">
        <v>4218</v>
      </c>
      <c r="CU168" t="s">
        <v>2129</v>
      </c>
      <c r="CV168" t="s">
        <v>2129</v>
      </c>
      <c r="CW168" t="s">
        <v>2129</v>
      </c>
      <c r="CX168" t="s">
        <v>2129</v>
      </c>
      <c r="CY168" t="s">
        <v>2129</v>
      </c>
      <c r="CZ168" t="s">
        <v>2129</v>
      </c>
      <c r="DA168" t="s">
        <v>2129</v>
      </c>
      <c r="DB168" t="s">
        <v>2129</v>
      </c>
      <c r="DC168" t="s">
        <v>2129</v>
      </c>
      <c r="DD168" t="s">
        <v>2129</v>
      </c>
      <c r="DE168" t="s">
        <v>2129</v>
      </c>
      <c r="DF168" t="s">
        <v>2129</v>
      </c>
      <c r="DG168" t="s">
        <v>2129</v>
      </c>
      <c r="DH168" t="s">
        <v>2129</v>
      </c>
      <c r="DJ168" t="s">
        <v>2129</v>
      </c>
      <c r="DK168" t="s">
        <v>2129</v>
      </c>
      <c r="DL168" t="s">
        <v>2129</v>
      </c>
      <c r="DM168" t="s">
        <v>2129</v>
      </c>
      <c r="DN168" t="s">
        <v>2129</v>
      </c>
      <c r="DO168" t="s">
        <v>2129</v>
      </c>
      <c r="DP168" t="s">
        <v>2129</v>
      </c>
      <c r="DQ168" t="s">
        <v>2129</v>
      </c>
      <c r="DR168" t="s">
        <v>2129</v>
      </c>
      <c r="DS168" t="s">
        <v>2129</v>
      </c>
      <c r="DT168" t="s">
        <v>2129</v>
      </c>
      <c r="DU168" t="s">
        <v>2129</v>
      </c>
      <c r="DV168" t="s">
        <v>2129</v>
      </c>
      <c r="DW168" t="s">
        <v>2129</v>
      </c>
      <c r="DX168" t="s">
        <v>2129</v>
      </c>
      <c r="DY168" t="s">
        <v>2129</v>
      </c>
      <c r="DZ168" t="s">
        <v>2129</v>
      </c>
      <c r="EA168" t="s">
        <v>2129</v>
      </c>
      <c r="EB168" t="s">
        <v>2129</v>
      </c>
      <c r="EC168" t="s">
        <v>2129</v>
      </c>
      <c r="ED168" t="s">
        <v>2129</v>
      </c>
      <c r="EE168" t="s">
        <v>2129</v>
      </c>
      <c r="EF168" t="s">
        <v>2129</v>
      </c>
      <c r="EG168" t="s">
        <v>2129</v>
      </c>
      <c r="EH168" t="s">
        <v>2129</v>
      </c>
    </row>
    <row r="169" spans="1:138" x14ac:dyDescent="0.25">
      <c r="A169" t="s">
        <v>2715</v>
      </c>
      <c r="B169" t="s">
        <v>2716</v>
      </c>
      <c r="C169">
        <v>22942</v>
      </c>
      <c r="E169" t="s">
        <v>14</v>
      </c>
      <c r="F169" t="s">
        <v>10</v>
      </c>
      <c r="G169" t="s">
        <v>2195</v>
      </c>
      <c r="H169" t="s">
        <v>38</v>
      </c>
      <c r="I169" t="s">
        <v>2127</v>
      </c>
      <c r="J169" t="s">
        <v>2128</v>
      </c>
      <c r="K169" t="s">
        <v>2129</v>
      </c>
      <c r="L169" t="s">
        <v>2196</v>
      </c>
      <c r="M169" t="s">
        <v>2130</v>
      </c>
      <c r="N169" t="s">
        <v>2129</v>
      </c>
      <c r="O169" t="s">
        <v>2827</v>
      </c>
      <c r="P169" t="s">
        <v>2190</v>
      </c>
      <c r="Q169" t="s">
        <v>2190</v>
      </c>
      <c r="R169" s="37">
        <v>46059.622916666667</v>
      </c>
      <c r="S169" s="37">
        <v>46099.46875</v>
      </c>
      <c r="T169" s="37">
        <v>46100.368750000001</v>
      </c>
      <c r="U169" s="37"/>
      <c r="V169" t="s">
        <v>2129</v>
      </c>
      <c r="W169" t="s">
        <v>2129</v>
      </c>
      <c r="X169" t="s">
        <v>2129</v>
      </c>
      <c r="Y169">
        <v>0</v>
      </c>
      <c r="Z169" t="s">
        <v>2129</v>
      </c>
      <c r="AA169" t="s">
        <v>4219</v>
      </c>
      <c r="AB169" t="s">
        <v>2129</v>
      </c>
      <c r="AC169" t="s">
        <v>2190</v>
      </c>
      <c r="AD169" t="s">
        <v>2128</v>
      </c>
      <c r="AE169" t="s">
        <v>2129</v>
      </c>
      <c r="AF169" t="s">
        <v>2129</v>
      </c>
      <c r="AG169" t="s">
        <v>2129</v>
      </c>
      <c r="AH169" t="s">
        <v>2129</v>
      </c>
      <c r="AI169" t="s">
        <v>2129</v>
      </c>
      <c r="AJ169" t="s">
        <v>2129</v>
      </c>
      <c r="AK169" t="s">
        <v>2129</v>
      </c>
      <c r="AL169" t="s">
        <v>2129</v>
      </c>
      <c r="AM169" t="s">
        <v>2129</v>
      </c>
      <c r="AN169" t="s">
        <v>2129</v>
      </c>
      <c r="AO169" t="s">
        <v>2129</v>
      </c>
      <c r="AP169" t="s">
        <v>2129</v>
      </c>
      <c r="AQ169" t="s">
        <v>2129</v>
      </c>
      <c r="AR169" t="s">
        <v>2129</v>
      </c>
      <c r="AS169" t="s">
        <v>2129</v>
      </c>
      <c r="AT169" t="s">
        <v>2129</v>
      </c>
      <c r="AU169" t="s">
        <v>2129</v>
      </c>
      <c r="AV169" t="s">
        <v>2129</v>
      </c>
      <c r="AW169" t="s">
        <v>2129</v>
      </c>
      <c r="AX169" t="s">
        <v>2129</v>
      </c>
      <c r="AY169" t="s">
        <v>2129</v>
      </c>
      <c r="AZ169" t="s">
        <v>2129</v>
      </c>
      <c r="BA169" t="s">
        <v>2129</v>
      </c>
      <c r="BB169" t="s">
        <v>2129</v>
      </c>
      <c r="BC169" t="s">
        <v>2129</v>
      </c>
      <c r="BD169" t="s">
        <v>2129</v>
      </c>
      <c r="BE169" t="s">
        <v>2129</v>
      </c>
      <c r="BF169" t="s">
        <v>2129</v>
      </c>
      <c r="BG169" t="s">
        <v>2129</v>
      </c>
      <c r="BH169" t="s">
        <v>2129</v>
      </c>
      <c r="BI169" t="s">
        <v>2129</v>
      </c>
      <c r="BJ169" t="s">
        <v>2129</v>
      </c>
      <c r="BK169" t="s">
        <v>2129</v>
      </c>
      <c r="BL169" t="s">
        <v>2129</v>
      </c>
      <c r="BM169" t="s">
        <v>2129</v>
      </c>
      <c r="BN169" t="s">
        <v>2129</v>
      </c>
      <c r="BO169" t="s">
        <v>2129</v>
      </c>
      <c r="BP169" t="s">
        <v>2129</v>
      </c>
      <c r="BS169" t="s">
        <v>2129</v>
      </c>
      <c r="BT169" t="s">
        <v>2129</v>
      </c>
      <c r="BW169" t="s">
        <v>2129</v>
      </c>
      <c r="BX169" t="s">
        <v>2129</v>
      </c>
      <c r="BY169" t="s">
        <v>2129</v>
      </c>
      <c r="BZ169" t="s">
        <v>2129</v>
      </c>
      <c r="CA169" t="s">
        <v>2129</v>
      </c>
      <c r="CB169" t="s">
        <v>2129</v>
      </c>
      <c r="CC169" t="s">
        <v>2129</v>
      </c>
      <c r="CD169" t="s">
        <v>2129</v>
      </c>
      <c r="CE169" t="s">
        <v>2129</v>
      </c>
      <c r="CF169" t="s">
        <v>2129</v>
      </c>
      <c r="CG169" t="s">
        <v>2129</v>
      </c>
      <c r="CH169" t="s">
        <v>2129</v>
      </c>
      <c r="CI169" t="s">
        <v>2129</v>
      </c>
      <c r="CJ169" t="s">
        <v>2129</v>
      </c>
      <c r="CK169" t="s">
        <v>2129</v>
      </c>
      <c r="CL169" t="s">
        <v>2129</v>
      </c>
      <c r="CM169" t="s">
        <v>3062</v>
      </c>
      <c r="CN169" t="s">
        <v>2129</v>
      </c>
      <c r="CO169" t="s">
        <v>2129</v>
      </c>
      <c r="CP169" t="s">
        <v>2129</v>
      </c>
      <c r="CQ169" t="s">
        <v>2129</v>
      </c>
      <c r="CR169" t="s">
        <v>2129</v>
      </c>
      <c r="CS169" t="s">
        <v>2129</v>
      </c>
      <c r="CT169" t="s">
        <v>4220</v>
      </c>
      <c r="CU169" t="s">
        <v>3060</v>
      </c>
      <c r="CV169" t="s">
        <v>4209</v>
      </c>
      <c r="CW169" t="s">
        <v>2129</v>
      </c>
      <c r="CX169" t="s">
        <v>2129</v>
      </c>
      <c r="CY169" t="s">
        <v>2129</v>
      </c>
      <c r="CZ169" t="s">
        <v>2129</v>
      </c>
      <c r="DA169" t="s">
        <v>2129</v>
      </c>
      <c r="DB169" t="s">
        <v>2129</v>
      </c>
      <c r="DC169" t="s">
        <v>2129</v>
      </c>
      <c r="DD169" t="s">
        <v>2129</v>
      </c>
      <c r="DE169" t="s">
        <v>2129</v>
      </c>
      <c r="DF169" t="s">
        <v>2129</v>
      </c>
      <c r="DG169" t="s">
        <v>2129</v>
      </c>
      <c r="DH169" t="s">
        <v>2129</v>
      </c>
      <c r="DI169">
        <v>50</v>
      </c>
      <c r="DJ169" t="s">
        <v>2129</v>
      </c>
      <c r="DK169" t="s">
        <v>2129</v>
      </c>
      <c r="DL169" t="s">
        <v>2129</v>
      </c>
      <c r="DM169" t="s">
        <v>2129</v>
      </c>
      <c r="DN169" t="s">
        <v>2129</v>
      </c>
      <c r="DO169" t="s">
        <v>2129</v>
      </c>
      <c r="DP169" t="s">
        <v>2129</v>
      </c>
      <c r="DQ169" t="s">
        <v>2129</v>
      </c>
      <c r="DR169" t="s">
        <v>2129</v>
      </c>
      <c r="DS169" t="s">
        <v>2129</v>
      </c>
      <c r="DT169" t="s">
        <v>2129</v>
      </c>
      <c r="DU169" t="s">
        <v>2129</v>
      </c>
      <c r="DV169" t="s">
        <v>2129</v>
      </c>
      <c r="DW169" t="s">
        <v>2129</v>
      </c>
      <c r="DX169" t="s">
        <v>2129</v>
      </c>
      <c r="DY169" t="s">
        <v>2129</v>
      </c>
      <c r="DZ169" t="s">
        <v>2129</v>
      </c>
      <c r="EA169" t="s">
        <v>2129</v>
      </c>
      <c r="EB169" t="s">
        <v>2129</v>
      </c>
      <c r="EC169" t="s">
        <v>2129</v>
      </c>
      <c r="ED169" t="s">
        <v>2129</v>
      </c>
      <c r="EE169" t="s">
        <v>2129</v>
      </c>
      <c r="EF169" t="s">
        <v>2129</v>
      </c>
      <c r="EG169" t="s">
        <v>2129</v>
      </c>
      <c r="EH169" t="s">
        <v>2129</v>
      </c>
    </row>
    <row r="170" spans="1:138" x14ac:dyDescent="0.25">
      <c r="A170" t="s">
        <v>2717</v>
      </c>
      <c r="B170" t="s">
        <v>2718</v>
      </c>
      <c r="C170">
        <v>22907</v>
      </c>
      <c r="E170" t="s">
        <v>77</v>
      </c>
      <c r="F170" t="s">
        <v>10</v>
      </c>
      <c r="G170" t="s">
        <v>2195</v>
      </c>
      <c r="H170" t="s">
        <v>38</v>
      </c>
      <c r="I170" t="s">
        <v>2127</v>
      </c>
      <c r="J170" t="s">
        <v>2128</v>
      </c>
      <c r="K170" t="s">
        <v>2129</v>
      </c>
      <c r="L170" t="s">
        <v>2196</v>
      </c>
      <c r="M170" t="s">
        <v>2130</v>
      </c>
      <c r="N170" t="s">
        <v>2129</v>
      </c>
      <c r="O170" t="s">
        <v>2827</v>
      </c>
      <c r="P170" t="s">
        <v>2128</v>
      </c>
      <c r="Q170" t="s">
        <v>2128</v>
      </c>
      <c r="R170" s="37">
        <v>46051.45</v>
      </c>
      <c r="S170" s="37">
        <v>46099.46875</v>
      </c>
      <c r="T170" s="37">
        <v>46100.368750000001</v>
      </c>
      <c r="U170" s="37"/>
      <c r="V170" t="s">
        <v>2129</v>
      </c>
      <c r="W170" t="s">
        <v>2129</v>
      </c>
      <c r="X170" t="s">
        <v>2129</v>
      </c>
      <c r="Y170">
        <v>0</v>
      </c>
      <c r="Z170" t="s">
        <v>2129</v>
      </c>
      <c r="AA170" t="s">
        <v>3059</v>
      </c>
      <c r="AB170" t="s">
        <v>2129</v>
      </c>
      <c r="AC170" t="s">
        <v>2128</v>
      </c>
      <c r="AD170" t="s">
        <v>2129</v>
      </c>
      <c r="AE170" t="s">
        <v>2129</v>
      </c>
      <c r="AF170" t="s">
        <v>2129</v>
      </c>
      <c r="AG170" t="s">
        <v>2129</v>
      </c>
      <c r="AH170" t="s">
        <v>2129</v>
      </c>
      <c r="AI170" t="s">
        <v>2129</v>
      </c>
      <c r="AJ170" t="s">
        <v>2129</v>
      </c>
      <c r="AK170" t="s">
        <v>2129</v>
      </c>
      <c r="AL170" t="s">
        <v>2129</v>
      </c>
      <c r="AM170" t="s">
        <v>2129</v>
      </c>
      <c r="AN170" t="s">
        <v>2129</v>
      </c>
      <c r="AO170" t="s">
        <v>2129</v>
      </c>
      <c r="AP170" t="s">
        <v>2129</v>
      </c>
      <c r="AQ170" t="s">
        <v>2129</v>
      </c>
      <c r="AR170" t="s">
        <v>2129</v>
      </c>
      <c r="AS170" t="s">
        <v>2129</v>
      </c>
      <c r="AT170" t="s">
        <v>2129</v>
      </c>
      <c r="AU170" t="s">
        <v>2129</v>
      </c>
      <c r="AV170" t="s">
        <v>2129</v>
      </c>
      <c r="AW170" t="s">
        <v>2129</v>
      </c>
      <c r="AX170" t="s">
        <v>2129</v>
      </c>
      <c r="AY170" t="s">
        <v>2129</v>
      </c>
      <c r="AZ170" t="s">
        <v>2129</v>
      </c>
      <c r="BA170" t="s">
        <v>2129</v>
      </c>
      <c r="BB170" t="s">
        <v>2129</v>
      </c>
      <c r="BC170" t="s">
        <v>2129</v>
      </c>
      <c r="BD170" t="s">
        <v>2129</v>
      </c>
      <c r="BE170" t="s">
        <v>2129</v>
      </c>
      <c r="BF170" t="s">
        <v>2129</v>
      </c>
      <c r="BG170" t="s">
        <v>2129</v>
      </c>
      <c r="BH170" t="s">
        <v>2129</v>
      </c>
      <c r="BI170" t="s">
        <v>2129</v>
      </c>
      <c r="BJ170" t="s">
        <v>2129</v>
      </c>
      <c r="BK170" t="s">
        <v>2129</v>
      </c>
      <c r="BL170" t="s">
        <v>2129</v>
      </c>
      <c r="BM170" t="s">
        <v>2129</v>
      </c>
      <c r="BN170" t="s">
        <v>2129</v>
      </c>
      <c r="BO170" t="s">
        <v>2129</v>
      </c>
      <c r="BP170" t="s">
        <v>2129</v>
      </c>
      <c r="BS170" t="s">
        <v>2129</v>
      </c>
      <c r="BT170" t="s">
        <v>2129</v>
      </c>
      <c r="BW170" t="s">
        <v>2129</v>
      </c>
      <c r="BX170" t="s">
        <v>2129</v>
      </c>
      <c r="BY170" t="s">
        <v>2129</v>
      </c>
      <c r="BZ170" t="s">
        <v>2129</v>
      </c>
      <c r="CA170" t="s">
        <v>2129</v>
      </c>
      <c r="CB170" t="s">
        <v>2129</v>
      </c>
      <c r="CC170" t="s">
        <v>2129</v>
      </c>
      <c r="CD170" t="s">
        <v>2129</v>
      </c>
      <c r="CE170" t="s">
        <v>2129</v>
      </c>
      <c r="CF170" t="s">
        <v>2129</v>
      </c>
      <c r="CG170" t="s">
        <v>2129</v>
      </c>
      <c r="CH170" t="s">
        <v>2129</v>
      </c>
      <c r="CI170" t="s">
        <v>2129</v>
      </c>
      <c r="CJ170" t="s">
        <v>2129</v>
      </c>
      <c r="CK170" t="s">
        <v>2129</v>
      </c>
      <c r="CL170" t="s">
        <v>2129</v>
      </c>
      <c r="CM170" t="s">
        <v>2129</v>
      </c>
      <c r="CN170" t="s">
        <v>2129</v>
      </c>
      <c r="CO170" t="s">
        <v>2129</v>
      </c>
      <c r="CP170" t="s">
        <v>2129</v>
      </c>
      <c r="CQ170" t="s">
        <v>2129</v>
      </c>
      <c r="CR170" t="s">
        <v>2129</v>
      </c>
      <c r="CS170" t="s">
        <v>2129</v>
      </c>
      <c r="CT170" t="s">
        <v>4221</v>
      </c>
      <c r="CU170" t="s">
        <v>3060</v>
      </c>
      <c r="CV170" t="s">
        <v>4209</v>
      </c>
      <c r="CW170" t="s">
        <v>4206</v>
      </c>
      <c r="CX170" t="s">
        <v>2129</v>
      </c>
      <c r="CY170" t="s">
        <v>2129</v>
      </c>
      <c r="CZ170" t="s">
        <v>2129</v>
      </c>
      <c r="DA170" t="s">
        <v>2129</v>
      </c>
      <c r="DB170" t="s">
        <v>2129</v>
      </c>
      <c r="DC170" t="s">
        <v>2129</v>
      </c>
      <c r="DD170" t="s">
        <v>2129</v>
      </c>
      <c r="DE170" t="s">
        <v>2129</v>
      </c>
      <c r="DF170" t="s">
        <v>2129</v>
      </c>
      <c r="DG170" t="s">
        <v>2129</v>
      </c>
      <c r="DH170" t="s">
        <v>2129</v>
      </c>
      <c r="DI170">
        <v>10</v>
      </c>
      <c r="DJ170" t="s">
        <v>2129</v>
      </c>
      <c r="DK170" t="s">
        <v>2129</v>
      </c>
      <c r="DL170" t="s">
        <v>2129</v>
      </c>
      <c r="DM170" t="s">
        <v>2129</v>
      </c>
      <c r="DN170" t="s">
        <v>2129</v>
      </c>
      <c r="DO170" t="s">
        <v>2129</v>
      </c>
      <c r="DP170" t="s">
        <v>2129</v>
      </c>
      <c r="DQ170" t="s">
        <v>2129</v>
      </c>
      <c r="DR170" t="s">
        <v>2129</v>
      </c>
      <c r="DS170" t="s">
        <v>2129</v>
      </c>
      <c r="DT170" t="s">
        <v>2129</v>
      </c>
      <c r="DU170" t="s">
        <v>2129</v>
      </c>
      <c r="DV170" t="s">
        <v>2129</v>
      </c>
      <c r="DW170" t="s">
        <v>2129</v>
      </c>
      <c r="DX170" t="s">
        <v>2129</v>
      </c>
      <c r="DY170" t="s">
        <v>2129</v>
      </c>
      <c r="DZ170" t="s">
        <v>2129</v>
      </c>
      <c r="EA170" t="s">
        <v>2129</v>
      </c>
      <c r="EB170" t="s">
        <v>2129</v>
      </c>
      <c r="EC170" t="s">
        <v>2129</v>
      </c>
      <c r="ED170" t="s">
        <v>2129</v>
      </c>
      <c r="EE170" t="s">
        <v>2129</v>
      </c>
      <c r="EF170" t="s">
        <v>2129</v>
      </c>
      <c r="EG170" t="s">
        <v>2129</v>
      </c>
      <c r="EH170" t="s">
        <v>2129</v>
      </c>
    </row>
    <row r="171" spans="1:138" x14ac:dyDescent="0.25">
      <c r="A171" t="s">
        <v>2719</v>
      </c>
      <c r="B171" t="s">
        <v>2720</v>
      </c>
      <c r="C171">
        <v>22902</v>
      </c>
      <c r="E171" t="s">
        <v>14</v>
      </c>
      <c r="F171" t="s">
        <v>27</v>
      </c>
      <c r="G171" t="s">
        <v>2195</v>
      </c>
      <c r="H171" t="s">
        <v>38</v>
      </c>
      <c r="I171" t="s">
        <v>2127</v>
      </c>
      <c r="J171" t="s">
        <v>2128</v>
      </c>
      <c r="K171" t="s">
        <v>2129</v>
      </c>
      <c r="L171" t="s">
        <v>2196</v>
      </c>
      <c r="M171" t="s">
        <v>2130</v>
      </c>
      <c r="N171" t="s">
        <v>2129</v>
      </c>
      <c r="O171" t="s">
        <v>2827</v>
      </c>
      <c r="P171" t="s">
        <v>2190</v>
      </c>
      <c r="Q171" t="s">
        <v>2190</v>
      </c>
      <c r="R171" s="37">
        <v>46049.536111111112</v>
      </c>
      <c r="S171" s="37">
        <v>46099.540277777778</v>
      </c>
      <c r="T171" s="37">
        <v>46100.368750000001</v>
      </c>
      <c r="U171" s="37"/>
      <c r="V171" t="s">
        <v>2129</v>
      </c>
      <c r="W171" t="s">
        <v>2129</v>
      </c>
      <c r="X171" t="s">
        <v>2129</v>
      </c>
      <c r="Y171">
        <v>0</v>
      </c>
      <c r="Z171" t="s">
        <v>2129</v>
      </c>
      <c r="AA171" t="s">
        <v>4222</v>
      </c>
      <c r="AB171" t="s">
        <v>2129</v>
      </c>
      <c r="AC171" t="s">
        <v>2190</v>
      </c>
      <c r="AD171" t="s">
        <v>2128</v>
      </c>
      <c r="AE171" t="s">
        <v>2129</v>
      </c>
      <c r="AF171" t="s">
        <v>2129</v>
      </c>
      <c r="AG171" t="s">
        <v>2129</v>
      </c>
      <c r="AH171" t="s">
        <v>4223</v>
      </c>
      <c r="AI171" t="s">
        <v>2129</v>
      </c>
      <c r="AJ171" t="s">
        <v>2129</v>
      </c>
      <c r="AK171" t="s">
        <v>2129</v>
      </c>
      <c r="AL171" t="s">
        <v>2129</v>
      </c>
      <c r="AM171" t="s">
        <v>2129</v>
      </c>
      <c r="AN171" t="s">
        <v>2129</v>
      </c>
      <c r="AO171" t="s">
        <v>2129</v>
      </c>
      <c r="AP171" t="s">
        <v>2129</v>
      </c>
      <c r="AQ171" t="s">
        <v>2129</v>
      </c>
      <c r="AR171" t="s">
        <v>2129</v>
      </c>
      <c r="AS171" t="s">
        <v>2129</v>
      </c>
      <c r="AT171" t="s">
        <v>2129</v>
      </c>
      <c r="AU171" t="s">
        <v>2129</v>
      </c>
      <c r="AV171" t="s">
        <v>2129</v>
      </c>
      <c r="AW171" t="s">
        <v>2129</v>
      </c>
      <c r="AX171" t="s">
        <v>2129</v>
      </c>
      <c r="AY171" t="s">
        <v>2129</v>
      </c>
      <c r="AZ171" t="s">
        <v>2129</v>
      </c>
      <c r="BA171" t="s">
        <v>2129</v>
      </c>
      <c r="BB171" t="s">
        <v>2129</v>
      </c>
      <c r="BC171" t="s">
        <v>2129</v>
      </c>
      <c r="BD171" t="s">
        <v>2129</v>
      </c>
      <c r="BE171" t="s">
        <v>2129</v>
      </c>
      <c r="BF171" t="s">
        <v>2129</v>
      </c>
      <c r="BG171" t="s">
        <v>2129</v>
      </c>
      <c r="BH171" t="s">
        <v>2129</v>
      </c>
      <c r="BI171" t="s">
        <v>2129</v>
      </c>
      <c r="BJ171" t="s">
        <v>2129</v>
      </c>
      <c r="BK171" t="s">
        <v>2129</v>
      </c>
      <c r="BL171" t="s">
        <v>2129</v>
      </c>
      <c r="BM171" t="s">
        <v>2129</v>
      </c>
      <c r="BN171" t="s">
        <v>2129</v>
      </c>
      <c r="BO171" t="s">
        <v>2129</v>
      </c>
      <c r="BP171" t="s">
        <v>2129</v>
      </c>
      <c r="BQ171">
        <v>0</v>
      </c>
      <c r="BR171">
        <v>21600</v>
      </c>
      <c r="BS171" t="s">
        <v>2129</v>
      </c>
      <c r="BT171" t="s">
        <v>2129</v>
      </c>
      <c r="BU171">
        <v>0</v>
      </c>
      <c r="BV171">
        <v>21600</v>
      </c>
      <c r="BW171" t="s">
        <v>2129</v>
      </c>
      <c r="BX171" t="s">
        <v>2129</v>
      </c>
      <c r="BY171" t="s">
        <v>2129</v>
      </c>
      <c r="BZ171" t="s">
        <v>2129</v>
      </c>
      <c r="CA171" t="s">
        <v>2129</v>
      </c>
      <c r="CB171" t="s">
        <v>2129</v>
      </c>
      <c r="CC171" t="s">
        <v>2129</v>
      </c>
      <c r="CD171" t="s">
        <v>2129</v>
      </c>
      <c r="CE171" t="s">
        <v>2129</v>
      </c>
      <c r="CF171" t="s">
        <v>2129</v>
      </c>
      <c r="CG171" t="s">
        <v>2129</v>
      </c>
      <c r="CH171" t="s">
        <v>2129</v>
      </c>
      <c r="CI171" t="s">
        <v>2129</v>
      </c>
      <c r="CJ171" t="s">
        <v>2129</v>
      </c>
      <c r="CK171" t="s">
        <v>2129</v>
      </c>
      <c r="CL171" t="s">
        <v>2129</v>
      </c>
      <c r="CM171" t="s">
        <v>3062</v>
      </c>
      <c r="CN171" t="s">
        <v>2129</v>
      </c>
      <c r="CO171" t="s">
        <v>2129</v>
      </c>
      <c r="CP171" t="s">
        <v>2129</v>
      </c>
      <c r="CQ171" t="s">
        <v>2129</v>
      </c>
      <c r="CR171" t="s">
        <v>2129</v>
      </c>
      <c r="CS171" t="s">
        <v>2129</v>
      </c>
      <c r="CT171" t="s">
        <v>4224</v>
      </c>
      <c r="CU171" t="s">
        <v>2539</v>
      </c>
      <c r="CV171" t="s">
        <v>3060</v>
      </c>
      <c r="CW171" t="s">
        <v>4209</v>
      </c>
      <c r="CX171" t="s">
        <v>4206</v>
      </c>
      <c r="CY171" t="s">
        <v>2129</v>
      </c>
      <c r="CZ171" t="s">
        <v>2129</v>
      </c>
      <c r="DA171" t="s">
        <v>2129</v>
      </c>
      <c r="DB171" t="s">
        <v>2129</v>
      </c>
      <c r="DC171" t="s">
        <v>2129</v>
      </c>
      <c r="DD171" t="s">
        <v>2129</v>
      </c>
      <c r="DE171" t="s">
        <v>2129</v>
      </c>
      <c r="DF171" t="s">
        <v>2129</v>
      </c>
      <c r="DG171" t="s">
        <v>2129</v>
      </c>
      <c r="DH171" t="s">
        <v>2129</v>
      </c>
      <c r="DI171">
        <v>30</v>
      </c>
      <c r="DJ171" t="s">
        <v>2129</v>
      </c>
      <c r="DK171" t="s">
        <v>2129</v>
      </c>
      <c r="DL171" t="s">
        <v>2129</v>
      </c>
      <c r="DM171" t="s">
        <v>2129</v>
      </c>
      <c r="DN171" t="s">
        <v>2129</v>
      </c>
      <c r="DO171" t="s">
        <v>2129</v>
      </c>
      <c r="DP171" t="s">
        <v>2129</v>
      </c>
      <c r="DQ171" t="s">
        <v>2129</v>
      </c>
      <c r="DR171" t="s">
        <v>2129</v>
      </c>
      <c r="DS171" t="s">
        <v>2129</v>
      </c>
      <c r="DT171" t="s">
        <v>2129</v>
      </c>
      <c r="DU171" t="s">
        <v>2129</v>
      </c>
      <c r="DV171" t="s">
        <v>2129</v>
      </c>
      <c r="DW171" t="s">
        <v>2129</v>
      </c>
      <c r="DX171" t="s">
        <v>2129</v>
      </c>
      <c r="DY171" t="s">
        <v>2129</v>
      </c>
      <c r="DZ171" t="s">
        <v>2129</v>
      </c>
      <c r="EA171" t="s">
        <v>2129</v>
      </c>
      <c r="EB171" t="s">
        <v>2129</v>
      </c>
      <c r="EC171" t="s">
        <v>2129</v>
      </c>
      <c r="ED171" t="s">
        <v>2129</v>
      </c>
      <c r="EE171" t="s">
        <v>2129</v>
      </c>
      <c r="EF171" t="s">
        <v>2129</v>
      </c>
      <c r="EG171" t="s">
        <v>2129</v>
      </c>
      <c r="EH171" t="s">
        <v>2129</v>
      </c>
    </row>
    <row r="172" spans="1:138" x14ac:dyDescent="0.25">
      <c r="A172" t="s">
        <v>2721</v>
      </c>
      <c r="B172" t="s">
        <v>2722</v>
      </c>
      <c r="C172">
        <v>22901</v>
      </c>
      <c r="E172" t="s">
        <v>14</v>
      </c>
      <c r="F172" t="s">
        <v>10</v>
      </c>
      <c r="G172" t="s">
        <v>2195</v>
      </c>
      <c r="H172" t="s">
        <v>38</v>
      </c>
      <c r="I172" t="s">
        <v>2127</v>
      </c>
      <c r="J172" t="s">
        <v>2128</v>
      </c>
      <c r="K172" t="s">
        <v>2129</v>
      </c>
      <c r="L172" t="s">
        <v>2196</v>
      </c>
      <c r="M172" t="s">
        <v>2130</v>
      </c>
      <c r="N172" t="s">
        <v>2129</v>
      </c>
      <c r="O172" t="s">
        <v>2827</v>
      </c>
      <c r="P172" t="s">
        <v>2190</v>
      </c>
      <c r="Q172" t="s">
        <v>2190</v>
      </c>
      <c r="R172" s="37">
        <v>46049.530555555553</v>
      </c>
      <c r="S172" s="37">
        <v>46098.598611111112</v>
      </c>
      <c r="T172" s="37">
        <v>46100.368750000001</v>
      </c>
      <c r="U172" s="37"/>
      <c r="V172" t="s">
        <v>2129</v>
      </c>
      <c r="W172" t="s">
        <v>2129</v>
      </c>
      <c r="X172" t="s">
        <v>2129</v>
      </c>
      <c r="Y172">
        <v>0</v>
      </c>
      <c r="Z172" t="s">
        <v>2129</v>
      </c>
      <c r="AA172" t="s">
        <v>3061</v>
      </c>
      <c r="AB172" t="s">
        <v>2129</v>
      </c>
      <c r="AC172" t="s">
        <v>2190</v>
      </c>
      <c r="AD172" t="s">
        <v>2128</v>
      </c>
      <c r="AE172" t="s">
        <v>2129</v>
      </c>
      <c r="AF172" t="s">
        <v>2129</v>
      </c>
      <c r="AG172" t="s">
        <v>2129</v>
      </c>
      <c r="AH172" t="s">
        <v>2129</v>
      </c>
      <c r="AI172" t="s">
        <v>2129</v>
      </c>
      <c r="AJ172" t="s">
        <v>2129</v>
      </c>
      <c r="AK172" t="s">
        <v>2129</v>
      </c>
      <c r="AL172" t="s">
        <v>2129</v>
      </c>
      <c r="AM172" t="s">
        <v>2129</v>
      </c>
      <c r="AN172" t="s">
        <v>2129</v>
      </c>
      <c r="AO172" t="s">
        <v>2129</v>
      </c>
      <c r="AP172" t="s">
        <v>2129</v>
      </c>
      <c r="AQ172" t="s">
        <v>2129</v>
      </c>
      <c r="AR172" t="s">
        <v>2129</v>
      </c>
      <c r="AS172" t="s">
        <v>2129</v>
      </c>
      <c r="AT172" t="s">
        <v>2129</v>
      </c>
      <c r="AU172" t="s">
        <v>2129</v>
      </c>
      <c r="AV172" t="s">
        <v>2129</v>
      </c>
      <c r="AW172" t="s">
        <v>2129</v>
      </c>
      <c r="AX172" t="s">
        <v>2129</v>
      </c>
      <c r="AY172" t="s">
        <v>2129</v>
      </c>
      <c r="AZ172" t="s">
        <v>2129</v>
      </c>
      <c r="BA172" t="s">
        <v>2129</v>
      </c>
      <c r="BB172" t="s">
        <v>2129</v>
      </c>
      <c r="BC172" t="s">
        <v>2129</v>
      </c>
      <c r="BD172" t="s">
        <v>2129</v>
      </c>
      <c r="BE172" t="s">
        <v>2129</v>
      </c>
      <c r="BF172" t="s">
        <v>2129</v>
      </c>
      <c r="BG172" t="s">
        <v>2129</v>
      </c>
      <c r="BH172" t="s">
        <v>2129</v>
      </c>
      <c r="BI172" t="s">
        <v>2129</v>
      </c>
      <c r="BJ172" t="s">
        <v>2129</v>
      </c>
      <c r="BK172" t="s">
        <v>2129</v>
      </c>
      <c r="BL172" t="s">
        <v>2129</v>
      </c>
      <c r="BM172" t="s">
        <v>2129</v>
      </c>
      <c r="BN172" t="s">
        <v>2129</v>
      </c>
      <c r="BO172" t="s">
        <v>2129</v>
      </c>
      <c r="BP172" t="s">
        <v>2129</v>
      </c>
      <c r="BS172" t="s">
        <v>2129</v>
      </c>
      <c r="BT172" t="s">
        <v>2129</v>
      </c>
      <c r="BW172" t="s">
        <v>2129</v>
      </c>
      <c r="BX172" t="s">
        <v>2723</v>
      </c>
      <c r="BY172" t="s">
        <v>2129</v>
      </c>
      <c r="BZ172" t="s">
        <v>2129</v>
      </c>
      <c r="CA172" t="s">
        <v>2129</v>
      </c>
      <c r="CB172" t="s">
        <v>2129</v>
      </c>
      <c r="CC172" t="s">
        <v>2129</v>
      </c>
      <c r="CD172" t="s">
        <v>2129</v>
      </c>
      <c r="CE172" t="s">
        <v>2129</v>
      </c>
      <c r="CF172" t="s">
        <v>2129</v>
      </c>
      <c r="CG172" t="s">
        <v>2129</v>
      </c>
      <c r="CH172" t="s">
        <v>2129</v>
      </c>
      <c r="CI172" t="s">
        <v>2129</v>
      </c>
      <c r="CJ172" t="s">
        <v>2129</v>
      </c>
      <c r="CK172" t="s">
        <v>2129</v>
      </c>
      <c r="CL172" t="s">
        <v>2129</v>
      </c>
      <c r="CM172" t="s">
        <v>3062</v>
      </c>
      <c r="CN172" t="s">
        <v>2129</v>
      </c>
      <c r="CO172" t="s">
        <v>2129</v>
      </c>
      <c r="CP172" t="s">
        <v>2129</v>
      </c>
      <c r="CQ172" t="s">
        <v>2129</v>
      </c>
      <c r="CR172" t="s">
        <v>2129</v>
      </c>
      <c r="CS172" t="s">
        <v>2129</v>
      </c>
      <c r="CT172" t="s">
        <v>4225</v>
      </c>
      <c r="CU172" t="s">
        <v>3060</v>
      </c>
      <c r="CV172" t="s">
        <v>4206</v>
      </c>
      <c r="CW172" t="s">
        <v>2129</v>
      </c>
      <c r="CX172" t="s">
        <v>2129</v>
      </c>
      <c r="CY172" t="s">
        <v>2129</v>
      </c>
      <c r="CZ172" t="s">
        <v>2129</v>
      </c>
      <c r="DA172" t="s">
        <v>2129</v>
      </c>
      <c r="DB172" t="s">
        <v>2129</v>
      </c>
      <c r="DC172" t="s">
        <v>2129</v>
      </c>
      <c r="DD172" t="s">
        <v>2129</v>
      </c>
      <c r="DE172" t="s">
        <v>2129</v>
      </c>
      <c r="DF172" t="s">
        <v>2129</v>
      </c>
      <c r="DG172" t="s">
        <v>2129</v>
      </c>
      <c r="DH172" t="s">
        <v>2129</v>
      </c>
      <c r="DI172">
        <v>20</v>
      </c>
      <c r="DJ172" t="s">
        <v>2129</v>
      </c>
      <c r="DK172" t="s">
        <v>2129</v>
      </c>
      <c r="DL172" t="s">
        <v>2129</v>
      </c>
      <c r="DM172" t="s">
        <v>2129</v>
      </c>
      <c r="DN172" t="s">
        <v>2129</v>
      </c>
      <c r="DO172" t="s">
        <v>2129</v>
      </c>
      <c r="DP172" t="s">
        <v>2129</v>
      </c>
      <c r="DQ172" t="s">
        <v>2129</v>
      </c>
      <c r="DR172" t="s">
        <v>2129</v>
      </c>
      <c r="DS172" t="s">
        <v>2129</v>
      </c>
      <c r="DT172" t="s">
        <v>2129</v>
      </c>
      <c r="DU172" t="s">
        <v>2129</v>
      </c>
      <c r="DV172" t="s">
        <v>2129</v>
      </c>
      <c r="DW172" t="s">
        <v>2129</v>
      </c>
      <c r="DX172" t="s">
        <v>2129</v>
      </c>
      <c r="DY172" t="s">
        <v>2129</v>
      </c>
      <c r="DZ172" t="s">
        <v>2129</v>
      </c>
      <c r="EA172" t="s">
        <v>2129</v>
      </c>
      <c r="EB172" t="s">
        <v>2129</v>
      </c>
      <c r="EC172" t="s">
        <v>2129</v>
      </c>
      <c r="ED172" t="s">
        <v>2129</v>
      </c>
      <c r="EE172" t="s">
        <v>2129</v>
      </c>
      <c r="EF172" t="s">
        <v>2129</v>
      </c>
      <c r="EG172" t="s">
        <v>2129</v>
      </c>
      <c r="EH172" t="s">
        <v>2129</v>
      </c>
    </row>
    <row r="173" spans="1:138" x14ac:dyDescent="0.25">
      <c r="A173" t="s">
        <v>2728</v>
      </c>
      <c r="B173" t="s">
        <v>2723</v>
      </c>
      <c r="C173">
        <v>22897</v>
      </c>
      <c r="E173" t="s">
        <v>14</v>
      </c>
      <c r="F173" t="s">
        <v>10</v>
      </c>
      <c r="G173" t="s">
        <v>2195</v>
      </c>
      <c r="H173" t="s">
        <v>38</v>
      </c>
      <c r="I173" t="s">
        <v>2127</v>
      </c>
      <c r="J173" t="s">
        <v>2128</v>
      </c>
      <c r="K173" t="s">
        <v>2129</v>
      </c>
      <c r="L173" t="s">
        <v>2196</v>
      </c>
      <c r="M173" t="s">
        <v>2130</v>
      </c>
      <c r="N173" t="s">
        <v>2129</v>
      </c>
      <c r="O173" t="s">
        <v>2827</v>
      </c>
      <c r="P173" t="s">
        <v>2190</v>
      </c>
      <c r="Q173" t="s">
        <v>2190</v>
      </c>
      <c r="R173" s="37">
        <v>46049.455555555556</v>
      </c>
      <c r="S173" s="37">
        <v>46098.598611111112</v>
      </c>
      <c r="T173" s="37">
        <v>46100.368750000001</v>
      </c>
      <c r="U173" s="37"/>
      <c r="V173" t="s">
        <v>2129</v>
      </c>
      <c r="W173" t="s">
        <v>2129</v>
      </c>
      <c r="X173" t="s">
        <v>2129</v>
      </c>
      <c r="Y173">
        <v>0</v>
      </c>
      <c r="Z173" t="s">
        <v>2129</v>
      </c>
      <c r="AA173" t="s">
        <v>3063</v>
      </c>
      <c r="AB173" t="s">
        <v>2129</v>
      </c>
      <c r="AC173" t="s">
        <v>2190</v>
      </c>
      <c r="AD173" t="s">
        <v>2128</v>
      </c>
      <c r="AE173" t="s">
        <v>2129</v>
      </c>
      <c r="AF173" t="s">
        <v>2129</v>
      </c>
      <c r="AG173" t="s">
        <v>2129</v>
      </c>
      <c r="AH173" t="s">
        <v>2129</v>
      </c>
      <c r="AI173" t="s">
        <v>2129</v>
      </c>
      <c r="AJ173" t="s">
        <v>2129</v>
      </c>
      <c r="AK173" t="s">
        <v>2129</v>
      </c>
      <c r="AL173" t="s">
        <v>2129</v>
      </c>
      <c r="AM173" t="s">
        <v>2129</v>
      </c>
      <c r="AN173" t="s">
        <v>2129</v>
      </c>
      <c r="AO173" t="s">
        <v>2129</v>
      </c>
      <c r="AP173" t="s">
        <v>2129</v>
      </c>
      <c r="AQ173" t="s">
        <v>2129</v>
      </c>
      <c r="AR173" t="s">
        <v>2129</v>
      </c>
      <c r="AS173" t="s">
        <v>2129</v>
      </c>
      <c r="AT173" t="s">
        <v>2129</v>
      </c>
      <c r="AU173" t="s">
        <v>2129</v>
      </c>
      <c r="AV173" t="s">
        <v>2129</v>
      </c>
      <c r="AW173" t="s">
        <v>2129</v>
      </c>
      <c r="AX173" t="s">
        <v>2129</v>
      </c>
      <c r="AY173" t="s">
        <v>2129</v>
      </c>
      <c r="AZ173" t="s">
        <v>2129</v>
      </c>
      <c r="BA173" t="s">
        <v>2129</v>
      </c>
      <c r="BB173" t="s">
        <v>2129</v>
      </c>
      <c r="BC173" t="s">
        <v>2129</v>
      </c>
      <c r="BD173" t="s">
        <v>2129</v>
      </c>
      <c r="BE173" t="s">
        <v>2129</v>
      </c>
      <c r="BF173" t="s">
        <v>2129</v>
      </c>
      <c r="BG173" t="s">
        <v>2129</v>
      </c>
      <c r="BH173" t="s">
        <v>2129</v>
      </c>
      <c r="BI173" t="s">
        <v>2129</v>
      </c>
      <c r="BJ173" t="s">
        <v>2129</v>
      </c>
      <c r="BK173" t="s">
        <v>2129</v>
      </c>
      <c r="BL173" t="s">
        <v>2129</v>
      </c>
      <c r="BM173" t="s">
        <v>2129</v>
      </c>
      <c r="BN173" t="s">
        <v>2129</v>
      </c>
      <c r="BO173" t="s">
        <v>2129</v>
      </c>
      <c r="BP173" t="s">
        <v>2129</v>
      </c>
      <c r="BS173" t="s">
        <v>2129</v>
      </c>
      <c r="BT173" t="s">
        <v>2129</v>
      </c>
      <c r="BW173" t="s">
        <v>2129</v>
      </c>
      <c r="BX173" t="s">
        <v>2129</v>
      </c>
      <c r="BY173" t="s">
        <v>2129</v>
      </c>
      <c r="BZ173" t="s">
        <v>2129</v>
      </c>
      <c r="CA173" t="s">
        <v>2129</v>
      </c>
      <c r="CB173" t="s">
        <v>2129</v>
      </c>
      <c r="CC173" t="s">
        <v>2129</v>
      </c>
      <c r="CD173" t="s">
        <v>2129</v>
      </c>
      <c r="CE173" t="s">
        <v>2129</v>
      </c>
      <c r="CF173" t="s">
        <v>2129</v>
      </c>
      <c r="CG173" t="s">
        <v>2129</v>
      </c>
      <c r="CH173" t="s">
        <v>2129</v>
      </c>
      <c r="CI173" t="s">
        <v>2129</v>
      </c>
      <c r="CJ173" t="s">
        <v>2129</v>
      </c>
      <c r="CK173" t="s">
        <v>2129</v>
      </c>
      <c r="CL173" t="s">
        <v>2129</v>
      </c>
      <c r="CM173" t="s">
        <v>3062</v>
      </c>
      <c r="CN173" t="s">
        <v>2129</v>
      </c>
      <c r="CO173" t="s">
        <v>2129</v>
      </c>
      <c r="CP173" t="s">
        <v>2129</v>
      </c>
      <c r="CQ173" t="s">
        <v>2129</v>
      </c>
      <c r="CR173" t="s">
        <v>2129</v>
      </c>
      <c r="CS173" t="s">
        <v>2129</v>
      </c>
      <c r="CT173" t="s">
        <v>4226</v>
      </c>
      <c r="CU173" t="s">
        <v>3060</v>
      </c>
      <c r="CV173" t="s">
        <v>4206</v>
      </c>
      <c r="CW173" t="s">
        <v>2129</v>
      </c>
      <c r="CX173" t="s">
        <v>2129</v>
      </c>
      <c r="CY173" t="s">
        <v>2129</v>
      </c>
      <c r="CZ173" t="s">
        <v>2129</v>
      </c>
      <c r="DA173" t="s">
        <v>2129</v>
      </c>
      <c r="DB173" t="s">
        <v>2129</v>
      </c>
      <c r="DC173" t="s">
        <v>2129</v>
      </c>
      <c r="DD173" t="s">
        <v>2129</v>
      </c>
      <c r="DE173" t="s">
        <v>2129</v>
      </c>
      <c r="DF173" t="s">
        <v>2129</v>
      </c>
      <c r="DG173" t="s">
        <v>2129</v>
      </c>
      <c r="DH173" t="s">
        <v>2129</v>
      </c>
      <c r="DI173">
        <v>30</v>
      </c>
      <c r="DJ173" t="s">
        <v>2129</v>
      </c>
      <c r="DK173" t="s">
        <v>2129</v>
      </c>
      <c r="DL173" t="s">
        <v>2129</v>
      </c>
      <c r="DM173" t="s">
        <v>2129</v>
      </c>
      <c r="DN173" t="s">
        <v>2129</v>
      </c>
      <c r="DO173" t="s">
        <v>2129</v>
      </c>
      <c r="DP173" t="s">
        <v>2129</v>
      </c>
      <c r="DQ173" t="s">
        <v>2129</v>
      </c>
      <c r="DR173" t="s">
        <v>2129</v>
      </c>
      <c r="DS173" t="s">
        <v>2129</v>
      </c>
      <c r="DT173" t="s">
        <v>2129</v>
      </c>
      <c r="DU173" t="s">
        <v>2129</v>
      </c>
      <c r="DV173" t="s">
        <v>2129</v>
      </c>
      <c r="DW173" t="s">
        <v>2129</v>
      </c>
      <c r="DX173" t="s">
        <v>2129</v>
      </c>
      <c r="DY173" t="s">
        <v>2129</v>
      </c>
      <c r="DZ173" t="s">
        <v>2129</v>
      </c>
      <c r="EA173" t="s">
        <v>2129</v>
      </c>
      <c r="EB173" t="s">
        <v>2129</v>
      </c>
      <c r="EC173" t="s">
        <v>2129</v>
      </c>
      <c r="ED173" t="s">
        <v>2129</v>
      </c>
      <c r="EE173" t="s">
        <v>2129</v>
      </c>
      <c r="EF173" t="s">
        <v>2129</v>
      </c>
      <c r="EG173" t="s">
        <v>2129</v>
      </c>
      <c r="EH173" t="s">
        <v>2129</v>
      </c>
    </row>
    <row r="174" spans="1:138" x14ac:dyDescent="0.25">
      <c r="A174" t="s">
        <v>2585</v>
      </c>
      <c r="B174" t="s">
        <v>2584</v>
      </c>
      <c r="C174">
        <v>22849</v>
      </c>
      <c r="E174" t="s">
        <v>14</v>
      </c>
      <c r="F174" t="s">
        <v>1820</v>
      </c>
      <c r="G174" t="s">
        <v>2195</v>
      </c>
      <c r="H174" t="s">
        <v>38</v>
      </c>
      <c r="I174" t="s">
        <v>2127</v>
      </c>
      <c r="J174" t="s">
        <v>2128</v>
      </c>
      <c r="K174" t="s">
        <v>2129</v>
      </c>
      <c r="L174" t="s">
        <v>2196</v>
      </c>
      <c r="M174" t="s">
        <v>2130</v>
      </c>
      <c r="N174" t="s">
        <v>2129</v>
      </c>
      <c r="O174" t="s">
        <v>2827</v>
      </c>
      <c r="P174" t="s">
        <v>2190</v>
      </c>
      <c r="Q174" t="s">
        <v>2190</v>
      </c>
      <c r="R174" s="37">
        <v>46041.48333333333</v>
      </c>
      <c r="S174" s="37">
        <v>46098.598611111112</v>
      </c>
      <c r="T174" s="37">
        <v>46100.368750000001</v>
      </c>
      <c r="U174" s="37"/>
      <c r="V174" t="s">
        <v>2129</v>
      </c>
      <c r="W174" t="s">
        <v>2129</v>
      </c>
      <c r="X174" t="s">
        <v>2129</v>
      </c>
      <c r="Y174">
        <v>0</v>
      </c>
      <c r="Z174" t="s">
        <v>2129</v>
      </c>
      <c r="AA174" t="s">
        <v>3064</v>
      </c>
      <c r="AB174" t="s">
        <v>2129</v>
      </c>
      <c r="AC174" t="s">
        <v>2190</v>
      </c>
      <c r="AD174" t="s">
        <v>2827</v>
      </c>
      <c r="AE174" t="s">
        <v>2128</v>
      </c>
      <c r="AF174" t="s">
        <v>2129</v>
      </c>
      <c r="AG174" t="s">
        <v>2129</v>
      </c>
      <c r="AH174" t="s">
        <v>3065</v>
      </c>
      <c r="AI174" t="s">
        <v>3066</v>
      </c>
      <c r="AJ174" t="s">
        <v>3067</v>
      </c>
      <c r="AK174" t="s">
        <v>3068</v>
      </c>
      <c r="AL174" t="s">
        <v>3069</v>
      </c>
      <c r="AM174" t="s">
        <v>3070</v>
      </c>
      <c r="AN174" t="s">
        <v>3071</v>
      </c>
      <c r="AO174" t="s">
        <v>3072</v>
      </c>
      <c r="AP174" t="s">
        <v>2129</v>
      </c>
      <c r="AQ174" t="s">
        <v>2129</v>
      </c>
      <c r="AR174" t="s">
        <v>2129</v>
      </c>
      <c r="AS174" t="s">
        <v>2129</v>
      </c>
      <c r="AT174" t="s">
        <v>2129</v>
      </c>
      <c r="AU174" t="s">
        <v>2129</v>
      </c>
      <c r="AV174" t="s">
        <v>2129</v>
      </c>
      <c r="AW174" t="s">
        <v>2129</v>
      </c>
      <c r="AX174" t="s">
        <v>2129</v>
      </c>
      <c r="AY174" t="s">
        <v>2129</v>
      </c>
      <c r="AZ174" t="s">
        <v>2129</v>
      </c>
      <c r="BA174" t="s">
        <v>2129</v>
      </c>
      <c r="BB174" t="s">
        <v>2129</v>
      </c>
      <c r="BC174" t="s">
        <v>2129</v>
      </c>
      <c r="BD174" t="s">
        <v>2129</v>
      </c>
      <c r="BE174" t="s">
        <v>2129</v>
      </c>
      <c r="BF174" t="s">
        <v>2129</v>
      </c>
      <c r="BG174" t="s">
        <v>2129</v>
      </c>
      <c r="BH174" t="s">
        <v>2129</v>
      </c>
      <c r="BI174" t="s">
        <v>2129</v>
      </c>
      <c r="BJ174" t="s">
        <v>2129</v>
      </c>
      <c r="BK174" t="s">
        <v>2129</v>
      </c>
      <c r="BL174" t="s">
        <v>2129</v>
      </c>
      <c r="BM174" t="s">
        <v>2129</v>
      </c>
      <c r="BN174" t="s">
        <v>2129</v>
      </c>
      <c r="BO174" t="s">
        <v>2129</v>
      </c>
      <c r="BP174" t="s">
        <v>2129</v>
      </c>
      <c r="BQ174">
        <v>0</v>
      </c>
      <c r="BR174">
        <v>280800</v>
      </c>
      <c r="BS174" t="s">
        <v>2129</v>
      </c>
      <c r="BT174" t="s">
        <v>2129</v>
      </c>
      <c r="BU174">
        <v>0</v>
      </c>
      <c r="BV174">
        <v>280800</v>
      </c>
      <c r="BW174" t="s">
        <v>2129</v>
      </c>
      <c r="BX174" t="s">
        <v>2129</v>
      </c>
      <c r="BY174" t="s">
        <v>2129</v>
      </c>
      <c r="BZ174" t="s">
        <v>3073</v>
      </c>
      <c r="CA174" t="s">
        <v>3074</v>
      </c>
      <c r="CB174" t="s">
        <v>3075</v>
      </c>
      <c r="CC174" t="s">
        <v>3076</v>
      </c>
      <c r="CD174" t="s">
        <v>3077</v>
      </c>
      <c r="CE174" t="s">
        <v>2129</v>
      </c>
      <c r="CF174" t="s">
        <v>2129</v>
      </c>
      <c r="CG174" t="s">
        <v>2129</v>
      </c>
      <c r="CH174" t="s">
        <v>2129</v>
      </c>
      <c r="CI174" t="s">
        <v>2129</v>
      </c>
      <c r="CJ174" t="s">
        <v>2129</v>
      </c>
      <c r="CK174" t="s">
        <v>2129</v>
      </c>
      <c r="CL174" t="s">
        <v>2129</v>
      </c>
      <c r="CM174" t="s">
        <v>3062</v>
      </c>
      <c r="CN174" t="s">
        <v>2129</v>
      </c>
      <c r="CO174" t="s">
        <v>2129</v>
      </c>
      <c r="CP174" t="s">
        <v>2129</v>
      </c>
      <c r="CQ174" t="s">
        <v>2129</v>
      </c>
      <c r="CR174" t="s">
        <v>2129</v>
      </c>
      <c r="CS174" t="s">
        <v>2129</v>
      </c>
      <c r="CT174" t="s">
        <v>3078</v>
      </c>
      <c r="CU174" t="s">
        <v>2539</v>
      </c>
      <c r="CV174" t="s">
        <v>3060</v>
      </c>
      <c r="CW174" t="s">
        <v>4206</v>
      </c>
      <c r="CX174" t="s">
        <v>2129</v>
      </c>
      <c r="CY174" t="s">
        <v>2129</v>
      </c>
      <c r="CZ174" t="s">
        <v>2129</v>
      </c>
      <c r="DA174" t="s">
        <v>2129</v>
      </c>
      <c r="DB174" t="s">
        <v>2129</v>
      </c>
      <c r="DC174" t="s">
        <v>2129</v>
      </c>
      <c r="DD174" t="s">
        <v>2129</v>
      </c>
      <c r="DE174" t="s">
        <v>2129</v>
      </c>
      <c r="DF174" t="s">
        <v>2129</v>
      </c>
      <c r="DG174" t="s">
        <v>2129</v>
      </c>
      <c r="DH174" t="s">
        <v>2129</v>
      </c>
      <c r="DI174">
        <v>130</v>
      </c>
      <c r="DJ174" t="s">
        <v>2129</v>
      </c>
      <c r="DK174" t="s">
        <v>2129</v>
      </c>
      <c r="DL174" t="s">
        <v>3079</v>
      </c>
      <c r="DM174" t="s">
        <v>3080</v>
      </c>
      <c r="DN174" t="s">
        <v>2129</v>
      </c>
      <c r="DO174" t="s">
        <v>2129</v>
      </c>
      <c r="DP174" t="s">
        <v>2129</v>
      </c>
      <c r="DQ174" t="s">
        <v>2129</v>
      </c>
      <c r="DR174" t="s">
        <v>2129</v>
      </c>
      <c r="DS174" t="s">
        <v>2129</v>
      </c>
      <c r="DT174" t="s">
        <v>2129</v>
      </c>
      <c r="DU174" t="s">
        <v>2129</v>
      </c>
      <c r="DV174" t="s">
        <v>2129</v>
      </c>
      <c r="DW174" t="s">
        <v>2129</v>
      </c>
      <c r="DX174" t="s">
        <v>2129</v>
      </c>
      <c r="DY174" t="s">
        <v>2129</v>
      </c>
      <c r="DZ174" t="s">
        <v>2129</v>
      </c>
      <c r="EA174" t="s">
        <v>2129</v>
      </c>
      <c r="EB174" t="s">
        <v>2129</v>
      </c>
      <c r="EC174" t="s">
        <v>2129</v>
      </c>
      <c r="ED174" t="s">
        <v>2129</v>
      </c>
      <c r="EE174" t="s">
        <v>2129</v>
      </c>
      <c r="EF174" t="s">
        <v>2129</v>
      </c>
      <c r="EG174" t="s">
        <v>2129</v>
      </c>
      <c r="EH174" t="s">
        <v>2129</v>
      </c>
    </row>
    <row r="175" spans="1:138" x14ac:dyDescent="0.25">
      <c r="A175" t="s">
        <v>3170</v>
      </c>
      <c r="B175" t="s">
        <v>3167</v>
      </c>
      <c r="C175">
        <v>22979</v>
      </c>
      <c r="E175" t="s">
        <v>14</v>
      </c>
      <c r="F175" t="s">
        <v>1922</v>
      </c>
      <c r="G175" t="s">
        <v>4227</v>
      </c>
      <c r="H175" t="s">
        <v>35</v>
      </c>
      <c r="I175" t="s">
        <v>2127</v>
      </c>
      <c r="J175" t="s">
        <v>2128</v>
      </c>
      <c r="K175" t="s">
        <v>2129</v>
      </c>
      <c r="L175" t="s">
        <v>2129</v>
      </c>
      <c r="M175" t="s">
        <v>2130</v>
      </c>
      <c r="N175" t="s">
        <v>2129</v>
      </c>
      <c r="O175" t="s">
        <v>2182</v>
      </c>
      <c r="P175" t="s">
        <v>2190</v>
      </c>
      <c r="Q175" t="s">
        <v>2190</v>
      </c>
      <c r="R175" s="37">
        <v>46070.692361111112</v>
      </c>
      <c r="S175" s="37">
        <v>46099.756249999999</v>
      </c>
      <c r="T175" s="37">
        <v>46100.368750000001</v>
      </c>
      <c r="U175" s="37"/>
      <c r="V175" t="s">
        <v>2129</v>
      </c>
      <c r="W175" t="s">
        <v>2129</v>
      </c>
      <c r="X175" t="s">
        <v>2129</v>
      </c>
      <c r="Y175">
        <v>0</v>
      </c>
      <c r="Z175" t="s">
        <v>2129</v>
      </c>
      <c r="AA175" t="s">
        <v>4228</v>
      </c>
      <c r="AB175" t="s">
        <v>2129</v>
      </c>
      <c r="AC175" t="s">
        <v>2190</v>
      </c>
      <c r="AD175" t="s">
        <v>2827</v>
      </c>
      <c r="AE175" t="s">
        <v>2128</v>
      </c>
      <c r="AF175" t="s">
        <v>2129</v>
      </c>
      <c r="AG175" t="s">
        <v>2129</v>
      </c>
      <c r="AH175" t="s">
        <v>4229</v>
      </c>
      <c r="AI175" t="s">
        <v>4230</v>
      </c>
      <c r="AJ175" t="s">
        <v>4231</v>
      </c>
      <c r="AK175" t="s">
        <v>2129</v>
      </c>
      <c r="AL175" t="s">
        <v>2129</v>
      </c>
      <c r="AM175" t="s">
        <v>2129</v>
      </c>
      <c r="AN175" t="s">
        <v>2129</v>
      </c>
      <c r="AO175" t="s">
        <v>2129</v>
      </c>
      <c r="AP175" t="s">
        <v>2129</v>
      </c>
      <c r="AQ175" t="s">
        <v>2129</v>
      </c>
      <c r="AR175" t="s">
        <v>2129</v>
      </c>
      <c r="AS175" t="s">
        <v>2129</v>
      </c>
      <c r="AT175" t="s">
        <v>2129</v>
      </c>
      <c r="AU175" t="s">
        <v>2129</v>
      </c>
      <c r="AV175" t="s">
        <v>2129</v>
      </c>
      <c r="AW175" t="s">
        <v>2129</v>
      </c>
      <c r="AX175" t="s">
        <v>2129</v>
      </c>
      <c r="AY175" t="s">
        <v>2129</v>
      </c>
      <c r="AZ175" t="s">
        <v>2129</v>
      </c>
      <c r="BA175" t="s">
        <v>2129</v>
      </c>
      <c r="BB175" t="s">
        <v>2129</v>
      </c>
      <c r="BC175" t="s">
        <v>2129</v>
      </c>
      <c r="BD175" t="s">
        <v>2129</v>
      </c>
      <c r="BE175" t="s">
        <v>2129</v>
      </c>
      <c r="BF175" t="s">
        <v>2129</v>
      </c>
      <c r="BG175" t="s">
        <v>2129</v>
      </c>
      <c r="BH175" t="s">
        <v>2129</v>
      </c>
      <c r="BI175" t="s">
        <v>2129</v>
      </c>
      <c r="BJ175" t="s">
        <v>2129</v>
      </c>
      <c r="BK175" t="s">
        <v>2129</v>
      </c>
      <c r="BL175" t="s">
        <v>2129</v>
      </c>
      <c r="BM175" t="s">
        <v>2129</v>
      </c>
      <c r="BN175" t="s">
        <v>2129</v>
      </c>
      <c r="BO175" t="s">
        <v>2129</v>
      </c>
      <c r="BP175" t="s">
        <v>2129</v>
      </c>
      <c r="BQ175">
        <v>0</v>
      </c>
      <c r="BR175">
        <v>27000</v>
      </c>
      <c r="BS175" t="s">
        <v>2129</v>
      </c>
      <c r="BT175" t="s">
        <v>2129</v>
      </c>
      <c r="BU175">
        <v>0</v>
      </c>
      <c r="BV175">
        <v>27000</v>
      </c>
      <c r="BW175" t="s">
        <v>2129</v>
      </c>
      <c r="BX175" t="s">
        <v>2129</v>
      </c>
      <c r="BY175" t="s">
        <v>2129</v>
      </c>
      <c r="BZ175" t="s">
        <v>2129</v>
      </c>
      <c r="CA175" t="s">
        <v>2129</v>
      </c>
      <c r="CB175" t="s">
        <v>2129</v>
      </c>
      <c r="CC175" t="s">
        <v>2129</v>
      </c>
      <c r="CD175" t="s">
        <v>2129</v>
      </c>
      <c r="CE175" t="s">
        <v>2129</v>
      </c>
      <c r="CF175" t="s">
        <v>2129</v>
      </c>
      <c r="CG175" t="s">
        <v>2129</v>
      </c>
      <c r="CH175" t="s">
        <v>2129</v>
      </c>
      <c r="CI175" t="s">
        <v>2129</v>
      </c>
      <c r="CJ175" t="s">
        <v>2129</v>
      </c>
      <c r="CK175" t="s">
        <v>2129</v>
      </c>
      <c r="CL175" t="s">
        <v>2129</v>
      </c>
      <c r="CM175" t="s">
        <v>2129</v>
      </c>
      <c r="CN175" t="s">
        <v>2129</v>
      </c>
      <c r="CO175" t="s">
        <v>2129</v>
      </c>
      <c r="CP175" t="s">
        <v>2129</v>
      </c>
      <c r="CQ175" t="s">
        <v>2129</v>
      </c>
      <c r="CR175" t="s">
        <v>2129</v>
      </c>
      <c r="CS175" t="s">
        <v>2129</v>
      </c>
      <c r="CT175" t="s">
        <v>4232</v>
      </c>
      <c r="CU175" t="s">
        <v>4233</v>
      </c>
      <c r="CV175" t="s">
        <v>4234</v>
      </c>
      <c r="CW175" t="s">
        <v>2129</v>
      </c>
      <c r="CX175" t="s">
        <v>2129</v>
      </c>
      <c r="CY175" t="s">
        <v>2129</v>
      </c>
      <c r="CZ175" t="s">
        <v>2129</v>
      </c>
      <c r="DA175" t="s">
        <v>2129</v>
      </c>
      <c r="DB175" t="s">
        <v>2129</v>
      </c>
      <c r="DC175" t="s">
        <v>2129</v>
      </c>
      <c r="DD175" t="s">
        <v>2129</v>
      </c>
      <c r="DE175" t="s">
        <v>2129</v>
      </c>
      <c r="DF175" t="s">
        <v>2129</v>
      </c>
      <c r="DG175" t="s">
        <v>2129</v>
      </c>
      <c r="DH175" t="s">
        <v>2129</v>
      </c>
      <c r="DI175">
        <v>30</v>
      </c>
      <c r="DJ175" t="s">
        <v>2129</v>
      </c>
      <c r="DK175" t="s">
        <v>2129</v>
      </c>
      <c r="DL175" t="s">
        <v>4235</v>
      </c>
      <c r="DM175" t="s">
        <v>4236</v>
      </c>
      <c r="DN175" t="s">
        <v>2129</v>
      </c>
      <c r="DO175" t="s">
        <v>2129</v>
      </c>
      <c r="DP175" t="s">
        <v>2129</v>
      </c>
      <c r="DQ175" t="s">
        <v>2129</v>
      </c>
      <c r="DR175" t="s">
        <v>2129</v>
      </c>
      <c r="DS175" t="s">
        <v>2129</v>
      </c>
      <c r="DT175" t="s">
        <v>2129</v>
      </c>
      <c r="DU175" t="s">
        <v>2129</v>
      </c>
      <c r="DV175" t="s">
        <v>2129</v>
      </c>
      <c r="DW175" t="s">
        <v>2129</v>
      </c>
      <c r="DX175" t="s">
        <v>2129</v>
      </c>
      <c r="DY175" t="s">
        <v>2129</v>
      </c>
      <c r="DZ175" t="s">
        <v>2129</v>
      </c>
      <c r="EA175" t="s">
        <v>2129</v>
      </c>
      <c r="EB175" t="s">
        <v>2129</v>
      </c>
      <c r="EC175" t="s">
        <v>2129</v>
      </c>
      <c r="ED175" t="s">
        <v>2129</v>
      </c>
      <c r="EE175" t="s">
        <v>2129</v>
      </c>
      <c r="EF175" t="s">
        <v>2129</v>
      </c>
      <c r="EG175" t="s">
        <v>2129</v>
      </c>
      <c r="EH175" t="s">
        <v>2129</v>
      </c>
    </row>
    <row r="176" spans="1:138" x14ac:dyDescent="0.25">
      <c r="A176" t="s">
        <v>4237</v>
      </c>
      <c r="B176" t="s">
        <v>4238</v>
      </c>
      <c r="C176">
        <v>23194</v>
      </c>
      <c r="E176" t="s">
        <v>14</v>
      </c>
      <c r="F176" t="s">
        <v>10</v>
      </c>
      <c r="G176" t="s">
        <v>3081</v>
      </c>
      <c r="H176" t="s">
        <v>991</v>
      </c>
      <c r="I176" t="s">
        <v>2127</v>
      </c>
      <c r="J176" t="s">
        <v>2152</v>
      </c>
      <c r="K176" t="s">
        <v>2129</v>
      </c>
      <c r="L176" t="s">
        <v>2129</v>
      </c>
      <c r="M176" t="s">
        <v>2130</v>
      </c>
      <c r="N176" t="s">
        <v>2129</v>
      </c>
      <c r="O176" t="s">
        <v>2129</v>
      </c>
      <c r="P176" t="s">
        <v>2145</v>
      </c>
      <c r="Q176" t="s">
        <v>2145</v>
      </c>
      <c r="R176" s="37">
        <v>46098.743055555555</v>
      </c>
      <c r="S176" s="37">
        <v>46098.743055555555</v>
      </c>
      <c r="T176" s="37">
        <v>46100.368750000001</v>
      </c>
      <c r="U176" s="37"/>
      <c r="V176" t="s">
        <v>2129</v>
      </c>
      <c r="W176" t="s">
        <v>2129</v>
      </c>
      <c r="X176" t="s">
        <v>2129</v>
      </c>
      <c r="Y176">
        <v>0</v>
      </c>
      <c r="Z176" t="s">
        <v>2129</v>
      </c>
      <c r="AA176" t="s">
        <v>4239</v>
      </c>
      <c r="AB176" t="s">
        <v>2129</v>
      </c>
      <c r="AC176" t="s">
        <v>2145</v>
      </c>
      <c r="AD176" t="s">
        <v>2129</v>
      </c>
      <c r="AE176" t="s">
        <v>2129</v>
      </c>
      <c r="AF176" t="s">
        <v>2129</v>
      </c>
      <c r="AG176" t="s">
        <v>2129</v>
      </c>
      <c r="AH176" t="s">
        <v>2129</v>
      </c>
      <c r="AI176" t="s">
        <v>2129</v>
      </c>
      <c r="AJ176" t="s">
        <v>2129</v>
      </c>
      <c r="AK176" t="s">
        <v>2129</v>
      </c>
      <c r="AL176" t="s">
        <v>2129</v>
      </c>
      <c r="AM176" t="s">
        <v>2129</v>
      </c>
      <c r="AN176" t="s">
        <v>2129</v>
      </c>
      <c r="AO176" t="s">
        <v>2129</v>
      </c>
      <c r="AP176" t="s">
        <v>2129</v>
      </c>
      <c r="AQ176" t="s">
        <v>2129</v>
      </c>
      <c r="AR176" t="s">
        <v>2129</v>
      </c>
      <c r="AS176" t="s">
        <v>2129</v>
      </c>
      <c r="AT176" t="s">
        <v>2129</v>
      </c>
      <c r="AU176" t="s">
        <v>2129</v>
      </c>
      <c r="AV176" t="s">
        <v>2129</v>
      </c>
      <c r="AW176" t="s">
        <v>2129</v>
      </c>
      <c r="AX176" t="s">
        <v>2129</v>
      </c>
      <c r="AY176" t="s">
        <v>2129</v>
      </c>
      <c r="AZ176" t="s">
        <v>2129</v>
      </c>
      <c r="BA176" t="s">
        <v>2129</v>
      </c>
      <c r="BB176" t="s">
        <v>2129</v>
      </c>
      <c r="BC176" t="s">
        <v>2129</v>
      </c>
      <c r="BD176" t="s">
        <v>2129</v>
      </c>
      <c r="BE176" t="s">
        <v>2129</v>
      </c>
      <c r="BF176" t="s">
        <v>2129</v>
      </c>
      <c r="BG176" t="s">
        <v>2129</v>
      </c>
      <c r="BH176" t="s">
        <v>2129</v>
      </c>
      <c r="BI176" t="s">
        <v>2129</v>
      </c>
      <c r="BJ176" t="s">
        <v>2129</v>
      </c>
      <c r="BK176" t="s">
        <v>2129</v>
      </c>
      <c r="BL176" t="s">
        <v>2129</v>
      </c>
      <c r="BM176" t="s">
        <v>2129</v>
      </c>
      <c r="BN176" t="s">
        <v>2129</v>
      </c>
      <c r="BO176" t="s">
        <v>2129</v>
      </c>
      <c r="BP176" t="s">
        <v>2129</v>
      </c>
      <c r="BS176" t="s">
        <v>2129</v>
      </c>
      <c r="BT176" t="s">
        <v>2129</v>
      </c>
      <c r="BW176" t="s">
        <v>2129</v>
      </c>
      <c r="BX176" t="s">
        <v>2129</v>
      </c>
      <c r="BY176" t="s">
        <v>2129</v>
      </c>
      <c r="BZ176" t="s">
        <v>2129</v>
      </c>
      <c r="CA176" t="s">
        <v>2129</v>
      </c>
      <c r="CB176" t="s">
        <v>2129</v>
      </c>
      <c r="CC176" t="s">
        <v>2129</v>
      </c>
      <c r="CD176" t="s">
        <v>2129</v>
      </c>
      <c r="CE176" t="s">
        <v>2129</v>
      </c>
      <c r="CF176" t="s">
        <v>2129</v>
      </c>
      <c r="CG176" t="s">
        <v>2129</v>
      </c>
      <c r="CH176" t="s">
        <v>2129</v>
      </c>
      <c r="CI176" t="s">
        <v>2129</v>
      </c>
      <c r="CJ176" t="s">
        <v>2129</v>
      </c>
      <c r="CK176" t="s">
        <v>2129</v>
      </c>
      <c r="CL176" t="s">
        <v>2129</v>
      </c>
      <c r="CM176" t="s">
        <v>4240</v>
      </c>
      <c r="CN176" t="s">
        <v>2129</v>
      </c>
      <c r="CO176" t="s">
        <v>2129</v>
      </c>
      <c r="CP176" t="s">
        <v>2129</v>
      </c>
      <c r="CQ176" t="s">
        <v>2129</v>
      </c>
      <c r="CR176" t="s">
        <v>2129</v>
      </c>
      <c r="CS176" t="s">
        <v>2129</v>
      </c>
      <c r="CT176" t="s">
        <v>4241</v>
      </c>
      <c r="CU176" t="s">
        <v>2129</v>
      </c>
      <c r="CV176" t="s">
        <v>2129</v>
      </c>
      <c r="CW176" t="s">
        <v>2129</v>
      </c>
      <c r="CX176" t="s">
        <v>2129</v>
      </c>
      <c r="CY176" t="s">
        <v>2129</v>
      </c>
      <c r="CZ176" t="s">
        <v>2129</v>
      </c>
      <c r="DA176" t="s">
        <v>2129</v>
      </c>
      <c r="DB176" t="s">
        <v>2129</v>
      </c>
      <c r="DC176" t="s">
        <v>2129</v>
      </c>
      <c r="DD176" t="s">
        <v>2129</v>
      </c>
      <c r="DE176" t="s">
        <v>2129</v>
      </c>
      <c r="DF176" t="s">
        <v>2129</v>
      </c>
      <c r="DG176" t="s">
        <v>2129</v>
      </c>
      <c r="DH176" t="s">
        <v>2129</v>
      </c>
      <c r="DJ176" t="s">
        <v>2129</v>
      </c>
      <c r="DK176" t="s">
        <v>2129</v>
      </c>
      <c r="DL176" t="s">
        <v>2129</v>
      </c>
      <c r="DM176" t="s">
        <v>2129</v>
      </c>
      <c r="DN176" t="s">
        <v>2129</v>
      </c>
      <c r="DO176" t="s">
        <v>2129</v>
      </c>
      <c r="DP176" t="s">
        <v>2129</v>
      </c>
      <c r="DQ176" t="s">
        <v>2129</v>
      </c>
      <c r="DR176" t="s">
        <v>2129</v>
      </c>
      <c r="DS176" t="s">
        <v>2129</v>
      </c>
      <c r="DT176" t="s">
        <v>2129</v>
      </c>
      <c r="DU176" t="s">
        <v>2129</v>
      </c>
      <c r="DV176" t="s">
        <v>2129</v>
      </c>
      <c r="DW176" t="s">
        <v>2129</v>
      </c>
      <c r="DX176" t="s">
        <v>2129</v>
      </c>
      <c r="DY176" t="s">
        <v>2129</v>
      </c>
      <c r="DZ176" t="s">
        <v>2129</v>
      </c>
      <c r="EA176" t="s">
        <v>2129</v>
      </c>
      <c r="EB176" t="s">
        <v>2129</v>
      </c>
      <c r="EC176" t="s">
        <v>2129</v>
      </c>
      <c r="ED176" t="s">
        <v>2129</v>
      </c>
      <c r="EE176" t="s">
        <v>2129</v>
      </c>
      <c r="EF176" t="s">
        <v>2129</v>
      </c>
      <c r="EG176" t="s">
        <v>2129</v>
      </c>
      <c r="EH176" t="s">
        <v>2129</v>
      </c>
    </row>
    <row r="177" spans="1:138" x14ac:dyDescent="0.25">
      <c r="A177" t="s">
        <v>4242</v>
      </c>
      <c r="B177" t="s">
        <v>4243</v>
      </c>
      <c r="C177">
        <v>23193</v>
      </c>
      <c r="E177" t="s">
        <v>14</v>
      </c>
      <c r="F177" t="s">
        <v>10</v>
      </c>
      <c r="G177" t="s">
        <v>3081</v>
      </c>
      <c r="H177" t="s">
        <v>991</v>
      </c>
      <c r="I177" t="s">
        <v>2127</v>
      </c>
      <c r="J177" t="s">
        <v>2152</v>
      </c>
      <c r="K177" t="s">
        <v>2129</v>
      </c>
      <c r="L177" t="s">
        <v>2129</v>
      </c>
      <c r="M177" t="s">
        <v>2130</v>
      </c>
      <c r="N177" t="s">
        <v>2129</v>
      </c>
      <c r="O177" t="s">
        <v>2129</v>
      </c>
      <c r="P177" t="s">
        <v>2145</v>
      </c>
      <c r="Q177" t="s">
        <v>2145</v>
      </c>
      <c r="R177" s="37">
        <v>46098.739583333336</v>
      </c>
      <c r="S177" s="37">
        <v>46098.739583333336</v>
      </c>
      <c r="T177" s="37">
        <v>46100.368750000001</v>
      </c>
      <c r="U177" s="37"/>
      <c r="V177" t="s">
        <v>2129</v>
      </c>
      <c r="W177" t="s">
        <v>2129</v>
      </c>
      <c r="X177" t="s">
        <v>2129</v>
      </c>
      <c r="Y177">
        <v>0</v>
      </c>
      <c r="Z177" t="s">
        <v>2129</v>
      </c>
      <c r="AA177" t="s">
        <v>4244</v>
      </c>
      <c r="AB177" t="s">
        <v>2129</v>
      </c>
      <c r="AC177" t="s">
        <v>2145</v>
      </c>
      <c r="AD177" t="s">
        <v>2129</v>
      </c>
      <c r="AE177" t="s">
        <v>2129</v>
      </c>
      <c r="AF177" t="s">
        <v>2129</v>
      </c>
      <c r="AG177" t="s">
        <v>2129</v>
      </c>
      <c r="AH177" t="s">
        <v>2129</v>
      </c>
      <c r="AI177" t="s">
        <v>2129</v>
      </c>
      <c r="AJ177" t="s">
        <v>2129</v>
      </c>
      <c r="AK177" t="s">
        <v>2129</v>
      </c>
      <c r="AL177" t="s">
        <v>2129</v>
      </c>
      <c r="AM177" t="s">
        <v>2129</v>
      </c>
      <c r="AN177" t="s">
        <v>2129</v>
      </c>
      <c r="AO177" t="s">
        <v>2129</v>
      </c>
      <c r="AP177" t="s">
        <v>2129</v>
      </c>
      <c r="AQ177" t="s">
        <v>2129</v>
      </c>
      <c r="AR177" t="s">
        <v>2129</v>
      </c>
      <c r="AS177" t="s">
        <v>2129</v>
      </c>
      <c r="AT177" t="s">
        <v>2129</v>
      </c>
      <c r="AU177" t="s">
        <v>2129</v>
      </c>
      <c r="AV177" t="s">
        <v>2129</v>
      </c>
      <c r="AW177" t="s">
        <v>2129</v>
      </c>
      <c r="AX177" t="s">
        <v>2129</v>
      </c>
      <c r="AY177" t="s">
        <v>2129</v>
      </c>
      <c r="AZ177" t="s">
        <v>2129</v>
      </c>
      <c r="BA177" t="s">
        <v>2129</v>
      </c>
      <c r="BB177" t="s">
        <v>2129</v>
      </c>
      <c r="BC177" t="s">
        <v>2129</v>
      </c>
      <c r="BD177" t="s">
        <v>2129</v>
      </c>
      <c r="BE177" t="s">
        <v>2129</v>
      </c>
      <c r="BF177" t="s">
        <v>2129</v>
      </c>
      <c r="BG177" t="s">
        <v>2129</v>
      </c>
      <c r="BH177" t="s">
        <v>2129</v>
      </c>
      <c r="BI177" t="s">
        <v>2129</v>
      </c>
      <c r="BJ177" t="s">
        <v>2129</v>
      </c>
      <c r="BK177" t="s">
        <v>2129</v>
      </c>
      <c r="BL177" t="s">
        <v>2129</v>
      </c>
      <c r="BM177" t="s">
        <v>2129</v>
      </c>
      <c r="BN177" t="s">
        <v>2129</v>
      </c>
      <c r="BO177" t="s">
        <v>2129</v>
      </c>
      <c r="BP177" t="s">
        <v>2129</v>
      </c>
      <c r="BS177" t="s">
        <v>2129</v>
      </c>
      <c r="BT177" t="s">
        <v>2129</v>
      </c>
      <c r="BW177" t="s">
        <v>2129</v>
      </c>
      <c r="BX177" t="s">
        <v>2129</v>
      </c>
      <c r="BY177" t="s">
        <v>2129</v>
      </c>
      <c r="BZ177" t="s">
        <v>2129</v>
      </c>
      <c r="CA177" t="s">
        <v>2129</v>
      </c>
      <c r="CB177" t="s">
        <v>2129</v>
      </c>
      <c r="CC177" t="s">
        <v>2129</v>
      </c>
      <c r="CD177" t="s">
        <v>2129</v>
      </c>
      <c r="CE177" t="s">
        <v>2129</v>
      </c>
      <c r="CF177" t="s">
        <v>2129</v>
      </c>
      <c r="CG177" t="s">
        <v>2129</v>
      </c>
      <c r="CH177" t="s">
        <v>2129</v>
      </c>
      <c r="CI177" t="s">
        <v>2129</v>
      </c>
      <c r="CJ177" t="s">
        <v>2129</v>
      </c>
      <c r="CK177" t="s">
        <v>2129</v>
      </c>
      <c r="CL177" t="s">
        <v>2129</v>
      </c>
      <c r="CM177" t="s">
        <v>4240</v>
      </c>
      <c r="CN177" t="s">
        <v>2129</v>
      </c>
      <c r="CO177" t="s">
        <v>2129</v>
      </c>
      <c r="CP177" t="s">
        <v>2129</v>
      </c>
      <c r="CQ177" t="s">
        <v>2129</v>
      </c>
      <c r="CR177" t="s">
        <v>2129</v>
      </c>
      <c r="CS177" t="s">
        <v>2129</v>
      </c>
      <c r="CT177" t="s">
        <v>4245</v>
      </c>
      <c r="CU177" t="s">
        <v>2129</v>
      </c>
      <c r="CV177" t="s">
        <v>2129</v>
      </c>
      <c r="CW177" t="s">
        <v>2129</v>
      </c>
      <c r="CX177" t="s">
        <v>2129</v>
      </c>
      <c r="CY177" t="s">
        <v>2129</v>
      </c>
      <c r="CZ177" t="s">
        <v>2129</v>
      </c>
      <c r="DA177" t="s">
        <v>2129</v>
      </c>
      <c r="DB177" t="s">
        <v>2129</v>
      </c>
      <c r="DC177" t="s">
        <v>2129</v>
      </c>
      <c r="DD177" t="s">
        <v>2129</v>
      </c>
      <c r="DE177" t="s">
        <v>2129</v>
      </c>
      <c r="DF177" t="s">
        <v>2129</v>
      </c>
      <c r="DG177" t="s">
        <v>2129</v>
      </c>
      <c r="DH177" t="s">
        <v>2129</v>
      </c>
      <c r="DJ177" t="s">
        <v>2129</v>
      </c>
      <c r="DK177" t="s">
        <v>2129</v>
      </c>
      <c r="DL177" t="s">
        <v>2129</v>
      </c>
      <c r="DM177" t="s">
        <v>2129</v>
      </c>
      <c r="DN177" t="s">
        <v>2129</v>
      </c>
      <c r="DO177" t="s">
        <v>2129</v>
      </c>
      <c r="DP177" t="s">
        <v>2129</v>
      </c>
      <c r="DQ177" t="s">
        <v>2129</v>
      </c>
      <c r="DR177" t="s">
        <v>2129</v>
      </c>
      <c r="DS177" t="s">
        <v>2129</v>
      </c>
      <c r="DT177" t="s">
        <v>2129</v>
      </c>
      <c r="DU177" t="s">
        <v>2129</v>
      </c>
      <c r="DV177" t="s">
        <v>2129</v>
      </c>
      <c r="DW177" t="s">
        <v>2129</v>
      </c>
      <c r="DX177" t="s">
        <v>2129</v>
      </c>
      <c r="DY177" t="s">
        <v>2129</v>
      </c>
      <c r="DZ177" t="s">
        <v>2129</v>
      </c>
      <c r="EA177" t="s">
        <v>2129</v>
      </c>
      <c r="EB177" t="s">
        <v>2129</v>
      </c>
      <c r="EC177" t="s">
        <v>2129</v>
      </c>
      <c r="ED177" t="s">
        <v>2129</v>
      </c>
      <c r="EE177" t="s">
        <v>2129</v>
      </c>
      <c r="EF177" t="s">
        <v>2129</v>
      </c>
      <c r="EG177" t="s">
        <v>2129</v>
      </c>
      <c r="EH177" t="s">
        <v>2129</v>
      </c>
    </row>
    <row r="178" spans="1:138" x14ac:dyDescent="0.25">
      <c r="A178" t="s">
        <v>4246</v>
      </c>
      <c r="B178" t="s">
        <v>4247</v>
      </c>
      <c r="C178">
        <v>23192</v>
      </c>
      <c r="E178" t="s">
        <v>14</v>
      </c>
      <c r="F178" t="s">
        <v>10</v>
      </c>
      <c r="G178" t="s">
        <v>3081</v>
      </c>
      <c r="H178" t="s">
        <v>991</v>
      </c>
      <c r="I178" t="s">
        <v>2127</v>
      </c>
      <c r="J178" t="s">
        <v>2152</v>
      </c>
      <c r="K178" t="s">
        <v>2129</v>
      </c>
      <c r="L178" t="s">
        <v>2129</v>
      </c>
      <c r="M178" t="s">
        <v>2130</v>
      </c>
      <c r="N178" t="s">
        <v>2129</v>
      </c>
      <c r="O178" t="s">
        <v>2129</v>
      </c>
      <c r="P178" t="s">
        <v>2145</v>
      </c>
      <c r="Q178" t="s">
        <v>2145</v>
      </c>
      <c r="R178" s="37">
        <v>46098.736111111109</v>
      </c>
      <c r="S178" s="37">
        <v>46098.736111111109</v>
      </c>
      <c r="T178" s="37">
        <v>46100.368750000001</v>
      </c>
      <c r="U178" s="37"/>
      <c r="V178" t="s">
        <v>2129</v>
      </c>
      <c r="W178" t="s">
        <v>2129</v>
      </c>
      <c r="X178" t="s">
        <v>2129</v>
      </c>
      <c r="Y178">
        <v>0</v>
      </c>
      <c r="Z178" t="s">
        <v>2129</v>
      </c>
      <c r="AA178" t="s">
        <v>4248</v>
      </c>
      <c r="AB178" t="s">
        <v>2129</v>
      </c>
      <c r="AC178" t="s">
        <v>2145</v>
      </c>
      <c r="AD178" t="s">
        <v>2129</v>
      </c>
      <c r="AE178" t="s">
        <v>2129</v>
      </c>
      <c r="AF178" t="s">
        <v>2129</v>
      </c>
      <c r="AG178" t="s">
        <v>2129</v>
      </c>
      <c r="AH178" t="s">
        <v>2129</v>
      </c>
      <c r="AI178" t="s">
        <v>2129</v>
      </c>
      <c r="AJ178" t="s">
        <v>2129</v>
      </c>
      <c r="AK178" t="s">
        <v>2129</v>
      </c>
      <c r="AL178" t="s">
        <v>2129</v>
      </c>
      <c r="AM178" t="s">
        <v>2129</v>
      </c>
      <c r="AN178" t="s">
        <v>2129</v>
      </c>
      <c r="AO178" t="s">
        <v>2129</v>
      </c>
      <c r="AP178" t="s">
        <v>2129</v>
      </c>
      <c r="AQ178" t="s">
        <v>2129</v>
      </c>
      <c r="AR178" t="s">
        <v>2129</v>
      </c>
      <c r="AS178" t="s">
        <v>2129</v>
      </c>
      <c r="AT178" t="s">
        <v>2129</v>
      </c>
      <c r="AU178" t="s">
        <v>2129</v>
      </c>
      <c r="AV178" t="s">
        <v>2129</v>
      </c>
      <c r="AW178" t="s">
        <v>2129</v>
      </c>
      <c r="AX178" t="s">
        <v>2129</v>
      </c>
      <c r="AY178" t="s">
        <v>2129</v>
      </c>
      <c r="AZ178" t="s">
        <v>2129</v>
      </c>
      <c r="BA178" t="s">
        <v>2129</v>
      </c>
      <c r="BB178" t="s">
        <v>2129</v>
      </c>
      <c r="BC178" t="s">
        <v>2129</v>
      </c>
      <c r="BD178" t="s">
        <v>2129</v>
      </c>
      <c r="BE178" t="s">
        <v>2129</v>
      </c>
      <c r="BF178" t="s">
        <v>2129</v>
      </c>
      <c r="BG178" t="s">
        <v>2129</v>
      </c>
      <c r="BH178" t="s">
        <v>2129</v>
      </c>
      <c r="BI178" t="s">
        <v>2129</v>
      </c>
      <c r="BJ178" t="s">
        <v>2129</v>
      </c>
      <c r="BK178" t="s">
        <v>2129</v>
      </c>
      <c r="BL178" t="s">
        <v>2129</v>
      </c>
      <c r="BM178" t="s">
        <v>2129</v>
      </c>
      <c r="BN178" t="s">
        <v>2129</v>
      </c>
      <c r="BO178" t="s">
        <v>2129</v>
      </c>
      <c r="BP178" t="s">
        <v>2129</v>
      </c>
      <c r="BS178" t="s">
        <v>2129</v>
      </c>
      <c r="BT178" t="s">
        <v>2129</v>
      </c>
      <c r="BW178" t="s">
        <v>2129</v>
      </c>
      <c r="BX178" t="s">
        <v>2129</v>
      </c>
      <c r="BY178" t="s">
        <v>2129</v>
      </c>
      <c r="BZ178" t="s">
        <v>2129</v>
      </c>
      <c r="CA178" t="s">
        <v>2129</v>
      </c>
      <c r="CB178" t="s">
        <v>2129</v>
      </c>
      <c r="CC178" t="s">
        <v>2129</v>
      </c>
      <c r="CD178" t="s">
        <v>2129</v>
      </c>
      <c r="CE178" t="s">
        <v>2129</v>
      </c>
      <c r="CF178" t="s">
        <v>2129</v>
      </c>
      <c r="CG178" t="s">
        <v>2129</v>
      </c>
      <c r="CH178" t="s">
        <v>2129</v>
      </c>
      <c r="CI178" t="s">
        <v>2129</v>
      </c>
      <c r="CJ178" t="s">
        <v>2129</v>
      </c>
      <c r="CK178" t="s">
        <v>2129</v>
      </c>
      <c r="CL178" t="s">
        <v>2129</v>
      </c>
      <c r="CM178" t="s">
        <v>4240</v>
      </c>
      <c r="CN178" t="s">
        <v>2129</v>
      </c>
      <c r="CO178" t="s">
        <v>2129</v>
      </c>
      <c r="CP178" t="s">
        <v>2129</v>
      </c>
      <c r="CQ178" t="s">
        <v>2129</v>
      </c>
      <c r="CR178" t="s">
        <v>2129</v>
      </c>
      <c r="CS178" t="s">
        <v>2129</v>
      </c>
      <c r="CT178" t="s">
        <v>4249</v>
      </c>
      <c r="CU178" t="s">
        <v>2129</v>
      </c>
      <c r="CV178" t="s">
        <v>2129</v>
      </c>
      <c r="CW178" t="s">
        <v>2129</v>
      </c>
      <c r="CX178" t="s">
        <v>2129</v>
      </c>
      <c r="CY178" t="s">
        <v>2129</v>
      </c>
      <c r="CZ178" t="s">
        <v>2129</v>
      </c>
      <c r="DA178" t="s">
        <v>2129</v>
      </c>
      <c r="DB178" t="s">
        <v>2129</v>
      </c>
      <c r="DC178" t="s">
        <v>2129</v>
      </c>
      <c r="DD178" t="s">
        <v>2129</v>
      </c>
      <c r="DE178" t="s">
        <v>2129</v>
      </c>
      <c r="DF178" t="s">
        <v>2129</v>
      </c>
      <c r="DG178" t="s">
        <v>2129</v>
      </c>
      <c r="DH178" t="s">
        <v>2129</v>
      </c>
      <c r="DJ178" t="s">
        <v>2129</v>
      </c>
      <c r="DK178" t="s">
        <v>2129</v>
      </c>
      <c r="DL178" t="s">
        <v>2129</v>
      </c>
      <c r="DM178" t="s">
        <v>2129</v>
      </c>
      <c r="DN178" t="s">
        <v>2129</v>
      </c>
      <c r="DO178" t="s">
        <v>2129</v>
      </c>
      <c r="DP178" t="s">
        <v>2129</v>
      </c>
      <c r="DQ178" t="s">
        <v>2129</v>
      </c>
      <c r="DR178" t="s">
        <v>2129</v>
      </c>
      <c r="DS178" t="s">
        <v>2129</v>
      </c>
      <c r="DT178" t="s">
        <v>2129</v>
      </c>
      <c r="DU178" t="s">
        <v>2129</v>
      </c>
      <c r="DV178" t="s">
        <v>2129</v>
      </c>
      <c r="DW178" t="s">
        <v>2129</v>
      </c>
      <c r="DX178" t="s">
        <v>2129</v>
      </c>
      <c r="DY178" t="s">
        <v>2129</v>
      </c>
      <c r="DZ178" t="s">
        <v>2129</v>
      </c>
      <c r="EA178" t="s">
        <v>2129</v>
      </c>
      <c r="EB178" t="s">
        <v>2129</v>
      </c>
      <c r="EC178" t="s">
        <v>2129</v>
      </c>
      <c r="ED178" t="s">
        <v>2129</v>
      </c>
      <c r="EE178" t="s">
        <v>2129</v>
      </c>
      <c r="EF178" t="s">
        <v>2129</v>
      </c>
      <c r="EG178" t="s">
        <v>2129</v>
      </c>
      <c r="EH178" t="s">
        <v>2129</v>
      </c>
    </row>
    <row r="179" spans="1:138" x14ac:dyDescent="0.25">
      <c r="A179" t="s">
        <v>4250</v>
      </c>
      <c r="B179" t="s">
        <v>4251</v>
      </c>
      <c r="C179">
        <v>23191</v>
      </c>
      <c r="E179" t="s">
        <v>14</v>
      </c>
      <c r="F179" t="s">
        <v>10</v>
      </c>
      <c r="G179" t="s">
        <v>3081</v>
      </c>
      <c r="H179" t="s">
        <v>991</v>
      </c>
      <c r="I179" t="s">
        <v>2127</v>
      </c>
      <c r="J179" t="s">
        <v>2152</v>
      </c>
      <c r="K179" t="s">
        <v>2129</v>
      </c>
      <c r="L179" t="s">
        <v>2129</v>
      </c>
      <c r="M179" t="s">
        <v>2130</v>
      </c>
      <c r="N179" t="s">
        <v>2129</v>
      </c>
      <c r="O179" t="s">
        <v>2129</v>
      </c>
      <c r="P179" t="s">
        <v>2145</v>
      </c>
      <c r="Q179" t="s">
        <v>2145</v>
      </c>
      <c r="R179" s="37">
        <v>46098.720138888886</v>
      </c>
      <c r="S179" s="37">
        <v>46098.723611111112</v>
      </c>
      <c r="T179" s="37">
        <v>46100.368750000001</v>
      </c>
      <c r="U179" s="37"/>
      <c r="V179" t="s">
        <v>2129</v>
      </c>
      <c r="W179" t="s">
        <v>2129</v>
      </c>
      <c r="X179" t="s">
        <v>2129</v>
      </c>
      <c r="Y179">
        <v>0</v>
      </c>
      <c r="Z179" t="s">
        <v>2129</v>
      </c>
      <c r="AA179" t="s">
        <v>4252</v>
      </c>
      <c r="AB179" t="s">
        <v>2129</v>
      </c>
      <c r="AC179" t="s">
        <v>2145</v>
      </c>
      <c r="AD179" t="s">
        <v>2129</v>
      </c>
      <c r="AE179" t="s">
        <v>2129</v>
      </c>
      <c r="AF179" t="s">
        <v>2129</v>
      </c>
      <c r="AG179" t="s">
        <v>2129</v>
      </c>
      <c r="AH179" t="s">
        <v>2129</v>
      </c>
      <c r="AI179" t="s">
        <v>2129</v>
      </c>
      <c r="AJ179" t="s">
        <v>2129</v>
      </c>
      <c r="AK179" t="s">
        <v>2129</v>
      </c>
      <c r="AL179" t="s">
        <v>2129</v>
      </c>
      <c r="AM179" t="s">
        <v>2129</v>
      </c>
      <c r="AN179" t="s">
        <v>2129</v>
      </c>
      <c r="AO179" t="s">
        <v>2129</v>
      </c>
      <c r="AP179" t="s">
        <v>2129</v>
      </c>
      <c r="AQ179" t="s">
        <v>2129</v>
      </c>
      <c r="AR179" t="s">
        <v>2129</v>
      </c>
      <c r="AS179" t="s">
        <v>2129</v>
      </c>
      <c r="AT179" t="s">
        <v>2129</v>
      </c>
      <c r="AU179" t="s">
        <v>2129</v>
      </c>
      <c r="AV179" t="s">
        <v>2129</v>
      </c>
      <c r="AW179" t="s">
        <v>2129</v>
      </c>
      <c r="AX179" t="s">
        <v>2129</v>
      </c>
      <c r="AY179" t="s">
        <v>2129</v>
      </c>
      <c r="AZ179" t="s">
        <v>2129</v>
      </c>
      <c r="BA179" t="s">
        <v>2129</v>
      </c>
      <c r="BB179" t="s">
        <v>2129</v>
      </c>
      <c r="BC179" t="s">
        <v>2129</v>
      </c>
      <c r="BD179" t="s">
        <v>2129</v>
      </c>
      <c r="BE179" t="s">
        <v>2129</v>
      </c>
      <c r="BF179" t="s">
        <v>2129</v>
      </c>
      <c r="BG179" t="s">
        <v>2129</v>
      </c>
      <c r="BH179" t="s">
        <v>2129</v>
      </c>
      <c r="BI179" t="s">
        <v>2129</v>
      </c>
      <c r="BJ179" t="s">
        <v>2129</v>
      </c>
      <c r="BK179" t="s">
        <v>2129</v>
      </c>
      <c r="BL179" t="s">
        <v>2129</v>
      </c>
      <c r="BM179" t="s">
        <v>2129</v>
      </c>
      <c r="BN179" t="s">
        <v>2129</v>
      </c>
      <c r="BO179" t="s">
        <v>2129</v>
      </c>
      <c r="BP179" t="s">
        <v>2129</v>
      </c>
      <c r="BS179" t="s">
        <v>2129</v>
      </c>
      <c r="BT179" t="s">
        <v>2129</v>
      </c>
      <c r="BW179" t="s">
        <v>2129</v>
      </c>
      <c r="BX179" t="s">
        <v>2129</v>
      </c>
      <c r="BY179" t="s">
        <v>2129</v>
      </c>
      <c r="BZ179" t="s">
        <v>2129</v>
      </c>
      <c r="CA179" t="s">
        <v>2129</v>
      </c>
      <c r="CB179" t="s">
        <v>2129</v>
      </c>
      <c r="CC179" t="s">
        <v>2129</v>
      </c>
      <c r="CD179" t="s">
        <v>2129</v>
      </c>
      <c r="CE179" t="s">
        <v>2129</v>
      </c>
      <c r="CF179" t="s">
        <v>2129</v>
      </c>
      <c r="CG179" t="s">
        <v>2129</v>
      </c>
      <c r="CH179" t="s">
        <v>2129</v>
      </c>
      <c r="CI179" t="s">
        <v>2129</v>
      </c>
      <c r="CJ179" t="s">
        <v>2129</v>
      </c>
      <c r="CK179" t="s">
        <v>2129</v>
      </c>
      <c r="CL179" t="s">
        <v>2129</v>
      </c>
      <c r="CM179" t="s">
        <v>4240</v>
      </c>
      <c r="CN179" t="s">
        <v>2129</v>
      </c>
      <c r="CO179" t="s">
        <v>2129</v>
      </c>
      <c r="CP179" t="s">
        <v>2129</v>
      </c>
      <c r="CQ179" t="s">
        <v>2129</v>
      </c>
      <c r="CR179" t="s">
        <v>2129</v>
      </c>
      <c r="CS179" t="s">
        <v>2129</v>
      </c>
      <c r="CT179" t="s">
        <v>4253</v>
      </c>
      <c r="CU179" t="s">
        <v>2129</v>
      </c>
      <c r="CV179" t="s">
        <v>2129</v>
      </c>
      <c r="CW179" t="s">
        <v>2129</v>
      </c>
      <c r="CX179" t="s">
        <v>2129</v>
      </c>
      <c r="CY179" t="s">
        <v>2129</v>
      </c>
      <c r="CZ179" t="s">
        <v>2129</v>
      </c>
      <c r="DA179" t="s">
        <v>2129</v>
      </c>
      <c r="DB179" t="s">
        <v>2129</v>
      </c>
      <c r="DC179" t="s">
        <v>2129</v>
      </c>
      <c r="DD179" t="s">
        <v>2129</v>
      </c>
      <c r="DE179" t="s">
        <v>2129</v>
      </c>
      <c r="DF179" t="s">
        <v>2129</v>
      </c>
      <c r="DG179" t="s">
        <v>2129</v>
      </c>
      <c r="DH179" t="s">
        <v>2129</v>
      </c>
      <c r="DJ179" t="s">
        <v>2129</v>
      </c>
      <c r="DK179" t="s">
        <v>2129</v>
      </c>
      <c r="DL179" t="s">
        <v>2129</v>
      </c>
      <c r="DM179" t="s">
        <v>2129</v>
      </c>
      <c r="DN179" t="s">
        <v>2129</v>
      </c>
      <c r="DO179" t="s">
        <v>2129</v>
      </c>
      <c r="DP179" t="s">
        <v>2129</v>
      </c>
      <c r="DQ179" t="s">
        <v>2129</v>
      </c>
      <c r="DR179" t="s">
        <v>2129</v>
      </c>
      <c r="DS179" t="s">
        <v>2129</v>
      </c>
      <c r="DT179" t="s">
        <v>2129</v>
      </c>
      <c r="DU179" t="s">
        <v>2129</v>
      </c>
      <c r="DV179" t="s">
        <v>2129</v>
      </c>
      <c r="DW179" t="s">
        <v>2129</v>
      </c>
      <c r="DX179" t="s">
        <v>2129</v>
      </c>
      <c r="DY179" t="s">
        <v>2129</v>
      </c>
      <c r="DZ179" t="s">
        <v>2129</v>
      </c>
      <c r="EA179" t="s">
        <v>2129</v>
      </c>
      <c r="EB179" t="s">
        <v>2129</v>
      </c>
      <c r="EC179" t="s">
        <v>2129</v>
      </c>
      <c r="ED179" t="s">
        <v>2129</v>
      </c>
      <c r="EE179" t="s">
        <v>2129</v>
      </c>
      <c r="EF179" t="s">
        <v>2129</v>
      </c>
      <c r="EG179" t="s">
        <v>2129</v>
      </c>
      <c r="EH179" t="s">
        <v>2129</v>
      </c>
    </row>
    <row r="180" spans="1:138" x14ac:dyDescent="0.25">
      <c r="A180" t="s">
        <v>4254</v>
      </c>
      <c r="B180" t="s">
        <v>4255</v>
      </c>
      <c r="C180">
        <v>23190</v>
      </c>
      <c r="E180" t="s">
        <v>14</v>
      </c>
      <c r="F180" t="s">
        <v>10</v>
      </c>
      <c r="G180" t="s">
        <v>3081</v>
      </c>
      <c r="H180" t="s">
        <v>991</v>
      </c>
      <c r="I180" t="s">
        <v>2127</v>
      </c>
      <c r="J180" t="s">
        <v>2152</v>
      </c>
      <c r="K180" t="s">
        <v>2129</v>
      </c>
      <c r="L180" t="s">
        <v>2129</v>
      </c>
      <c r="M180" t="s">
        <v>2130</v>
      </c>
      <c r="N180" t="s">
        <v>2129</v>
      </c>
      <c r="O180" t="s">
        <v>2129</v>
      </c>
      <c r="P180" t="s">
        <v>2145</v>
      </c>
      <c r="Q180" t="s">
        <v>2145</v>
      </c>
      <c r="R180" s="37">
        <v>46098.711805555555</v>
      </c>
      <c r="S180" s="37">
        <v>46098.711805555555</v>
      </c>
      <c r="T180" s="37">
        <v>46100.368750000001</v>
      </c>
      <c r="U180" s="37"/>
      <c r="V180" t="s">
        <v>2129</v>
      </c>
      <c r="W180" t="s">
        <v>2129</v>
      </c>
      <c r="X180" t="s">
        <v>2129</v>
      </c>
      <c r="Y180">
        <v>0</v>
      </c>
      <c r="Z180" t="s">
        <v>2129</v>
      </c>
      <c r="AA180" t="s">
        <v>4256</v>
      </c>
      <c r="AB180" t="s">
        <v>2129</v>
      </c>
      <c r="AC180" t="s">
        <v>2145</v>
      </c>
      <c r="AD180" t="s">
        <v>2129</v>
      </c>
      <c r="AE180" t="s">
        <v>2129</v>
      </c>
      <c r="AF180" t="s">
        <v>2129</v>
      </c>
      <c r="AG180" t="s">
        <v>2129</v>
      </c>
      <c r="AH180" t="s">
        <v>2129</v>
      </c>
      <c r="AI180" t="s">
        <v>2129</v>
      </c>
      <c r="AJ180" t="s">
        <v>2129</v>
      </c>
      <c r="AK180" t="s">
        <v>2129</v>
      </c>
      <c r="AL180" t="s">
        <v>2129</v>
      </c>
      <c r="AM180" t="s">
        <v>2129</v>
      </c>
      <c r="AN180" t="s">
        <v>2129</v>
      </c>
      <c r="AO180" t="s">
        <v>2129</v>
      </c>
      <c r="AP180" t="s">
        <v>2129</v>
      </c>
      <c r="AQ180" t="s">
        <v>2129</v>
      </c>
      <c r="AR180" t="s">
        <v>2129</v>
      </c>
      <c r="AS180" t="s">
        <v>2129</v>
      </c>
      <c r="AT180" t="s">
        <v>2129</v>
      </c>
      <c r="AU180" t="s">
        <v>2129</v>
      </c>
      <c r="AV180" t="s">
        <v>2129</v>
      </c>
      <c r="AW180" t="s">
        <v>2129</v>
      </c>
      <c r="AX180" t="s">
        <v>2129</v>
      </c>
      <c r="AY180" t="s">
        <v>2129</v>
      </c>
      <c r="AZ180" t="s">
        <v>2129</v>
      </c>
      <c r="BA180" t="s">
        <v>2129</v>
      </c>
      <c r="BB180" t="s">
        <v>2129</v>
      </c>
      <c r="BC180" t="s">
        <v>2129</v>
      </c>
      <c r="BD180" t="s">
        <v>2129</v>
      </c>
      <c r="BE180" t="s">
        <v>2129</v>
      </c>
      <c r="BF180" t="s">
        <v>2129</v>
      </c>
      <c r="BG180" t="s">
        <v>2129</v>
      </c>
      <c r="BH180" t="s">
        <v>2129</v>
      </c>
      <c r="BI180" t="s">
        <v>2129</v>
      </c>
      <c r="BJ180" t="s">
        <v>2129</v>
      </c>
      <c r="BK180" t="s">
        <v>2129</v>
      </c>
      <c r="BL180" t="s">
        <v>2129</v>
      </c>
      <c r="BM180" t="s">
        <v>2129</v>
      </c>
      <c r="BN180" t="s">
        <v>2129</v>
      </c>
      <c r="BO180" t="s">
        <v>2129</v>
      </c>
      <c r="BP180" t="s">
        <v>2129</v>
      </c>
      <c r="BS180" t="s">
        <v>2129</v>
      </c>
      <c r="BT180" t="s">
        <v>2129</v>
      </c>
      <c r="BW180" t="s">
        <v>2129</v>
      </c>
      <c r="BX180" t="s">
        <v>2129</v>
      </c>
      <c r="BY180" t="s">
        <v>2129</v>
      </c>
      <c r="BZ180" t="s">
        <v>2129</v>
      </c>
      <c r="CA180" t="s">
        <v>2129</v>
      </c>
      <c r="CB180" t="s">
        <v>2129</v>
      </c>
      <c r="CC180" t="s">
        <v>2129</v>
      </c>
      <c r="CD180" t="s">
        <v>2129</v>
      </c>
      <c r="CE180" t="s">
        <v>2129</v>
      </c>
      <c r="CF180" t="s">
        <v>2129</v>
      </c>
      <c r="CG180" t="s">
        <v>2129</v>
      </c>
      <c r="CH180" t="s">
        <v>2129</v>
      </c>
      <c r="CI180" t="s">
        <v>2129</v>
      </c>
      <c r="CJ180" t="s">
        <v>2129</v>
      </c>
      <c r="CK180" t="s">
        <v>2129</v>
      </c>
      <c r="CL180" t="s">
        <v>2129</v>
      </c>
      <c r="CM180" t="s">
        <v>4240</v>
      </c>
      <c r="CN180" t="s">
        <v>2129</v>
      </c>
      <c r="CO180" t="s">
        <v>2129</v>
      </c>
      <c r="CP180" t="s">
        <v>2129</v>
      </c>
      <c r="CQ180" t="s">
        <v>2129</v>
      </c>
      <c r="CR180" t="s">
        <v>2129</v>
      </c>
      <c r="CS180" t="s">
        <v>2129</v>
      </c>
      <c r="CT180" t="s">
        <v>4257</v>
      </c>
      <c r="CU180" t="s">
        <v>2129</v>
      </c>
      <c r="CV180" t="s">
        <v>2129</v>
      </c>
      <c r="CW180" t="s">
        <v>2129</v>
      </c>
      <c r="CX180" t="s">
        <v>2129</v>
      </c>
      <c r="CY180" t="s">
        <v>2129</v>
      </c>
      <c r="CZ180" t="s">
        <v>2129</v>
      </c>
      <c r="DA180" t="s">
        <v>2129</v>
      </c>
      <c r="DB180" t="s">
        <v>2129</v>
      </c>
      <c r="DC180" t="s">
        <v>2129</v>
      </c>
      <c r="DD180" t="s">
        <v>2129</v>
      </c>
      <c r="DE180" t="s">
        <v>2129</v>
      </c>
      <c r="DF180" t="s">
        <v>2129</v>
      </c>
      <c r="DG180" t="s">
        <v>2129</v>
      </c>
      <c r="DH180" t="s">
        <v>2129</v>
      </c>
      <c r="DJ180" t="s">
        <v>2129</v>
      </c>
      <c r="DK180" t="s">
        <v>2129</v>
      </c>
      <c r="DL180" t="s">
        <v>2129</v>
      </c>
      <c r="DM180" t="s">
        <v>2129</v>
      </c>
      <c r="DN180" t="s">
        <v>2129</v>
      </c>
      <c r="DO180" t="s">
        <v>2129</v>
      </c>
      <c r="DP180" t="s">
        <v>2129</v>
      </c>
      <c r="DQ180" t="s">
        <v>2129</v>
      </c>
      <c r="DR180" t="s">
        <v>2129</v>
      </c>
      <c r="DS180" t="s">
        <v>2129</v>
      </c>
      <c r="DT180" t="s">
        <v>2129</v>
      </c>
      <c r="DU180" t="s">
        <v>2129</v>
      </c>
      <c r="DV180" t="s">
        <v>2129</v>
      </c>
      <c r="DW180" t="s">
        <v>2129</v>
      </c>
      <c r="DX180" t="s">
        <v>2129</v>
      </c>
      <c r="DY180" t="s">
        <v>2129</v>
      </c>
      <c r="DZ180" t="s">
        <v>2129</v>
      </c>
      <c r="EA180" t="s">
        <v>2129</v>
      </c>
      <c r="EB180" t="s">
        <v>2129</v>
      </c>
      <c r="EC180" t="s">
        <v>2129</v>
      </c>
      <c r="ED180" t="s">
        <v>2129</v>
      </c>
      <c r="EE180" t="s">
        <v>2129</v>
      </c>
      <c r="EF180" t="s">
        <v>2129</v>
      </c>
      <c r="EG180" t="s">
        <v>2129</v>
      </c>
      <c r="EH180" t="s">
        <v>2129</v>
      </c>
    </row>
    <row r="181" spans="1:138" x14ac:dyDescent="0.25">
      <c r="A181" t="s">
        <v>4258</v>
      </c>
      <c r="B181" t="s">
        <v>4259</v>
      </c>
      <c r="C181">
        <v>23175</v>
      </c>
      <c r="E181" t="s">
        <v>14</v>
      </c>
      <c r="F181" t="s">
        <v>10</v>
      </c>
      <c r="G181" t="s">
        <v>3081</v>
      </c>
      <c r="H181" t="s">
        <v>991</v>
      </c>
      <c r="I181" t="s">
        <v>2127</v>
      </c>
      <c r="J181" t="s">
        <v>2152</v>
      </c>
      <c r="K181" t="s">
        <v>2129</v>
      </c>
      <c r="L181" t="s">
        <v>2129</v>
      </c>
      <c r="M181" t="s">
        <v>2130</v>
      </c>
      <c r="N181" t="s">
        <v>2129</v>
      </c>
      <c r="O181" t="s">
        <v>2129</v>
      </c>
      <c r="P181" t="s">
        <v>2145</v>
      </c>
      <c r="Q181" t="s">
        <v>2145</v>
      </c>
      <c r="R181" s="37">
        <v>46098.438888888886</v>
      </c>
      <c r="S181" s="37">
        <v>46098.740972222222</v>
      </c>
      <c r="T181" s="37">
        <v>46100.368750000001</v>
      </c>
      <c r="U181" s="37"/>
      <c r="V181" t="s">
        <v>2129</v>
      </c>
      <c r="W181" t="s">
        <v>2129</v>
      </c>
      <c r="X181" t="s">
        <v>2129</v>
      </c>
      <c r="Y181">
        <v>0</v>
      </c>
      <c r="Z181" t="s">
        <v>2129</v>
      </c>
      <c r="AA181" t="s">
        <v>4260</v>
      </c>
      <c r="AB181" t="s">
        <v>2129</v>
      </c>
      <c r="AC181" t="s">
        <v>2145</v>
      </c>
      <c r="AD181" t="s">
        <v>2129</v>
      </c>
      <c r="AE181" t="s">
        <v>2129</v>
      </c>
      <c r="AF181" t="s">
        <v>2129</v>
      </c>
      <c r="AG181" t="s">
        <v>2129</v>
      </c>
      <c r="AH181" t="s">
        <v>2129</v>
      </c>
      <c r="AI181" t="s">
        <v>2129</v>
      </c>
      <c r="AJ181" t="s">
        <v>2129</v>
      </c>
      <c r="AK181" t="s">
        <v>2129</v>
      </c>
      <c r="AL181" t="s">
        <v>2129</v>
      </c>
      <c r="AM181" t="s">
        <v>2129</v>
      </c>
      <c r="AN181" t="s">
        <v>2129</v>
      </c>
      <c r="AO181" t="s">
        <v>2129</v>
      </c>
      <c r="AP181" t="s">
        <v>2129</v>
      </c>
      <c r="AQ181" t="s">
        <v>2129</v>
      </c>
      <c r="AR181" t="s">
        <v>2129</v>
      </c>
      <c r="AS181" t="s">
        <v>2129</v>
      </c>
      <c r="AT181" t="s">
        <v>2129</v>
      </c>
      <c r="AU181" t="s">
        <v>2129</v>
      </c>
      <c r="AV181" t="s">
        <v>2129</v>
      </c>
      <c r="AW181" t="s">
        <v>2129</v>
      </c>
      <c r="AX181" t="s">
        <v>2129</v>
      </c>
      <c r="AY181" t="s">
        <v>2129</v>
      </c>
      <c r="AZ181" t="s">
        <v>2129</v>
      </c>
      <c r="BA181" t="s">
        <v>2129</v>
      </c>
      <c r="BB181" t="s">
        <v>2129</v>
      </c>
      <c r="BC181" t="s">
        <v>2129</v>
      </c>
      <c r="BD181" t="s">
        <v>2129</v>
      </c>
      <c r="BE181" t="s">
        <v>2129</v>
      </c>
      <c r="BF181" t="s">
        <v>2129</v>
      </c>
      <c r="BG181" t="s">
        <v>2129</v>
      </c>
      <c r="BH181" t="s">
        <v>2129</v>
      </c>
      <c r="BI181" t="s">
        <v>2129</v>
      </c>
      <c r="BJ181" t="s">
        <v>2129</v>
      </c>
      <c r="BK181" t="s">
        <v>2129</v>
      </c>
      <c r="BL181" t="s">
        <v>2129</v>
      </c>
      <c r="BM181" t="s">
        <v>2129</v>
      </c>
      <c r="BN181" t="s">
        <v>2129</v>
      </c>
      <c r="BO181" t="s">
        <v>2129</v>
      </c>
      <c r="BP181" t="s">
        <v>2129</v>
      </c>
      <c r="BS181" t="s">
        <v>2129</v>
      </c>
      <c r="BT181" t="s">
        <v>2129</v>
      </c>
      <c r="BW181" t="s">
        <v>2129</v>
      </c>
      <c r="BX181" t="s">
        <v>2129</v>
      </c>
      <c r="BY181" t="s">
        <v>2129</v>
      </c>
      <c r="BZ181" t="s">
        <v>2129</v>
      </c>
      <c r="CA181" t="s">
        <v>2129</v>
      </c>
      <c r="CB181" t="s">
        <v>2129</v>
      </c>
      <c r="CC181" t="s">
        <v>2129</v>
      </c>
      <c r="CD181" t="s">
        <v>2129</v>
      </c>
      <c r="CE181" t="s">
        <v>2129</v>
      </c>
      <c r="CF181" t="s">
        <v>2129</v>
      </c>
      <c r="CG181" t="s">
        <v>2129</v>
      </c>
      <c r="CH181" t="s">
        <v>2129</v>
      </c>
      <c r="CI181" t="s">
        <v>2129</v>
      </c>
      <c r="CJ181" t="s">
        <v>2129</v>
      </c>
      <c r="CK181" t="s">
        <v>2129</v>
      </c>
      <c r="CL181" t="s">
        <v>2129</v>
      </c>
      <c r="CM181" t="s">
        <v>4240</v>
      </c>
      <c r="CN181" t="s">
        <v>2129</v>
      </c>
      <c r="CO181" t="s">
        <v>2129</v>
      </c>
      <c r="CP181" t="s">
        <v>2129</v>
      </c>
      <c r="CQ181" t="s">
        <v>2129</v>
      </c>
      <c r="CR181" t="s">
        <v>2129</v>
      </c>
      <c r="CS181" t="s">
        <v>2129</v>
      </c>
      <c r="CT181" t="s">
        <v>4261</v>
      </c>
      <c r="CU181" t="s">
        <v>2129</v>
      </c>
      <c r="CV181" t="s">
        <v>2129</v>
      </c>
      <c r="CW181" t="s">
        <v>2129</v>
      </c>
      <c r="CX181" t="s">
        <v>2129</v>
      </c>
      <c r="CY181" t="s">
        <v>2129</v>
      </c>
      <c r="CZ181" t="s">
        <v>2129</v>
      </c>
      <c r="DA181" t="s">
        <v>2129</v>
      </c>
      <c r="DB181" t="s">
        <v>2129</v>
      </c>
      <c r="DC181" t="s">
        <v>2129</v>
      </c>
      <c r="DD181" t="s">
        <v>2129</v>
      </c>
      <c r="DE181" t="s">
        <v>2129</v>
      </c>
      <c r="DF181" t="s">
        <v>2129</v>
      </c>
      <c r="DG181" t="s">
        <v>2129</v>
      </c>
      <c r="DH181" t="s">
        <v>2129</v>
      </c>
      <c r="DJ181" t="s">
        <v>2129</v>
      </c>
      <c r="DK181" t="s">
        <v>2129</v>
      </c>
      <c r="DL181" t="s">
        <v>2129</v>
      </c>
      <c r="DM181" t="s">
        <v>2129</v>
      </c>
      <c r="DN181" t="s">
        <v>2129</v>
      </c>
      <c r="DO181" t="s">
        <v>2129</v>
      </c>
      <c r="DP181" t="s">
        <v>2129</v>
      </c>
      <c r="DQ181" t="s">
        <v>2129</v>
      </c>
      <c r="DR181" t="s">
        <v>2129</v>
      </c>
      <c r="DS181" t="s">
        <v>2129</v>
      </c>
      <c r="DT181" t="s">
        <v>2129</v>
      </c>
      <c r="DU181" t="s">
        <v>2129</v>
      </c>
      <c r="DV181" t="s">
        <v>2129</v>
      </c>
      <c r="DW181" t="s">
        <v>2129</v>
      </c>
      <c r="DX181" t="s">
        <v>2129</v>
      </c>
      <c r="DY181" t="s">
        <v>2129</v>
      </c>
      <c r="DZ181" t="s">
        <v>2129</v>
      </c>
      <c r="EA181" t="s">
        <v>2129</v>
      </c>
      <c r="EB181" t="s">
        <v>2129</v>
      </c>
      <c r="EC181" t="s">
        <v>2129</v>
      </c>
      <c r="ED181" t="s">
        <v>2129</v>
      </c>
      <c r="EE181" t="s">
        <v>2129</v>
      </c>
      <c r="EF181" t="s">
        <v>2129</v>
      </c>
      <c r="EG181" t="s">
        <v>2129</v>
      </c>
      <c r="EH181" t="s">
        <v>2129</v>
      </c>
    </row>
    <row r="182" spans="1:138" x14ac:dyDescent="0.25">
      <c r="A182" t="s">
        <v>4262</v>
      </c>
      <c r="B182" t="s">
        <v>4240</v>
      </c>
      <c r="C182">
        <v>23174</v>
      </c>
      <c r="E182" t="s">
        <v>2154</v>
      </c>
      <c r="F182" t="s">
        <v>10</v>
      </c>
      <c r="G182" t="s">
        <v>3081</v>
      </c>
      <c r="H182" t="s">
        <v>991</v>
      </c>
      <c r="I182" t="s">
        <v>2127</v>
      </c>
      <c r="J182" t="s">
        <v>2152</v>
      </c>
      <c r="K182" t="s">
        <v>2129</v>
      </c>
      <c r="L182" t="s">
        <v>2129</v>
      </c>
      <c r="M182" t="s">
        <v>2130</v>
      </c>
      <c r="N182" t="s">
        <v>2129</v>
      </c>
      <c r="O182" t="s">
        <v>2129</v>
      </c>
      <c r="P182" t="s">
        <v>2145</v>
      </c>
      <c r="Q182" t="s">
        <v>2145</v>
      </c>
      <c r="R182" s="37">
        <v>46098.4375</v>
      </c>
      <c r="S182" s="37">
        <v>46098.743055555555</v>
      </c>
      <c r="T182" s="37">
        <v>46100.368750000001</v>
      </c>
      <c r="U182" s="37"/>
      <c r="V182" t="s">
        <v>2129</v>
      </c>
      <c r="W182" t="s">
        <v>2129</v>
      </c>
      <c r="X182" t="s">
        <v>2129</v>
      </c>
      <c r="Y182">
        <v>0</v>
      </c>
      <c r="Z182" t="s">
        <v>2129</v>
      </c>
      <c r="AA182" t="s">
        <v>2129</v>
      </c>
      <c r="AB182" t="s">
        <v>2129</v>
      </c>
      <c r="AC182" t="s">
        <v>2145</v>
      </c>
      <c r="AD182" t="s">
        <v>2129</v>
      </c>
      <c r="AE182" t="s">
        <v>2129</v>
      </c>
      <c r="AF182" t="s">
        <v>2129</v>
      </c>
      <c r="AG182" t="s">
        <v>2129</v>
      </c>
      <c r="AH182" t="s">
        <v>2129</v>
      </c>
      <c r="AI182" t="s">
        <v>2129</v>
      </c>
      <c r="AJ182" t="s">
        <v>2129</v>
      </c>
      <c r="AK182" t="s">
        <v>2129</v>
      </c>
      <c r="AL182" t="s">
        <v>2129</v>
      </c>
      <c r="AM182" t="s">
        <v>2129</v>
      </c>
      <c r="AN182" t="s">
        <v>2129</v>
      </c>
      <c r="AO182" t="s">
        <v>2129</v>
      </c>
      <c r="AP182" t="s">
        <v>2129</v>
      </c>
      <c r="AQ182" t="s">
        <v>2129</v>
      </c>
      <c r="AR182" t="s">
        <v>2129</v>
      </c>
      <c r="AS182" t="s">
        <v>2129</v>
      </c>
      <c r="AT182" t="s">
        <v>2129</v>
      </c>
      <c r="AU182" t="s">
        <v>2129</v>
      </c>
      <c r="AV182" t="s">
        <v>2129</v>
      </c>
      <c r="AW182" t="s">
        <v>2129</v>
      </c>
      <c r="AX182" t="s">
        <v>2129</v>
      </c>
      <c r="AY182" t="s">
        <v>2129</v>
      </c>
      <c r="AZ182" t="s">
        <v>2129</v>
      </c>
      <c r="BA182" t="s">
        <v>2129</v>
      </c>
      <c r="BB182" t="s">
        <v>2129</v>
      </c>
      <c r="BC182" t="s">
        <v>2129</v>
      </c>
      <c r="BD182" t="s">
        <v>2129</v>
      </c>
      <c r="BE182" t="s">
        <v>2129</v>
      </c>
      <c r="BF182" t="s">
        <v>2129</v>
      </c>
      <c r="BG182" t="s">
        <v>2129</v>
      </c>
      <c r="BH182" t="s">
        <v>2129</v>
      </c>
      <c r="BI182" t="s">
        <v>2129</v>
      </c>
      <c r="BJ182" t="s">
        <v>2129</v>
      </c>
      <c r="BK182" t="s">
        <v>2129</v>
      </c>
      <c r="BL182" t="s">
        <v>2129</v>
      </c>
      <c r="BM182" t="s">
        <v>2129</v>
      </c>
      <c r="BN182" t="s">
        <v>2129</v>
      </c>
      <c r="BO182" t="s">
        <v>2129</v>
      </c>
      <c r="BP182" t="s">
        <v>2129</v>
      </c>
      <c r="BS182" t="s">
        <v>2129</v>
      </c>
      <c r="BT182" t="s">
        <v>2129</v>
      </c>
      <c r="BW182" t="s">
        <v>2129</v>
      </c>
      <c r="BX182" t="s">
        <v>2129</v>
      </c>
      <c r="BY182" t="s">
        <v>2129</v>
      </c>
      <c r="BZ182" t="s">
        <v>2129</v>
      </c>
      <c r="CA182" t="s">
        <v>2129</v>
      </c>
      <c r="CB182" t="s">
        <v>2129</v>
      </c>
      <c r="CC182" t="s">
        <v>2129</v>
      </c>
      <c r="CD182" t="s">
        <v>2129</v>
      </c>
      <c r="CE182" t="s">
        <v>2129</v>
      </c>
      <c r="CF182" t="s">
        <v>2129</v>
      </c>
      <c r="CG182" t="s">
        <v>2129</v>
      </c>
      <c r="CH182" t="s">
        <v>2129</v>
      </c>
      <c r="CI182" t="s">
        <v>2129</v>
      </c>
      <c r="CJ182" t="s">
        <v>2129</v>
      </c>
      <c r="CK182" t="s">
        <v>2129</v>
      </c>
      <c r="CL182" t="s">
        <v>4263</v>
      </c>
      <c r="CM182" t="s">
        <v>2129</v>
      </c>
      <c r="CN182" t="s">
        <v>4264</v>
      </c>
      <c r="CO182" t="s">
        <v>10</v>
      </c>
      <c r="CP182" t="s">
        <v>2129</v>
      </c>
      <c r="CQ182" t="s">
        <v>2129</v>
      </c>
      <c r="CR182" t="s">
        <v>2129</v>
      </c>
      <c r="CS182" t="s">
        <v>2129</v>
      </c>
      <c r="CT182" t="s">
        <v>4265</v>
      </c>
      <c r="CU182" t="s">
        <v>2129</v>
      </c>
      <c r="CV182" t="s">
        <v>2129</v>
      </c>
      <c r="CW182" t="s">
        <v>2129</v>
      </c>
      <c r="CX182" t="s">
        <v>2129</v>
      </c>
      <c r="CY182" t="s">
        <v>2129</v>
      </c>
      <c r="CZ182" t="s">
        <v>2129</v>
      </c>
      <c r="DA182" t="s">
        <v>2129</v>
      </c>
      <c r="DB182" t="s">
        <v>2129</v>
      </c>
      <c r="DC182" t="s">
        <v>2129</v>
      </c>
      <c r="DD182" t="s">
        <v>2129</v>
      </c>
      <c r="DE182" t="s">
        <v>2129</v>
      </c>
      <c r="DF182" t="s">
        <v>2129</v>
      </c>
      <c r="DG182" t="s">
        <v>2129</v>
      </c>
      <c r="DH182" t="s">
        <v>2129</v>
      </c>
      <c r="DJ182" t="s">
        <v>2129</v>
      </c>
      <c r="DK182" t="s">
        <v>2129</v>
      </c>
      <c r="DL182" t="s">
        <v>2129</v>
      </c>
      <c r="DM182" t="s">
        <v>2129</v>
      </c>
      <c r="DN182" t="s">
        <v>2129</v>
      </c>
      <c r="DO182" t="s">
        <v>2129</v>
      </c>
      <c r="DP182" t="s">
        <v>2129</v>
      </c>
      <c r="DQ182" t="s">
        <v>2129</v>
      </c>
      <c r="DR182" t="s">
        <v>2129</v>
      </c>
      <c r="DS182" t="s">
        <v>2129</v>
      </c>
      <c r="DT182" t="s">
        <v>2129</v>
      </c>
      <c r="DU182" t="s">
        <v>2129</v>
      </c>
      <c r="DV182" t="s">
        <v>2129</v>
      </c>
      <c r="DW182" t="s">
        <v>2129</v>
      </c>
      <c r="DX182" t="s">
        <v>2129</v>
      </c>
      <c r="DY182" t="s">
        <v>2129</v>
      </c>
      <c r="DZ182" t="s">
        <v>2129</v>
      </c>
      <c r="EA182" t="s">
        <v>2129</v>
      </c>
      <c r="EB182" t="s">
        <v>2129</v>
      </c>
      <c r="EC182" t="s">
        <v>2129</v>
      </c>
      <c r="ED182" t="s">
        <v>2129</v>
      </c>
      <c r="EE182" t="s">
        <v>2129</v>
      </c>
      <c r="EF182" t="s">
        <v>2129</v>
      </c>
      <c r="EG182" t="s">
        <v>2129</v>
      </c>
      <c r="EH182" t="s">
        <v>2129</v>
      </c>
    </row>
    <row r="183" spans="1:138" x14ac:dyDescent="0.25">
      <c r="A183" t="s">
        <v>4266</v>
      </c>
      <c r="B183" t="s">
        <v>4267</v>
      </c>
      <c r="C183">
        <v>23164</v>
      </c>
      <c r="E183" t="s">
        <v>14</v>
      </c>
      <c r="F183" t="s">
        <v>10</v>
      </c>
      <c r="G183" t="s">
        <v>3081</v>
      </c>
      <c r="H183" t="s">
        <v>991</v>
      </c>
      <c r="I183" t="s">
        <v>2127</v>
      </c>
      <c r="J183" t="s">
        <v>2152</v>
      </c>
      <c r="K183" t="s">
        <v>2129</v>
      </c>
      <c r="L183" t="s">
        <v>2129</v>
      </c>
      <c r="M183" t="s">
        <v>2130</v>
      </c>
      <c r="N183" t="s">
        <v>2129</v>
      </c>
      <c r="O183" t="s">
        <v>2129</v>
      </c>
      <c r="P183" t="s">
        <v>2145</v>
      </c>
      <c r="Q183" t="s">
        <v>2145</v>
      </c>
      <c r="R183" s="37">
        <v>46098.361805555556</v>
      </c>
      <c r="S183" s="37">
        <v>46098.381944444445</v>
      </c>
      <c r="T183" s="37">
        <v>46100.368750000001</v>
      </c>
      <c r="U183" s="37"/>
      <c r="V183" t="s">
        <v>2129</v>
      </c>
      <c r="W183" t="s">
        <v>2129</v>
      </c>
      <c r="X183" t="s">
        <v>2129</v>
      </c>
      <c r="Y183">
        <v>0</v>
      </c>
      <c r="Z183" t="s">
        <v>2129</v>
      </c>
      <c r="AA183" t="s">
        <v>4268</v>
      </c>
      <c r="AB183" t="s">
        <v>2129</v>
      </c>
      <c r="AC183" t="s">
        <v>2145</v>
      </c>
      <c r="AD183" t="s">
        <v>2129</v>
      </c>
      <c r="AE183" t="s">
        <v>2129</v>
      </c>
      <c r="AF183" t="s">
        <v>2129</v>
      </c>
      <c r="AG183" t="s">
        <v>2129</v>
      </c>
      <c r="AH183" t="s">
        <v>2129</v>
      </c>
      <c r="AI183" t="s">
        <v>2129</v>
      </c>
      <c r="AJ183" t="s">
        <v>2129</v>
      </c>
      <c r="AK183" t="s">
        <v>2129</v>
      </c>
      <c r="AL183" t="s">
        <v>2129</v>
      </c>
      <c r="AM183" t="s">
        <v>2129</v>
      </c>
      <c r="AN183" t="s">
        <v>2129</v>
      </c>
      <c r="AO183" t="s">
        <v>2129</v>
      </c>
      <c r="AP183" t="s">
        <v>2129</v>
      </c>
      <c r="AQ183" t="s">
        <v>2129</v>
      </c>
      <c r="AR183" t="s">
        <v>2129</v>
      </c>
      <c r="AS183" t="s">
        <v>2129</v>
      </c>
      <c r="AT183" t="s">
        <v>2129</v>
      </c>
      <c r="AU183" t="s">
        <v>2129</v>
      </c>
      <c r="AV183" t="s">
        <v>2129</v>
      </c>
      <c r="AW183" t="s">
        <v>2129</v>
      </c>
      <c r="AX183" t="s">
        <v>2129</v>
      </c>
      <c r="AY183" t="s">
        <v>2129</v>
      </c>
      <c r="AZ183" t="s">
        <v>2129</v>
      </c>
      <c r="BA183" t="s">
        <v>2129</v>
      </c>
      <c r="BB183" t="s">
        <v>2129</v>
      </c>
      <c r="BC183" t="s">
        <v>2129</v>
      </c>
      <c r="BD183" t="s">
        <v>2129</v>
      </c>
      <c r="BE183" t="s">
        <v>2129</v>
      </c>
      <c r="BF183" t="s">
        <v>2129</v>
      </c>
      <c r="BG183" t="s">
        <v>2129</v>
      </c>
      <c r="BH183" t="s">
        <v>2129</v>
      </c>
      <c r="BI183" t="s">
        <v>2129</v>
      </c>
      <c r="BJ183" t="s">
        <v>2129</v>
      </c>
      <c r="BK183" t="s">
        <v>2129</v>
      </c>
      <c r="BL183" t="s">
        <v>2129</v>
      </c>
      <c r="BM183" t="s">
        <v>2129</v>
      </c>
      <c r="BN183" t="s">
        <v>2129</v>
      </c>
      <c r="BO183" t="s">
        <v>2129</v>
      </c>
      <c r="BP183" t="s">
        <v>2129</v>
      </c>
      <c r="BS183" t="s">
        <v>2129</v>
      </c>
      <c r="BT183" t="s">
        <v>2129</v>
      </c>
      <c r="BW183" t="s">
        <v>2129</v>
      </c>
      <c r="BX183" t="s">
        <v>2129</v>
      </c>
      <c r="BY183" t="s">
        <v>2129</v>
      </c>
      <c r="BZ183" t="s">
        <v>2129</v>
      </c>
      <c r="CA183" t="s">
        <v>2129</v>
      </c>
      <c r="CB183" t="s">
        <v>2129</v>
      </c>
      <c r="CC183" t="s">
        <v>2129</v>
      </c>
      <c r="CD183" t="s">
        <v>2129</v>
      </c>
      <c r="CE183" t="s">
        <v>2129</v>
      </c>
      <c r="CF183" t="s">
        <v>2129</v>
      </c>
      <c r="CG183" t="s">
        <v>2129</v>
      </c>
      <c r="CH183" t="s">
        <v>2129</v>
      </c>
      <c r="CI183" t="s">
        <v>2129</v>
      </c>
      <c r="CJ183" t="s">
        <v>2129</v>
      </c>
      <c r="CK183" t="s">
        <v>2129</v>
      </c>
      <c r="CL183" t="s">
        <v>2129</v>
      </c>
      <c r="CM183" t="s">
        <v>3096</v>
      </c>
      <c r="CN183" t="s">
        <v>2129</v>
      </c>
      <c r="CO183" t="s">
        <v>2129</v>
      </c>
      <c r="CP183" t="s">
        <v>2129</v>
      </c>
      <c r="CQ183" t="s">
        <v>2129</v>
      </c>
      <c r="CR183" t="s">
        <v>2129</v>
      </c>
      <c r="CS183" t="s">
        <v>2129</v>
      </c>
      <c r="CT183" t="s">
        <v>3082</v>
      </c>
      <c r="CU183" t="s">
        <v>2129</v>
      </c>
      <c r="CV183" t="s">
        <v>2129</v>
      </c>
      <c r="CW183" t="s">
        <v>2129</v>
      </c>
      <c r="CX183" t="s">
        <v>2129</v>
      </c>
      <c r="CY183" t="s">
        <v>2129</v>
      </c>
      <c r="CZ183" t="s">
        <v>2129</v>
      </c>
      <c r="DA183" t="s">
        <v>2129</v>
      </c>
      <c r="DB183" t="s">
        <v>2129</v>
      </c>
      <c r="DC183" t="s">
        <v>2129</v>
      </c>
      <c r="DD183" t="s">
        <v>2129</v>
      </c>
      <c r="DE183" t="s">
        <v>2129</v>
      </c>
      <c r="DF183" t="s">
        <v>2129</v>
      </c>
      <c r="DG183" t="s">
        <v>2129</v>
      </c>
      <c r="DH183" t="s">
        <v>2129</v>
      </c>
      <c r="DJ183" t="s">
        <v>2129</v>
      </c>
      <c r="DK183" t="s">
        <v>2129</v>
      </c>
      <c r="DL183" t="s">
        <v>2129</v>
      </c>
      <c r="DM183" t="s">
        <v>2129</v>
      </c>
      <c r="DN183" t="s">
        <v>2129</v>
      </c>
      <c r="DO183" t="s">
        <v>2129</v>
      </c>
      <c r="DP183" t="s">
        <v>2129</v>
      </c>
      <c r="DQ183" t="s">
        <v>2129</v>
      </c>
      <c r="DR183" t="s">
        <v>2129</v>
      </c>
      <c r="DS183" t="s">
        <v>2129</v>
      </c>
      <c r="DT183" t="s">
        <v>2129</v>
      </c>
      <c r="DU183" t="s">
        <v>2129</v>
      </c>
      <c r="DV183" t="s">
        <v>2129</v>
      </c>
      <c r="DW183" t="s">
        <v>2129</v>
      </c>
      <c r="DX183" t="s">
        <v>2129</v>
      </c>
      <c r="DY183" t="s">
        <v>2129</v>
      </c>
      <c r="DZ183" t="s">
        <v>2129</v>
      </c>
      <c r="EA183" t="s">
        <v>2129</v>
      </c>
      <c r="EB183" t="s">
        <v>2129</v>
      </c>
      <c r="EC183" t="s">
        <v>2129</v>
      </c>
      <c r="ED183" t="s">
        <v>2129</v>
      </c>
      <c r="EE183" t="s">
        <v>2129</v>
      </c>
      <c r="EF183" t="s">
        <v>2129</v>
      </c>
      <c r="EG183" t="s">
        <v>2129</v>
      </c>
      <c r="EH183" t="s">
        <v>2129</v>
      </c>
    </row>
    <row r="184" spans="1:138" x14ac:dyDescent="0.25">
      <c r="A184" t="s">
        <v>4269</v>
      </c>
      <c r="B184" t="s">
        <v>4270</v>
      </c>
      <c r="C184">
        <v>23163</v>
      </c>
      <c r="E184" t="s">
        <v>14</v>
      </c>
      <c r="F184" t="s">
        <v>10</v>
      </c>
      <c r="G184" t="s">
        <v>3081</v>
      </c>
      <c r="H184" t="s">
        <v>991</v>
      </c>
      <c r="I184" t="s">
        <v>2127</v>
      </c>
      <c r="J184" t="s">
        <v>2152</v>
      </c>
      <c r="K184" t="s">
        <v>2129</v>
      </c>
      <c r="L184" t="s">
        <v>2129</v>
      </c>
      <c r="M184" t="s">
        <v>2130</v>
      </c>
      <c r="N184" t="s">
        <v>2129</v>
      </c>
      <c r="O184" t="s">
        <v>2129</v>
      </c>
      <c r="P184" t="s">
        <v>2145</v>
      </c>
      <c r="Q184" t="s">
        <v>2145</v>
      </c>
      <c r="R184" s="37">
        <v>46098.356944444444</v>
      </c>
      <c r="S184" s="37">
        <v>46099.51458333333</v>
      </c>
      <c r="T184" s="37">
        <v>46100.368750000001</v>
      </c>
      <c r="U184" s="37"/>
      <c r="V184" t="s">
        <v>2129</v>
      </c>
      <c r="W184" t="s">
        <v>2129</v>
      </c>
      <c r="X184" t="s">
        <v>2129</v>
      </c>
      <c r="Y184">
        <v>0</v>
      </c>
      <c r="Z184" t="s">
        <v>2129</v>
      </c>
      <c r="AA184" t="s">
        <v>4271</v>
      </c>
      <c r="AB184" t="s">
        <v>2129</v>
      </c>
      <c r="AC184" t="s">
        <v>2145</v>
      </c>
      <c r="AD184" t="s">
        <v>2129</v>
      </c>
      <c r="AE184" t="s">
        <v>2129</v>
      </c>
      <c r="AF184" t="s">
        <v>2129</v>
      </c>
      <c r="AG184" t="s">
        <v>2129</v>
      </c>
      <c r="AH184" t="s">
        <v>2129</v>
      </c>
      <c r="AI184" t="s">
        <v>2129</v>
      </c>
      <c r="AJ184" t="s">
        <v>2129</v>
      </c>
      <c r="AK184" t="s">
        <v>2129</v>
      </c>
      <c r="AL184" t="s">
        <v>2129</v>
      </c>
      <c r="AM184" t="s">
        <v>2129</v>
      </c>
      <c r="AN184" t="s">
        <v>2129</v>
      </c>
      <c r="AO184" t="s">
        <v>2129</v>
      </c>
      <c r="AP184" t="s">
        <v>2129</v>
      </c>
      <c r="AQ184" t="s">
        <v>2129</v>
      </c>
      <c r="AR184" t="s">
        <v>2129</v>
      </c>
      <c r="AS184" t="s">
        <v>2129</v>
      </c>
      <c r="AT184" t="s">
        <v>2129</v>
      </c>
      <c r="AU184" t="s">
        <v>2129</v>
      </c>
      <c r="AV184" t="s">
        <v>2129</v>
      </c>
      <c r="AW184" t="s">
        <v>2129</v>
      </c>
      <c r="AX184" t="s">
        <v>2129</v>
      </c>
      <c r="AY184" t="s">
        <v>2129</v>
      </c>
      <c r="AZ184" t="s">
        <v>2129</v>
      </c>
      <c r="BA184" t="s">
        <v>2129</v>
      </c>
      <c r="BB184" t="s">
        <v>2129</v>
      </c>
      <c r="BC184" t="s">
        <v>2129</v>
      </c>
      <c r="BD184" t="s">
        <v>2129</v>
      </c>
      <c r="BE184" t="s">
        <v>2129</v>
      </c>
      <c r="BF184" t="s">
        <v>2129</v>
      </c>
      <c r="BG184" t="s">
        <v>2129</v>
      </c>
      <c r="BH184" t="s">
        <v>2129</v>
      </c>
      <c r="BI184" t="s">
        <v>2129</v>
      </c>
      <c r="BJ184" t="s">
        <v>2129</v>
      </c>
      <c r="BK184" t="s">
        <v>2129</v>
      </c>
      <c r="BL184" t="s">
        <v>2129</v>
      </c>
      <c r="BM184" t="s">
        <v>2129</v>
      </c>
      <c r="BN184" t="s">
        <v>2129</v>
      </c>
      <c r="BO184" t="s">
        <v>2129</v>
      </c>
      <c r="BP184" t="s">
        <v>2129</v>
      </c>
      <c r="BS184" t="s">
        <v>2129</v>
      </c>
      <c r="BT184" t="s">
        <v>2129</v>
      </c>
      <c r="BW184" t="s">
        <v>2129</v>
      </c>
      <c r="BX184" t="s">
        <v>2129</v>
      </c>
      <c r="BY184" t="s">
        <v>2129</v>
      </c>
      <c r="BZ184" t="s">
        <v>2129</v>
      </c>
      <c r="CA184" t="s">
        <v>2129</v>
      </c>
      <c r="CB184" t="s">
        <v>2129</v>
      </c>
      <c r="CC184" t="s">
        <v>2129</v>
      </c>
      <c r="CD184" t="s">
        <v>2129</v>
      </c>
      <c r="CE184" t="s">
        <v>2129</v>
      </c>
      <c r="CF184" t="s">
        <v>2129</v>
      </c>
      <c r="CG184" t="s">
        <v>2129</v>
      </c>
      <c r="CH184" t="s">
        <v>2129</v>
      </c>
      <c r="CI184" t="s">
        <v>2129</v>
      </c>
      <c r="CJ184" t="s">
        <v>2129</v>
      </c>
      <c r="CK184" t="s">
        <v>2129</v>
      </c>
      <c r="CL184" t="s">
        <v>2129</v>
      </c>
      <c r="CM184" t="s">
        <v>3096</v>
      </c>
      <c r="CN184" t="s">
        <v>2129</v>
      </c>
      <c r="CO184" t="s">
        <v>2129</v>
      </c>
      <c r="CP184" t="s">
        <v>2129</v>
      </c>
      <c r="CQ184" t="s">
        <v>2129</v>
      </c>
      <c r="CR184" t="s">
        <v>2129</v>
      </c>
      <c r="CS184" t="s">
        <v>2129</v>
      </c>
      <c r="CT184" t="s">
        <v>4272</v>
      </c>
      <c r="CU184" t="s">
        <v>2129</v>
      </c>
      <c r="CV184" t="s">
        <v>2129</v>
      </c>
      <c r="CW184" t="s">
        <v>2129</v>
      </c>
      <c r="CX184" t="s">
        <v>2129</v>
      </c>
      <c r="CY184" t="s">
        <v>2129</v>
      </c>
      <c r="CZ184" t="s">
        <v>2129</v>
      </c>
      <c r="DA184" t="s">
        <v>2129</v>
      </c>
      <c r="DB184" t="s">
        <v>2129</v>
      </c>
      <c r="DC184" t="s">
        <v>2129</v>
      </c>
      <c r="DD184" t="s">
        <v>2129</v>
      </c>
      <c r="DE184" t="s">
        <v>2129</v>
      </c>
      <c r="DF184" t="s">
        <v>2129</v>
      </c>
      <c r="DG184" t="s">
        <v>2129</v>
      </c>
      <c r="DH184" t="s">
        <v>2129</v>
      </c>
      <c r="DJ184" t="s">
        <v>2129</v>
      </c>
      <c r="DK184" t="s">
        <v>2129</v>
      </c>
      <c r="DL184" t="s">
        <v>2129</v>
      </c>
      <c r="DM184" t="s">
        <v>2129</v>
      </c>
      <c r="DN184" t="s">
        <v>2129</v>
      </c>
      <c r="DO184" t="s">
        <v>2129</v>
      </c>
      <c r="DP184" t="s">
        <v>2129</v>
      </c>
      <c r="DQ184" t="s">
        <v>2129</v>
      </c>
      <c r="DR184" t="s">
        <v>2129</v>
      </c>
      <c r="DS184" t="s">
        <v>2129</v>
      </c>
      <c r="DT184" t="s">
        <v>2129</v>
      </c>
      <c r="DU184" t="s">
        <v>2129</v>
      </c>
      <c r="DV184" t="s">
        <v>2129</v>
      </c>
      <c r="DW184" t="s">
        <v>2129</v>
      </c>
      <c r="DX184" t="s">
        <v>2129</v>
      </c>
      <c r="DY184" t="s">
        <v>2129</v>
      </c>
      <c r="DZ184" t="s">
        <v>2129</v>
      </c>
      <c r="EA184" t="s">
        <v>2129</v>
      </c>
      <c r="EB184" t="s">
        <v>2129</v>
      </c>
      <c r="EC184" t="s">
        <v>2129</v>
      </c>
      <c r="ED184" t="s">
        <v>2129</v>
      </c>
      <c r="EE184" t="s">
        <v>2129</v>
      </c>
      <c r="EF184" t="s">
        <v>2129</v>
      </c>
      <c r="EG184" t="s">
        <v>2129</v>
      </c>
      <c r="EH184" t="s">
        <v>2129</v>
      </c>
    </row>
    <row r="185" spans="1:138" x14ac:dyDescent="0.25">
      <c r="A185" t="s">
        <v>4273</v>
      </c>
      <c r="B185" t="s">
        <v>4274</v>
      </c>
      <c r="C185">
        <v>23160</v>
      </c>
      <c r="E185" t="s">
        <v>77</v>
      </c>
      <c r="F185" t="s">
        <v>10</v>
      </c>
      <c r="G185" t="s">
        <v>3081</v>
      </c>
      <c r="H185" t="s">
        <v>991</v>
      </c>
      <c r="I185" t="s">
        <v>2127</v>
      </c>
      <c r="J185" t="s">
        <v>2152</v>
      </c>
      <c r="K185" t="s">
        <v>2129</v>
      </c>
      <c r="L185" t="s">
        <v>2129</v>
      </c>
      <c r="M185" t="s">
        <v>2130</v>
      </c>
      <c r="N185" t="s">
        <v>2129</v>
      </c>
      <c r="O185" t="s">
        <v>2141</v>
      </c>
      <c r="P185" t="s">
        <v>2141</v>
      </c>
      <c r="Q185" t="s">
        <v>2141</v>
      </c>
      <c r="R185" s="37">
        <v>46097.640277777777</v>
      </c>
      <c r="S185" s="37">
        <v>46099.456944444442</v>
      </c>
      <c r="T185" s="37">
        <v>46100.368750000001</v>
      </c>
      <c r="U185" s="37"/>
      <c r="V185" t="s">
        <v>2129</v>
      </c>
      <c r="W185" t="s">
        <v>2129</v>
      </c>
      <c r="X185" t="s">
        <v>2129</v>
      </c>
      <c r="Y185">
        <v>0</v>
      </c>
      <c r="Z185" t="s">
        <v>2129</v>
      </c>
      <c r="AA185" t="s">
        <v>4275</v>
      </c>
      <c r="AB185" t="s">
        <v>2129</v>
      </c>
      <c r="AC185" t="s">
        <v>2141</v>
      </c>
      <c r="AD185" t="s">
        <v>2129</v>
      </c>
      <c r="AE185" t="s">
        <v>2129</v>
      </c>
      <c r="AF185" t="s">
        <v>2129</v>
      </c>
      <c r="AG185" t="s">
        <v>2129</v>
      </c>
      <c r="AH185" t="s">
        <v>2129</v>
      </c>
      <c r="AI185" t="s">
        <v>2129</v>
      </c>
      <c r="AJ185" t="s">
        <v>2129</v>
      </c>
      <c r="AK185" t="s">
        <v>2129</v>
      </c>
      <c r="AL185" t="s">
        <v>2129</v>
      </c>
      <c r="AM185" t="s">
        <v>2129</v>
      </c>
      <c r="AN185" t="s">
        <v>2129</v>
      </c>
      <c r="AO185" t="s">
        <v>2129</v>
      </c>
      <c r="AP185" t="s">
        <v>2129</v>
      </c>
      <c r="AQ185" t="s">
        <v>2129</v>
      </c>
      <c r="AR185" t="s">
        <v>2129</v>
      </c>
      <c r="AS185" t="s">
        <v>2129</v>
      </c>
      <c r="AT185" t="s">
        <v>2129</v>
      </c>
      <c r="AU185" t="s">
        <v>2129</v>
      </c>
      <c r="AV185" t="s">
        <v>2129</v>
      </c>
      <c r="AW185" t="s">
        <v>2129</v>
      </c>
      <c r="AX185" t="s">
        <v>2129</v>
      </c>
      <c r="AY185" t="s">
        <v>2129</v>
      </c>
      <c r="AZ185" t="s">
        <v>2129</v>
      </c>
      <c r="BA185" t="s">
        <v>2129</v>
      </c>
      <c r="BB185" t="s">
        <v>2129</v>
      </c>
      <c r="BC185" t="s">
        <v>2129</v>
      </c>
      <c r="BD185" t="s">
        <v>2129</v>
      </c>
      <c r="BE185" t="s">
        <v>2129</v>
      </c>
      <c r="BF185" t="s">
        <v>2129</v>
      </c>
      <c r="BG185" t="s">
        <v>2129</v>
      </c>
      <c r="BH185" t="s">
        <v>2129</v>
      </c>
      <c r="BI185" t="s">
        <v>2129</v>
      </c>
      <c r="BJ185" t="s">
        <v>2129</v>
      </c>
      <c r="BK185" t="s">
        <v>2129</v>
      </c>
      <c r="BL185" t="s">
        <v>2129</v>
      </c>
      <c r="BM185" t="s">
        <v>2129</v>
      </c>
      <c r="BN185" t="s">
        <v>2129</v>
      </c>
      <c r="BO185" t="s">
        <v>2129</v>
      </c>
      <c r="BP185" t="s">
        <v>2129</v>
      </c>
      <c r="BS185" t="s">
        <v>2129</v>
      </c>
      <c r="BT185" t="s">
        <v>2129</v>
      </c>
      <c r="BW185" t="s">
        <v>2129</v>
      </c>
      <c r="BX185" t="s">
        <v>2129</v>
      </c>
      <c r="BY185" t="s">
        <v>2129</v>
      </c>
      <c r="BZ185" t="s">
        <v>4276</v>
      </c>
      <c r="CA185" t="s">
        <v>2129</v>
      </c>
      <c r="CB185" t="s">
        <v>2129</v>
      </c>
      <c r="CC185" t="s">
        <v>2129</v>
      </c>
      <c r="CD185" t="s">
        <v>2129</v>
      </c>
      <c r="CE185" t="s">
        <v>2129</v>
      </c>
      <c r="CF185" t="s">
        <v>2129</v>
      </c>
      <c r="CG185" t="s">
        <v>2129</v>
      </c>
      <c r="CH185" t="s">
        <v>2129</v>
      </c>
      <c r="CI185" t="s">
        <v>2129</v>
      </c>
      <c r="CJ185" t="s">
        <v>2129</v>
      </c>
      <c r="CK185" t="s">
        <v>2129</v>
      </c>
      <c r="CL185" t="s">
        <v>2129</v>
      </c>
      <c r="CM185" t="s">
        <v>2129</v>
      </c>
      <c r="CN185" t="s">
        <v>2129</v>
      </c>
      <c r="CO185" t="s">
        <v>2129</v>
      </c>
      <c r="CP185" t="s">
        <v>2129</v>
      </c>
      <c r="CQ185" t="s">
        <v>2129</v>
      </c>
      <c r="CR185" t="s">
        <v>2129</v>
      </c>
      <c r="CS185" t="s">
        <v>2129</v>
      </c>
      <c r="CT185" t="s">
        <v>4277</v>
      </c>
      <c r="CU185" t="s">
        <v>2129</v>
      </c>
      <c r="CV185" t="s">
        <v>2129</v>
      </c>
      <c r="CW185" t="s">
        <v>2129</v>
      </c>
      <c r="CX185" t="s">
        <v>2129</v>
      </c>
      <c r="CY185" t="s">
        <v>2129</v>
      </c>
      <c r="CZ185" t="s">
        <v>2129</v>
      </c>
      <c r="DA185" t="s">
        <v>2129</v>
      </c>
      <c r="DB185" t="s">
        <v>2129</v>
      </c>
      <c r="DC185" t="s">
        <v>2129</v>
      </c>
      <c r="DD185" t="s">
        <v>2129</v>
      </c>
      <c r="DE185" t="s">
        <v>2129</v>
      </c>
      <c r="DF185" t="s">
        <v>2129</v>
      </c>
      <c r="DG185" t="s">
        <v>2129</v>
      </c>
      <c r="DH185" t="s">
        <v>2129</v>
      </c>
      <c r="DJ185" t="s">
        <v>2129</v>
      </c>
      <c r="DK185" t="s">
        <v>2129</v>
      </c>
      <c r="DL185" t="s">
        <v>2129</v>
      </c>
      <c r="DM185" t="s">
        <v>2129</v>
      </c>
      <c r="DN185" t="s">
        <v>2129</v>
      </c>
      <c r="DO185" t="s">
        <v>2129</v>
      </c>
      <c r="DP185" t="s">
        <v>2129</v>
      </c>
      <c r="DQ185" t="s">
        <v>2129</v>
      </c>
      <c r="DR185" t="s">
        <v>2129</v>
      </c>
      <c r="DS185" t="s">
        <v>2129</v>
      </c>
      <c r="DT185" t="s">
        <v>2129</v>
      </c>
      <c r="DU185" t="s">
        <v>2129</v>
      </c>
      <c r="DV185" t="s">
        <v>2129</v>
      </c>
      <c r="DW185" t="s">
        <v>2129</v>
      </c>
      <c r="DX185" t="s">
        <v>2129</v>
      </c>
      <c r="DY185" t="s">
        <v>2129</v>
      </c>
      <c r="DZ185" t="s">
        <v>2129</v>
      </c>
      <c r="EA185" t="s">
        <v>2129</v>
      </c>
      <c r="EB185" t="s">
        <v>2129</v>
      </c>
      <c r="EC185" t="s">
        <v>2129</v>
      </c>
      <c r="ED185" t="s">
        <v>2129</v>
      </c>
      <c r="EE185" t="s">
        <v>2129</v>
      </c>
      <c r="EF185" t="s">
        <v>2129</v>
      </c>
      <c r="EG185" t="s">
        <v>2129</v>
      </c>
      <c r="EH185" t="s">
        <v>2129</v>
      </c>
    </row>
    <row r="186" spans="1:138" x14ac:dyDescent="0.25">
      <c r="A186" t="s">
        <v>4278</v>
      </c>
      <c r="B186" t="s">
        <v>4279</v>
      </c>
      <c r="C186">
        <v>23159</v>
      </c>
      <c r="E186" t="s">
        <v>14</v>
      </c>
      <c r="F186" t="s">
        <v>10</v>
      </c>
      <c r="G186" t="s">
        <v>3081</v>
      </c>
      <c r="H186" t="s">
        <v>991</v>
      </c>
      <c r="I186" t="s">
        <v>2127</v>
      </c>
      <c r="J186" t="s">
        <v>2152</v>
      </c>
      <c r="K186" t="s">
        <v>2129</v>
      </c>
      <c r="L186" t="s">
        <v>2129</v>
      </c>
      <c r="M186" t="s">
        <v>2130</v>
      </c>
      <c r="N186" t="s">
        <v>2129</v>
      </c>
      <c r="O186" t="s">
        <v>2129</v>
      </c>
      <c r="P186" t="s">
        <v>2145</v>
      </c>
      <c r="Q186" t="s">
        <v>2145</v>
      </c>
      <c r="R186" s="37">
        <v>46097.461111111108</v>
      </c>
      <c r="S186" s="37">
        <v>46097.469444444447</v>
      </c>
      <c r="T186" s="37">
        <v>46100.368750000001</v>
      </c>
      <c r="U186" s="37"/>
      <c r="V186" t="s">
        <v>2129</v>
      </c>
      <c r="W186" t="s">
        <v>2129</v>
      </c>
      <c r="X186" t="s">
        <v>2129</v>
      </c>
      <c r="Y186">
        <v>0</v>
      </c>
      <c r="Z186" t="s">
        <v>2129</v>
      </c>
      <c r="AA186" t="s">
        <v>4280</v>
      </c>
      <c r="AB186" t="s">
        <v>2129</v>
      </c>
      <c r="AC186" t="s">
        <v>2145</v>
      </c>
      <c r="AD186" t="s">
        <v>2129</v>
      </c>
      <c r="AE186" t="s">
        <v>2129</v>
      </c>
      <c r="AF186" t="s">
        <v>2129</v>
      </c>
      <c r="AG186" t="s">
        <v>2129</v>
      </c>
      <c r="AH186" t="s">
        <v>2129</v>
      </c>
      <c r="AI186" t="s">
        <v>2129</v>
      </c>
      <c r="AJ186" t="s">
        <v>2129</v>
      </c>
      <c r="AK186" t="s">
        <v>2129</v>
      </c>
      <c r="AL186" t="s">
        <v>2129</v>
      </c>
      <c r="AM186" t="s">
        <v>2129</v>
      </c>
      <c r="AN186" t="s">
        <v>2129</v>
      </c>
      <c r="AO186" t="s">
        <v>2129</v>
      </c>
      <c r="AP186" t="s">
        <v>2129</v>
      </c>
      <c r="AQ186" t="s">
        <v>2129</v>
      </c>
      <c r="AR186" t="s">
        <v>2129</v>
      </c>
      <c r="AS186" t="s">
        <v>2129</v>
      </c>
      <c r="AT186" t="s">
        <v>2129</v>
      </c>
      <c r="AU186" t="s">
        <v>2129</v>
      </c>
      <c r="AV186" t="s">
        <v>2129</v>
      </c>
      <c r="AW186" t="s">
        <v>2129</v>
      </c>
      <c r="AX186" t="s">
        <v>2129</v>
      </c>
      <c r="AY186" t="s">
        <v>2129</v>
      </c>
      <c r="AZ186" t="s">
        <v>2129</v>
      </c>
      <c r="BA186" t="s">
        <v>2129</v>
      </c>
      <c r="BB186" t="s">
        <v>2129</v>
      </c>
      <c r="BC186" t="s">
        <v>2129</v>
      </c>
      <c r="BD186" t="s">
        <v>2129</v>
      </c>
      <c r="BE186" t="s">
        <v>2129</v>
      </c>
      <c r="BF186" t="s">
        <v>2129</v>
      </c>
      <c r="BG186" t="s">
        <v>2129</v>
      </c>
      <c r="BH186" t="s">
        <v>2129</v>
      </c>
      <c r="BI186" t="s">
        <v>2129</v>
      </c>
      <c r="BJ186" t="s">
        <v>2129</v>
      </c>
      <c r="BK186" t="s">
        <v>2129</v>
      </c>
      <c r="BL186" t="s">
        <v>2129</v>
      </c>
      <c r="BM186" t="s">
        <v>2129</v>
      </c>
      <c r="BN186" t="s">
        <v>2129</v>
      </c>
      <c r="BO186" t="s">
        <v>2129</v>
      </c>
      <c r="BP186" t="s">
        <v>2129</v>
      </c>
      <c r="BS186" t="s">
        <v>2129</v>
      </c>
      <c r="BT186" t="s">
        <v>2129</v>
      </c>
      <c r="BW186" t="s">
        <v>2129</v>
      </c>
      <c r="BX186" t="s">
        <v>2129</v>
      </c>
      <c r="BY186" t="s">
        <v>2129</v>
      </c>
      <c r="BZ186" t="s">
        <v>2129</v>
      </c>
      <c r="CA186" t="s">
        <v>2129</v>
      </c>
      <c r="CB186" t="s">
        <v>2129</v>
      </c>
      <c r="CC186" t="s">
        <v>2129</v>
      </c>
      <c r="CD186" t="s">
        <v>2129</v>
      </c>
      <c r="CE186" t="s">
        <v>2129</v>
      </c>
      <c r="CF186" t="s">
        <v>2129</v>
      </c>
      <c r="CG186" t="s">
        <v>2129</v>
      </c>
      <c r="CH186" t="s">
        <v>2129</v>
      </c>
      <c r="CI186" t="s">
        <v>2129</v>
      </c>
      <c r="CJ186" t="s">
        <v>2129</v>
      </c>
      <c r="CK186" t="s">
        <v>2129</v>
      </c>
      <c r="CL186" t="s">
        <v>2129</v>
      </c>
      <c r="CM186" t="s">
        <v>3088</v>
      </c>
      <c r="CN186" t="s">
        <v>2129</v>
      </c>
      <c r="CO186" t="s">
        <v>2129</v>
      </c>
      <c r="CP186" t="s">
        <v>2129</v>
      </c>
      <c r="CQ186" t="s">
        <v>2129</v>
      </c>
      <c r="CR186" t="s">
        <v>2129</v>
      </c>
      <c r="CS186" t="s">
        <v>2129</v>
      </c>
      <c r="CT186" t="s">
        <v>4281</v>
      </c>
      <c r="CU186" t="s">
        <v>2129</v>
      </c>
      <c r="CV186" t="s">
        <v>2129</v>
      </c>
      <c r="CW186" t="s">
        <v>2129</v>
      </c>
      <c r="CX186" t="s">
        <v>2129</v>
      </c>
      <c r="CY186" t="s">
        <v>2129</v>
      </c>
      <c r="CZ186" t="s">
        <v>2129</v>
      </c>
      <c r="DA186" t="s">
        <v>2129</v>
      </c>
      <c r="DB186" t="s">
        <v>2129</v>
      </c>
      <c r="DC186" t="s">
        <v>2129</v>
      </c>
      <c r="DD186" t="s">
        <v>2129</v>
      </c>
      <c r="DE186" t="s">
        <v>2129</v>
      </c>
      <c r="DF186" t="s">
        <v>2129</v>
      </c>
      <c r="DG186" t="s">
        <v>2129</v>
      </c>
      <c r="DH186" t="s">
        <v>2129</v>
      </c>
      <c r="DJ186" t="s">
        <v>2129</v>
      </c>
      <c r="DK186" t="s">
        <v>2129</v>
      </c>
      <c r="DL186" t="s">
        <v>2129</v>
      </c>
      <c r="DM186" t="s">
        <v>2129</v>
      </c>
      <c r="DN186" t="s">
        <v>2129</v>
      </c>
      <c r="DO186" t="s">
        <v>2129</v>
      </c>
      <c r="DP186" t="s">
        <v>2129</v>
      </c>
      <c r="DQ186" t="s">
        <v>2129</v>
      </c>
      <c r="DR186" t="s">
        <v>2129</v>
      </c>
      <c r="DS186" t="s">
        <v>2129</v>
      </c>
      <c r="DT186" t="s">
        <v>2129</v>
      </c>
      <c r="DU186" t="s">
        <v>2129</v>
      </c>
      <c r="DV186" t="s">
        <v>2129</v>
      </c>
      <c r="DW186" t="s">
        <v>2129</v>
      </c>
      <c r="DX186" t="s">
        <v>2129</v>
      </c>
      <c r="DY186" t="s">
        <v>2129</v>
      </c>
      <c r="DZ186" t="s">
        <v>2129</v>
      </c>
      <c r="EA186" t="s">
        <v>2129</v>
      </c>
      <c r="EB186" t="s">
        <v>2129</v>
      </c>
      <c r="EC186" t="s">
        <v>2129</v>
      </c>
      <c r="ED186" t="s">
        <v>2129</v>
      </c>
      <c r="EE186" t="s">
        <v>2129</v>
      </c>
      <c r="EF186" t="s">
        <v>2129</v>
      </c>
      <c r="EG186" t="s">
        <v>2129</v>
      </c>
      <c r="EH186" t="s">
        <v>2129</v>
      </c>
    </row>
    <row r="187" spans="1:138" x14ac:dyDescent="0.25">
      <c r="A187" t="s">
        <v>4282</v>
      </c>
      <c r="B187" t="s">
        <v>4283</v>
      </c>
      <c r="C187">
        <v>23154</v>
      </c>
      <c r="E187" t="s">
        <v>77</v>
      </c>
      <c r="F187" t="s">
        <v>10</v>
      </c>
      <c r="G187" t="s">
        <v>3081</v>
      </c>
      <c r="H187" t="s">
        <v>991</v>
      </c>
      <c r="I187" t="s">
        <v>2127</v>
      </c>
      <c r="J187" t="s">
        <v>2152</v>
      </c>
      <c r="K187" t="s">
        <v>2129</v>
      </c>
      <c r="L187" t="s">
        <v>2129</v>
      </c>
      <c r="M187" t="s">
        <v>2130</v>
      </c>
      <c r="N187" t="s">
        <v>2129</v>
      </c>
      <c r="O187" t="s">
        <v>2141</v>
      </c>
      <c r="P187" t="s">
        <v>2141</v>
      </c>
      <c r="Q187" t="s">
        <v>2141</v>
      </c>
      <c r="R187" s="37">
        <v>46092.604166666664</v>
      </c>
      <c r="S187" s="37">
        <v>46092.604166666664</v>
      </c>
      <c r="T187" s="37">
        <v>46100.368750000001</v>
      </c>
      <c r="U187" s="37"/>
      <c r="V187" t="s">
        <v>2129</v>
      </c>
      <c r="W187" t="s">
        <v>2129</v>
      </c>
      <c r="X187" t="s">
        <v>2129</v>
      </c>
      <c r="Y187">
        <v>0</v>
      </c>
      <c r="Z187" t="s">
        <v>2129</v>
      </c>
      <c r="AA187" t="s">
        <v>4284</v>
      </c>
      <c r="AB187" t="s">
        <v>2129</v>
      </c>
      <c r="AC187" t="s">
        <v>2141</v>
      </c>
      <c r="AD187" t="s">
        <v>2129</v>
      </c>
      <c r="AE187" t="s">
        <v>2129</v>
      </c>
      <c r="AF187" t="s">
        <v>2129</v>
      </c>
      <c r="AG187" t="s">
        <v>2129</v>
      </c>
      <c r="AH187" t="s">
        <v>2129</v>
      </c>
      <c r="AI187" t="s">
        <v>2129</v>
      </c>
      <c r="AJ187" t="s">
        <v>2129</v>
      </c>
      <c r="AK187" t="s">
        <v>2129</v>
      </c>
      <c r="AL187" t="s">
        <v>2129</v>
      </c>
      <c r="AM187" t="s">
        <v>2129</v>
      </c>
      <c r="AN187" t="s">
        <v>2129</v>
      </c>
      <c r="AO187" t="s">
        <v>2129</v>
      </c>
      <c r="AP187" t="s">
        <v>2129</v>
      </c>
      <c r="AQ187" t="s">
        <v>2129</v>
      </c>
      <c r="AR187" t="s">
        <v>2129</v>
      </c>
      <c r="AS187" t="s">
        <v>2129</v>
      </c>
      <c r="AT187" t="s">
        <v>2129</v>
      </c>
      <c r="AU187" t="s">
        <v>2129</v>
      </c>
      <c r="AV187" t="s">
        <v>2129</v>
      </c>
      <c r="AW187" t="s">
        <v>2129</v>
      </c>
      <c r="AX187" t="s">
        <v>2129</v>
      </c>
      <c r="AY187" t="s">
        <v>2129</v>
      </c>
      <c r="AZ187" t="s">
        <v>2129</v>
      </c>
      <c r="BA187" t="s">
        <v>2129</v>
      </c>
      <c r="BB187" t="s">
        <v>2129</v>
      </c>
      <c r="BC187" t="s">
        <v>2129</v>
      </c>
      <c r="BD187" t="s">
        <v>2129</v>
      </c>
      <c r="BE187" t="s">
        <v>2129</v>
      </c>
      <c r="BF187" t="s">
        <v>2129</v>
      </c>
      <c r="BG187" t="s">
        <v>2129</v>
      </c>
      <c r="BH187" t="s">
        <v>2129</v>
      </c>
      <c r="BI187" t="s">
        <v>2129</v>
      </c>
      <c r="BJ187" t="s">
        <v>2129</v>
      </c>
      <c r="BK187" t="s">
        <v>2129</v>
      </c>
      <c r="BL187" t="s">
        <v>2129</v>
      </c>
      <c r="BM187" t="s">
        <v>2129</v>
      </c>
      <c r="BN187" t="s">
        <v>2129</v>
      </c>
      <c r="BO187" t="s">
        <v>2129</v>
      </c>
      <c r="BP187" t="s">
        <v>2129</v>
      </c>
      <c r="BS187" t="s">
        <v>2129</v>
      </c>
      <c r="BT187" t="s">
        <v>2129</v>
      </c>
      <c r="BW187" t="s">
        <v>2129</v>
      </c>
      <c r="BX187" t="s">
        <v>2129</v>
      </c>
      <c r="BY187" t="s">
        <v>2129</v>
      </c>
      <c r="BZ187" t="s">
        <v>2129</v>
      </c>
      <c r="CA187" t="s">
        <v>2129</v>
      </c>
      <c r="CB187" t="s">
        <v>2129</v>
      </c>
      <c r="CC187" t="s">
        <v>2129</v>
      </c>
      <c r="CD187" t="s">
        <v>2129</v>
      </c>
      <c r="CE187" t="s">
        <v>2129</v>
      </c>
      <c r="CF187" t="s">
        <v>2129</v>
      </c>
      <c r="CG187" t="s">
        <v>2129</v>
      </c>
      <c r="CH187" t="s">
        <v>2129</v>
      </c>
      <c r="CI187" t="s">
        <v>2129</v>
      </c>
      <c r="CJ187" t="s">
        <v>2129</v>
      </c>
      <c r="CK187" t="s">
        <v>2129</v>
      </c>
      <c r="CL187" t="s">
        <v>2129</v>
      </c>
      <c r="CM187" t="s">
        <v>2129</v>
      </c>
      <c r="CN187" t="s">
        <v>2129</v>
      </c>
      <c r="CO187" t="s">
        <v>2129</v>
      </c>
      <c r="CP187" t="s">
        <v>2129</v>
      </c>
      <c r="CQ187" t="s">
        <v>2129</v>
      </c>
      <c r="CR187" t="s">
        <v>2129</v>
      </c>
      <c r="CS187" t="s">
        <v>2129</v>
      </c>
      <c r="CT187" t="s">
        <v>4285</v>
      </c>
      <c r="CU187" t="s">
        <v>2129</v>
      </c>
      <c r="CV187" t="s">
        <v>2129</v>
      </c>
      <c r="CW187" t="s">
        <v>2129</v>
      </c>
      <c r="CX187" t="s">
        <v>2129</v>
      </c>
      <c r="CY187" t="s">
        <v>2129</v>
      </c>
      <c r="CZ187" t="s">
        <v>2129</v>
      </c>
      <c r="DA187" t="s">
        <v>2129</v>
      </c>
      <c r="DB187" t="s">
        <v>2129</v>
      </c>
      <c r="DC187" t="s">
        <v>2129</v>
      </c>
      <c r="DD187" t="s">
        <v>2129</v>
      </c>
      <c r="DE187" t="s">
        <v>2129</v>
      </c>
      <c r="DF187" t="s">
        <v>2129</v>
      </c>
      <c r="DG187" t="s">
        <v>2129</v>
      </c>
      <c r="DH187" t="s">
        <v>2129</v>
      </c>
      <c r="DJ187" t="s">
        <v>2129</v>
      </c>
      <c r="DK187" t="s">
        <v>2129</v>
      </c>
      <c r="DL187" t="s">
        <v>2129</v>
      </c>
      <c r="DM187" t="s">
        <v>2129</v>
      </c>
      <c r="DN187" t="s">
        <v>2129</v>
      </c>
      <c r="DO187" t="s">
        <v>2129</v>
      </c>
      <c r="DP187" t="s">
        <v>2129</v>
      </c>
      <c r="DQ187" t="s">
        <v>2129</v>
      </c>
      <c r="DR187" t="s">
        <v>2129</v>
      </c>
      <c r="DS187" t="s">
        <v>2129</v>
      </c>
      <c r="DT187" t="s">
        <v>2129</v>
      </c>
      <c r="DU187" t="s">
        <v>2129</v>
      </c>
      <c r="DV187" t="s">
        <v>2129</v>
      </c>
      <c r="DW187" t="s">
        <v>2129</v>
      </c>
      <c r="DX187" t="s">
        <v>2129</v>
      </c>
      <c r="DY187" t="s">
        <v>2129</v>
      </c>
      <c r="DZ187" t="s">
        <v>2129</v>
      </c>
      <c r="EA187" t="s">
        <v>2129</v>
      </c>
      <c r="EB187" t="s">
        <v>2129</v>
      </c>
      <c r="EC187" t="s">
        <v>2129</v>
      </c>
      <c r="ED187" t="s">
        <v>2129</v>
      </c>
      <c r="EE187" t="s">
        <v>2129</v>
      </c>
      <c r="EF187" t="s">
        <v>2129</v>
      </c>
      <c r="EG187" t="s">
        <v>2129</v>
      </c>
      <c r="EH187" t="s">
        <v>2129</v>
      </c>
    </row>
    <row r="188" spans="1:138" x14ac:dyDescent="0.25">
      <c r="A188" t="s">
        <v>4286</v>
      </c>
      <c r="B188" t="s">
        <v>4287</v>
      </c>
      <c r="C188">
        <v>23153</v>
      </c>
      <c r="E188" t="s">
        <v>77</v>
      </c>
      <c r="F188" t="s">
        <v>10</v>
      </c>
      <c r="G188" t="s">
        <v>3081</v>
      </c>
      <c r="H188" t="s">
        <v>991</v>
      </c>
      <c r="I188" t="s">
        <v>2127</v>
      </c>
      <c r="J188" t="s">
        <v>2152</v>
      </c>
      <c r="K188" t="s">
        <v>2129</v>
      </c>
      <c r="L188" t="s">
        <v>2129</v>
      </c>
      <c r="M188" t="s">
        <v>2130</v>
      </c>
      <c r="N188" t="s">
        <v>2129</v>
      </c>
      <c r="O188" t="s">
        <v>2305</v>
      </c>
      <c r="P188" t="s">
        <v>2141</v>
      </c>
      <c r="Q188" t="s">
        <v>2141</v>
      </c>
      <c r="R188" s="37">
        <v>46092.597916666666</v>
      </c>
      <c r="S188" s="37">
        <v>46099.600694444445</v>
      </c>
      <c r="T188" s="37">
        <v>46100.368750000001</v>
      </c>
      <c r="U188" s="37"/>
      <c r="V188" t="s">
        <v>2129</v>
      </c>
      <c r="W188" t="s">
        <v>2129</v>
      </c>
      <c r="X188" t="s">
        <v>2129</v>
      </c>
      <c r="Y188">
        <v>0</v>
      </c>
      <c r="Z188" t="s">
        <v>2129</v>
      </c>
      <c r="AA188" t="s">
        <v>4288</v>
      </c>
      <c r="AB188" t="s">
        <v>2129</v>
      </c>
      <c r="AC188" t="s">
        <v>2141</v>
      </c>
      <c r="AD188" t="s">
        <v>2129</v>
      </c>
      <c r="AE188" t="s">
        <v>2129</v>
      </c>
      <c r="AF188" t="s">
        <v>2129</v>
      </c>
      <c r="AG188" t="s">
        <v>2129</v>
      </c>
      <c r="AH188" t="s">
        <v>2129</v>
      </c>
      <c r="AI188" t="s">
        <v>2129</v>
      </c>
      <c r="AJ188" t="s">
        <v>2129</v>
      </c>
      <c r="AK188" t="s">
        <v>2129</v>
      </c>
      <c r="AL188" t="s">
        <v>2129</v>
      </c>
      <c r="AM188" t="s">
        <v>2129</v>
      </c>
      <c r="AN188" t="s">
        <v>2129</v>
      </c>
      <c r="AO188" t="s">
        <v>2129</v>
      </c>
      <c r="AP188" t="s">
        <v>2129</v>
      </c>
      <c r="AQ188" t="s">
        <v>2129</v>
      </c>
      <c r="AR188" t="s">
        <v>2129</v>
      </c>
      <c r="AS188" t="s">
        <v>2129</v>
      </c>
      <c r="AT188" t="s">
        <v>2129</v>
      </c>
      <c r="AU188" t="s">
        <v>2129</v>
      </c>
      <c r="AV188" t="s">
        <v>2129</v>
      </c>
      <c r="AW188" t="s">
        <v>2129</v>
      </c>
      <c r="AX188" t="s">
        <v>2129</v>
      </c>
      <c r="AY188" t="s">
        <v>2129</v>
      </c>
      <c r="AZ188" t="s">
        <v>2129</v>
      </c>
      <c r="BA188" t="s">
        <v>2129</v>
      </c>
      <c r="BB188" t="s">
        <v>2129</v>
      </c>
      <c r="BC188" t="s">
        <v>2129</v>
      </c>
      <c r="BD188" t="s">
        <v>2129</v>
      </c>
      <c r="BE188" t="s">
        <v>2129</v>
      </c>
      <c r="BF188" t="s">
        <v>2129</v>
      </c>
      <c r="BG188" t="s">
        <v>2129</v>
      </c>
      <c r="BH188" t="s">
        <v>2129</v>
      </c>
      <c r="BI188" t="s">
        <v>2129</v>
      </c>
      <c r="BJ188" t="s">
        <v>2129</v>
      </c>
      <c r="BK188" t="s">
        <v>2129</v>
      </c>
      <c r="BL188" t="s">
        <v>2129</v>
      </c>
      <c r="BM188" t="s">
        <v>2129</v>
      </c>
      <c r="BN188" t="s">
        <v>2129</v>
      </c>
      <c r="BO188" t="s">
        <v>2129</v>
      </c>
      <c r="BP188" t="s">
        <v>2129</v>
      </c>
      <c r="BS188" t="s">
        <v>2129</v>
      </c>
      <c r="BT188" t="s">
        <v>2129</v>
      </c>
      <c r="BW188" t="s">
        <v>2129</v>
      </c>
      <c r="BX188" t="s">
        <v>2129</v>
      </c>
      <c r="BY188" t="s">
        <v>2129</v>
      </c>
      <c r="BZ188" t="s">
        <v>4289</v>
      </c>
      <c r="CA188" t="s">
        <v>2129</v>
      </c>
      <c r="CB188" t="s">
        <v>2129</v>
      </c>
      <c r="CC188" t="s">
        <v>2129</v>
      </c>
      <c r="CD188" t="s">
        <v>2129</v>
      </c>
      <c r="CE188" t="s">
        <v>2129</v>
      </c>
      <c r="CF188" t="s">
        <v>2129</v>
      </c>
      <c r="CG188" t="s">
        <v>2129</v>
      </c>
      <c r="CH188" t="s">
        <v>2129</v>
      </c>
      <c r="CI188" t="s">
        <v>2129</v>
      </c>
      <c r="CJ188" t="s">
        <v>2129</v>
      </c>
      <c r="CK188" t="s">
        <v>2129</v>
      </c>
      <c r="CL188" t="s">
        <v>2129</v>
      </c>
      <c r="CM188" t="s">
        <v>2129</v>
      </c>
      <c r="CN188" t="s">
        <v>2129</v>
      </c>
      <c r="CO188" t="s">
        <v>2129</v>
      </c>
      <c r="CP188" t="s">
        <v>2129</v>
      </c>
      <c r="CQ188" t="s">
        <v>2129</v>
      </c>
      <c r="CR188" t="s">
        <v>2129</v>
      </c>
      <c r="CS188" t="s">
        <v>2129</v>
      </c>
      <c r="CT188" t="s">
        <v>4290</v>
      </c>
      <c r="CU188" t="s">
        <v>4291</v>
      </c>
      <c r="CV188" t="s">
        <v>2129</v>
      </c>
      <c r="CW188" t="s">
        <v>2129</v>
      </c>
      <c r="CX188" t="s">
        <v>2129</v>
      </c>
      <c r="CY188" t="s">
        <v>2129</v>
      </c>
      <c r="CZ188" t="s">
        <v>2129</v>
      </c>
      <c r="DA188" t="s">
        <v>2129</v>
      </c>
      <c r="DB188" t="s">
        <v>2129</v>
      </c>
      <c r="DC188" t="s">
        <v>2129</v>
      </c>
      <c r="DD188" t="s">
        <v>2129</v>
      </c>
      <c r="DE188" t="s">
        <v>2129</v>
      </c>
      <c r="DF188" t="s">
        <v>2129</v>
      </c>
      <c r="DG188" t="s">
        <v>2129</v>
      </c>
      <c r="DH188" t="s">
        <v>2129</v>
      </c>
      <c r="DJ188" t="s">
        <v>2129</v>
      </c>
      <c r="DK188" t="s">
        <v>2129</v>
      </c>
      <c r="DL188" t="s">
        <v>2129</v>
      </c>
      <c r="DM188" t="s">
        <v>2129</v>
      </c>
      <c r="DN188" t="s">
        <v>2129</v>
      </c>
      <c r="DO188" t="s">
        <v>2129</v>
      </c>
      <c r="DP188" t="s">
        <v>2129</v>
      </c>
      <c r="DQ188" t="s">
        <v>2129</v>
      </c>
      <c r="DR188" t="s">
        <v>2129</v>
      </c>
      <c r="DS188" t="s">
        <v>2129</v>
      </c>
      <c r="DT188" t="s">
        <v>2129</v>
      </c>
      <c r="DU188" t="s">
        <v>2129</v>
      </c>
      <c r="DV188" t="s">
        <v>2129</v>
      </c>
      <c r="DW188" t="s">
        <v>2129</v>
      </c>
      <c r="DX188" t="s">
        <v>2129</v>
      </c>
      <c r="DY188" t="s">
        <v>2129</v>
      </c>
      <c r="DZ188" t="s">
        <v>2129</v>
      </c>
      <c r="EA188" t="s">
        <v>2129</v>
      </c>
      <c r="EB188" t="s">
        <v>2129</v>
      </c>
      <c r="EC188" t="s">
        <v>2129</v>
      </c>
      <c r="ED188" t="s">
        <v>2129</v>
      </c>
      <c r="EE188" t="s">
        <v>2129</v>
      </c>
      <c r="EF188" t="s">
        <v>2129</v>
      </c>
      <c r="EG188" t="s">
        <v>2129</v>
      </c>
      <c r="EH188" t="s">
        <v>2129</v>
      </c>
    </row>
    <row r="189" spans="1:138" x14ac:dyDescent="0.25">
      <c r="A189" t="s">
        <v>4292</v>
      </c>
      <c r="B189" t="s">
        <v>4293</v>
      </c>
      <c r="C189">
        <v>23152</v>
      </c>
      <c r="E189" t="s">
        <v>77</v>
      </c>
      <c r="F189" t="s">
        <v>10</v>
      </c>
      <c r="G189" t="s">
        <v>3081</v>
      </c>
      <c r="H189" t="s">
        <v>991</v>
      </c>
      <c r="I189" t="s">
        <v>2127</v>
      </c>
      <c r="J189" t="s">
        <v>2152</v>
      </c>
      <c r="K189" t="s">
        <v>2129</v>
      </c>
      <c r="L189" t="s">
        <v>2129</v>
      </c>
      <c r="M189" t="s">
        <v>2130</v>
      </c>
      <c r="N189" t="s">
        <v>2129</v>
      </c>
      <c r="O189" t="s">
        <v>2305</v>
      </c>
      <c r="P189" t="s">
        <v>2141</v>
      </c>
      <c r="Q189" t="s">
        <v>2141</v>
      </c>
      <c r="R189" s="37">
        <v>46092.590277777781</v>
      </c>
      <c r="S189" s="37">
        <v>46099.600694444445</v>
      </c>
      <c r="T189" s="37">
        <v>46100.368750000001</v>
      </c>
      <c r="U189" s="37"/>
      <c r="V189" t="s">
        <v>2129</v>
      </c>
      <c r="W189" t="s">
        <v>2129</v>
      </c>
      <c r="X189" t="s">
        <v>2129</v>
      </c>
      <c r="Y189">
        <v>0</v>
      </c>
      <c r="Z189" t="s">
        <v>2129</v>
      </c>
      <c r="AA189" t="s">
        <v>4288</v>
      </c>
      <c r="AB189" t="s">
        <v>2129</v>
      </c>
      <c r="AC189" t="s">
        <v>2141</v>
      </c>
      <c r="AD189" t="s">
        <v>2129</v>
      </c>
      <c r="AE189" t="s">
        <v>2129</v>
      </c>
      <c r="AF189" t="s">
        <v>2129</v>
      </c>
      <c r="AG189" t="s">
        <v>2129</v>
      </c>
      <c r="AH189" t="s">
        <v>2129</v>
      </c>
      <c r="AI189" t="s">
        <v>2129</v>
      </c>
      <c r="AJ189" t="s">
        <v>2129</v>
      </c>
      <c r="AK189" t="s">
        <v>2129</v>
      </c>
      <c r="AL189" t="s">
        <v>2129</v>
      </c>
      <c r="AM189" t="s">
        <v>2129</v>
      </c>
      <c r="AN189" t="s">
        <v>2129</v>
      </c>
      <c r="AO189" t="s">
        <v>2129</v>
      </c>
      <c r="AP189" t="s">
        <v>2129</v>
      </c>
      <c r="AQ189" t="s">
        <v>2129</v>
      </c>
      <c r="AR189" t="s">
        <v>2129</v>
      </c>
      <c r="AS189" t="s">
        <v>2129</v>
      </c>
      <c r="AT189" t="s">
        <v>2129</v>
      </c>
      <c r="AU189" t="s">
        <v>2129</v>
      </c>
      <c r="AV189" t="s">
        <v>2129</v>
      </c>
      <c r="AW189" t="s">
        <v>2129</v>
      </c>
      <c r="AX189" t="s">
        <v>2129</v>
      </c>
      <c r="AY189" t="s">
        <v>2129</v>
      </c>
      <c r="AZ189" t="s">
        <v>2129</v>
      </c>
      <c r="BA189" t="s">
        <v>2129</v>
      </c>
      <c r="BB189" t="s">
        <v>2129</v>
      </c>
      <c r="BC189" t="s">
        <v>2129</v>
      </c>
      <c r="BD189" t="s">
        <v>2129</v>
      </c>
      <c r="BE189" t="s">
        <v>2129</v>
      </c>
      <c r="BF189" t="s">
        <v>2129</v>
      </c>
      <c r="BG189" t="s">
        <v>2129</v>
      </c>
      <c r="BH189" t="s">
        <v>2129</v>
      </c>
      <c r="BI189" t="s">
        <v>2129</v>
      </c>
      <c r="BJ189" t="s">
        <v>2129</v>
      </c>
      <c r="BK189" t="s">
        <v>2129</v>
      </c>
      <c r="BL189" t="s">
        <v>2129</v>
      </c>
      <c r="BM189" t="s">
        <v>2129</v>
      </c>
      <c r="BN189" t="s">
        <v>2129</v>
      </c>
      <c r="BO189" t="s">
        <v>2129</v>
      </c>
      <c r="BP189" t="s">
        <v>2129</v>
      </c>
      <c r="BS189" t="s">
        <v>2129</v>
      </c>
      <c r="BT189" t="s">
        <v>2129</v>
      </c>
      <c r="BW189" t="s">
        <v>2129</v>
      </c>
      <c r="BX189" t="s">
        <v>2129</v>
      </c>
      <c r="BY189" t="s">
        <v>2129</v>
      </c>
      <c r="BZ189" t="s">
        <v>4294</v>
      </c>
      <c r="CA189" t="s">
        <v>2129</v>
      </c>
      <c r="CB189" t="s">
        <v>2129</v>
      </c>
      <c r="CC189" t="s">
        <v>2129</v>
      </c>
      <c r="CD189" t="s">
        <v>2129</v>
      </c>
      <c r="CE189" t="s">
        <v>2129</v>
      </c>
      <c r="CF189" t="s">
        <v>2129</v>
      </c>
      <c r="CG189" t="s">
        <v>2129</v>
      </c>
      <c r="CH189" t="s">
        <v>2129</v>
      </c>
      <c r="CI189" t="s">
        <v>2129</v>
      </c>
      <c r="CJ189" t="s">
        <v>2129</v>
      </c>
      <c r="CK189" t="s">
        <v>2129</v>
      </c>
      <c r="CL189" t="s">
        <v>2129</v>
      </c>
      <c r="CM189" t="s">
        <v>2129</v>
      </c>
      <c r="CN189" t="s">
        <v>2129</v>
      </c>
      <c r="CO189" t="s">
        <v>2129</v>
      </c>
      <c r="CP189" t="s">
        <v>2129</v>
      </c>
      <c r="CQ189" t="s">
        <v>2129</v>
      </c>
      <c r="CR189" t="s">
        <v>2129</v>
      </c>
      <c r="CS189" t="s">
        <v>2129</v>
      </c>
      <c r="CT189" t="s">
        <v>4295</v>
      </c>
      <c r="CU189" t="s">
        <v>4291</v>
      </c>
      <c r="CV189" t="s">
        <v>2129</v>
      </c>
      <c r="CW189" t="s">
        <v>2129</v>
      </c>
      <c r="CX189" t="s">
        <v>2129</v>
      </c>
      <c r="CY189" t="s">
        <v>2129</v>
      </c>
      <c r="CZ189" t="s">
        <v>2129</v>
      </c>
      <c r="DA189" t="s">
        <v>2129</v>
      </c>
      <c r="DB189" t="s">
        <v>2129</v>
      </c>
      <c r="DC189" t="s">
        <v>2129</v>
      </c>
      <c r="DD189" t="s">
        <v>2129</v>
      </c>
      <c r="DE189" t="s">
        <v>2129</v>
      </c>
      <c r="DF189" t="s">
        <v>2129</v>
      </c>
      <c r="DG189" t="s">
        <v>2129</v>
      </c>
      <c r="DH189" t="s">
        <v>2129</v>
      </c>
      <c r="DJ189" t="s">
        <v>2129</v>
      </c>
      <c r="DK189" t="s">
        <v>2129</v>
      </c>
      <c r="DL189" t="s">
        <v>2129</v>
      </c>
      <c r="DM189" t="s">
        <v>2129</v>
      </c>
      <c r="DN189" t="s">
        <v>2129</v>
      </c>
      <c r="DO189" t="s">
        <v>2129</v>
      </c>
      <c r="DP189" t="s">
        <v>2129</v>
      </c>
      <c r="DQ189" t="s">
        <v>2129</v>
      </c>
      <c r="DR189" t="s">
        <v>2129</v>
      </c>
      <c r="DS189" t="s">
        <v>2129</v>
      </c>
      <c r="DT189" t="s">
        <v>2129</v>
      </c>
      <c r="DU189" t="s">
        <v>2129</v>
      </c>
      <c r="DV189" t="s">
        <v>2129</v>
      </c>
      <c r="DW189" t="s">
        <v>2129</v>
      </c>
      <c r="DX189" t="s">
        <v>2129</v>
      </c>
      <c r="DY189" t="s">
        <v>2129</v>
      </c>
      <c r="DZ189" t="s">
        <v>2129</v>
      </c>
      <c r="EA189" t="s">
        <v>2129</v>
      </c>
      <c r="EB189" t="s">
        <v>2129</v>
      </c>
      <c r="EC189" t="s">
        <v>2129</v>
      </c>
      <c r="ED189" t="s">
        <v>2129</v>
      </c>
      <c r="EE189" t="s">
        <v>2129</v>
      </c>
      <c r="EF189" t="s">
        <v>2129</v>
      </c>
      <c r="EG189" t="s">
        <v>2129</v>
      </c>
      <c r="EH189" t="s">
        <v>2129</v>
      </c>
    </row>
    <row r="190" spans="1:138" x14ac:dyDescent="0.25">
      <c r="A190" t="s">
        <v>4296</v>
      </c>
      <c r="B190" t="s">
        <v>4297</v>
      </c>
      <c r="C190">
        <v>23151</v>
      </c>
      <c r="E190" t="s">
        <v>14</v>
      </c>
      <c r="F190" t="s">
        <v>10</v>
      </c>
      <c r="G190" t="s">
        <v>3081</v>
      </c>
      <c r="H190" t="s">
        <v>991</v>
      </c>
      <c r="I190" t="s">
        <v>2127</v>
      </c>
      <c r="J190" t="s">
        <v>2152</v>
      </c>
      <c r="K190" t="s">
        <v>2129</v>
      </c>
      <c r="L190" t="s">
        <v>2129</v>
      </c>
      <c r="M190" t="s">
        <v>2130</v>
      </c>
      <c r="N190" t="s">
        <v>2129</v>
      </c>
      <c r="O190" t="s">
        <v>2305</v>
      </c>
      <c r="P190" t="s">
        <v>2145</v>
      </c>
      <c r="Q190" t="s">
        <v>2145</v>
      </c>
      <c r="R190" s="37">
        <v>46092.575694444444</v>
      </c>
      <c r="S190" s="37">
        <v>46099.613888888889</v>
      </c>
      <c r="T190" s="37">
        <v>46100.368750000001</v>
      </c>
      <c r="U190" s="37"/>
      <c r="V190" t="s">
        <v>2129</v>
      </c>
      <c r="W190" t="s">
        <v>2129</v>
      </c>
      <c r="X190" t="s">
        <v>2129</v>
      </c>
      <c r="Y190">
        <v>0</v>
      </c>
      <c r="Z190" t="s">
        <v>2129</v>
      </c>
      <c r="AA190" t="s">
        <v>4298</v>
      </c>
      <c r="AB190" t="s">
        <v>2129</v>
      </c>
      <c r="AC190" t="s">
        <v>2145</v>
      </c>
      <c r="AD190" t="s">
        <v>2129</v>
      </c>
      <c r="AE190" t="s">
        <v>2129</v>
      </c>
      <c r="AF190" t="s">
        <v>2129</v>
      </c>
      <c r="AG190" t="s">
        <v>2129</v>
      </c>
      <c r="AH190" t="s">
        <v>2129</v>
      </c>
      <c r="AI190" t="s">
        <v>2129</v>
      </c>
      <c r="AJ190" t="s">
        <v>2129</v>
      </c>
      <c r="AK190" t="s">
        <v>2129</v>
      </c>
      <c r="AL190" t="s">
        <v>2129</v>
      </c>
      <c r="AM190" t="s">
        <v>2129</v>
      </c>
      <c r="AN190" t="s">
        <v>2129</v>
      </c>
      <c r="AO190" t="s">
        <v>2129</v>
      </c>
      <c r="AP190" t="s">
        <v>2129</v>
      </c>
      <c r="AQ190" t="s">
        <v>2129</v>
      </c>
      <c r="AR190" t="s">
        <v>2129</v>
      </c>
      <c r="AS190" t="s">
        <v>2129</v>
      </c>
      <c r="AT190" t="s">
        <v>2129</v>
      </c>
      <c r="AU190" t="s">
        <v>2129</v>
      </c>
      <c r="AV190" t="s">
        <v>2129</v>
      </c>
      <c r="AW190" t="s">
        <v>2129</v>
      </c>
      <c r="AX190" t="s">
        <v>2129</v>
      </c>
      <c r="AY190" t="s">
        <v>2129</v>
      </c>
      <c r="AZ190" t="s">
        <v>2129</v>
      </c>
      <c r="BA190" t="s">
        <v>2129</v>
      </c>
      <c r="BB190" t="s">
        <v>2129</v>
      </c>
      <c r="BC190" t="s">
        <v>2129</v>
      </c>
      <c r="BD190" t="s">
        <v>2129</v>
      </c>
      <c r="BE190" t="s">
        <v>2129</v>
      </c>
      <c r="BF190" t="s">
        <v>2129</v>
      </c>
      <c r="BG190" t="s">
        <v>2129</v>
      </c>
      <c r="BH190" t="s">
        <v>2129</v>
      </c>
      <c r="BI190" t="s">
        <v>2129</v>
      </c>
      <c r="BJ190" t="s">
        <v>2129</v>
      </c>
      <c r="BK190" t="s">
        <v>2129</v>
      </c>
      <c r="BL190" t="s">
        <v>2129</v>
      </c>
      <c r="BM190" t="s">
        <v>2129</v>
      </c>
      <c r="BN190" t="s">
        <v>2129</v>
      </c>
      <c r="BO190" t="s">
        <v>2129</v>
      </c>
      <c r="BP190" t="s">
        <v>2129</v>
      </c>
      <c r="BS190" t="s">
        <v>2129</v>
      </c>
      <c r="BT190" t="s">
        <v>2129</v>
      </c>
      <c r="BW190" t="s">
        <v>2129</v>
      </c>
      <c r="BX190" t="s">
        <v>2129</v>
      </c>
      <c r="BY190" t="s">
        <v>2129</v>
      </c>
      <c r="BZ190" t="s">
        <v>2129</v>
      </c>
      <c r="CA190" t="s">
        <v>2129</v>
      </c>
      <c r="CB190" t="s">
        <v>2129</v>
      </c>
      <c r="CC190" t="s">
        <v>2129</v>
      </c>
      <c r="CD190" t="s">
        <v>2129</v>
      </c>
      <c r="CE190" t="s">
        <v>2129</v>
      </c>
      <c r="CF190" t="s">
        <v>2129</v>
      </c>
      <c r="CG190" t="s">
        <v>2129</v>
      </c>
      <c r="CH190" t="s">
        <v>2129</v>
      </c>
      <c r="CI190" t="s">
        <v>2129</v>
      </c>
      <c r="CJ190" t="s">
        <v>2129</v>
      </c>
      <c r="CK190" t="s">
        <v>2129</v>
      </c>
      <c r="CL190" t="s">
        <v>2129</v>
      </c>
      <c r="CM190" t="s">
        <v>3088</v>
      </c>
      <c r="CN190" t="s">
        <v>2129</v>
      </c>
      <c r="CO190" t="s">
        <v>2129</v>
      </c>
      <c r="CP190" t="s">
        <v>2129</v>
      </c>
      <c r="CQ190" t="s">
        <v>2129</v>
      </c>
      <c r="CR190" t="s">
        <v>2129</v>
      </c>
      <c r="CS190" t="s">
        <v>2129</v>
      </c>
      <c r="CT190" t="s">
        <v>4299</v>
      </c>
      <c r="CU190" t="s">
        <v>4291</v>
      </c>
      <c r="CV190" t="s">
        <v>2129</v>
      </c>
      <c r="CW190" t="s">
        <v>2129</v>
      </c>
      <c r="CX190" t="s">
        <v>2129</v>
      </c>
      <c r="CY190" t="s">
        <v>2129</v>
      </c>
      <c r="CZ190" t="s">
        <v>2129</v>
      </c>
      <c r="DA190" t="s">
        <v>2129</v>
      </c>
      <c r="DB190" t="s">
        <v>2129</v>
      </c>
      <c r="DC190" t="s">
        <v>2129</v>
      </c>
      <c r="DD190" t="s">
        <v>2129</v>
      </c>
      <c r="DE190" t="s">
        <v>2129</v>
      </c>
      <c r="DF190" t="s">
        <v>2129</v>
      </c>
      <c r="DG190" t="s">
        <v>2129</v>
      </c>
      <c r="DH190" t="s">
        <v>2129</v>
      </c>
      <c r="DJ190" t="s">
        <v>2129</v>
      </c>
      <c r="DK190" t="s">
        <v>2129</v>
      </c>
      <c r="DL190" t="s">
        <v>4300</v>
      </c>
      <c r="DM190" t="s">
        <v>2129</v>
      </c>
      <c r="DN190" t="s">
        <v>2129</v>
      </c>
      <c r="DO190" t="s">
        <v>2129</v>
      </c>
      <c r="DP190" t="s">
        <v>2129</v>
      </c>
      <c r="DQ190" t="s">
        <v>2129</v>
      </c>
      <c r="DR190" t="s">
        <v>2129</v>
      </c>
      <c r="DS190" t="s">
        <v>2129</v>
      </c>
      <c r="DT190" t="s">
        <v>2129</v>
      </c>
      <c r="DU190" t="s">
        <v>2129</v>
      </c>
      <c r="DV190" t="s">
        <v>2129</v>
      </c>
      <c r="DW190" t="s">
        <v>2129</v>
      </c>
      <c r="DX190" t="s">
        <v>2129</v>
      </c>
      <c r="DY190" t="s">
        <v>2129</v>
      </c>
      <c r="DZ190" t="s">
        <v>2129</v>
      </c>
      <c r="EA190" t="s">
        <v>2129</v>
      </c>
      <c r="EB190" t="s">
        <v>2129</v>
      </c>
      <c r="EC190" t="s">
        <v>2129</v>
      </c>
      <c r="ED190" t="s">
        <v>2129</v>
      </c>
      <c r="EE190" t="s">
        <v>2129</v>
      </c>
      <c r="EF190" t="s">
        <v>2129</v>
      </c>
      <c r="EG190" t="s">
        <v>2129</v>
      </c>
      <c r="EH190" t="s">
        <v>2129</v>
      </c>
    </row>
    <row r="191" spans="1:138" x14ac:dyDescent="0.25">
      <c r="A191" t="s">
        <v>4301</v>
      </c>
      <c r="B191" t="s">
        <v>4302</v>
      </c>
      <c r="C191">
        <v>23150</v>
      </c>
      <c r="E191" t="s">
        <v>14</v>
      </c>
      <c r="F191" t="s">
        <v>10</v>
      </c>
      <c r="G191" t="s">
        <v>3081</v>
      </c>
      <c r="H191" t="s">
        <v>991</v>
      </c>
      <c r="I191" t="s">
        <v>2127</v>
      </c>
      <c r="J191" t="s">
        <v>2152</v>
      </c>
      <c r="K191" t="s">
        <v>2129</v>
      </c>
      <c r="L191" t="s">
        <v>2129</v>
      </c>
      <c r="M191" t="s">
        <v>2130</v>
      </c>
      <c r="N191" t="s">
        <v>2129</v>
      </c>
      <c r="O191" t="s">
        <v>2305</v>
      </c>
      <c r="P191" t="s">
        <v>2145</v>
      </c>
      <c r="Q191" t="s">
        <v>2145</v>
      </c>
      <c r="R191" s="37">
        <v>46092.570138888892</v>
      </c>
      <c r="S191" s="37">
        <v>46099.613888888889</v>
      </c>
      <c r="T191" s="37">
        <v>46100.368750000001</v>
      </c>
      <c r="U191" s="37"/>
      <c r="V191" t="s">
        <v>2129</v>
      </c>
      <c r="W191" t="s">
        <v>2129</v>
      </c>
      <c r="X191" t="s">
        <v>2129</v>
      </c>
      <c r="Y191">
        <v>0</v>
      </c>
      <c r="Z191" t="s">
        <v>2129</v>
      </c>
      <c r="AA191" t="s">
        <v>4303</v>
      </c>
      <c r="AB191" t="s">
        <v>2129</v>
      </c>
      <c r="AC191" t="s">
        <v>2145</v>
      </c>
      <c r="AD191" t="s">
        <v>2129</v>
      </c>
      <c r="AE191" t="s">
        <v>2129</v>
      </c>
      <c r="AF191" t="s">
        <v>2129</v>
      </c>
      <c r="AG191" t="s">
        <v>2129</v>
      </c>
      <c r="AH191" t="s">
        <v>2129</v>
      </c>
      <c r="AI191" t="s">
        <v>2129</v>
      </c>
      <c r="AJ191" t="s">
        <v>2129</v>
      </c>
      <c r="AK191" t="s">
        <v>2129</v>
      </c>
      <c r="AL191" t="s">
        <v>2129</v>
      </c>
      <c r="AM191" t="s">
        <v>2129</v>
      </c>
      <c r="AN191" t="s">
        <v>2129</v>
      </c>
      <c r="AO191" t="s">
        <v>2129</v>
      </c>
      <c r="AP191" t="s">
        <v>2129</v>
      </c>
      <c r="AQ191" t="s">
        <v>2129</v>
      </c>
      <c r="AR191" t="s">
        <v>2129</v>
      </c>
      <c r="AS191" t="s">
        <v>2129</v>
      </c>
      <c r="AT191" t="s">
        <v>2129</v>
      </c>
      <c r="AU191" t="s">
        <v>2129</v>
      </c>
      <c r="AV191" t="s">
        <v>2129</v>
      </c>
      <c r="AW191" t="s">
        <v>2129</v>
      </c>
      <c r="AX191" t="s">
        <v>2129</v>
      </c>
      <c r="AY191" t="s">
        <v>2129</v>
      </c>
      <c r="AZ191" t="s">
        <v>2129</v>
      </c>
      <c r="BA191" t="s">
        <v>2129</v>
      </c>
      <c r="BB191" t="s">
        <v>2129</v>
      </c>
      <c r="BC191" t="s">
        <v>2129</v>
      </c>
      <c r="BD191" t="s">
        <v>2129</v>
      </c>
      <c r="BE191" t="s">
        <v>2129</v>
      </c>
      <c r="BF191" t="s">
        <v>2129</v>
      </c>
      <c r="BG191" t="s">
        <v>2129</v>
      </c>
      <c r="BH191" t="s">
        <v>2129</v>
      </c>
      <c r="BI191" t="s">
        <v>2129</v>
      </c>
      <c r="BJ191" t="s">
        <v>2129</v>
      </c>
      <c r="BK191" t="s">
        <v>2129</v>
      </c>
      <c r="BL191" t="s">
        <v>2129</v>
      </c>
      <c r="BM191" t="s">
        <v>2129</v>
      </c>
      <c r="BN191" t="s">
        <v>2129</v>
      </c>
      <c r="BO191" t="s">
        <v>2129</v>
      </c>
      <c r="BP191" t="s">
        <v>2129</v>
      </c>
      <c r="BS191" t="s">
        <v>2129</v>
      </c>
      <c r="BT191" t="s">
        <v>2129</v>
      </c>
      <c r="BW191" t="s">
        <v>2129</v>
      </c>
      <c r="BX191" t="s">
        <v>2129</v>
      </c>
      <c r="BY191" t="s">
        <v>2129</v>
      </c>
      <c r="BZ191" t="s">
        <v>2129</v>
      </c>
      <c r="CA191" t="s">
        <v>2129</v>
      </c>
      <c r="CB191" t="s">
        <v>2129</v>
      </c>
      <c r="CC191" t="s">
        <v>2129</v>
      </c>
      <c r="CD191" t="s">
        <v>2129</v>
      </c>
      <c r="CE191" t="s">
        <v>2129</v>
      </c>
      <c r="CF191" t="s">
        <v>2129</v>
      </c>
      <c r="CG191" t="s">
        <v>2129</v>
      </c>
      <c r="CH191" t="s">
        <v>2129</v>
      </c>
      <c r="CI191" t="s">
        <v>2129</v>
      </c>
      <c r="CJ191" t="s">
        <v>2129</v>
      </c>
      <c r="CK191" t="s">
        <v>2129</v>
      </c>
      <c r="CL191" t="s">
        <v>2129</v>
      </c>
      <c r="CM191" t="s">
        <v>3088</v>
      </c>
      <c r="CN191" t="s">
        <v>2129</v>
      </c>
      <c r="CO191" t="s">
        <v>2129</v>
      </c>
      <c r="CP191" t="s">
        <v>2129</v>
      </c>
      <c r="CQ191" t="s">
        <v>2129</v>
      </c>
      <c r="CR191" t="s">
        <v>2129</v>
      </c>
      <c r="CS191" t="s">
        <v>2129</v>
      </c>
      <c r="CT191" t="s">
        <v>4304</v>
      </c>
      <c r="CU191" t="s">
        <v>4291</v>
      </c>
      <c r="CV191" t="s">
        <v>2129</v>
      </c>
      <c r="CW191" t="s">
        <v>2129</v>
      </c>
      <c r="CX191" t="s">
        <v>2129</v>
      </c>
      <c r="CY191" t="s">
        <v>2129</v>
      </c>
      <c r="CZ191" t="s">
        <v>2129</v>
      </c>
      <c r="DA191" t="s">
        <v>2129</v>
      </c>
      <c r="DB191" t="s">
        <v>2129</v>
      </c>
      <c r="DC191" t="s">
        <v>2129</v>
      </c>
      <c r="DD191" t="s">
        <v>2129</v>
      </c>
      <c r="DE191" t="s">
        <v>2129</v>
      </c>
      <c r="DF191" t="s">
        <v>2129</v>
      </c>
      <c r="DG191" t="s">
        <v>2129</v>
      </c>
      <c r="DH191" t="s">
        <v>2129</v>
      </c>
      <c r="DJ191" t="s">
        <v>2129</v>
      </c>
      <c r="DK191" t="s">
        <v>2129</v>
      </c>
      <c r="DL191" t="s">
        <v>4305</v>
      </c>
      <c r="DM191" t="s">
        <v>2129</v>
      </c>
      <c r="DN191" t="s">
        <v>2129</v>
      </c>
      <c r="DO191" t="s">
        <v>2129</v>
      </c>
      <c r="DP191" t="s">
        <v>2129</v>
      </c>
      <c r="DQ191" t="s">
        <v>2129</v>
      </c>
      <c r="DR191" t="s">
        <v>2129</v>
      </c>
      <c r="DS191" t="s">
        <v>2129</v>
      </c>
      <c r="DT191" t="s">
        <v>2129</v>
      </c>
      <c r="DU191" t="s">
        <v>2129</v>
      </c>
      <c r="DV191" t="s">
        <v>2129</v>
      </c>
      <c r="DW191" t="s">
        <v>2129</v>
      </c>
      <c r="DX191" t="s">
        <v>2129</v>
      </c>
      <c r="DY191" t="s">
        <v>2129</v>
      </c>
      <c r="DZ191" t="s">
        <v>2129</v>
      </c>
      <c r="EA191" t="s">
        <v>2129</v>
      </c>
      <c r="EB191" t="s">
        <v>2129</v>
      </c>
      <c r="EC191" t="s">
        <v>2129</v>
      </c>
      <c r="ED191" t="s">
        <v>2129</v>
      </c>
      <c r="EE191" t="s">
        <v>2129</v>
      </c>
      <c r="EF191" t="s">
        <v>2129</v>
      </c>
      <c r="EG191" t="s">
        <v>2129</v>
      </c>
      <c r="EH191" t="s">
        <v>2129</v>
      </c>
    </row>
    <row r="192" spans="1:138" x14ac:dyDescent="0.25">
      <c r="A192" t="s">
        <v>4306</v>
      </c>
      <c r="B192" t="s">
        <v>4307</v>
      </c>
      <c r="C192">
        <v>23148</v>
      </c>
      <c r="E192" t="s">
        <v>77</v>
      </c>
      <c r="F192" t="s">
        <v>10</v>
      </c>
      <c r="G192" t="s">
        <v>3081</v>
      </c>
      <c r="H192" t="s">
        <v>991</v>
      </c>
      <c r="I192" t="s">
        <v>2127</v>
      </c>
      <c r="J192" t="s">
        <v>2152</v>
      </c>
      <c r="K192" t="s">
        <v>2129</v>
      </c>
      <c r="L192" t="s">
        <v>2129</v>
      </c>
      <c r="M192" t="s">
        <v>2130</v>
      </c>
      <c r="N192" t="s">
        <v>2129</v>
      </c>
      <c r="O192" t="s">
        <v>2305</v>
      </c>
      <c r="P192" t="s">
        <v>2141</v>
      </c>
      <c r="Q192" t="s">
        <v>2141</v>
      </c>
      <c r="R192" s="37">
        <v>46092.464583333334</v>
      </c>
      <c r="S192" s="37">
        <v>46099.601388888892</v>
      </c>
      <c r="T192" s="37">
        <v>46100.368750000001</v>
      </c>
      <c r="U192" s="37"/>
      <c r="V192" t="s">
        <v>2129</v>
      </c>
      <c r="W192" t="s">
        <v>2129</v>
      </c>
      <c r="X192" t="s">
        <v>2129</v>
      </c>
      <c r="Y192">
        <v>0</v>
      </c>
      <c r="Z192" t="s">
        <v>2129</v>
      </c>
      <c r="AA192" t="s">
        <v>4308</v>
      </c>
      <c r="AB192" t="s">
        <v>2129</v>
      </c>
      <c r="AC192" t="s">
        <v>2141</v>
      </c>
      <c r="AD192" t="s">
        <v>2129</v>
      </c>
      <c r="AE192" t="s">
        <v>2129</v>
      </c>
      <c r="AF192" t="s">
        <v>2129</v>
      </c>
      <c r="AG192" t="s">
        <v>2129</v>
      </c>
      <c r="AH192" t="s">
        <v>2129</v>
      </c>
      <c r="AI192" t="s">
        <v>2129</v>
      </c>
      <c r="AJ192" t="s">
        <v>2129</v>
      </c>
      <c r="AK192" t="s">
        <v>2129</v>
      </c>
      <c r="AL192" t="s">
        <v>2129</v>
      </c>
      <c r="AM192" t="s">
        <v>2129</v>
      </c>
      <c r="AN192" t="s">
        <v>2129</v>
      </c>
      <c r="AO192" t="s">
        <v>2129</v>
      </c>
      <c r="AP192" t="s">
        <v>2129</v>
      </c>
      <c r="AQ192" t="s">
        <v>2129</v>
      </c>
      <c r="AR192" t="s">
        <v>2129</v>
      </c>
      <c r="AS192" t="s">
        <v>2129</v>
      </c>
      <c r="AT192" t="s">
        <v>2129</v>
      </c>
      <c r="AU192" t="s">
        <v>2129</v>
      </c>
      <c r="AV192" t="s">
        <v>2129</v>
      </c>
      <c r="AW192" t="s">
        <v>2129</v>
      </c>
      <c r="AX192" t="s">
        <v>2129</v>
      </c>
      <c r="AY192" t="s">
        <v>2129</v>
      </c>
      <c r="AZ192" t="s">
        <v>2129</v>
      </c>
      <c r="BA192" t="s">
        <v>2129</v>
      </c>
      <c r="BB192" t="s">
        <v>2129</v>
      </c>
      <c r="BC192" t="s">
        <v>2129</v>
      </c>
      <c r="BD192" t="s">
        <v>2129</v>
      </c>
      <c r="BE192" t="s">
        <v>2129</v>
      </c>
      <c r="BF192" t="s">
        <v>2129</v>
      </c>
      <c r="BG192" t="s">
        <v>2129</v>
      </c>
      <c r="BH192" t="s">
        <v>2129</v>
      </c>
      <c r="BI192" t="s">
        <v>2129</v>
      </c>
      <c r="BJ192" t="s">
        <v>2129</v>
      </c>
      <c r="BK192" t="s">
        <v>2129</v>
      </c>
      <c r="BL192" t="s">
        <v>2129</v>
      </c>
      <c r="BM192" t="s">
        <v>2129</v>
      </c>
      <c r="BN192" t="s">
        <v>2129</v>
      </c>
      <c r="BO192" t="s">
        <v>2129</v>
      </c>
      <c r="BP192" t="s">
        <v>2129</v>
      </c>
      <c r="BS192" t="s">
        <v>2129</v>
      </c>
      <c r="BT192" t="s">
        <v>2129</v>
      </c>
      <c r="BW192" t="s">
        <v>2129</v>
      </c>
      <c r="BX192" t="s">
        <v>2129</v>
      </c>
      <c r="BY192" t="s">
        <v>2129</v>
      </c>
      <c r="BZ192" t="s">
        <v>4309</v>
      </c>
      <c r="CA192" t="s">
        <v>4310</v>
      </c>
      <c r="CB192" t="s">
        <v>2129</v>
      </c>
      <c r="CC192" t="s">
        <v>2129</v>
      </c>
      <c r="CD192" t="s">
        <v>2129</v>
      </c>
      <c r="CE192" t="s">
        <v>2129</v>
      </c>
      <c r="CF192" t="s">
        <v>2129</v>
      </c>
      <c r="CG192" t="s">
        <v>2129</v>
      </c>
      <c r="CH192" t="s">
        <v>2129</v>
      </c>
      <c r="CI192" t="s">
        <v>2129</v>
      </c>
      <c r="CJ192" t="s">
        <v>2129</v>
      </c>
      <c r="CK192" t="s">
        <v>2129</v>
      </c>
      <c r="CL192" t="s">
        <v>2129</v>
      </c>
      <c r="CM192" t="s">
        <v>2129</v>
      </c>
      <c r="CN192" t="s">
        <v>2129</v>
      </c>
      <c r="CO192" t="s">
        <v>2129</v>
      </c>
      <c r="CP192" t="s">
        <v>2129</v>
      </c>
      <c r="CQ192" t="s">
        <v>2129</v>
      </c>
      <c r="CR192" t="s">
        <v>2129</v>
      </c>
      <c r="CS192" t="s">
        <v>2129</v>
      </c>
      <c r="CT192" t="s">
        <v>4311</v>
      </c>
      <c r="CU192" t="s">
        <v>4291</v>
      </c>
      <c r="CV192" t="s">
        <v>2129</v>
      </c>
      <c r="CW192" t="s">
        <v>2129</v>
      </c>
      <c r="CX192" t="s">
        <v>2129</v>
      </c>
      <c r="CY192" t="s">
        <v>2129</v>
      </c>
      <c r="CZ192" t="s">
        <v>2129</v>
      </c>
      <c r="DA192" t="s">
        <v>2129</v>
      </c>
      <c r="DB192" t="s">
        <v>2129</v>
      </c>
      <c r="DC192" t="s">
        <v>2129</v>
      </c>
      <c r="DD192" t="s">
        <v>2129</v>
      </c>
      <c r="DE192" t="s">
        <v>2129</v>
      </c>
      <c r="DF192" t="s">
        <v>2129</v>
      </c>
      <c r="DG192" t="s">
        <v>2129</v>
      </c>
      <c r="DH192" t="s">
        <v>2129</v>
      </c>
      <c r="DJ192" t="s">
        <v>2129</v>
      </c>
      <c r="DK192" t="s">
        <v>2129</v>
      </c>
      <c r="DL192" t="s">
        <v>2129</v>
      </c>
      <c r="DM192" t="s">
        <v>2129</v>
      </c>
      <c r="DN192" t="s">
        <v>2129</v>
      </c>
      <c r="DO192" t="s">
        <v>2129</v>
      </c>
      <c r="DP192" t="s">
        <v>2129</v>
      </c>
      <c r="DQ192" t="s">
        <v>2129</v>
      </c>
      <c r="DR192" t="s">
        <v>2129</v>
      </c>
      <c r="DS192" t="s">
        <v>2129</v>
      </c>
      <c r="DT192" t="s">
        <v>2129</v>
      </c>
      <c r="DU192" t="s">
        <v>2129</v>
      </c>
      <c r="DV192" t="s">
        <v>2129</v>
      </c>
      <c r="DW192" t="s">
        <v>2129</v>
      </c>
      <c r="DX192" t="s">
        <v>2129</v>
      </c>
      <c r="DY192" t="s">
        <v>2129</v>
      </c>
      <c r="DZ192" t="s">
        <v>2129</v>
      </c>
      <c r="EA192" t="s">
        <v>2129</v>
      </c>
      <c r="EB192" t="s">
        <v>2129</v>
      </c>
      <c r="EC192" t="s">
        <v>2129</v>
      </c>
      <c r="ED192" t="s">
        <v>2129</v>
      </c>
      <c r="EE192" t="s">
        <v>2129</v>
      </c>
      <c r="EF192" t="s">
        <v>2129</v>
      </c>
      <c r="EG192" t="s">
        <v>2129</v>
      </c>
      <c r="EH192" t="s">
        <v>2129</v>
      </c>
    </row>
    <row r="193" spans="1:138" x14ac:dyDescent="0.25">
      <c r="A193" t="s">
        <v>4312</v>
      </c>
      <c r="B193" t="s">
        <v>4313</v>
      </c>
      <c r="C193">
        <v>23141</v>
      </c>
      <c r="E193" t="s">
        <v>77</v>
      </c>
      <c r="F193" t="s">
        <v>10</v>
      </c>
      <c r="G193" t="s">
        <v>3081</v>
      </c>
      <c r="H193" t="s">
        <v>991</v>
      </c>
      <c r="I193" t="s">
        <v>2127</v>
      </c>
      <c r="J193" t="s">
        <v>2152</v>
      </c>
      <c r="K193" t="s">
        <v>2129</v>
      </c>
      <c r="L193" t="s">
        <v>2129</v>
      </c>
      <c r="M193" t="s">
        <v>2130</v>
      </c>
      <c r="N193" t="s">
        <v>2129</v>
      </c>
      <c r="O193" t="s">
        <v>2305</v>
      </c>
      <c r="P193" t="s">
        <v>2141</v>
      </c>
      <c r="Q193" t="s">
        <v>2141</v>
      </c>
      <c r="R193" s="37">
        <v>46091.421527777777</v>
      </c>
      <c r="S193" s="37">
        <v>46099.614583333336</v>
      </c>
      <c r="T193" s="37">
        <v>46100.368750000001</v>
      </c>
      <c r="U193" s="37"/>
      <c r="V193" t="s">
        <v>2129</v>
      </c>
      <c r="W193" t="s">
        <v>2129</v>
      </c>
      <c r="X193" t="s">
        <v>2129</v>
      </c>
      <c r="Y193">
        <v>0</v>
      </c>
      <c r="Z193" t="s">
        <v>2129</v>
      </c>
      <c r="AA193" t="s">
        <v>4314</v>
      </c>
      <c r="AB193" t="s">
        <v>2129</v>
      </c>
      <c r="AC193" t="s">
        <v>2141</v>
      </c>
      <c r="AD193" t="s">
        <v>2129</v>
      </c>
      <c r="AE193" t="s">
        <v>2129</v>
      </c>
      <c r="AF193" t="s">
        <v>2129</v>
      </c>
      <c r="AG193" t="s">
        <v>2129</v>
      </c>
      <c r="AH193" t="s">
        <v>2129</v>
      </c>
      <c r="AI193" t="s">
        <v>2129</v>
      </c>
      <c r="AJ193" t="s">
        <v>2129</v>
      </c>
      <c r="AK193" t="s">
        <v>2129</v>
      </c>
      <c r="AL193" t="s">
        <v>2129</v>
      </c>
      <c r="AM193" t="s">
        <v>2129</v>
      </c>
      <c r="AN193" t="s">
        <v>2129</v>
      </c>
      <c r="AO193" t="s">
        <v>2129</v>
      </c>
      <c r="AP193" t="s">
        <v>2129</v>
      </c>
      <c r="AQ193" t="s">
        <v>2129</v>
      </c>
      <c r="AR193" t="s">
        <v>2129</v>
      </c>
      <c r="AS193" t="s">
        <v>2129</v>
      </c>
      <c r="AT193" t="s">
        <v>2129</v>
      </c>
      <c r="AU193" t="s">
        <v>2129</v>
      </c>
      <c r="AV193" t="s">
        <v>2129</v>
      </c>
      <c r="AW193" t="s">
        <v>2129</v>
      </c>
      <c r="AX193" t="s">
        <v>2129</v>
      </c>
      <c r="AY193" t="s">
        <v>2129</v>
      </c>
      <c r="AZ193" t="s">
        <v>2129</v>
      </c>
      <c r="BA193" t="s">
        <v>2129</v>
      </c>
      <c r="BB193" t="s">
        <v>2129</v>
      </c>
      <c r="BC193" t="s">
        <v>2129</v>
      </c>
      <c r="BD193" t="s">
        <v>2129</v>
      </c>
      <c r="BE193" t="s">
        <v>2129</v>
      </c>
      <c r="BF193" t="s">
        <v>2129</v>
      </c>
      <c r="BG193" t="s">
        <v>2129</v>
      </c>
      <c r="BH193" t="s">
        <v>2129</v>
      </c>
      <c r="BI193" t="s">
        <v>2129</v>
      </c>
      <c r="BJ193" t="s">
        <v>2129</v>
      </c>
      <c r="BK193" t="s">
        <v>2129</v>
      </c>
      <c r="BL193" t="s">
        <v>2129</v>
      </c>
      <c r="BM193" t="s">
        <v>2129</v>
      </c>
      <c r="BN193" t="s">
        <v>2129</v>
      </c>
      <c r="BO193" t="s">
        <v>2129</v>
      </c>
      <c r="BP193" t="s">
        <v>2129</v>
      </c>
      <c r="BS193" t="s">
        <v>2129</v>
      </c>
      <c r="BT193" t="s">
        <v>2129</v>
      </c>
      <c r="BW193" t="s">
        <v>2129</v>
      </c>
      <c r="BX193" t="s">
        <v>2129</v>
      </c>
      <c r="BY193" t="s">
        <v>2129</v>
      </c>
      <c r="BZ193" t="s">
        <v>4315</v>
      </c>
      <c r="CA193" t="s">
        <v>4316</v>
      </c>
      <c r="CB193" t="s">
        <v>4317</v>
      </c>
      <c r="CC193" t="s">
        <v>2129</v>
      </c>
      <c r="CD193" t="s">
        <v>2129</v>
      </c>
      <c r="CE193" t="s">
        <v>2129</v>
      </c>
      <c r="CF193" t="s">
        <v>2129</v>
      </c>
      <c r="CG193" t="s">
        <v>2129</v>
      </c>
      <c r="CH193" t="s">
        <v>2129</v>
      </c>
      <c r="CI193" t="s">
        <v>2129</v>
      </c>
      <c r="CJ193" t="s">
        <v>2129</v>
      </c>
      <c r="CK193" t="s">
        <v>2129</v>
      </c>
      <c r="CL193" t="s">
        <v>2129</v>
      </c>
      <c r="CM193" t="s">
        <v>2129</v>
      </c>
      <c r="CN193" t="s">
        <v>2129</v>
      </c>
      <c r="CO193" t="s">
        <v>2129</v>
      </c>
      <c r="CP193" t="s">
        <v>2129</v>
      </c>
      <c r="CQ193" t="s">
        <v>2129</v>
      </c>
      <c r="CR193" t="s">
        <v>2129</v>
      </c>
      <c r="CS193" t="s">
        <v>2129</v>
      </c>
      <c r="CT193" t="s">
        <v>4318</v>
      </c>
      <c r="CU193" t="s">
        <v>4291</v>
      </c>
      <c r="CV193" t="s">
        <v>2129</v>
      </c>
      <c r="CW193" t="s">
        <v>2129</v>
      </c>
      <c r="CX193" t="s">
        <v>2129</v>
      </c>
      <c r="CY193" t="s">
        <v>2129</v>
      </c>
      <c r="CZ193" t="s">
        <v>2129</v>
      </c>
      <c r="DA193" t="s">
        <v>2129</v>
      </c>
      <c r="DB193" t="s">
        <v>2129</v>
      </c>
      <c r="DC193" t="s">
        <v>2129</v>
      </c>
      <c r="DD193" t="s">
        <v>2129</v>
      </c>
      <c r="DE193" t="s">
        <v>2129</v>
      </c>
      <c r="DF193" t="s">
        <v>2129</v>
      </c>
      <c r="DG193" t="s">
        <v>2129</v>
      </c>
      <c r="DH193" t="s">
        <v>2129</v>
      </c>
      <c r="DJ193" t="s">
        <v>2129</v>
      </c>
      <c r="DK193" t="s">
        <v>2129</v>
      </c>
      <c r="DL193" t="s">
        <v>2129</v>
      </c>
      <c r="DM193" t="s">
        <v>2129</v>
      </c>
      <c r="DN193" t="s">
        <v>2129</v>
      </c>
      <c r="DO193" t="s">
        <v>2129</v>
      </c>
      <c r="DP193" t="s">
        <v>2129</v>
      </c>
      <c r="DQ193" t="s">
        <v>2129</v>
      </c>
      <c r="DR193" t="s">
        <v>2129</v>
      </c>
      <c r="DS193" t="s">
        <v>2129</v>
      </c>
      <c r="DT193" t="s">
        <v>2129</v>
      </c>
      <c r="DU193" t="s">
        <v>2129</v>
      </c>
      <c r="DV193" t="s">
        <v>2129</v>
      </c>
      <c r="DW193" t="s">
        <v>2129</v>
      </c>
      <c r="DX193" t="s">
        <v>2129</v>
      </c>
      <c r="DY193" t="s">
        <v>2129</v>
      </c>
      <c r="DZ193" t="s">
        <v>2129</v>
      </c>
      <c r="EA193" t="s">
        <v>2129</v>
      </c>
      <c r="EB193" t="s">
        <v>2129</v>
      </c>
      <c r="EC193" t="s">
        <v>2129</v>
      </c>
      <c r="ED193" t="s">
        <v>2129</v>
      </c>
      <c r="EE193" t="s">
        <v>2129</v>
      </c>
      <c r="EF193" t="s">
        <v>2129</v>
      </c>
      <c r="EG193" t="s">
        <v>2129</v>
      </c>
      <c r="EH193" t="s">
        <v>2129</v>
      </c>
    </row>
    <row r="194" spans="1:138" x14ac:dyDescent="0.25">
      <c r="A194" t="s">
        <v>4319</v>
      </c>
      <c r="B194" t="s">
        <v>4320</v>
      </c>
      <c r="C194">
        <v>23140</v>
      </c>
      <c r="E194" t="s">
        <v>77</v>
      </c>
      <c r="F194" t="s">
        <v>10</v>
      </c>
      <c r="G194" t="s">
        <v>3081</v>
      </c>
      <c r="H194" t="s">
        <v>991</v>
      </c>
      <c r="I194" t="s">
        <v>2127</v>
      </c>
      <c r="J194" t="s">
        <v>2152</v>
      </c>
      <c r="K194" t="s">
        <v>2129</v>
      </c>
      <c r="L194" t="s">
        <v>2129</v>
      </c>
      <c r="M194" t="s">
        <v>2130</v>
      </c>
      <c r="N194" t="s">
        <v>2129</v>
      </c>
      <c r="O194" t="s">
        <v>2305</v>
      </c>
      <c r="P194" t="s">
        <v>2141</v>
      </c>
      <c r="Q194" t="s">
        <v>2141</v>
      </c>
      <c r="R194" s="37">
        <v>46090.80972222222</v>
      </c>
      <c r="S194" s="37">
        <v>46099.601388888892</v>
      </c>
      <c r="T194" s="37">
        <v>46100.368750000001</v>
      </c>
      <c r="U194" s="37"/>
      <c r="V194" t="s">
        <v>2129</v>
      </c>
      <c r="W194" t="s">
        <v>2129</v>
      </c>
      <c r="X194" t="s">
        <v>2129</v>
      </c>
      <c r="Y194">
        <v>0</v>
      </c>
      <c r="Z194" t="s">
        <v>2129</v>
      </c>
      <c r="AA194" t="s">
        <v>4321</v>
      </c>
      <c r="AB194" t="s">
        <v>2129</v>
      </c>
      <c r="AC194" t="s">
        <v>2141</v>
      </c>
      <c r="AD194" t="s">
        <v>2129</v>
      </c>
      <c r="AE194" t="s">
        <v>2129</v>
      </c>
      <c r="AF194" t="s">
        <v>2129</v>
      </c>
      <c r="AG194" t="s">
        <v>2129</v>
      </c>
      <c r="AH194" t="s">
        <v>2129</v>
      </c>
      <c r="AI194" t="s">
        <v>2129</v>
      </c>
      <c r="AJ194" t="s">
        <v>2129</v>
      </c>
      <c r="AK194" t="s">
        <v>2129</v>
      </c>
      <c r="AL194" t="s">
        <v>2129</v>
      </c>
      <c r="AM194" t="s">
        <v>2129</v>
      </c>
      <c r="AN194" t="s">
        <v>2129</v>
      </c>
      <c r="AO194" t="s">
        <v>2129</v>
      </c>
      <c r="AP194" t="s">
        <v>2129</v>
      </c>
      <c r="AQ194" t="s">
        <v>2129</v>
      </c>
      <c r="AR194" t="s">
        <v>2129</v>
      </c>
      <c r="AS194" t="s">
        <v>2129</v>
      </c>
      <c r="AT194" t="s">
        <v>2129</v>
      </c>
      <c r="AU194" t="s">
        <v>2129</v>
      </c>
      <c r="AV194" t="s">
        <v>2129</v>
      </c>
      <c r="AW194" t="s">
        <v>2129</v>
      </c>
      <c r="AX194" t="s">
        <v>2129</v>
      </c>
      <c r="AY194" t="s">
        <v>2129</v>
      </c>
      <c r="AZ194" t="s">
        <v>2129</v>
      </c>
      <c r="BA194" t="s">
        <v>2129</v>
      </c>
      <c r="BB194" t="s">
        <v>2129</v>
      </c>
      <c r="BC194" t="s">
        <v>2129</v>
      </c>
      <c r="BD194" t="s">
        <v>2129</v>
      </c>
      <c r="BE194" t="s">
        <v>2129</v>
      </c>
      <c r="BF194" t="s">
        <v>2129</v>
      </c>
      <c r="BG194" t="s">
        <v>2129</v>
      </c>
      <c r="BH194" t="s">
        <v>2129</v>
      </c>
      <c r="BI194" t="s">
        <v>2129</v>
      </c>
      <c r="BJ194" t="s">
        <v>2129</v>
      </c>
      <c r="BK194" t="s">
        <v>2129</v>
      </c>
      <c r="BL194" t="s">
        <v>2129</v>
      </c>
      <c r="BM194" t="s">
        <v>2129</v>
      </c>
      <c r="BN194" t="s">
        <v>2129</v>
      </c>
      <c r="BO194" t="s">
        <v>2129</v>
      </c>
      <c r="BP194" t="s">
        <v>2129</v>
      </c>
      <c r="BS194" t="s">
        <v>2129</v>
      </c>
      <c r="BT194" t="s">
        <v>2129</v>
      </c>
      <c r="BW194" t="s">
        <v>2129</v>
      </c>
      <c r="BX194" t="s">
        <v>2129</v>
      </c>
      <c r="BY194" t="s">
        <v>2129</v>
      </c>
      <c r="BZ194" t="s">
        <v>4322</v>
      </c>
      <c r="CA194" t="s">
        <v>2129</v>
      </c>
      <c r="CB194" t="s">
        <v>2129</v>
      </c>
      <c r="CC194" t="s">
        <v>2129</v>
      </c>
      <c r="CD194" t="s">
        <v>2129</v>
      </c>
      <c r="CE194" t="s">
        <v>2129</v>
      </c>
      <c r="CF194" t="s">
        <v>2129</v>
      </c>
      <c r="CG194" t="s">
        <v>2129</v>
      </c>
      <c r="CH194" t="s">
        <v>2129</v>
      </c>
      <c r="CI194" t="s">
        <v>2129</v>
      </c>
      <c r="CJ194" t="s">
        <v>2129</v>
      </c>
      <c r="CK194" t="s">
        <v>2129</v>
      </c>
      <c r="CL194" t="s">
        <v>2129</v>
      </c>
      <c r="CM194" t="s">
        <v>2129</v>
      </c>
      <c r="CN194" t="s">
        <v>2129</v>
      </c>
      <c r="CO194" t="s">
        <v>2129</v>
      </c>
      <c r="CP194" t="s">
        <v>2129</v>
      </c>
      <c r="CQ194" t="s">
        <v>2129</v>
      </c>
      <c r="CR194" t="s">
        <v>2129</v>
      </c>
      <c r="CS194" t="s">
        <v>2129</v>
      </c>
      <c r="CT194" t="s">
        <v>4323</v>
      </c>
      <c r="CU194" t="s">
        <v>4291</v>
      </c>
      <c r="CV194" t="s">
        <v>2129</v>
      </c>
      <c r="CW194" t="s">
        <v>2129</v>
      </c>
      <c r="CX194" t="s">
        <v>2129</v>
      </c>
      <c r="CY194" t="s">
        <v>2129</v>
      </c>
      <c r="CZ194" t="s">
        <v>2129</v>
      </c>
      <c r="DA194" t="s">
        <v>2129</v>
      </c>
      <c r="DB194" t="s">
        <v>2129</v>
      </c>
      <c r="DC194" t="s">
        <v>2129</v>
      </c>
      <c r="DD194" t="s">
        <v>2129</v>
      </c>
      <c r="DE194" t="s">
        <v>2129</v>
      </c>
      <c r="DF194" t="s">
        <v>2129</v>
      </c>
      <c r="DG194" t="s">
        <v>2129</v>
      </c>
      <c r="DH194" t="s">
        <v>2129</v>
      </c>
      <c r="DJ194" t="s">
        <v>2129</v>
      </c>
      <c r="DK194" t="s">
        <v>2129</v>
      </c>
      <c r="DL194" t="s">
        <v>2129</v>
      </c>
      <c r="DM194" t="s">
        <v>2129</v>
      </c>
      <c r="DN194" t="s">
        <v>2129</v>
      </c>
      <c r="DO194" t="s">
        <v>2129</v>
      </c>
      <c r="DP194" t="s">
        <v>2129</v>
      </c>
      <c r="DQ194" t="s">
        <v>2129</v>
      </c>
      <c r="DR194" t="s">
        <v>2129</v>
      </c>
      <c r="DS194" t="s">
        <v>2129</v>
      </c>
      <c r="DT194" t="s">
        <v>2129</v>
      </c>
      <c r="DU194" t="s">
        <v>2129</v>
      </c>
      <c r="DV194" t="s">
        <v>2129</v>
      </c>
      <c r="DW194" t="s">
        <v>2129</v>
      </c>
      <c r="DX194" t="s">
        <v>2129</v>
      </c>
      <c r="DY194" t="s">
        <v>2129</v>
      </c>
      <c r="DZ194" t="s">
        <v>2129</v>
      </c>
      <c r="EA194" t="s">
        <v>2129</v>
      </c>
      <c r="EB194" t="s">
        <v>2129</v>
      </c>
      <c r="EC194" t="s">
        <v>2129</v>
      </c>
      <c r="ED194" t="s">
        <v>2129</v>
      </c>
      <c r="EE194" t="s">
        <v>2129</v>
      </c>
      <c r="EF194" t="s">
        <v>2129</v>
      </c>
      <c r="EG194" t="s">
        <v>2129</v>
      </c>
      <c r="EH194" t="s">
        <v>2129</v>
      </c>
    </row>
    <row r="195" spans="1:138" x14ac:dyDescent="0.25">
      <c r="A195" t="s">
        <v>4324</v>
      </c>
      <c r="B195" t="s">
        <v>4325</v>
      </c>
      <c r="C195">
        <v>23139</v>
      </c>
      <c r="E195" t="s">
        <v>77</v>
      </c>
      <c r="F195" t="s">
        <v>10</v>
      </c>
      <c r="G195" t="s">
        <v>3081</v>
      </c>
      <c r="H195" t="s">
        <v>991</v>
      </c>
      <c r="I195" t="s">
        <v>2127</v>
      </c>
      <c r="J195" t="s">
        <v>2152</v>
      </c>
      <c r="K195" t="s">
        <v>2129</v>
      </c>
      <c r="L195" t="s">
        <v>2129</v>
      </c>
      <c r="M195" t="s">
        <v>2130</v>
      </c>
      <c r="N195" t="s">
        <v>2129</v>
      </c>
      <c r="O195" t="s">
        <v>2305</v>
      </c>
      <c r="P195" t="s">
        <v>2141</v>
      </c>
      <c r="Q195" t="s">
        <v>2141</v>
      </c>
      <c r="R195" s="37">
        <v>46090.806250000001</v>
      </c>
      <c r="S195" s="37">
        <v>46099.604861111111</v>
      </c>
      <c r="T195" s="37">
        <v>46100.368750000001</v>
      </c>
      <c r="U195" s="37"/>
      <c r="V195" t="s">
        <v>2129</v>
      </c>
      <c r="W195" t="s">
        <v>2129</v>
      </c>
      <c r="X195" t="s">
        <v>2129</v>
      </c>
      <c r="Y195">
        <v>0</v>
      </c>
      <c r="Z195" t="s">
        <v>2129</v>
      </c>
      <c r="AA195" t="s">
        <v>4326</v>
      </c>
      <c r="AB195" t="s">
        <v>2129</v>
      </c>
      <c r="AC195" t="s">
        <v>2141</v>
      </c>
      <c r="AD195" t="s">
        <v>2129</v>
      </c>
      <c r="AE195" t="s">
        <v>2129</v>
      </c>
      <c r="AF195" t="s">
        <v>2129</v>
      </c>
      <c r="AG195" t="s">
        <v>2129</v>
      </c>
      <c r="AH195" t="s">
        <v>2129</v>
      </c>
      <c r="AI195" t="s">
        <v>2129</v>
      </c>
      <c r="AJ195" t="s">
        <v>2129</v>
      </c>
      <c r="AK195" t="s">
        <v>2129</v>
      </c>
      <c r="AL195" t="s">
        <v>2129</v>
      </c>
      <c r="AM195" t="s">
        <v>2129</v>
      </c>
      <c r="AN195" t="s">
        <v>2129</v>
      </c>
      <c r="AO195" t="s">
        <v>2129</v>
      </c>
      <c r="AP195" t="s">
        <v>2129</v>
      </c>
      <c r="AQ195" t="s">
        <v>2129</v>
      </c>
      <c r="AR195" t="s">
        <v>2129</v>
      </c>
      <c r="AS195" t="s">
        <v>2129</v>
      </c>
      <c r="AT195" t="s">
        <v>2129</v>
      </c>
      <c r="AU195" t="s">
        <v>2129</v>
      </c>
      <c r="AV195" t="s">
        <v>2129</v>
      </c>
      <c r="AW195" t="s">
        <v>2129</v>
      </c>
      <c r="AX195" t="s">
        <v>2129</v>
      </c>
      <c r="AY195" t="s">
        <v>2129</v>
      </c>
      <c r="AZ195" t="s">
        <v>2129</v>
      </c>
      <c r="BA195" t="s">
        <v>2129</v>
      </c>
      <c r="BB195" t="s">
        <v>2129</v>
      </c>
      <c r="BC195" t="s">
        <v>2129</v>
      </c>
      <c r="BD195" t="s">
        <v>2129</v>
      </c>
      <c r="BE195" t="s">
        <v>2129</v>
      </c>
      <c r="BF195" t="s">
        <v>2129</v>
      </c>
      <c r="BG195" t="s">
        <v>2129</v>
      </c>
      <c r="BH195" t="s">
        <v>2129</v>
      </c>
      <c r="BI195" t="s">
        <v>2129</v>
      </c>
      <c r="BJ195" t="s">
        <v>2129</v>
      </c>
      <c r="BK195" t="s">
        <v>2129</v>
      </c>
      <c r="BL195" t="s">
        <v>2129</v>
      </c>
      <c r="BM195" t="s">
        <v>2129</v>
      </c>
      <c r="BN195" t="s">
        <v>2129</v>
      </c>
      <c r="BO195" t="s">
        <v>2129</v>
      </c>
      <c r="BP195" t="s">
        <v>2129</v>
      </c>
      <c r="BS195" t="s">
        <v>2129</v>
      </c>
      <c r="BT195" t="s">
        <v>2129</v>
      </c>
      <c r="BW195" t="s">
        <v>2129</v>
      </c>
      <c r="BX195" t="s">
        <v>2129</v>
      </c>
      <c r="BY195" t="s">
        <v>2129</v>
      </c>
      <c r="BZ195" t="s">
        <v>4327</v>
      </c>
      <c r="CA195" t="s">
        <v>2129</v>
      </c>
      <c r="CB195" t="s">
        <v>2129</v>
      </c>
      <c r="CC195" t="s">
        <v>2129</v>
      </c>
      <c r="CD195" t="s">
        <v>2129</v>
      </c>
      <c r="CE195" t="s">
        <v>2129</v>
      </c>
      <c r="CF195" t="s">
        <v>2129</v>
      </c>
      <c r="CG195" t="s">
        <v>2129</v>
      </c>
      <c r="CH195" t="s">
        <v>2129</v>
      </c>
      <c r="CI195" t="s">
        <v>2129</v>
      </c>
      <c r="CJ195" t="s">
        <v>2129</v>
      </c>
      <c r="CK195" t="s">
        <v>2129</v>
      </c>
      <c r="CL195" t="s">
        <v>2129</v>
      </c>
      <c r="CM195" t="s">
        <v>2129</v>
      </c>
      <c r="CN195" t="s">
        <v>2129</v>
      </c>
      <c r="CO195" t="s">
        <v>2129</v>
      </c>
      <c r="CP195" t="s">
        <v>2129</v>
      </c>
      <c r="CQ195" t="s">
        <v>2129</v>
      </c>
      <c r="CR195" t="s">
        <v>2129</v>
      </c>
      <c r="CS195" t="s">
        <v>2129</v>
      </c>
      <c r="CT195" t="s">
        <v>4328</v>
      </c>
      <c r="CU195" t="s">
        <v>4291</v>
      </c>
      <c r="CV195" t="s">
        <v>2129</v>
      </c>
      <c r="CW195" t="s">
        <v>2129</v>
      </c>
      <c r="CX195" t="s">
        <v>2129</v>
      </c>
      <c r="CY195" t="s">
        <v>2129</v>
      </c>
      <c r="CZ195" t="s">
        <v>2129</v>
      </c>
      <c r="DA195" t="s">
        <v>2129</v>
      </c>
      <c r="DB195" t="s">
        <v>2129</v>
      </c>
      <c r="DC195" t="s">
        <v>2129</v>
      </c>
      <c r="DD195" t="s">
        <v>2129</v>
      </c>
      <c r="DE195" t="s">
        <v>2129</v>
      </c>
      <c r="DF195" t="s">
        <v>2129</v>
      </c>
      <c r="DG195" t="s">
        <v>2129</v>
      </c>
      <c r="DH195" t="s">
        <v>2129</v>
      </c>
      <c r="DJ195" t="s">
        <v>2129</v>
      </c>
      <c r="DK195" t="s">
        <v>2129</v>
      </c>
      <c r="DL195" t="s">
        <v>2129</v>
      </c>
      <c r="DM195" t="s">
        <v>2129</v>
      </c>
      <c r="DN195" t="s">
        <v>2129</v>
      </c>
      <c r="DO195" t="s">
        <v>2129</v>
      </c>
      <c r="DP195" t="s">
        <v>2129</v>
      </c>
      <c r="DQ195" t="s">
        <v>2129</v>
      </c>
      <c r="DR195" t="s">
        <v>2129</v>
      </c>
      <c r="DS195" t="s">
        <v>2129</v>
      </c>
      <c r="DT195" t="s">
        <v>2129</v>
      </c>
      <c r="DU195" t="s">
        <v>2129</v>
      </c>
      <c r="DV195" t="s">
        <v>2129</v>
      </c>
      <c r="DW195" t="s">
        <v>2129</v>
      </c>
      <c r="DX195" t="s">
        <v>2129</v>
      </c>
      <c r="DY195" t="s">
        <v>2129</v>
      </c>
      <c r="DZ195" t="s">
        <v>2129</v>
      </c>
      <c r="EA195" t="s">
        <v>2129</v>
      </c>
      <c r="EB195" t="s">
        <v>2129</v>
      </c>
      <c r="EC195" t="s">
        <v>2129</v>
      </c>
      <c r="ED195" t="s">
        <v>2129</v>
      </c>
      <c r="EE195" t="s">
        <v>2129</v>
      </c>
      <c r="EF195" t="s">
        <v>2129</v>
      </c>
      <c r="EG195" t="s">
        <v>2129</v>
      </c>
      <c r="EH195" t="s">
        <v>2129</v>
      </c>
    </row>
    <row r="196" spans="1:138" x14ac:dyDescent="0.25">
      <c r="A196" t="s">
        <v>4329</v>
      </c>
      <c r="B196" t="s">
        <v>4330</v>
      </c>
      <c r="C196">
        <v>23138</v>
      </c>
      <c r="E196" t="s">
        <v>77</v>
      </c>
      <c r="F196" t="s">
        <v>10</v>
      </c>
      <c r="G196" t="s">
        <v>3081</v>
      </c>
      <c r="H196" t="s">
        <v>991</v>
      </c>
      <c r="I196" t="s">
        <v>2127</v>
      </c>
      <c r="J196" t="s">
        <v>2152</v>
      </c>
      <c r="K196" t="s">
        <v>2129</v>
      </c>
      <c r="L196" t="s">
        <v>2129</v>
      </c>
      <c r="M196" t="s">
        <v>2130</v>
      </c>
      <c r="N196" t="s">
        <v>2129</v>
      </c>
      <c r="O196" t="s">
        <v>2305</v>
      </c>
      <c r="P196" t="s">
        <v>2141</v>
      </c>
      <c r="Q196" t="s">
        <v>2141</v>
      </c>
      <c r="R196" s="37">
        <v>46090.795138888891</v>
      </c>
      <c r="S196" s="37">
        <v>46099.601388888892</v>
      </c>
      <c r="T196" s="37">
        <v>46100.368750000001</v>
      </c>
      <c r="U196" s="37"/>
      <c r="V196" t="s">
        <v>2129</v>
      </c>
      <c r="W196" t="s">
        <v>2129</v>
      </c>
      <c r="X196" t="s">
        <v>2129</v>
      </c>
      <c r="Y196">
        <v>0</v>
      </c>
      <c r="Z196" t="s">
        <v>2129</v>
      </c>
      <c r="AA196" t="s">
        <v>4331</v>
      </c>
      <c r="AB196" t="s">
        <v>2129</v>
      </c>
      <c r="AC196" t="s">
        <v>2141</v>
      </c>
      <c r="AD196" t="s">
        <v>2129</v>
      </c>
      <c r="AE196" t="s">
        <v>2129</v>
      </c>
      <c r="AF196" t="s">
        <v>2129</v>
      </c>
      <c r="AG196" t="s">
        <v>2129</v>
      </c>
      <c r="AH196" t="s">
        <v>2129</v>
      </c>
      <c r="AI196" t="s">
        <v>2129</v>
      </c>
      <c r="AJ196" t="s">
        <v>2129</v>
      </c>
      <c r="AK196" t="s">
        <v>2129</v>
      </c>
      <c r="AL196" t="s">
        <v>2129</v>
      </c>
      <c r="AM196" t="s">
        <v>2129</v>
      </c>
      <c r="AN196" t="s">
        <v>2129</v>
      </c>
      <c r="AO196" t="s">
        <v>2129</v>
      </c>
      <c r="AP196" t="s">
        <v>2129</v>
      </c>
      <c r="AQ196" t="s">
        <v>2129</v>
      </c>
      <c r="AR196" t="s">
        <v>2129</v>
      </c>
      <c r="AS196" t="s">
        <v>2129</v>
      </c>
      <c r="AT196" t="s">
        <v>2129</v>
      </c>
      <c r="AU196" t="s">
        <v>2129</v>
      </c>
      <c r="AV196" t="s">
        <v>2129</v>
      </c>
      <c r="AW196" t="s">
        <v>2129</v>
      </c>
      <c r="AX196" t="s">
        <v>2129</v>
      </c>
      <c r="AY196" t="s">
        <v>2129</v>
      </c>
      <c r="AZ196" t="s">
        <v>2129</v>
      </c>
      <c r="BA196" t="s">
        <v>2129</v>
      </c>
      <c r="BB196" t="s">
        <v>2129</v>
      </c>
      <c r="BC196" t="s">
        <v>2129</v>
      </c>
      <c r="BD196" t="s">
        <v>2129</v>
      </c>
      <c r="BE196" t="s">
        <v>2129</v>
      </c>
      <c r="BF196" t="s">
        <v>2129</v>
      </c>
      <c r="BG196" t="s">
        <v>2129</v>
      </c>
      <c r="BH196" t="s">
        <v>2129</v>
      </c>
      <c r="BI196" t="s">
        <v>2129</v>
      </c>
      <c r="BJ196" t="s">
        <v>2129</v>
      </c>
      <c r="BK196" t="s">
        <v>2129</v>
      </c>
      <c r="BL196" t="s">
        <v>2129</v>
      </c>
      <c r="BM196" t="s">
        <v>2129</v>
      </c>
      <c r="BN196" t="s">
        <v>2129</v>
      </c>
      <c r="BO196" t="s">
        <v>2129</v>
      </c>
      <c r="BP196" t="s">
        <v>2129</v>
      </c>
      <c r="BS196" t="s">
        <v>2129</v>
      </c>
      <c r="BT196" t="s">
        <v>2129</v>
      </c>
      <c r="BW196" t="s">
        <v>2129</v>
      </c>
      <c r="BX196" t="s">
        <v>2129</v>
      </c>
      <c r="BY196" t="s">
        <v>2129</v>
      </c>
      <c r="BZ196" t="s">
        <v>4332</v>
      </c>
      <c r="CA196" t="s">
        <v>4333</v>
      </c>
      <c r="CB196" t="s">
        <v>4334</v>
      </c>
      <c r="CC196" t="s">
        <v>2129</v>
      </c>
      <c r="CD196" t="s">
        <v>2129</v>
      </c>
      <c r="CE196" t="s">
        <v>2129</v>
      </c>
      <c r="CF196" t="s">
        <v>2129</v>
      </c>
      <c r="CG196" t="s">
        <v>2129</v>
      </c>
      <c r="CH196" t="s">
        <v>2129</v>
      </c>
      <c r="CI196" t="s">
        <v>2129</v>
      </c>
      <c r="CJ196" t="s">
        <v>2129</v>
      </c>
      <c r="CK196" t="s">
        <v>2129</v>
      </c>
      <c r="CL196" t="s">
        <v>2129</v>
      </c>
      <c r="CM196" t="s">
        <v>2129</v>
      </c>
      <c r="CN196" t="s">
        <v>2129</v>
      </c>
      <c r="CO196" t="s">
        <v>2129</v>
      </c>
      <c r="CP196" t="s">
        <v>2129</v>
      </c>
      <c r="CQ196" t="s">
        <v>2129</v>
      </c>
      <c r="CR196" t="s">
        <v>2129</v>
      </c>
      <c r="CS196" t="s">
        <v>2129</v>
      </c>
      <c r="CT196" t="s">
        <v>4335</v>
      </c>
      <c r="CU196" t="s">
        <v>4291</v>
      </c>
      <c r="CV196" t="s">
        <v>2129</v>
      </c>
      <c r="CW196" t="s">
        <v>2129</v>
      </c>
      <c r="CX196" t="s">
        <v>2129</v>
      </c>
      <c r="CY196" t="s">
        <v>2129</v>
      </c>
      <c r="CZ196" t="s">
        <v>2129</v>
      </c>
      <c r="DA196" t="s">
        <v>2129</v>
      </c>
      <c r="DB196" t="s">
        <v>2129</v>
      </c>
      <c r="DC196" t="s">
        <v>2129</v>
      </c>
      <c r="DD196" t="s">
        <v>2129</v>
      </c>
      <c r="DE196" t="s">
        <v>2129</v>
      </c>
      <c r="DF196" t="s">
        <v>2129</v>
      </c>
      <c r="DG196" t="s">
        <v>2129</v>
      </c>
      <c r="DH196" t="s">
        <v>2129</v>
      </c>
      <c r="DJ196" t="s">
        <v>2129</v>
      </c>
      <c r="DK196" t="s">
        <v>2129</v>
      </c>
      <c r="DL196" t="s">
        <v>2129</v>
      </c>
      <c r="DM196" t="s">
        <v>2129</v>
      </c>
      <c r="DN196" t="s">
        <v>2129</v>
      </c>
      <c r="DO196" t="s">
        <v>2129</v>
      </c>
      <c r="DP196" t="s">
        <v>2129</v>
      </c>
      <c r="DQ196" t="s">
        <v>2129</v>
      </c>
      <c r="DR196" t="s">
        <v>2129</v>
      </c>
      <c r="DS196" t="s">
        <v>2129</v>
      </c>
      <c r="DT196" t="s">
        <v>2129</v>
      </c>
      <c r="DU196" t="s">
        <v>2129</v>
      </c>
      <c r="DV196" t="s">
        <v>2129</v>
      </c>
      <c r="DW196" t="s">
        <v>2129</v>
      </c>
      <c r="DX196" t="s">
        <v>2129</v>
      </c>
      <c r="DY196" t="s">
        <v>2129</v>
      </c>
      <c r="DZ196" t="s">
        <v>2129</v>
      </c>
      <c r="EA196" t="s">
        <v>2129</v>
      </c>
      <c r="EB196" t="s">
        <v>2129</v>
      </c>
      <c r="EC196" t="s">
        <v>2129</v>
      </c>
      <c r="ED196" t="s">
        <v>2129</v>
      </c>
      <c r="EE196" t="s">
        <v>2129</v>
      </c>
      <c r="EF196" t="s">
        <v>2129</v>
      </c>
      <c r="EG196" t="s">
        <v>2129</v>
      </c>
      <c r="EH196" t="s">
        <v>2129</v>
      </c>
    </row>
    <row r="197" spans="1:138" x14ac:dyDescent="0.25">
      <c r="A197" t="s">
        <v>4336</v>
      </c>
      <c r="B197" t="s">
        <v>4337</v>
      </c>
      <c r="C197">
        <v>23137</v>
      </c>
      <c r="E197" t="s">
        <v>77</v>
      </c>
      <c r="F197" t="s">
        <v>10</v>
      </c>
      <c r="G197" t="s">
        <v>3081</v>
      </c>
      <c r="H197" t="s">
        <v>991</v>
      </c>
      <c r="I197" t="s">
        <v>2127</v>
      </c>
      <c r="J197" t="s">
        <v>2152</v>
      </c>
      <c r="K197" t="s">
        <v>2129</v>
      </c>
      <c r="L197" t="s">
        <v>2129</v>
      </c>
      <c r="M197" t="s">
        <v>2130</v>
      </c>
      <c r="N197" t="s">
        <v>2129</v>
      </c>
      <c r="O197" t="s">
        <v>2305</v>
      </c>
      <c r="P197" t="s">
        <v>2141</v>
      </c>
      <c r="Q197" t="s">
        <v>2141</v>
      </c>
      <c r="R197" s="37">
        <v>46090.772222222222</v>
      </c>
      <c r="S197" s="37">
        <v>46099.600694444445</v>
      </c>
      <c r="T197" s="37">
        <v>46100.368750000001</v>
      </c>
      <c r="U197" s="37"/>
      <c r="V197" t="s">
        <v>2129</v>
      </c>
      <c r="W197" t="s">
        <v>2129</v>
      </c>
      <c r="X197" t="s">
        <v>2129</v>
      </c>
      <c r="Y197">
        <v>0</v>
      </c>
      <c r="Z197" t="s">
        <v>2129</v>
      </c>
      <c r="AA197" t="s">
        <v>4338</v>
      </c>
      <c r="AB197" t="s">
        <v>2129</v>
      </c>
      <c r="AC197" t="s">
        <v>2141</v>
      </c>
      <c r="AD197" t="s">
        <v>2129</v>
      </c>
      <c r="AE197" t="s">
        <v>2129</v>
      </c>
      <c r="AF197" t="s">
        <v>2129</v>
      </c>
      <c r="AG197" t="s">
        <v>2129</v>
      </c>
      <c r="AH197" t="s">
        <v>2129</v>
      </c>
      <c r="AI197" t="s">
        <v>2129</v>
      </c>
      <c r="AJ197" t="s">
        <v>2129</v>
      </c>
      <c r="AK197" t="s">
        <v>2129</v>
      </c>
      <c r="AL197" t="s">
        <v>2129</v>
      </c>
      <c r="AM197" t="s">
        <v>2129</v>
      </c>
      <c r="AN197" t="s">
        <v>2129</v>
      </c>
      <c r="AO197" t="s">
        <v>2129</v>
      </c>
      <c r="AP197" t="s">
        <v>2129</v>
      </c>
      <c r="AQ197" t="s">
        <v>2129</v>
      </c>
      <c r="AR197" t="s">
        <v>2129</v>
      </c>
      <c r="AS197" t="s">
        <v>2129</v>
      </c>
      <c r="AT197" t="s">
        <v>2129</v>
      </c>
      <c r="AU197" t="s">
        <v>2129</v>
      </c>
      <c r="AV197" t="s">
        <v>2129</v>
      </c>
      <c r="AW197" t="s">
        <v>2129</v>
      </c>
      <c r="AX197" t="s">
        <v>2129</v>
      </c>
      <c r="AY197" t="s">
        <v>2129</v>
      </c>
      <c r="AZ197" t="s">
        <v>2129</v>
      </c>
      <c r="BA197" t="s">
        <v>2129</v>
      </c>
      <c r="BB197" t="s">
        <v>2129</v>
      </c>
      <c r="BC197" t="s">
        <v>2129</v>
      </c>
      <c r="BD197" t="s">
        <v>2129</v>
      </c>
      <c r="BE197" t="s">
        <v>2129</v>
      </c>
      <c r="BF197" t="s">
        <v>2129</v>
      </c>
      <c r="BG197" t="s">
        <v>2129</v>
      </c>
      <c r="BH197" t="s">
        <v>2129</v>
      </c>
      <c r="BI197" t="s">
        <v>2129</v>
      </c>
      <c r="BJ197" t="s">
        <v>2129</v>
      </c>
      <c r="BK197" t="s">
        <v>2129</v>
      </c>
      <c r="BL197" t="s">
        <v>2129</v>
      </c>
      <c r="BM197" t="s">
        <v>2129</v>
      </c>
      <c r="BN197" t="s">
        <v>2129</v>
      </c>
      <c r="BO197" t="s">
        <v>2129</v>
      </c>
      <c r="BP197" t="s">
        <v>2129</v>
      </c>
      <c r="BS197" t="s">
        <v>2129</v>
      </c>
      <c r="BT197" t="s">
        <v>2129</v>
      </c>
      <c r="BW197" t="s">
        <v>2129</v>
      </c>
      <c r="BX197" t="s">
        <v>2129</v>
      </c>
      <c r="BY197" t="s">
        <v>2129</v>
      </c>
      <c r="BZ197" t="s">
        <v>4339</v>
      </c>
      <c r="CA197" t="s">
        <v>4340</v>
      </c>
      <c r="CB197" t="s">
        <v>2129</v>
      </c>
      <c r="CC197" t="s">
        <v>2129</v>
      </c>
      <c r="CD197" t="s">
        <v>2129</v>
      </c>
      <c r="CE197" t="s">
        <v>2129</v>
      </c>
      <c r="CF197" t="s">
        <v>2129</v>
      </c>
      <c r="CG197" t="s">
        <v>2129</v>
      </c>
      <c r="CH197" t="s">
        <v>2129</v>
      </c>
      <c r="CI197" t="s">
        <v>2129</v>
      </c>
      <c r="CJ197" t="s">
        <v>2129</v>
      </c>
      <c r="CK197" t="s">
        <v>2129</v>
      </c>
      <c r="CL197" t="s">
        <v>2129</v>
      </c>
      <c r="CM197" t="s">
        <v>2129</v>
      </c>
      <c r="CN197" t="s">
        <v>2129</v>
      </c>
      <c r="CO197" t="s">
        <v>2129</v>
      </c>
      <c r="CP197" t="s">
        <v>2129</v>
      </c>
      <c r="CQ197" t="s">
        <v>2129</v>
      </c>
      <c r="CR197" t="s">
        <v>2129</v>
      </c>
      <c r="CS197" t="s">
        <v>2129</v>
      </c>
      <c r="CT197" t="s">
        <v>4341</v>
      </c>
      <c r="CU197" t="s">
        <v>4291</v>
      </c>
      <c r="CV197" t="s">
        <v>2129</v>
      </c>
      <c r="CW197" t="s">
        <v>2129</v>
      </c>
      <c r="CX197" t="s">
        <v>2129</v>
      </c>
      <c r="CY197" t="s">
        <v>2129</v>
      </c>
      <c r="CZ197" t="s">
        <v>2129</v>
      </c>
      <c r="DA197" t="s">
        <v>2129</v>
      </c>
      <c r="DB197" t="s">
        <v>2129</v>
      </c>
      <c r="DC197" t="s">
        <v>2129</v>
      </c>
      <c r="DD197" t="s">
        <v>2129</v>
      </c>
      <c r="DE197" t="s">
        <v>2129</v>
      </c>
      <c r="DF197" t="s">
        <v>2129</v>
      </c>
      <c r="DG197" t="s">
        <v>2129</v>
      </c>
      <c r="DH197" t="s">
        <v>2129</v>
      </c>
      <c r="DJ197" t="s">
        <v>2129</v>
      </c>
      <c r="DK197" t="s">
        <v>2129</v>
      </c>
      <c r="DL197" t="s">
        <v>2129</v>
      </c>
      <c r="DM197" t="s">
        <v>2129</v>
      </c>
      <c r="DN197" t="s">
        <v>2129</v>
      </c>
      <c r="DO197" t="s">
        <v>2129</v>
      </c>
      <c r="DP197" t="s">
        <v>2129</v>
      </c>
      <c r="DQ197" t="s">
        <v>2129</v>
      </c>
      <c r="DR197" t="s">
        <v>2129</v>
      </c>
      <c r="DS197" t="s">
        <v>2129</v>
      </c>
      <c r="DT197" t="s">
        <v>2129</v>
      </c>
      <c r="DU197" t="s">
        <v>2129</v>
      </c>
      <c r="DV197" t="s">
        <v>2129</v>
      </c>
      <c r="DW197" t="s">
        <v>2129</v>
      </c>
      <c r="DX197" t="s">
        <v>2129</v>
      </c>
      <c r="DY197" t="s">
        <v>2129</v>
      </c>
      <c r="DZ197" t="s">
        <v>2129</v>
      </c>
      <c r="EA197" t="s">
        <v>2129</v>
      </c>
      <c r="EB197" t="s">
        <v>2129</v>
      </c>
      <c r="EC197" t="s">
        <v>2129</v>
      </c>
      <c r="ED197" t="s">
        <v>2129</v>
      </c>
      <c r="EE197" t="s">
        <v>2129</v>
      </c>
      <c r="EF197" t="s">
        <v>2129</v>
      </c>
      <c r="EG197" t="s">
        <v>2129</v>
      </c>
      <c r="EH197" t="s">
        <v>2129</v>
      </c>
    </row>
    <row r="198" spans="1:138" x14ac:dyDescent="0.25">
      <c r="A198" t="s">
        <v>4342</v>
      </c>
      <c r="B198" t="s">
        <v>4343</v>
      </c>
      <c r="C198">
        <v>23124</v>
      </c>
      <c r="E198" t="s">
        <v>77</v>
      </c>
      <c r="F198" t="s">
        <v>10</v>
      </c>
      <c r="G198" t="s">
        <v>3081</v>
      </c>
      <c r="H198" t="s">
        <v>991</v>
      </c>
      <c r="I198" t="s">
        <v>2127</v>
      </c>
      <c r="J198" t="s">
        <v>2152</v>
      </c>
      <c r="K198" t="s">
        <v>2129</v>
      </c>
      <c r="L198" t="s">
        <v>2129</v>
      </c>
      <c r="M198" t="s">
        <v>2130</v>
      </c>
      <c r="N198" t="s">
        <v>2129</v>
      </c>
      <c r="O198" t="s">
        <v>2141</v>
      </c>
      <c r="P198" t="s">
        <v>2141</v>
      </c>
      <c r="Q198" t="s">
        <v>2141</v>
      </c>
      <c r="R198" s="37">
        <v>46087.713888888888</v>
      </c>
      <c r="S198" s="37">
        <v>46091.45208333333</v>
      </c>
      <c r="T198" s="37">
        <v>46100.368750000001</v>
      </c>
      <c r="U198" s="37"/>
      <c r="V198" t="s">
        <v>2129</v>
      </c>
      <c r="W198" t="s">
        <v>2129</v>
      </c>
      <c r="X198" t="s">
        <v>2129</v>
      </c>
      <c r="Y198">
        <v>0</v>
      </c>
      <c r="Z198" t="s">
        <v>2129</v>
      </c>
      <c r="AA198" t="s">
        <v>4344</v>
      </c>
      <c r="AB198" t="s">
        <v>2129</v>
      </c>
      <c r="AC198" t="s">
        <v>2141</v>
      </c>
      <c r="AD198" t="s">
        <v>2129</v>
      </c>
      <c r="AE198" t="s">
        <v>2129</v>
      </c>
      <c r="AF198" t="s">
        <v>2129</v>
      </c>
      <c r="AG198" t="s">
        <v>2129</v>
      </c>
      <c r="AH198" t="s">
        <v>2129</v>
      </c>
      <c r="AI198" t="s">
        <v>2129</v>
      </c>
      <c r="AJ198" t="s">
        <v>2129</v>
      </c>
      <c r="AK198" t="s">
        <v>2129</v>
      </c>
      <c r="AL198" t="s">
        <v>2129</v>
      </c>
      <c r="AM198" t="s">
        <v>2129</v>
      </c>
      <c r="AN198" t="s">
        <v>2129</v>
      </c>
      <c r="AO198" t="s">
        <v>2129</v>
      </c>
      <c r="AP198" t="s">
        <v>2129</v>
      </c>
      <c r="AQ198" t="s">
        <v>2129</v>
      </c>
      <c r="AR198" t="s">
        <v>2129</v>
      </c>
      <c r="AS198" t="s">
        <v>2129</v>
      </c>
      <c r="AT198" t="s">
        <v>2129</v>
      </c>
      <c r="AU198" t="s">
        <v>2129</v>
      </c>
      <c r="AV198" t="s">
        <v>2129</v>
      </c>
      <c r="AW198" t="s">
        <v>2129</v>
      </c>
      <c r="AX198" t="s">
        <v>2129</v>
      </c>
      <c r="AY198" t="s">
        <v>2129</v>
      </c>
      <c r="AZ198" t="s">
        <v>2129</v>
      </c>
      <c r="BA198" t="s">
        <v>2129</v>
      </c>
      <c r="BB198" t="s">
        <v>2129</v>
      </c>
      <c r="BC198" t="s">
        <v>2129</v>
      </c>
      <c r="BD198" t="s">
        <v>2129</v>
      </c>
      <c r="BE198" t="s">
        <v>2129</v>
      </c>
      <c r="BF198" t="s">
        <v>2129</v>
      </c>
      <c r="BG198" t="s">
        <v>2129</v>
      </c>
      <c r="BH198" t="s">
        <v>2129</v>
      </c>
      <c r="BI198" t="s">
        <v>2129</v>
      </c>
      <c r="BJ198" t="s">
        <v>2129</v>
      </c>
      <c r="BK198" t="s">
        <v>2129</v>
      </c>
      <c r="BL198" t="s">
        <v>2129</v>
      </c>
      <c r="BM198" t="s">
        <v>2129</v>
      </c>
      <c r="BN198" t="s">
        <v>2129</v>
      </c>
      <c r="BO198" t="s">
        <v>2129</v>
      </c>
      <c r="BP198" t="s">
        <v>2129</v>
      </c>
      <c r="BS198" t="s">
        <v>2129</v>
      </c>
      <c r="BT198" t="s">
        <v>2129</v>
      </c>
      <c r="BW198" t="s">
        <v>2129</v>
      </c>
      <c r="BX198" t="s">
        <v>2129</v>
      </c>
      <c r="BY198" t="s">
        <v>2129</v>
      </c>
      <c r="BZ198" t="s">
        <v>2129</v>
      </c>
      <c r="CA198" t="s">
        <v>2129</v>
      </c>
      <c r="CB198" t="s">
        <v>2129</v>
      </c>
      <c r="CC198" t="s">
        <v>2129</v>
      </c>
      <c r="CD198" t="s">
        <v>2129</v>
      </c>
      <c r="CE198" t="s">
        <v>2129</v>
      </c>
      <c r="CF198" t="s">
        <v>2129</v>
      </c>
      <c r="CG198" t="s">
        <v>2129</v>
      </c>
      <c r="CH198" t="s">
        <v>2129</v>
      </c>
      <c r="CI198" t="s">
        <v>2129</v>
      </c>
      <c r="CJ198" t="s">
        <v>2129</v>
      </c>
      <c r="CK198" t="s">
        <v>2129</v>
      </c>
      <c r="CL198" t="s">
        <v>2129</v>
      </c>
      <c r="CM198" t="s">
        <v>2129</v>
      </c>
      <c r="CN198" t="s">
        <v>2129</v>
      </c>
      <c r="CO198" t="s">
        <v>2129</v>
      </c>
      <c r="CP198" t="s">
        <v>2129</v>
      </c>
      <c r="CQ198" t="s">
        <v>2129</v>
      </c>
      <c r="CR198" t="s">
        <v>2129</v>
      </c>
      <c r="CS198" t="s">
        <v>2129</v>
      </c>
      <c r="CT198" t="s">
        <v>4345</v>
      </c>
      <c r="CU198" t="s">
        <v>2129</v>
      </c>
      <c r="CV198" t="s">
        <v>2129</v>
      </c>
      <c r="CW198" t="s">
        <v>2129</v>
      </c>
      <c r="CX198" t="s">
        <v>2129</v>
      </c>
      <c r="CY198" t="s">
        <v>2129</v>
      </c>
      <c r="CZ198" t="s">
        <v>2129</v>
      </c>
      <c r="DA198" t="s">
        <v>2129</v>
      </c>
      <c r="DB198" t="s">
        <v>2129</v>
      </c>
      <c r="DC198" t="s">
        <v>2129</v>
      </c>
      <c r="DD198" t="s">
        <v>2129</v>
      </c>
      <c r="DE198" t="s">
        <v>2129</v>
      </c>
      <c r="DF198" t="s">
        <v>2129</v>
      </c>
      <c r="DG198" t="s">
        <v>2129</v>
      </c>
      <c r="DH198" t="s">
        <v>2129</v>
      </c>
      <c r="DJ198" t="s">
        <v>2129</v>
      </c>
      <c r="DK198" t="s">
        <v>2129</v>
      </c>
      <c r="DL198" t="s">
        <v>2129</v>
      </c>
      <c r="DM198" t="s">
        <v>2129</v>
      </c>
      <c r="DN198" t="s">
        <v>2129</v>
      </c>
      <c r="DO198" t="s">
        <v>2129</v>
      </c>
      <c r="DP198" t="s">
        <v>2129</v>
      </c>
      <c r="DQ198" t="s">
        <v>2129</v>
      </c>
      <c r="DR198" t="s">
        <v>2129</v>
      </c>
      <c r="DS198" t="s">
        <v>2129</v>
      </c>
      <c r="DT198" t="s">
        <v>2129</v>
      </c>
      <c r="DU198" t="s">
        <v>2129</v>
      </c>
      <c r="DV198" t="s">
        <v>2129</v>
      </c>
      <c r="DW198" t="s">
        <v>2129</v>
      </c>
      <c r="DX198" t="s">
        <v>2129</v>
      </c>
      <c r="DY198" t="s">
        <v>2129</v>
      </c>
      <c r="DZ198" t="s">
        <v>2129</v>
      </c>
      <c r="EA198" t="s">
        <v>2129</v>
      </c>
      <c r="EB198" t="s">
        <v>2129</v>
      </c>
      <c r="EC198" t="s">
        <v>2129</v>
      </c>
      <c r="ED198" t="s">
        <v>2129</v>
      </c>
      <c r="EE198" t="s">
        <v>2129</v>
      </c>
      <c r="EF198" t="s">
        <v>2129</v>
      </c>
      <c r="EG198" t="s">
        <v>2129</v>
      </c>
      <c r="EH198" t="s">
        <v>2129</v>
      </c>
    </row>
    <row r="199" spans="1:138" x14ac:dyDescent="0.25">
      <c r="A199" t="s">
        <v>4346</v>
      </c>
      <c r="B199" t="s">
        <v>4347</v>
      </c>
      <c r="C199">
        <v>23118</v>
      </c>
      <c r="E199" t="s">
        <v>77</v>
      </c>
      <c r="F199" t="s">
        <v>10</v>
      </c>
      <c r="G199" t="s">
        <v>3081</v>
      </c>
      <c r="H199" t="s">
        <v>991</v>
      </c>
      <c r="I199" t="s">
        <v>2127</v>
      </c>
      <c r="J199" t="s">
        <v>2152</v>
      </c>
      <c r="K199" t="s">
        <v>2129</v>
      </c>
      <c r="L199" t="s">
        <v>2129</v>
      </c>
      <c r="M199" t="s">
        <v>2130</v>
      </c>
      <c r="N199" t="s">
        <v>2129</v>
      </c>
      <c r="O199" t="s">
        <v>2141</v>
      </c>
      <c r="P199" t="s">
        <v>2141</v>
      </c>
      <c r="Q199" t="s">
        <v>2141</v>
      </c>
      <c r="R199" s="37">
        <v>46087.703472222223</v>
      </c>
      <c r="S199" s="37">
        <v>46099.604861111111</v>
      </c>
      <c r="T199" s="37">
        <v>46100.368750000001</v>
      </c>
      <c r="U199" s="37"/>
      <c r="V199" t="s">
        <v>2129</v>
      </c>
      <c r="W199" t="s">
        <v>2129</v>
      </c>
      <c r="X199" t="s">
        <v>2129</v>
      </c>
      <c r="Y199">
        <v>0</v>
      </c>
      <c r="Z199" t="s">
        <v>2129</v>
      </c>
      <c r="AA199" t="s">
        <v>4348</v>
      </c>
      <c r="AB199" t="s">
        <v>2129</v>
      </c>
      <c r="AC199" t="s">
        <v>2141</v>
      </c>
      <c r="AD199" t="s">
        <v>2129</v>
      </c>
      <c r="AE199" t="s">
        <v>2129</v>
      </c>
      <c r="AF199" t="s">
        <v>2129</v>
      </c>
      <c r="AG199" t="s">
        <v>2129</v>
      </c>
      <c r="AH199" t="s">
        <v>2129</v>
      </c>
      <c r="AI199" t="s">
        <v>2129</v>
      </c>
      <c r="AJ199" t="s">
        <v>2129</v>
      </c>
      <c r="AK199" t="s">
        <v>2129</v>
      </c>
      <c r="AL199" t="s">
        <v>2129</v>
      </c>
      <c r="AM199" t="s">
        <v>2129</v>
      </c>
      <c r="AN199" t="s">
        <v>2129</v>
      </c>
      <c r="AO199" t="s">
        <v>2129</v>
      </c>
      <c r="AP199" t="s">
        <v>2129</v>
      </c>
      <c r="AQ199" t="s">
        <v>2129</v>
      </c>
      <c r="AR199" t="s">
        <v>2129</v>
      </c>
      <c r="AS199" t="s">
        <v>2129</v>
      </c>
      <c r="AT199" t="s">
        <v>2129</v>
      </c>
      <c r="AU199" t="s">
        <v>2129</v>
      </c>
      <c r="AV199" t="s">
        <v>2129</v>
      </c>
      <c r="AW199" t="s">
        <v>2129</v>
      </c>
      <c r="AX199" t="s">
        <v>2129</v>
      </c>
      <c r="AY199" t="s">
        <v>2129</v>
      </c>
      <c r="AZ199" t="s">
        <v>2129</v>
      </c>
      <c r="BA199" t="s">
        <v>2129</v>
      </c>
      <c r="BB199" t="s">
        <v>2129</v>
      </c>
      <c r="BC199" t="s">
        <v>2129</v>
      </c>
      <c r="BD199" t="s">
        <v>2129</v>
      </c>
      <c r="BE199" t="s">
        <v>2129</v>
      </c>
      <c r="BF199" t="s">
        <v>2129</v>
      </c>
      <c r="BG199" t="s">
        <v>2129</v>
      </c>
      <c r="BH199" t="s">
        <v>2129</v>
      </c>
      <c r="BI199" t="s">
        <v>2129</v>
      </c>
      <c r="BJ199" t="s">
        <v>2129</v>
      </c>
      <c r="BK199" t="s">
        <v>2129</v>
      </c>
      <c r="BL199" t="s">
        <v>2129</v>
      </c>
      <c r="BM199" t="s">
        <v>2129</v>
      </c>
      <c r="BN199" t="s">
        <v>2129</v>
      </c>
      <c r="BO199" t="s">
        <v>2129</v>
      </c>
      <c r="BP199" t="s">
        <v>2129</v>
      </c>
      <c r="BS199" t="s">
        <v>2129</v>
      </c>
      <c r="BT199" t="s">
        <v>2129</v>
      </c>
      <c r="BW199" t="s">
        <v>2129</v>
      </c>
      <c r="BX199" t="s">
        <v>2129</v>
      </c>
      <c r="BY199" t="s">
        <v>2129</v>
      </c>
      <c r="BZ199" t="s">
        <v>4349</v>
      </c>
      <c r="CA199" t="s">
        <v>4350</v>
      </c>
      <c r="CB199" t="s">
        <v>4351</v>
      </c>
      <c r="CC199" t="s">
        <v>4352</v>
      </c>
      <c r="CD199" t="s">
        <v>2129</v>
      </c>
      <c r="CE199" t="s">
        <v>2129</v>
      </c>
      <c r="CF199" t="s">
        <v>2129</v>
      </c>
      <c r="CG199" t="s">
        <v>2129</v>
      </c>
      <c r="CH199" t="s">
        <v>2129</v>
      </c>
      <c r="CI199" t="s">
        <v>2129</v>
      </c>
      <c r="CJ199" t="s">
        <v>2129</v>
      </c>
      <c r="CK199" t="s">
        <v>2129</v>
      </c>
      <c r="CL199" t="s">
        <v>2129</v>
      </c>
      <c r="CM199" t="s">
        <v>2129</v>
      </c>
      <c r="CN199" t="s">
        <v>2129</v>
      </c>
      <c r="CO199" t="s">
        <v>2129</v>
      </c>
      <c r="CP199" t="s">
        <v>2129</v>
      </c>
      <c r="CQ199" t="s">
        <v>2129</v>
      </c>
      <c r="CR199" t="s">
        <v>2129</v>
      </c>
      <c r="CS199" t="s">
        <v>2129</v>
      </c>
      <c r="CT199" t="s">
        <v>4353</v>
      </c>
      <c r="CU199" t="s">
        <v>4291</v>
      </c>
      <c r="CV199" t="s">
        <v>2129</v>
      </c>
      <c r="CW199" t="s">
        <v>2129</v>
      </c>
      <c r="CX199" t="s">
        <v>2129</v>
      </c>
      <c r="CY199" t="s">
        <v>2129</v>
      </c>
      <c r="CZ199" t="s">
        <v>2129</v>
      </c>
      <c r="DA199" t="s">
        <v>2129</v>
      </c>
      <c r="DB199" t="s">
        <v>2129</v>
      </c>
      <c r="DC199" t="s">
        <v>2129</v>
      </c>
      <c r="DD199" t="s">
        <v>2129</v>
      </c>
      <c r="DE199" t="s">
        <v>2129</v>
      </c>
      <c r="DF199" t="s">
        <v>2129</v>
      </c>
      <c r="DG199" t="s">
        <v>2129</v>
      </c>
      <c r="DH199" t="s">
        <v>2129</v>
      </c>
      <c r="DJ199" t="s">
        <v>2129</v>
      </c>
      <c r="DK199" t="s">
        <v>2129</v>
      </c>
      <c r="DL199" t="s">
        <v>2129</v>
      </c>
      <c r="DM199" t="s">
        <v>2129</v>
      </c>
      <c r="DN199" t="s">
        <v>2129</v>
      </c>
      <c r="DO199" t="s">
        <v>2129</v>
      </c>
      <c r="DP199" t="s">
        <v>2129</v>
      </c>
      <c r="DQ199" t="s">
        <v>2129</v>
      </c>
      <c r="DR199" t="s">
        <v>2129</v>
      </c>
      <c r="DS199" t="s">
        <v>2129</v>
      </c>
      <c r="DT199" t="s">
        <v>2129</v>
      </c>
      <c r="DU199" t="s">
        <v>2129</v>
      </c>
      <c r="DV199" t="s">
        <v>2129</v>
      </c>
      <c r="DW199" t="s">
        <v>2129</v>
      </c>
      <c r="DX199" t="s">
        <v>2129</v>
      </c>
      <c r="DY199" t="s">
        <v>2129</v>
      </c>
      <c r="DZ199" t="s">
        <v>2129</v>
      </c>
      <c r="EA199" t="s">
        <v>2129</v>
      </c>
      <c r="EB199" t="s">
        <v>2129</v>
      </c>
      <c r="EC199" t="s">
        <v>2129</v>
      </c>
      <c r="ED199" t="s">
        <v>2129</v>
      </c>
      <c r="EE199" t="s">
        <v>2129</v>
      </c>
      <c r="EF199" t="s">
        <v>2129</v>
      </c>
      <c r="EG199" t="s">
        <v>2129</v>
      </c>
      <c r="EH199" t="s">
        <v>2129</v>
      </c>
    </row>
    <row r="200" spans="1:138" x14ac:dyDescent="0.25">
      <c r="A200" t="s">
        <v>4354</v>
      </c>
      <c r="B200" t="s">
        <v>4355</v>
      </c>
      <c r="C200">
        <v>23117</v>
      </c>
      <c r="E200" t="s">
        <v>77</v>
      </c>
      <c r="F200" t="s">
        <v>10</v>
      </c>
      <c r="G200" t="s">
        <v>3081</v>
      </c>
      <c r="H200" t="s">
        <v>991</v>
      </c>
      <c r="I200" t="s">
        <v>2127</v>
      </c>
      <c r="J200" t="s">
        <v>2152</v>
      </c>
      <c r="K200" t="s">
        <v>2129</v>
      </c>
      <c r="L200" t="s">
        <v>2129</v>
      </c>
      <c r="M200" t="s">
        <v>2130</v>
      </c>
      <c r="N200" t="s">
        <v>2129</v>
      </c>
      <c r="O200" t="s">
        <v>2305</v>
      </c>
      <c r="P200" t="s">
        <v>2141</v>
      </c>
      <c r="Q200" t="s">
        <v>2141</v>
      </c>
      <c r="R200" s="37">
        <v>46087.679166666669</v>
      </c>
      <c r="S200" s="37">
        <v>46099.603472222225</v>
      </c>
      <c r="T200" s="37">
        <v>46100.368750000001</v>
      </c>
      <c r="U200" s="37"/>
      <c r="V200" t="s">
        <v>2129</v>
      </c>
      <c r="W200" t="s">
        <v>2129</v>
      </c>
      <c r="X200" t="s">
        <v>2129</v>
      </c>
      <c r="Y200">
        <v>0</v>
      </c>
      <c r="Z200" t="s">
        <v>2129</v>
      </c>
      <c r="AA200" t="s">
        <v>4356</v>
      </c>
      <c r="AB200" t="s">
        <v>2129</v>
      </c>
      <c r="AC200" t="s">
        <v>2141</v>
      </c>
      <c r="AD200" t="s">
        <v>2129</v>
      </c>
      <c r="AE200" t="s">
        <v>2129</v>
      </c>
      <c r="AF200" t="s">
        <v>2129</v>
      </c>
      <c r="AG200" t="s">
        <v>2129</v>
      </c>
      <c r="AH200" t="s">
        <v>2129</v>
      </c>
      <c r="AI200" t="s">
        <v>2129</v>
      </c>
      <c r="AJ200" t="s">
        <v>2129</v>
      </c>
      <c r="AK200" t="s">
        <v>2129</v>
      </c>
      <c r="AL200" t="s">
        <v>2129</v>
      </c>
      <c r="AM200" t="s">
        <v>2129</v>
      </c>
      <c r="AN200" t="s">
        <v>2129</v>
      </c>
      <c r="AO200" t="s">
        <v>2129</v>
      </c>
      <c r="AP200" t="s">
        <v>2129</v>
      </c>
      <c r="AQ200" t="s">
        <v>2129</v>
      </c>
      <c r="AR200" t="s">
        <v>2129</v>
      </c>
      <c r="AS200" t="s">
        <v>2129</v>
      </c>
      <c r="AT200" t="s">
        <v>2129</v>
      </c>
      <c r="AU200" t="s">
        <v>2129</v>
      </c>
      <c r="AV200" t="s">
        <v>2129</v>
      </c>
      <c r="AW200" t="s">
        <v>2129</v>
      </c>
      <c r="AX200" t="s">
        <v>2129</v>
      </c>
      <c r="AY200" t="s">
        <v>2129</v>
      </c>
      <c r="AZ200" t="s">
        <v>2129</v>
      </c>
      <c r="BA200" t="s">
        <v>2129</v>
      </c>
      <c r="BB200" t="s">
        <v>2129</v>
      </c>
      <c r="BC200" t="s">
        <v>2129</v>
      </c>
      <c r="BD200" t="s">
        <v>2129</v>
      </c>
      <c r="BE200" t="s">
        <v>2129</v>
      </c>
      <c r="BF200" t="s">
        <v>2129</v>
      </c>
      <c r="BG200" t="s">
        <v>2129</v>
      </c>
      <c r="BH200" t="s">
        <v>2129</v>
      </c>
      <c r="BI200" t="s">
        <v>2129</v>
      </c>
      <c r="BJ200" t="s">
        <v>2129</v>
      </c>
      <c r="BK200" t="s">
        <v>2129</v>
      </c>
      <c r="BL200" t="s">
        <v>2129</v>
      </c>
      <c r="BM200" t="s">
        <v>2129</v>
      </c>
      <c r="BN200" t="s">
        <v>2129</v>
      </c>
      <c r="BO200" t="s">
        <v>2129</v>
      </c>
      <c r="BP200" t="s">
        <v>2129</v>
      </c>
      <c r="BS200" t="s">
        <v>2129</v>
      </c>
      <c r="BT200" t="s">
        <v>2129</v>
      </c>
      <c r="BW200" t="s">
        <v>2129</v>
      </c>
      <c r="BX200" t="s">
        <v>2129</v>
      </c>
      <c r="BY200" t="s">
        <v>2129</v>
      </c>
      <c r="BZ200" t="s">
        <v>4357</v>
      </c>
      <c r="CA200" t="s">
        <v>2129</v>
      </c>
      <c r="CB200" t="s">
        <v>2129</v>
      </c>
      <c r="CC200" t="s">
        <v>2129</v>
      </c>
      <c r="CD200" t="s">
        <v>2129</v>
      </c>
      <c r="CE200" t="s">
        <v>2129</v>
      </c>
      <c r="CF200" t="s">
        <v>2129</v>
      </c>
      <c r="CG200" t="s">
        <v>2129</v>
      </c>
      <c r="CH200" t="s">
        <v>2129</v>
      </c>
      <c r="CI200" t="s">
        <v>2129</v>
      </c>
      <c r="CJ200" t="s">
        <v>2129</v>
      </c>
      <c r="CK200" t="s">
        <v>2129</v>
      </c>
      <c r="CL200" t="s">
        <v>2129</v>
      </c>
      <c r="CM200" t="s">
        <v>2129</v>
      </c>
      <c r="CN200" t="s">
        <v>2129</v>
      </c>
      <c r="CO200" t="s">
        <v>2129</v>
      </c>
      <c r="CP200" t="s">
        <v>2129</v>
      </c>
      <c r="CQ200" t="s">
        <v>2129</v>
      </c>
      <c r="CR200" t="s">
        <v>2129</v>
      </c>
      <c r="CS200" t="s">
        <v>2129</v>
      </c>
      <c r="CT200" t="s">
        <v>4358</v>
      </c>
      <c r="CU200" t="s">
        <v>2129</v>
      </c>
      <c r="CV200" t="s">
        <v>2129</v>
      </c>
      <c r="CW200" t="s">
        <v>2129</v>
      </c>
      <c r="CX200" t="s">
        <v>2129</v>
      </c>
      <c r="CY200" t="s">
        <v>2129</v>
      </c>
      <c r="CZ200" t="s">
        <v>2129</v>
      </c>
      <c r="DA200" t="s">
        <v>2129</v>
      </c>
      <c r="DB200" t="s">
        <v>2129</v>
      </c>
      <c r="DC200" t="s">
        <v>2129</v>
      </c>
      <c r="DD200" t="s">
        <v>2129</v>
      </c>
      <c r="DE200" t="s">
        <v>2129</v>
      </c>
      <c r="DF200" t="s">
        <v>2129</v>
      </c>
      <c r="DG200" t="s">
        <v>2129</v>
      </c>
      <c r="DH200" t="s">
        <v>2129</v>
      </c>
      <c r="DJ200" t="s">
        <v>2129</v>
      </c>
      <c r="DK200" t="s">
        <v>2129</v>
      </c>
      <c r="DL200" t="s">
        <v>2129</v>
      </c>
      <c r="DM200" t="s">
        <v>2129</v>
      </c>
      <c r="DN200" t="s">
        <v>2129</v>
      </c>
      <c r="DO200" t="s">
        <v>2129</v>
      </c>
      <c r="DP200" t="s">
        <v>2129</v>
      </c>
      <c r="DQ200" t="s">
        <v>2129</v>
      </c>
      <c r="DR200" t="s">
        <v>2129</v>
      </c>
      <c r="DS200" t="s">
        <v>2129</v>
      </c>
      <c r="DT200" t="s">
        <v>2129</v>
      </c>
      <c r="DU200" t="s">
        <v>2129</v>
      </c>
      <c r="DV200" t="s">
        <v>2129</v>
      </c>
      <c r="DW200" t="s">
        <v>2129</v>
      </c>
      <c r="DX200" t="s">
        <v>2129</v>
      </c>
      <c r="DY200" t="s">
        <v>2129</v>
      </c>
      <c r="DZ200" t="s">
        <v>2129</v>
      </c>
      <c r="EA200" t="s">
        <v>2129</v>
      </c>
      <c r="EB200" t="s">
        <v>2129</v>
      </c>
      <c r="EC200" t="s">
        <v>2129</v>
      </c>
      <c r="ED200" t="s">
        <v>2129</v>
      </c>
      <c r="EE200" t="s">
        <v>2129</v>
      </c>
      <c r="EF200" t="s">
        <v>2129</v>
      </c>
      <c r="EG200" t="s">
        <v>2129</v>
      </c>
      <c r="EH200" t="s">
        <v>2129</v>
      </c>
    </row>
    <row r="201" spans="1:138" x14ac:dyDescent="0.25">
      <c r="A201" t="s">
        <v>4359</v>
      </c>
      <c r="B201" t="s">
        <v>4360</v>
      </c>
      <c r="C201">
        <v>23116</v>
      </c>
      <c r="E201" t="s">
        <v>77</v>
      </c>
      <c r="F201" t="s">
        <v>10</v>
      </c>
      <c r="G201" t="s">
        <v>3081</v>
      </c>
      <c r="H201" t="s">
        <v>991</v>
      </c>
      <c r="I201" t="s">
        <v>2127</v>
      </c>
      <c r="J201" t="s">
        <v>2152</v>
      </c>
      <c r="K201" t="s">
        <v>2129</v>
      </c>
      <c r="L201" t="s">
        <v>2129</v>
      </c>
      <c r="M201" t="s">
        <v>2130</v>
      </c>
      <c r="N201" t="s">
        <v>2129</v>
      </c>
      <c r="O201" t="s">
        <v>2141</v>
      </c>
      <c r="P201" t="s">
        <v>2141</v>
      </c>
      <c r="Q201" t="s">
        <v>2141</v>
      </c>
      <c r="R201" s="37">
        <v>46087.667361111111</v>
      </c>
      <c r="S201" s="37">
        <v>46099.611805555556</v>
      </c>
      <c r="T201" s="37">
        <v>46100.368750000001</v>
      </c>
      <c r="U201" s="37"/>
      <c r="V201" t="s">
        <v>2129</v>
      </c>
      <c r="W201" t="s">
        <v>2129</v>
      </c>
      <c r="X201" t="s">
        <v>2129</v>
      </c>
      <c r="Y201">
        <v>0</v>
      </c>
      <c r="Z201" t="s">
        <v>2129</v>
      </c>
      <c r="AA201" t="s">
        <v>4361</v>
      </c>
      <c r="AB201" t="s">
        <v>2129</v>
      </c>
      <c r="AC201" t="s">
        <v>2141</v>
      </c>
      <c r="AD201" t="s">
        <v>2129</v>
      </c>
      <c r="AE201" t="s">
        <v>2129</v>
      </c>
      <c r="AF201" t="s">
        <v>2129</v>
      </c>
      <c r="AG201" t="s">
        <v>2129</v>
      </c>
      <c r="AH201" t="s">
        <v>2129</v>
      </c>
      <c r="AI201" t="s">
        <v>2129</v>
      </c>
      <c r="AJ201" t="s">
        <v>2129</v>
      </c>
      <c r="AK201" t="s">
        <v>2129</v>
      </c>
      <c r="AL201" t="s">
        <v>2129</v>
      </c>
      <c r="AM201" t="s">
        <v>2129</v>
      </c>
      <c r="AN201" t="s">
        <v>2129</v>
      </c>
      <c r="AO201" t="s">
        <v>2129</v>
      </c>
      <c r="AP201" t="s">
        <v>2129</v>
      </c>
      <c r="AQ201" t="s">
        <v>2129</v>
      </c>
      <c r="AR201" t="s">
        <v>2129</v>
      </c>
      <c r="AS201" t="s">
        <v>2129</v>
      </c>
      <c r="AT201" t="s">
        <v>2129</v>
      </c>
      <c r="AU201" t="s">
        <v>2129</v>
      </c>
      <c r="AV201" t="s">
        <v>2129</v>
      </c>
      <c r="AW201" t="s">
        <v>2129</v>
      </c>
      <c r="AX201" t="s">
        <v>2129</v>
      </c>
      <c r="AY201" t="s">
        <v>2129</v>
      </c>
      <c r="AZ201" t="s">
        <v>2129</v>
      </c>
      <c r="BA201" t="s">
        <v>2129</v>
      </c>
      <c r="BB201" t="s">
        <v>2129</v>
      </c>
      <c r="BC201" t="s">
        <v>2129</v>
      </c>
      <c r="BD201" t="s">
        <v>2129</v>
      </c>
      <c r="BE201" t="s">
        <v>2129</v>
      </c>
      <c r="BF201" t="s">
        <v>2129</v>
      </c>
      <c r="BG201" t="s">
        <v>2129</v>
      </c>
      <c r="BH201" t="s">
        <v>2129</v>
      </c>
      <c r="BI201" t="s">
        <v>2129</v>
      </c>
      <c r="BJ201" t="s">
        <v>2129</v>
      </c>
      <c r="BK201" t="s">
        <v>2129</v>
      </c>
      <c r="BL201" t="s">
        <v>2129</v>
      </c>
      <c r="BM201" t="s">
        <v>2129</v>
      </c>
      <c r="BN201" t="s">
        <v>2129</v>
      </c>
      <c r="BO201" t="s">
        <v>2129</v>
      </c>
      <c r="BP201" t="s">
        <v>2129</v>
      </c>
      <c r="BS201" t="s">
        <v>2129</v>
      </c>
      <c r="BT201" t="s">
        <v>2129</v>
      </c>
      <c r="BW201" t="s">
        <v>2129</v>
      </c>
      <c r="BX201" t="s">
        <v>2129</v>
      </c>
      <c r="BY201" t="s">
        <v>2129</v>
      </c>
      <c r="BZ201" t="s">
        <v>4362</v>
      </c>
      <c r="CA201" t="s">
        <v>4363</v>
      </c>
      <c r="CB201" t="s">
        <v>2129</v>
      </c>
      <c r="CC201" t="s">
        <v>2129</v>
      </c>
      <c r="CD201" t="s">
        <v>2129</v>
      </c>
      <c r="CE201" t="s">
        <v>2129</v>
      </c>
      <c r="CF201" t="s">
        <v>2129</v>
      </c>
      <c r="CG201" t="s">
        <v>2129</v>
      </c>
      <c r="CH201" t="s">
        <v>2129</v>
      </c>
      <c r="CI201" t="s">
        <v>2129</v>
      </c>
      <c r="CJ201" t="s">
        <v>2129</v>
      </c>
      <c r="CK201" t="s">
        <v>2129</v>
      </c>
      <c r="CL201" t="s">
        <v>2129</v>
      </c>
      <c r="CM201" t="s">
        <v>2129</v>
      </c>
      <c r="CN201" t="s">
        <v>2129</v>
      </c>
      <c r="CO201" t="s">
        <v>2129</v>
      </c>
      <c r="CP201" t="s">
        <v>2129</v>
      </c>
      <c r="CQ201" t="s">
        <v>2129</v>
      </c>
      <c r="CR201" t="s">
        <v>2129</v>
      </c>
      <c r="CS201" t="s">
        <v>2129</v>
      </c>
      <c r="CT201" t="s">
        <v>4364</v>
      </c>
      <c r="CU201" t="s">
        <v>2129</v>
      </c>
      <c r="CV201" t="s">
        <v>2129</v>
      </c>
      <c r="CW201" t="s">
        <v>2129</v>
      </c>
      <c r="CX201" t="s">
        <v>2129</v>
      </c>
      <c r="CY201" t="s">
        <v>2129</v>
      </c>
      <c r="CZ201" t="s">
        <v>2129</v>
      </c>
      <c r="DA201" t="s">
        <v>2129</v>
      </c>
      <c r="DB201" t="s">
        <v>2129</v>
      </c>
      <c r="DC201" t="s">
        <v>2129</v>
      </c>
      <c r="DD201" t="s">
        <v>2129</v>
      </c>
      <c r="DE201" t="s">
        <v>2129</v>
      </c>
      <c r="DF201" t="s">
        <v>2129</v>
      </c>
      <c r="DG201" t="s">
        <v>2129</v>
      </c>
      <c r="DH201" t="s">
        <v>2129</v>
      </c>
      <c r="DJ201" t="s">
        <v>2129</v>
      </c>
      <c r="DK201" t="s">
        <v>2129</v>
      </c>
      <c r="DL201" t="s">
        <v>2129</v>
      </c>
      <c r="DM201" t="s">
        <v>2129</v>
      </c>
      <c r="DN201" t="s">
        <v>2129</v>
      </c>
      <c r="DO201" t="s">
        <v>2129</v>
      </c>
      <c r="DP201" t="s">
        <v>2129</v>
      </c>
      <c r="DQ201" t="s">
        <v>2129</v>
      </c>
      <c r="DR201" t="s">
        <v>2129</v>
      </c>
      <c r="DS201" t="s">
        <v>2129</v>
      </c>
      <c r="DT201" t="s">
        <v>2129</v>
      </c>
      <c r="DU201" t="s">
        <v>2129</v>
      </c>
      <c r="DV201" t="s">
        <v>2129</v>
      </c>
      <c r="DW201" t="s">
        <v>2129</v>
      </c>
      <c r="DX201" t="s">
        <v>2129</v>
      </c>
      <c r="DY201" t="s">
        <v>2129</v>
      </c>
      <c r="DZ201" t="s">
        <v>2129</v>
      </c>
      <c r="EA201" t="s">
        <v>2129</v>
      </c>
      <c r="EB201" t="s">
        <v>2129</v>
      </c>
      <c r="EC201" t="s">
        <v>2129</v>
      </c>
      <c r="ED201" t="s">
        <v>2129</v>
      </c>
      <c r="EE201" t="s">
        <v>2129</v>
      </c>
      <c r="EF201" t="s">
        <v>2129</v>
      </c>
      <c r="EG201" t="s">
        <v>2129</v>
      </c>
      <c r="EH201" t="s">
        <v>2129</v>
      </c>
    </row>
    <row r="202" spans="1:138" x14ac:dyDescent="0.25">
      <c r="A202" t="s">
        <v>4365</v>
      </c>
      <c r="B202" t="s">
        <v>4366</v>
      </c>
      <c r="C202">
        <v>23115</v>
      </c>
      <c r="E202" t="s">
        <v>77</v>
      </c>
      <c r="F202" t="s">
        <v>10</v>
      </c>
      <c r="G202" t="s">
        <v>3081</v>
      </c>
      <c r="H202" t="s">
        <v>991</v>
      </c>
      <c r="I202" t="s">
        <v>2127</v>
      </c>
      <c r="J202" t="s">
        <v>2152</v>
      </c>
      <c r="K202" t="s">
        <v>2129</v>
      </c>
      <c r="L202" t="s">
        <v>2129</v>
      </c>
      <c r="M202" t="s">
        <v>2130</v>
      </c>
      <c r="N202" t="s">
        <v>2129</v>
      </c>
      <c r="O202" t="s">
        <v>2305</v>
      </c>
      <c r="P202" t="s">
        <v>2141</v>
      </c>
      <c r="Q202" t="s">
        <v>2141</v>
      </c>
      <c r="R202" s="37">
        <v>46087.65625</v>
      </c>
      <c r="S202" s="37">
        <v>46099.615277777775</v>
      </c>
      <c r="T202" s="37">
        <v>46100.368750000001</v>
      </c>
      <c r="U202" s="37"/>
      <c r="V202" t="s">
        <v>2129</v>
      </c>
      <c r="W202" t="s">
        <v>2129</v>
      </c>
      <c r="X202" t="s">
        <v>2129</v>
      </c>
      <c r="Y202">
        <v>0</v>
      </c>
      <c r="Z202" t="s">
        <v>2129</v>
      </c>
      <c r="AA202" t="s">
        <v>4367</v>
      </c>
      <c r="AB202" t="s">
        <v>2129</v>
      </c>
      <c r="AC202" t="s">
        <v>2141</v>
      </c>
      <c r="AD202" t="s">
        <v>2129</v>
      </c>
      <c r="AE202" t="s">
        <v>2129</v>
      </c>
      <c r="AF202" t="s">
        <v>2129</v>
      </c>
      <c r="AG202" t="s">
        <v>2129</v>
      </c>
      <c r="AH202" t="s">
        <v>2129</v>
      </c>
      <c r="AI202" t="s">
        <v>2129</v>
      </c>
      <c r="AJ202" t="s">
        <v>2129</v>
      </c>
      <c r="AK202" t="s">
        <v>2129</v>
      </c>
      <c r="AL202" t="s">
        <v>2129</v>
      </c>
      <c r="AM202" t="s">
        <v>2129</v>
      </c>
      <c r="AN202" t="s">
        <v>2129</v>
      </c>
      <c r="AO202" t="s">
        <v>2129</v>
      </c>
      <c r="AP202" t="s">
        <v>2129</v>
      </c>
      <c r="AQ202" t="s">
        <v>2129</v>
      </c>
      <c r="AR202" t="s">
        <v>2129</v>
      </c>
      <c r="AS202" t="s">
        <v>2129</v>
      </c>
      <c r="AT202" t="s">
        <v>2129</v>
      </c>
      <c r="AU202" t="s">
        <v>2129</v>
      </c>
      <c r="AV202" t="s">
        <v>2129</v>
      </c>
      <c r="AW202" t="s">
        <v>2129</v>
      </c>
      <c r="AX202" t="s">
        <v>2129</v>
      </c>
      <c r="AY202" t="s">
        <v>2129</v>
      </c>
      <c r="AZ202" t="s">
        <v>2129</v>
      </c>
      <c r="BA202" t="s">
        <v>2129</v>
      </c>
      <c r="BB202" t="s">
        <v>2129</v>
      </c>
      <c r="BC202" t="s">
        <v>2129</v>
      </c>
      <c r="BD202" t="s">
        <v>2129</v>
      </c>
      <c r="BE202" t="s">
        <v>2129</v>
      </c>
      <c r="BF202" t="s">
        <v>2129</v>
      </c>
      <c r="BG202" t="s">
        <v>2129</v>
      </c>
      <c r="BH202" t="s">
        <v>2129</v>
      </c>
      <c r="BI202" t="s">
        <v>2129</v>
      </c>
      <c r="BJ202" t="s">
        <v>2129</v>
      </c>
      <c r="BK202" t="s">
        <v>2129</v>
      </c>
      <c r="BL202" t="s">
        <v>2129</v>
      </c>
      <c r="BM202" t="s">
        <v>2129</v>
      </c>
      <c r="BN202" t="s">
        <v>2129</v>
      </c>
      <c r="BO202" t="s">
        <v>2129</v>
      </c>
      <c r="BP202" t="s">
        <v>2129</v>
      </c>
      <c r="BS202" t="s">
        <v>2129</v>
      </c>
      <c r="BT202" t="s">
        <v>2129</v>
      </c>
      <c r="BW202" t="s">
        <v>2129</v>
      </c>
      <c r="BX202" t="s">
        <v>2129</v>
      </c>
      <c r="BY202" t="s">
        <v>2129</v>
      </c>
      <c r="BZ202" t="s">
        <v>4368</v>
      </c>
      <c r="CA202" t="s">
        <v>2129</v>
      </c>
      <c r="CB202" t="s">
        <v>2129</v>
      </c>
      <c r="CC202" t="s">
        <v>2129</v>
      </c>
      <c r="CD202" t="s">
        <v>2129</v>
      </c>
      <c r="CE202" t="s">
        <v>2129</v>
      </c>
      <c r="CF202" t="s">
        <v>2129</v>
      </c>
      <c r="CG202" t="s">
        <v>2129</v>
      </c>
      <c r="CH202" t="s">
        <v>2129</v>
      </c>
      <c r="CI202" t="s">
        <v>2129</v>
      </c>
      <c r="CJ202" t="s">
        <v>2129</v>
      </c>
      <c r="CK202" t="s">
        <v>2129</v>
      </c>
      <c r="CL202" t="s">
        <v>2129</v>
      </c>
      <c r="CM202" t="s">
        <v>2129</v>
      </c>
      <c r="CN202" t="s">
        <v>2129</v>
      </c>
      <c r="CO202" t="s">
        <v>2129</v>
      </c>
      <c r="CP202" t="s">
        <v>2129</v>
      </c>
      <c r="CQ202" t="s">
        <v>2129</v>
      </c>
      <c r="CR202" t="s">
        <v>2129</v>
      </c>
      <c r="CS202" t="s">
        <v>2129</v>
      </c>
      <c r="CT202" t="s">
        <v>4369</v>
      </c>
      <c r="CU202" t="s">
        <v>4291</v>
      </c>
      <c r="CV202" t="s">
        <v>2129</v>
      </c>
      <c r="CW202" t="s">
        <v>2129</v>
      </c>
      <c r="CX202" t="s">
        <v>2129</v>
      </c>
      <c r="CY202" t="s">
        <v>2129</v>
      </c>
      <c r="CZ202" t="s">
        <v>2129</v>
      </c>
      <c r="DA202" t="s">
        <v>2129</v>
      </c>
      <c r="DB202" t="s">
        <v>2129</v>
      </c>
      <c r="DC202" t="s">
        <v>2129</v>
      </c>
      <c r="DD202" t="s">
        <v>2129</v>
      </c>
      <c r="DE202" t="s">
        <v>2129</v>
      </c>
      <c r="DF202" t="s">
        <v>2129</v>
      </c>
      <c r="DG202" t="s">
        <v>2129</v>
      </c>
      <c r="DH202" t="s">
        <v>2129</v>
      </c>
      <c r="DJ202" t="s">
        <v>2129</v>
      </c>
      <c r="DK202" t="s">
        <v>2129</v>
      </c>
      <c r="DL202" t="s">
        <v>2129</v>
      </c>
      <c r="DM202" t="s">
        <v>2129</v>
      </c>
      <c r="DN202" t="s">
        <v>2129</v>
      </c>
      <c r="DO202" t="s">
        <v>2129</v>
      </c>
      <c r="DP202" t="s">
        <v>2129</v>
      </c>
      <c r="DQ202" t="s">
        <v>2129</v>
      </c>
      <c r="DR202" t="s">
        <v>2129</v>
      </c>
      <c r="DS202" t="s">
        <v>2129</v>
      </c>
      <c r="DT202" t="s">
        <v>2129</v>
      </c>
      <c r="DU202" t="s">
        <v>2129</v>
      </c>
      <c r="DV202" t="s">
        <v>2129</v>
      </c>
      <c r="DW202" t="s">
        <v>2129</v>
      </c>
      <c r="DX202" t="s">
        <v>2129</v>
      </c>
      <c r="DY202" t="s">
        <v>2129</v>
      </c>
      <c r="DZ202" t="s">
        <v>2129</v>
      </c>
      <c r="EA202" t="s">
        <v>2129</v>
      </c>
      <c r="EB202" t="s">
        <v>2129</v>
      </c>
      <c r="EC202" t="s">
        <v>2129</v>
      </c>
      <c r="ED202" t="s">
        <v>2129</v>
      </c>
      <c r="EE202" t="s">
        <v>2129</v>
      </c>
      <c r="EF202" t="s">
        <v>2129</v>
      </c>
      <c r="EG202" t="s">
        <v>2129</v>
      </c>
      <c r="EH202" t="s">
        <v>2129</v>
      </c>
    </row>
    <row r="203" spans="1:138" x14ac:dyDescent="0.25">
      <c r="A203" t="s">
        <v>4370</v>
      </c>
      <c r="B203" t="s">
        <v>4371</v>
      </c>
      <c r="C203">
        <v>23109</v>
      </c>
      <c r="E203" t="s">
        <v>77</v>
      </c>
      <c r="F203" t="s">
        <v>10</v>
      </c>
      <c r="G203" t="s">
        <v>3081</v>
      </c>
      <c r="H203" t="s">
        <v>991</v>
      </c>
      <c r="I203" t="s">
        <v>2127</v>
      </c>
      <c r="J203" t="s">
        <v>2152</v>
      </c>
      <c r="K203" t="s">
        <v>2129</v>
      </c>
      <c r="L203" t="s">
        <v>2129</v>
      </c>
      <c r="M203" t="s">
        <v>2130</v>
      </c>
      <c r="N203" t="s">
        <v>2129</v>
      </c>
      <c r="O203" t="s">
        <v>2141</v>
      </c>
      <c r="P203" t="s">
        <v>2141</v>
      </c>
      <c r="Q203" t="s">
        <v>2141</v>
      </c>
      <c r="R203" s="37">
        <v>46087.487500000003</v>
      </c>
      <c r="S203" s="37">
        <v>46090.810416666667</v>
      </c>
      <c r="T203" s="37">
        <v>46100.368750000001</v>
      </c>
      <c r="U203" s="37"/>
      <c r="V203" t="s">
        <v>2129</v>
      </c>
      <c r="W203" t="s">
        <v>2129</v>
      </c>
      <c r="X203" t="s">
        <v>2129</v>
      </c>
      <c r="Y203">
        <v>0</v>
      </c>
      <c r="Z203" t="s">
        <v>2129</v>
      </c>
      <c r="AA203" t="s">
        <v>4372</v>
      </c>
      <c r="AB203" t="s">
        <v>2129</v>
      </c>
      <c r="AC203" t="s">
        <v>2141</v>
      </c>
      <c r="AD203" t="s">
        <v>2129</v>
      </c>
      <c r="AE203" t="s">
        <v>2129</v>
      </c>
      <c r="AF203" t="s">
        <v>2129</v>
      </c>
      <c r="AG203" t="s">
        <v>2129</v>
      </c>
      <c r="AH203" t="s">
        <v>2129</v>
      </c>
      <c r="AI203" t="s">
        <v>2129</v>
      </c>
      <c r="AJ203" t="s">
        <v>2129</v>
      </c>
      <c r="AK203" t="s">
        <v>2129</v>
      </c>
      <c r="AL203" t="s">
        <v>2129</v>
      </c>
      <c r="AM203" t="s">
        <v>2129</v>
      </c>
      <c r="AN203" t="s">
        <v>2129</v>
      </c>
      <c r="AO203" t="s">
        <v>2129</v>
      </c>
      <c r="AP203" t="s">
        <v>2129</v>
      </c>
      <c r="AQ203" t="s">
        <v>2129</v>
      </c>
      <c r="AR203" t="s">
        <v>2129</v>
      </c>
      <c r="AS203" t="s">
        <v>2129</v>
      </c>
      <c r="AT203" t="s">
        <v>2129</v>
      </c>
      <c r="AU203" t="s">
        <v>2129</v>
      </c>
      <c r="AV203" t="s">
        <v>2129</v>
      </c>
      <c r="AW203" t="s">
        <v>2129</v>
      </c>
      <c r="AX203" t="s">
        <v>2129</v>
      </c>
      <c r="AY203" t="s">
        <v>2129</v>
      </c>
      <c r="AZ203" t="s">
        <v>2129</v>
      </c>
      <c r="BA203" t="s">
        <v>2129</v>
      </c>
      <c r="BB203" t="s">
        <v>2129</v>
      </c>
      <c r="BC203" t="s">
        <v>2129</v>
      </c>
      <c r="BD203" t="s">
        <v>2129</v>
      </c>
      <c r="BE203" t="s">
        <v>2129</v>
      </c>
      <c r="BF203" t="s">
        <v>2129</v>
      </c>
      <c r="BG203" t="s">
        <v>2129</v>
      </c>
      <c r="BH203" t="s">
        <v>2129</v>
      </c>
      <c r="BI203" t="s">
        <v>2129</v>
      </c>
      <c r="BJ203" t="s">
        <v>2129</v>
      </c>
      <c r="BK203" t="s">
        <v>2129</v>
      </c>
      <c r="BL203" t="s">
        <v>2129</v>
      </c>
      <c r="BM203" t="s">
        <v>2129</v>
      </c>
      <c r="BN203" t="s">
        <v>2129</v>
      </c>
      <c r="BO203" t="s">
        <v>2129</v>
      </c>
      <c r="BP203" t="s">
        <v>2129</v>
      </c>
      <c r="BS203" t="s">
        <v>2129</v>
      </c>
      <c r="BT203" t="s">
        <v>2129</v>
      </c>
      <c r="BW203" t="s">
        <v>2129</v>
      </c>
      <c r="BX203" t="s">
        <v>2129</v>
      </c>
      <c r="BY203" t="s">
        <v>2129</v>
      </c>
      <c r="BZ203" t="s">
        <v>4373</v>
      </c>
      <c r="CA203" t="s">
        <v>4374</v>
      </c>
      <c r="CB203" t="s">
        <v>2129</v>
      </c>
      <c r="CC203" t="s">
        <v>2129</v>
      </c>
      <c r="CD203" t="s">
        <v>2129</v>
      </c>
      <c r="CE203" t="s">
        <v>2129</v>
      </c>
      <c r="CF203" t="s">
        <v>2129</v>
      </c>
      <c r="CG203" t="s">
        <v>2129</v>
      </c>
      <c r="CH203" t="s">
        <v>2129</v>
      </c>
      <c r="CI203" t="s">
        <v>2129</v>
      </c>
      <c r="CJ203" t="s">
        <v>2129</v>
      </c>
      <c r="CK203" t="s">
        <v>2129</v>
      </c>
      <c r="CL203" t="s">
        <v>2129</v>
      </c>
      <c r="CM203" t="s">
        <v>2129</v>
      </c>
      <c r="CN203" t="s">
        <v>2129</v>
      </c>
      <c r="CO203" t="s">
        <v>2129</v>
      </c>
      <c r="CP203" t="s">
        <v>2129</v>
      </c>
      <c r="CQ203" t="s">
        <v>2129</v>
      </c>
      <c r="CR203" t="s">
        <v>2129</v>
      </c>
      <c r="CS203" t="s">
        <v>2129</v>
      </c>
      <c r="CT203" t="s">
        <v>4375</v>
      </c>
      <c r="CU203" t="s">
        <v>2129</v>
      </c>
      <c r="CV203" t="s">
        <v>2129</v>
      </c>
      <c r="CW203" t="s">
        <v>2129</v>
      </c>
      <c r="CX203" t="s">
        <v>2129</v>
      </c>
      <c r="CY203" t="s">
        <v>2129</v>
      </c>
      <c r="CZ203" t="s">
        <v>2129</v>
      </c>
      <c r="DA203" t="s">
        <v>2129</v>
      </c>
      <c r="DB203" t="s">
        <v>2129</v>
      </c>
      <c r="DC203" t="s">
        <v>2129</v>
      </c>
      <c r="DD203" t="s">
        <v>2129</v>
      </c>
      <c r="DE203" t="s">
        <v>2129</v>
      </c>
      <c r="DF203" t="s">
        <v>2129</v>
      </c>
      <c r="DG203" t="s">
        <v>2129</v>
      </c>
      <c r="DH203" t="s">
        <v>2129</v>
      </c>
      <c r="DJ203" t="s">
        <v>2129</v>
      </c>
      <c r="DK203" t="s">
        <v>2129</v>
      </c>
      <c r="DL203" t="s">
        <v>2129</v>
      </c>
      <c r="DM203" t="s">
        <v>2129</v>
      </c>
      <c r="DN203" t="s">
        <v>2129</v>
      </c>
      <c r="DO203" t="s">
        <v>2129</v>
      </c>
      <c r="DP203" t="s">
        <v>2129</v>
      </c>
      <c r="DQ203" t="s">
        <v>2129</v>
      </c>
      <c r="DR203" t="s">
        <v>2129</v>
      </c>
      <c r="DS203" t="s">
        <v>2129</v>
      </c>
      <c r="DT203" t="s">
        <v>2129</v>
      </c>
      <c r="DU203" t="s">
        <v>2129</v>
      </c>
      <c r="DV203" t="s">
        <v>2129</v>
      </c>
      <c r="DW203" t="s">
        <v>2129</v>
      </c>
      <c r="DX203" t="s">
        <v>2129</v>
      </c>
      <c r="DY203" t="s">
        <v>2129</v>
      </c>
      <c r="DZ203" t="s">
        <v>2129</v>
      </c>
      <c r="EA203" t="s">
        <v>2129</v>
      </c>
      <c r="EB203" t="s">
        <v>2129</v>
      </c>
      <c r="EC203" t="s">
        <v>2129</v>
      </c>
      <c r="ED203" t="s">
        <v>2129</v>
      </c>
      <c r="EE203" t="s">
        <v>2129</v>
      </c>
      <c r="EF203" t="s">
        <v>2129</v>
      </c>
      <c r="EG203" t="s">
        <v>2129</v>
      </c>
      <c r="EH203" t="s">
        <v>2129</v>
      </c>
    </row>
    <row r="204" spans="1:138" x14ac:dyDescent="0.25">
      <c r="A204" t="s">
        <v>4376</v>
      </c>
      <c r="B204" t="s">
        <v>4377</v>
      </c>
      <c r="C204">
        <v>23108</v>
      </c>
      <c r="E204" t="s">
        <v>77</v>
      </c>
      <c r="F204" t="s">
        <v>10</v>
      </c>
      <c r="G204" t="s">
        <v>3081</v>
      </c>
      <c r="H204" t="s">
        <v>991</v>
      </c>
      <c r="I204" t="s">
        <v>2127</v>
      </c>
      <c r="J204" t="s">
        <v>2152</v>
      </c>
      <c r="K204" t="s">
        <v>2129</v>
      </c>
      <c r="L204" t="s">
        <v>2129</v>
      </c>
      <c r="M204" t="s">
        <v>2130</v>
      </c>
      <c r="N204" t="s">
        <v>2129</v>
      </c>
      <c r="O204" t="s">
        <v>2305</v>
      </c>
      <c r="P204" t="s">
        <v>2141</v>
      </c>
      <c r="Q204" t="s">
        <v>2141</v>
      </c>
      <c r="R204" s="37">
        <v>46087.482638888891</v>
      </c>
      <c r="S204" s="37">
        <v>46099.602083333331</v>
      </c>
      <c r="T204" s="37">
        <v>46100.368750000001</v>
      </c>
      <c r="U204" s="37"/>
      <c r="V204" t="s">
        <v>2129</v>
      </c>
      <c r="W204" t="s">
        <v>2129</v>
      </c>
      <c r="X204" t="s">
        <v>2129</v>
      </c>
      <c r="Y204">
        <v>0</v>
      </c>
      <c r="Z204" t="s">
        <v>2129</v>
      </c>
      <c r="AA204" t="s">
        <v>4378</v>
      </c>
      <c r="AB204" t="s">
        <v>2129</v>
      </c>
      <c r="AC204" t="s">
        <v>2141</v>
      </c>
      <c r="AD204" t="s">
        <v>2129</v>
      </c>
      <c r="AE204" t="s">
        <v>2129</v>
      </c>
      <c r="AF204" t="s">
        <v>2129</v>
      </c>
      <c r="AG204" t="s">
        <v>2129</v>
      </c>
      <c r="AH204" t="s">
        <v>2129</v>
      </c>
      <c r="AI204" t="s">
        <v>2129</v>
      </c>
      <c r="AJ204" t="s">
        <v>2129</v>
      </c>
      <c r="AK204" t="s">
        <v>2129</v>
      </c>
      <c r="AL204" t="s">
        <v>2129</v>
      </c>
      <c r="AM204" t="s">
        <v>2129</v>
      </c>
      <c r="AN204" t="s">
        <v>2129</v>
      </c>
      <c r="AO204" t="s">
        <v>2129</v>
      </c>
      <c r="AP204" t="s">
        <v>2129</v>
      </c>
      <c r="AQ204" t="s">
        <v>2129</v>
      </c>
      <c r="AR204" t="s">
        <v>2129</v>
      </c>
      <c r="AS204" t="s">
        <v>2129</v>
      </c>
      <c r="AT204" t="s">
        <v>2129</v>
      </c>
      <c r="AU204" t="s">
        <v>2129</v>
      </c>
      <c r="AV204" t="s">
        <v>2129</v>
      </c>
      <c r="AW204" t="s">
        <v>2129</v>
      </c>
      <c r="AX204" t="s">
        <v>2129</v>
      </c>
      <c r="AY204" t="s">
        <v>2129</v>
      </c>
      <c r="AZ204" t="s">
        <v>2129</v>
      </c>
      <c r="BA204" t="s">
        <v>2129</v>
      </c>
      <c r="BB204" t="s">
        <v>2129</v>
      </c>
      <c r="BC204" t="s">
        <v>2129</v>
      </c>
      <c r="BD204" t="s">
        <v>2129</v>
      </c>
      <c r="BE204" t="s">
        <v>2129</v>
      </c>
      <c r="BF204" t="s">
        <v>2129</v>
      </c>
      <c r="BG204" t="s">
        <v>2129</v>
      </c>
      <c r="BH204" t="s">
        <v>2129</v>
      </c>
      <c r="BI204" t="s">
        <v>2129</v>
      </c>
      <c r="BJ204" t="s">
        <v>2129</v>
      </c>
      <c r="BK204" t="s">
        <v>2129</v>
      </c>
      <c r="BL204" t="s">
        <v>2129</v>
      </c>
      <c r="BM204" t="s">
        <v>2129</v>
      </c>
      <c r="BN204" t="s">
        <v>2129</v>
      </c>
      <c r="BO204" t="s">
        <v>2129</v>
      </c>
      <c r="BP204" t="s">
        <v>2129</v>
      </c>
      <c r="BS204" t="s">
        <v>2129</v>
      </c>
      <c r="BT204" t="s">
        <v>2129</v>
      </c>
      <c r="BW204" t="s">
        <v>2129</v>
      </c>
      <c r="BX204" t="s">
        <v>2129</v>
      </c>
      <c r="BY204" t="s">
        <v>2129</v>
      </c>
      <c r="BZ204" t="s">
        <v>4379</v>
      </c>
      <c r="CA204" t="s">
        <v>2129</v>
      </c>
      <c r="CB204" t="s">
        <v>2129</v>
      </c>
      <c r="CC204" t="s">
        <v>2129</v>
      </c>
      <c r="CD204" t="s">
        <v>2129</v>
      </c>
      <c r="CE204" t="s">
        <v>2129</v>
      </c>
      <c r="CF204" t="s">
        <v>2129</v>
      </c>
      <c r="CG204" t="s">
        <v>2129</v>
      </c>
      <c r="CH204" t="s">
        <v>2129</v>
      </c>
      <c r="CI204" t="s">
        <v>2129</v>
      </c>
      <c r="CJ204" t="s">
        <v>2129</v>
      </c>
      <c r="CK204" t="s">
        <v>2129</v>
      </c>
      <c r="CL204" t="s">
        <v>2129</v>
      </c>
      <c r="CM204" t="s">
        <v>2129</v>
      </c>
      <c r="CN204" t="s">
        <v>2129</v>
      </c>
      <c r="CO204" t="s">
        <v>2129</v>
      </c>
      <c r="CP204" t="s">
        <v>2129</v>
      </c>
      <c r="CQ204" t="s">
        <v>2129</v>
      </c>
      <c r="CR204" t="s">
        <v>2129</v>
      </c>
      <c r="CS204" t="s">
        <v>2129</v>
      </c>
      <c r="CT204" t="s">
        <v>4380</v>
      </c>
      <c r="CU204" t="s">
        <v>4291</v>
      </c>
      <c r="CV204" t="s">
        <v>2129</v>
      </c>
      <c r="CW204" t="s">
        <v>2129</v>
      </c>
      <c r="CX204" t="s">
        <v>2129</v>
      </c>
      <c r="CY204" t="s">
        <v>2129</v>
      </c>
      <c r="CZ204" t="s">
        <v>2129</v>
      </c>
      <c r="DA204" t="s">
        <v>2129</v>
      </c>
      <c r="DB204" t="s">
        <v>2129</v>
      </c>
      <c r="DC204" t="s">
        <v>2129</v>
      </c>
      <c r="DD204" t="s">
        <v>2129</v>
      </c>
      <c r="DE204" t="s">
        <v>2129</v>
      </c>
      <c r="DF204" t="s">
        <v>2129</v>
      </c>
      <c r="DG204" t="s">
        <v>2129</v>
      </c>
      <c r="DH204" t="s">
        <v>2129</v>
      </c>
      <c r="DJ204" t="s">
        <v>2129</v>
      </c>
      <c r="DK204" t="s">
        <v>2129</v>
      </c>
      <c r="DL204" t="s">
        <v>2129</v>
      </c>
      <c r="DM204" t="s">
        <v>2129</v>
      </c>
      <c r="DN204" t="s">
        <v>2129</v>
      </c>
      <c r="DO204" t="s">
        <v>2129</v>
      </c>
      <c r="DP204" t="s">
        <v>2129</v>
      </c>
      <c r="DQ204" t="s">
        <v>2129</v>
      </c>
      <c r="DR204" t="s">
        <v>2129</v>
      </c>
      <c r="DS204" t="s">
        <v>2129</v>
      </c>
      <c r="DT204" t="s">
        <v>2129</v>
      </c>
      <c r="DU204" t="s">
        <v>2129</v>
      </c>
      <c r="DV204" t="s">
        <v>2129</v>
      </c>
      <c r="DW204" t="s">
        <v>2129</v>
      </c>
      <c r="DX204" t="s">
        <v>2129</v>
      </c>
      <c r="DY204" t="s">
        <v>2129</v>
      </c>
      <c r="DZ204" t="s">
        <v>2129</v>
      </c>
      <c r="EA204" t="s">
        <v>2129</v>
      </c>
      <c r="EB204" t="s">
        <v>2129</v>
      </c>
      <c r="EC204" t="s">
        <v>2129</v>
      </c>
      <c r="ED204" t="s">
        <v>2129</v>
      </c>
      <c r="EE204" t="s">
        <v>2129</v>
      </c>
      <c r="EF204" t="s">
        <v>2129</v>
      </c>
      <c r="EG204" t="s">
        <v>2129</v>
      </c>
      <c r="EH204" t="s">
        <v>2129</v>
      </c>
    </row>
    <row r="205" spans="1:138" x14ac:dyDescent="0.25">
      <c r="A205" t="s">
        <v>3083</v>
      </c>
      <c r="B205" t="s">
        <v>3084</v>
      </c>
      <c r="C205">
        <v>23058</v>
      </c>
      <c r="E205" t="s">
        <v>14</v>
      </c>
      <c r="F205" t="s">
        <v>10</v>
      </c>
      <c r="G205" t="s">
        <v>3081</v>
      </c>
      <c r="H205" t="s">
        <v>991</v>
      </c>
      <c r="I205" t="s">
        <v>2127</v>
      </c>
      <c r="J205" t="s">
        <v>2152</v>
      </c>
      <c r="K205" t="s">
        <v>2129</v>
      </c>
      <c r="L205" t="s">
        <v>2129</v>
      </c>
      <c r="M205" t="s">
        <v>2130</v>
      </c>
      <c r="N205" t="s">
        <v>2129</v>
      </c>
      <c r="O205" t="s">
        <v>2141</v>
      </c>
      <c r="P205" t="s">
        <v>2145</v>
      </c>
      <c r="Q205" t="s">
        <v>2145</v>
      </c>
      <c r="R205" s="37">
        <v>46080.688194444447</v>
      </c>
      <c r="S205" s="37">
        <v>46098.443055555559</v>
      </c>
      <c r="T205" s="37">
        <v>46100.368750000001</v>
      </c>
      <c r="U205" s="37"/>
      <c r="V205" t="s">
        <v>2129</v>
      </c>
      <c r="W205" t="s">
        <v>2129</v>
      </c>
      <c r="X205" t="s">
        <v>2129</v>
      </c>
      <c r="Y205">
        <v>0</v>
      </c>
      <c r="Z205" t="s">
        <v>2129</v>
      </c>
      <c r="AA205" t="s">
        <v>4381</v>
      </c>
      <c r="AB205" t="s">
        <v>2129</v>
      </c>
      <c r="AC205" t="s">
        <v>2145</v>
      </c>
      <c r="AD205" t="s">
        <v>2129</v>
      </c>
      <c r="AE205" t="s">
        <v>2129</v>
      </c>
      <c r="AF205" t="s">
        <v>2129</v>
      </c>
      <c r="AG205" t="s">
        <v>2129</v>
      </c>
      <c r="AH205" t="s">
        <v>2129</v>
      </c>
      <c r="AI205" t="s">
        <v>2129</v>
      </c>
      <c r="AJ205" t="s">
        <v>2129</v>
      </c>
      <c r="AK205" t="s">
        <v>2129</v>
      </c>
      <c r="AL205" t="s">
        <v>2129</v>
      </c>
      <c r="AM205" t="s">
        <v>2129</v>
      </c>
      <c r="AN205" t="s">
        <v>2129</v>
      </c>
      <c r="AO205" t="s">
        <v>2129</v>
      </c>
      <c r="AP205" t="s">
        <v>2129</v>
      </c>
      <c r="AQ205" t="s">
        <v>2129</v>
      </c>
      <c r="AR205" t="s">
        <v>2129</v>
      </c>
      <c r="AS205" t="s">
        <v>2129</v>
      </c>
      <c r="AT205" t="s">
        <v>2129</v>
      </c>
      <c r="AU205" t="s">
        <v>2129</v>
      </c>
      <c r="AV205" t="s">
        <v>2129</v>
      </c>
      <c r="AW205" t="s">
        <v>2129</v>
      </c>
      <c r="AX205" t="s">
        <v>2129</v>
      </c>
      <c r="AY205" t="s">
        <v>2129</v>
      </c>
      <c r="AZ205" t="s">
        <v>2129</v>
      </c>
      <c r="BA205" t="s">
        <v>2129</v>
      </c>
      <c r="BB205" t="s">
        <v>2129</v>
      </c>
      <c r="BC205" t="s">
        <v>2129</v>
      </c>
      <c r="BD205" t="s">
        <v>2129</v>
      </c>
      <c r="BE205" t="s">
        <v>2129</v>
      </c>
      <c r="BF205" t="s">
        <v>2129</v>
      </c>
      <c r="BG205" t="s">
        <v>2129</v>
      </c>
      <c r="BH205" t="s">
        <v>2129</v>
      </c>
      <c r="BI205" t="s">
        <v>2129</v>
      </c>
      <c r="BJ205" t="s">
        <v>2129</v>
      </c>
      <c r="BK205" t="s">
        <v>2129</v>
      </c>
      <c r="BL205" t="s">
        <v>2129</v>
      </c>
      <c r="BM205" t="s">
        <v>2129</v>
      </c>
      <c r="BN205" t="s">
        <v>2129</v>
      </c>
      <c r="BO205" t="s">
        <v>2129</v>
      </c>
      <c r="BP205" t="s">
        <v>2129</v>
      </c>
      <c r="BS205" t="s">
        <v>2129</v>
      </c>
      <c r="BT205" t="s">
        <v>2129</v>
      </c>
      <c r="BW205" t="s">
        <v>2129</v>
      </c>
      <c r="BX205" t="s">
        <v>2129</v>
      </c>
      <c r="BY205" t="s">
        <v>2129</v>
      </c>
      <c r="BZ205" t="s">
        <v>3085</v>
      </c>
      <c r="CA205" t="s">
        <v>3086</v>
      </c>
      <c r="CB205" t="s">
        <v>3087</v>
      </c>
      <c r="CC205" t="s">
        <v>2129</v>
      </c>
      <c r="CD205" t="s">
        <v>2129</v>
      </c>
      <c r="CE205" t="s">
        <v>2129</v>
      </c>
      <c r="CF205" t="s">
        <v>2129</v>
      </c>
      <c r="CG205" t="s">
        <v>2129</v>
      </c>
      <c r="CH205" t="s">
        <v>2129</v>
      </c>
      <c r="CI205" t="s">
        <v>2129</v>
      </c>
      <c r="CJ205" t="s">
        <v>2129</v>
      </c>
      <c r="CK205" t="s">
        <v>2129</v>
      </c>
      <c r="CL205" t="s">
        <v>2129</v>
      </c>
      <c r="CM205" t="s">
        <v>3088</v>
      </c>
      <c r="CN205" t="s">
        <v>2129</v>
      </c>
      <c r="CO205" t="s">
        <v>2129</v>
      </c>
      <c r="CP205" t="s">
        <v>2129</v>
      </c>
      <c r="CQ205" t="s">
        <v>2129</v>
      </c>
      <c r="CR205" t="s">
        <v>2129</v>
      </c>
      <c r="CS205" t="s">
        <v>2129</v>
      </c>
      <c r="CT205" t="s">
        <v>4382</v>
      </c>
      <c r="CU205" t="s">
        <v>2129</v>
      </c>
      <c r="CV205" t="s">
        <v>2129</v>
      </c>
      <c r="CW205" t="s">
        <v>2129</v>
      </c>
      <c r="CX205" t="s">
        <v>2129</v>
      </c>
      <c r="CY205" t="s">
        <v>2129</v>
      </c>
      <c r="CZ205" t="s">
        <v>2129</v>
      </c>
      <c r="DA205" t="s">
        <v>2129</v>
      </c>
      <c r="DB205" t="s">
        <v>2129</v>
      </c>
      <c r="DC205" t="s">
        <v>2129</v>
      </c>
      <c r="DD205" t="s">
        <v>2129</v>
      </c>
      <c r="DE205" t="s">
        <v>2129</v>
      </c>
      <c r="DF205" t="s">
        <v>2129</v>
      </c>
      <c r="DG205" t="s">
        <v>2129</v>
      </c>
      <c r="DH205" t="s">
        <v>2129</v>
      </c>
      <c r="DJ205" t="s">
        <v>2129</v>
      </c>
      <c r="DK205" t="s">
        <v>2129</v>
      </c>
      <c r="DL205" t="s">
        <v>3089</v>
      </c>
      <c r="DM205" t="s">
        <v>2129</v>
      </c>
      <c r="DN205" t="s">
        <v>2129</v>
      </c>
      <c r="DO205" t="s">
        <v>2129</v>
      </c>
      <c r="DP205" t="s">
        <v>2129</v>
      </c>
      <c r="DQ205" t="s">
        <v>2129</v>
      </c>
      <c r="DR205" t="s">
        <v>2129</v>
      </c>
      <c r="DS205" t="s">
        <v>2129</v>
      </c>
      <c r="DT205" t="s">
        <v>2129</v>
      </c>
      <c r="DU205" t="s">
        <v>2129</v>
      </c>
      <c r="DV205" t="s">
        <v>2129</v>
      </c>
      <c r="DW205" t="s">
        <v>2129</v>
      </c>
      <c r="DX205" t="s">
        <v>2129</v>
      </c>
      <c r="DY205" t="s">
        <v>2129</v>
      </c>
      <c r="DZ205" t="s">
        <v>2129</v>
      </c>
      <c r="EA205" t="s">
        <v>2129</v>
      </c>
      <c r="EB205" t="s">
        <v>2129</v>
      </c>
      <c r="EC205" t="s">
        <v>2129</v>
      </c>
      <c r="ED205" t="s">
        <v>2129</v>
      </c>
      <c r="EE205" t="s">
        <v>2129</v>
      </c>
      <c r="EF205" t="s">
        <v>2129</v>
      </c>
      <c r="EG205" t="s">
        <v>2129</v>
      </c>
      <c r="EH205" t="s">
        <v>2129</v>
      </c>
    </row>
    <row r="206" spans="1:138" x14ac:dyDescent="0.25">
      <c r="A206" t="s">
        <v>3090</v>
      </c>
      <c r="B206" t="s">
        <v>3091</v>
      </c>
      <c r="C206">
        <v>23056</v>
      </c>
      <c r="E206" t="s">
        <v>14</v>
      </c>
      <c r="F206" t="s">
        <v>10</v>
      </c>
      <c r="G206" t="s">
        <v>3081</v>
      </c>
      <c r="H206" t="s">
        <v>991</v>
      </c>
      <c r="I206" t="s">
        <v>2127</v>
      </c>
      <c r="J206" t="s">
        <v>2152</v>
      </c>
      <c r="K206" t="s">
        <v>2129</v>
      </c>
      <c r="L206" t="s">
        <v>2129</v>
      </c>
      <c r="M206" t="s">
        <v>2130</v>
      </c>
      <c r="N206" t="s">
        <v>2129</v>
      </c>
      <c r="O206" t="s">
        <v>2141</v>
      </c>
      <c r="P206" t="s">
        <v>2145</v>
      </c>
      <c r="Q206" t="s">
        <v>2145</v>
      </c>
      <c r="R206" s="37">
        <v>46080.65347222222</v>
      </c>
      <c r="S206" s="37">
        <v>46097.646527777775</v>
      </c>
      <c r="T206" s="37">
        <v>46100.368750000001</v>
      </c>
      <c r="U206" s="37"/>
      <c r="V206" t="s">
        <v>2129</v>
      </c>
      <c r="W206" t="s">
        <v>2129</v>
      </c>
      <c r="X206" t="s">
        <v>2129</v>
      </c>
      <c r="Y206">
        <v>0</v>
      </c>
      <c r="Z206" t="s">
        <v>2129</v>
      </c>
      <c r="AA206" t="s">
        <v>4383</v>
      </c>
      <c r="AB206" t="s">
        <v>2129</v>
      </c>
      <c r="AC206" t="s">
        <v>2145</v>
      </c>
      <c r="AD206" t="s">
        <v>2129</v>
      </c>
      <c r="AE206" t="s">
        <v>2129</v>
      </c>
      <c r="AF206" t="s">
        <v>2129</v>
      </c>
      <c r="AG206" t="s">
        <v>2129</v>
      </c>
      <c r="AH206" t="s">
        <v>2129</v>
      </c>
      <c r="AI206" t="s">
        <v>2129</v>
      </c>
      <c r="AJ206" t="s">
        <v>2129</v>
      </c>
      <c r="AK206" t="s">
        <v>2129</v>
      </c>
      <c r="AL206" t="s">
        <v>2129</v>
      </c>
      <c r="AM206" t="s">
        <v>2129</v>
      </c>
      <c r="AN206" t="s">
        <v>2129</v>
      </c>
      <c r="AO206" t="s">
        <v>2129</v>
      </c>
      <c r="AP206" t="s">
        <v>2129</v>
      </c>
      <c r="AQ206" t="s">
        <v>2129</v>
      </c>
      <c r="AR206" t="s">
        <v>2129</v>
      </c>
      <c r="AS206" t="s">
        <v>2129</v>
      </c>
      <c r="AT206" t="s">
        <v>2129</v>
      </c>
      <c r="AU206" t="s">
        <v>2129</v>
      </c>
      <c r="AV206" t="s">
        <v>2129</v>
      </c>
      <c r="AW206" t="s">
        <v>2129</v>
      </c>
      <c r="AX206" t="s">
        <v>2129</v>
      </c>
      <c r="AY206" t="s">
        <v>2129</v>
      </c>
      <c r="AZ206" t="s">
        <v>2129</v>
      </c>
      <c r="BA206" t="s">
        <v>2129</v>
      </c>
      <c r="BB206" t="s">
        <v>2129</v>
      </c>
      <c r="BC206" t="s">
        <v>2129</v>
      </c>
      <c r="BD206" t="s">
        <v>2129</v>
      </c>
      <c r="BE206" t="s">
        <v>2129</v>
      </c>
      <c r="BF206" t="s">
        <v>2129</v>
      </c>
      <c r="BG206" t="s">
        <v>2129</v>
      </c>
      <c r="BH206" t="s">
        <v>2129</v>
      </c>
      <c r="BI206" t="s">
        <v>2129</v>
      </c>
      <c r="BJ206" t="s">
        <v>2129</v>
      </c>
      <c r="BK206" t="s">
        <v>2129</v>
      </c>
      <c r="BL206" t="s">
        <v>2129</v>
      </c>
      <c r="BM206" t="s">
        <v>2129</v>
      </c>
      <c r="BN206" t="s">
        <v>2129</v>
      </c>
      <c r="BO206" t="s">
        <v>2129</v>
      </c>
      <c r="BP206" t="s">
        <v>2129</v>
      </c>
      <c r="BS206" t="s">
        <v>2129</v>
      </c>
      <c r="BT206" t="s">
        <v>2129</v>
      </c>
      <c r="BW206" t="s">
        <v>2129</v>
      </c>
      <c r="BX206" t="s">
        <v>2129</v>
      </c>
      <c r="BY206" t="s">
        <v>2129</v>
      </c>
      <c r="BZ206" t="s">
        <v>4384</v>
      </c>
      <c r="CA206" t="s">
        <v>4385</v>
      </c>
      <c r="CB206" t="s">
        <v>3092</v>
      </c>
      <c r="CC206" t="s">
        <v>2129</v>
      </c>
      <c r="CD206" t="s">
        <v>2129</v>
      </c>
      <c r="CE206" t="s">
        <v>2129</v>
      </c>
      <c r="CF206" t="s">
        <v>2129</v>
      </c>
      <c r="CG206" t="s">
        <v>2129</v>
      </c>
      <c r="CH206" t="s">
        <v>2129</v>
      </c>
      <c r="CI206" t="s">
        <v>2129</v>
      </c>
      <c r="CJ206" t="s">
        <v>2129</v>
      </c>
      <c r="CK206" t="s">
        <v>2129</v>
      </c>
      <c r="CL206" t="s">
        <v>2129</v>
      </c>
      <c r="CM206" t="s">
        <v>3088</v>
      </c>
      <c r="CN206" t="s">
        <v>2129</v>
      </c>
      <c r="CO206" t="s">
        <v>2129</v>
      </c>
      <c r="CP206" t="s">
        <v>2129</v>
      </c>
      <c r="CQ206" t="s">
        <v>2129</v>
      </c>
      <c r="CR206" t="s">
        <v>2129</v>
      </c>
      <c r="CS206" t="s">
        <v>2129</v>
      </c>
      <c r="CT206" t="s">
        <v>4386</v>
      </c>
      <c r="CU206" t="s">
        <v>2129</v>
      </c>
      <c r="CV206" t="s">
        <v>2129</v>
      </c>
      <c r="CW206" t="s">
        <v>2129</v>
      </c>
      <c r="CX206" t="s">
        <v>2129</v>
      </c>
      <c r="CY206" t="s">
        <v>2129</v>
      </c>
      <c r="CZ206" t="s">
        <v>2129</v>
      </c>
      <c r="DA206" t="s">
        <v>2129</v>
      </c>
      <c r="DB206" t="s">
        <v>2129</v>
      </c>
      <c r="DC206" t="s">
        <v>2129</v>
      </c>
      <c r="DD206" t="s">
        <v>2129</v>
      </c>
      <c r="DE206" t="s">
        <v>2129</v>
      </c>
      <c r="DF206" t="s">
        <v>2129</v>
      </c>
      <c r="DG206" t="s">
        <v>2129</v>
      </c>
      <c r="DH206" t="s">
        <v>2129</v>
      </c>
      <c r="DJ206" t="s">
        <v>2129</v>
      </c>
      <c r="DK206" t="s">
        <v>2129</v>
      </c>
      <c r="DL206" t="s">
        <v>3093</v>
      </c>
      <c r="DM206" t="s">
        <v>2129</v>
      </c>
      <c r="DN206" t="s">
        <v>2129</v>
      </c>
      <c r="DO206" t="s">
        <v>2129</v>
      </c>
      <c r="DP206" t="s">
        <v>2129</v>
      </c>
      <c r="DQ206" t="s">
        <v>2129</v>
      </c>
      <c r="DR206" t="s">
        <v>2129</v>
      </c>
      <c r="DS206" t="s">
        <v>2129</v>
      </c>
      <c r="DT206" t="s">
        <v>2129</v>
      </c>
      <c r="DU206" t="s">
        <v>2129</v>
      </c>
      <c r="DV206" t="s">
        <v>2129</v>
      </c>
      <c r="DW206" t="s">
        <v>2129</v>
      </c>
      <c r="DX206" t="s">
        <v>2129</v>
      </c>
      <c r="DY206" t="s">
        <v>2129</v>
      </c>
      <c r="DZ206" t="s">
        <v>2129</v>
      </c>
      <c r="EA206" t="s">
        <v>2129</v>
      </c>
      <c r="EB206" t="s">
        <v>2129</v>
      </c>
      <c r="EC206" t="s">
        <v>2129</v>
      </c>
      <c r="ED206" t="s">
        <v>2129</v>
      </c>
      <c r="EE206" t="s">
        <v>2129</v>
      </c>
      <c r="EF206" t="s">
        <v>2129</v>
      </c>
      <c r="EG206" t="s">
        <v>2129</v>
      </c>
      <c r="EH206" t="s">
        <v>2129</v>
      </c>
    </row>
    <row r="207" spans="1:138" x14ac:dyDescent="0.25">
      <c r="A207" t="s">
        <v>3094</v>
      </c>
      <c r="B207" t="s">
        <v>3095</v>
      </c>
      <c r="C207">
        <v>23055</v>
      </c>
      <c r="E207" t="s">
        <v>14</v>
      </c>
      <c r="F207" t="s">
        <v>10</v>
      </c>
      <c r="G207" t="s">
        <v>3081</v>
      </c>
      <c r="H207" t="s">
        <v>991</v>
      </c>
      <c r="I207" t="s">
        <v>2127</v>
      </c>
      <c r="J207" t="s">
        <v>2152</v>
      </c>
      <c r="K207" t="s">
        <v>2129</v>
      </c>
      <c r="L207" t="s">
        <v>2129</v>
      </c>
      <c r="M207" t="s">
        <v>2130</v>
      </c>
      <c r="N207" t="s">
        <v>2129</v>
      </c>
      <c r="O207" t="s">
        <v>2141</v>
      </c>
      <c r="P207" t="s">
        <v>2145</v>
      </c>
      <c r="Q207" t="s">
        <v>2145</v>
      </c>
      <c r="R207" s="37">
        <v>46080.631249999999</v>
      </c>
      <c r="S207" s="37">
        <v>46094.598611111112</v>
      </c>
      <c r="T207" s="37">
        <v>46100.368750000001</v>
      </c>
      <c r="U207" s="37"/>
      <c r="V207" t="s">
        <v>2129</v>
      </c>
      <c r="W207" t="s">
        <v>2129</v>
      </c>
      <c r="X207" t="s">
        <v>2129</v>
      </c>
      <c r="Y207">
        <v>0</v>
      </c>
      <c r="Z207" t="s">
        <v>2129</v>
      </c>
      <c r="AA207" t="s">
        <v>4387</v>
      </c>
      <c r="AB207" t="s">
        <v>2129</v>
      </c>
      <c r="AC207" t="s">
        <v>2145</v>
      </c>
      <c r="AD207" t="s">
        <v>2129</v>
      </c>
      <c r="AE207" t="s">
        <v>2129</v>
      </c>
      <c r="AF207" t="s">
        <v>2129</v>
      </c>
      <c r="AG207" t="s">
        <v>2129</v>
      </c>
      <c r="AH207" t="s">
        <v>2129</v>
      </c>
      <c r="AI207" t="s">
        <v>2129</v>
      </c>
      <c r="AJ207" t="s">
        <v>2129</v>
      </c>
      <c r="AK207" t="s">
        <v>2129</v>
      </c>
      <c r="AL207" t="s">
        <v>2129</v>
      </c>
      <c r="AM207" t="s">
        <v>2129</v>
      </c>
      <c r="AN207" t="s">
        <v>2129</v>
      </c>
      <c r="AO207" t="s">
        <v>2129</v>
      </c>
      <c r="AP207" t="s">
        <v>2129</v>
      </c>
      <c r="AQ207" t="s">
        <v>2129</v>
      </c>
      <c r="AR207" t="s">
        <v>2129</v>
      </c>
      <c r="AS207" t="s">
        <v>2129</v>
      </c>
      <c r="AT207" t="s">
        <v>2129</v>
      </c>
      <c r="AU207" t="s">
        <v>2129</v>
      </c>
      <c r="AV207" t="s">
        <v>2129</v>
      </c>
      <c r="AW207" t="s">
        <v>2129</v>
      </c>
      <c r="AX207" t="s">
        <v>2129</v>
      </c>
      <c r="AY207" t="s">
        <v>2129</v>
      </c>
      <c r="AZ207" t="s">
        <v>2129</v>
      </c>
      <c r="BA207" t="s">
        <v>2129</v>
      </c>
      <c r="BB207" t="s">
        <v>2129</v>
      </c>
      <c r="BC207" t="s">
        <v>2129</v>
      </c>
      <c r="BD207" t="s">
        <v>2129</v>
      </c>
      <c r="BE207" t="s">
        <v>2129</v>
      </c>
      <c r="BF207" t="s">
        <v>2129</v>
      </c>
      <c r="BG207" t="s">
        <v>2129</v>
      </c>
      <c r="BH207" t="s">
        <v>2129</v>
      </c>
      <c r="BI207" t="s">
        <v>2129</v>
      </c>
      <c r="BJ207" t="s">
        <v>2129</v>
      </c>
      <c r="BK207" t="s">
        <v>2129</v>
      </c>
      <c r="BL207" t="s">
        <v>2129</v>
      </c>
      <c r="BM207" t="s">
        <v>2129</v>
      </c>
      <c r="BN207" t="s">
        <v>2129</v>
      </c>
      <c r="BO207" t="s">
        <v>2129</v>
      </c>
      <c r="BP207" t="s">
        <v>2129</v>
      </c>
      <c r="BS207" t="s">
        <v>2129</v>
      </c>
      <c r="BT207" t="s">
        <v>2129</v>
      </c>
      <c r="BW207" t="s">
        <v>2129</v>
      </c>
      <c r="BX207" t="s">
        <v>2129</v>
      </c>
      <c r="BY207" t="s">
        <v>2129</v>
      </c>
      <c r="BZ207" t="s">
        <v>4388</v>
      </c>
      <c r="CA207" t="s">
        <v>2129</v>
      </c>
      <c r="CB207" t="s">
        <v>2129</v>
      </c>
      <c r="CC207" t="s">
        <v>2129</v>
      </c>
      <c r="CD207" t="s">
        <v>2129</v>
      </c>
      <c r="CE207" t="s">
        <v>2129</v>
      </c>
      <c r="CF207" t="s">
        <v>2129</v>
      </c>
      <c r="CG207" t="s">
        <v>2129</v>
      </c>
      <c r="CH207" t="s">
        <v>2129</v>
      </c>
      <c r="CI207" t="s">
        <v>2129</v>
      </c>
      <c r="CJ207" t="s">
        <v>2129</v>
      </c>
      <c r="CK207" t="s">
        <v>2129</v>
      </c>
      <c r="CL207" t="s">
        <v>2129</v>
      </c>
      <c r="CM207" t="s">
        <v>3096</v>
      </c>
      <c r="CN207" t="s">
        <v>2129</v>
      </c>
      <c r="CO207" t="s">
        <v>2129</v>
      </c>
      <c r="CP207" t="s">
        <v>2129</v>
      </c>
      <c r="CQ207" t="s">
        <v>2129</v>
      </c>
      <c r="CR207" t="s">
        <v>2129</v>
      </c>
      <c r="CS207" t="s">
        <v>2129</v>
      </c>
      <c r="CT207" t="s">
        <v>4389</v>
      </c>
      <c r="CU207" t="s">
        <v>2129</v>
      </c>
      <c r="CV207" t="s">
        <v>2129</v>
      </c>
      <c r="CW207" t="s">
        <v>2129</v>
      </c>
      <c r="CX207" t="s">
        <v>2129</v>
      </c>
      <c r="CY207" t="s">
        <v>2129</v>
      </c>
      <c r="CZ207" t="s">
        <v>2129</v>
      </c>
      <c r="DA207" t="s">
        <v>2129</v>
      </c>
      <c r="DB207" t="s">
        <v>2129</v>
      </c>
      <c r="DC207" t="s">
        <v>2129</v>
      </c>
      <c r="DD207" t="s">
        <v>2129</v>
      </c>
      <c r="DE207" t="s">
        <v>2129</v>
      </c>
      <c r="DF207" t="s">
        <v>2129</v>
      </c>
      <c r="DG207" t="s">
        <v>2129</v>
      </c>
      <c r="DH207" t="s">
        <v>2129</v>
      </c>
      <c r="DJ207" t="s">
        <v>2129</v>
      </c>
      <c r="DK207" t="s">
        <v>2129</v>
      </c>
      <c r="DL207" t="s">
        <v>3097</v>
      </c>
      <c r="DM207" t="s">
        <v>2129</v>
      </c>
      <c r="DN207" t="s">
        <v>2129</v>
      </c>
      <c r="DO207" t="s">
        <v>2129</v>
      </c>
      <c r="DP207" t="s">
        <v>2129</v>
      </c>
      <c r="DQ207" t="s">
        <v>2129</v>
      </c>
      <c r="DR207" t="s">
        <v>2129</v>
      </c>
      <c r="DS207" t="s">
        <v>2129</v>
      </c>
      <c r="DT207" t="s">
        <v>2129</v>
      </c>
      <c r="DU207" t="s">
        <v>2129</v>
      </c>
      <c r="DV207" t="s">
        <v>2129</v>
      </c>
      <c r="DW207" t="s">
        <v>2129</v>
      </c>
      <c r="DX207" t="s">
        <v>2129</v>
      </c>
      <c r="DY207" t="s">
        <v>2129</v>
      </c>
      <c r="DZ207" t="s">
        <v>2129</v>
      </c>
      <c r="EA207" t="s">
        <v>2129</v>
      </c>
      <c r="EB207" t="s">
        <v>2129</v>
      </c>
      <c r="EC207" t="s">
        <v>2129</v>
      </c>
      <c r="ED207" t="s">
        <v>2129</v>
      </c>
      <c r="EE207" t="s">
        <v>2129</v>
      </c>
      <c r="EF207" t="s">
        <v>2129</v>
      </c>
      <c r="EG207" t="s">
        <v>2129</v>
      </c>
      <c r="EH207" t="s">
        <v>2129</v>
      </c>
    </row>
    <row r="208" spans="1:138" x14ac:dyDescent="0.25">
      <c r="A208" t="s">
        <v>3098</v>
      </c>
      <c r="B208" t="s">
        <v>3099</v>
      </c>
      <c r="C208">
        <v>23054</v>
      </c>
      <c r="E208" t="s">
        <v>14</v>
      </c>
      <c r="F208" t="s">
        <v>10</v>
      </c>
      <c r="G208" t="s">
        <v>3081</v>
      </c>
      <c r="H208" t="s">
        <v>991</v>
      </c>
      <c r="I208" t="s">
        <v>2127</v>
      </c>
      <c r="J208" t="s">
        <v>2152</v>
      </c>
      <c r="K208" t="s">
        <v>2129</v>
      </c>
      <c r="L208" t="s">
        <v>2129</v>
      </c>
      <c r="M208" t="s">
        <v>2130</v>
      </c>
      <c r="N208" t="s">
        <v>2129</v>
      </c>
      <c r="O208" t="s">
        <v>2141</v>
      </c>
      <c r="P208" t="s">
        <v>2145</v>
      </c>
      <c r="Q208" t="s">
        <v>2145</v>
      </c>
      <c r="R208" s="37">
        <v>46080.624305555553</v>
      </c>
      <c r="S208" s="37">
        <v>46099.509722222225</v>
      </c>
      <c r="T208" s="37">
        <v>46100.368750000001</v>
      </c>
      <c r="U208" s="37"/>
      <c r="V208" t="s">
        <v>2129</v>
      </c>
      <c r="W208" t="s">
        <v>2129</v>
      </c>
      <c r="X208" t="s">
        <v>2129</v>
      </c>
      <c r="Y208">
        <v>0</v>
      </c>
      <c r="Z208" t="s">
        <v>2129</v>
      </c>
      <c r="AA208" t="s">
        <v>4390</v>
      </c>
      <c r="AB208" t="s">
        <v>2129</v>
      </c>
      <c r="AC208" t="s">
        <v>2145</v>
      </c>
      <c r="AD208" t="s">
        <v>2129</v>
      </c>
      <c r="AE208" t="s">
        <v>2129</v>
      </c>
      <c r="AF208" t="s">
        <v>2129</v>
      </c>
      <c r="AG208" t="s">
        <v>2129</v>
      </c>
      <c r="AH208" t="s">
        <v>2129</v>
      </c>
      <c r="AI208" t="s">
        <v>2129</v>
      </c>
      <c r="AJ208" t="s">
        <v>2129</v>
      </c>
      <c r="AK208" t="s">
        <v>2129</v>
      </c>
      <c r="AL208" t="s">
        <v>2129</v>
      </c>
      <c r="AM208" t="s">
        <v>2129</v>
      </c>
      <c r="AN208" t="s">
        <v>2129</v>
      </c>
      <c r="AO208" t="s">
        <v>2129</v>
      </c>
      <c r="AP208" t="s">
        <v>2129</v>
      </c>
      <c r="AQ208" t="s">
        <v>2129</v>
      </c>
      <c r="AR208" t="s">
        <v>2129</v>
      </c>
      <c r="AS208" t="s">
        <v>2129</v>
      </c>
      <c r="AT208" t="s">
        <v>2129</v>
      </c>
      <c r="AU208" t="s">
        <v>2129</v>
      </c>
      <c r="AV208" t="s">
        <v>2129</v>
      </c>
      <c r="AW208" t="s">
        <v>2129</v>
      </c>
      <c r="AX208" t="s">
        <v>2129</v>
      </c>
      <c r="AY208" t="s">
        <v>2129</v>
      </c>
      <c r="AZ208" t="s">
        <v>2129</v>
      </c>
      <c r="BA208" t="s">
        <v>2129</v>
      </c>
      <c r="BB208" t="s">
        <v>2129</v>
      </c>
      <c r="BC208" t="s">
        <v>2129</v>
      </c>
      <c r="BD208" t="s">
        <v>2129</v>
      </c>
      <c r="BE208" t="s">
        <v>2129</v>
      </c>
      <c r="BF208" t="s">
        <v>2129</v>
      </c>
      <c r="BG208" t="s">
        <v>2129</v>
      </c>
      <c r="BH208" t="s">
        <v>2129</v>
      </c>
      <c r="BI208" t="s">
        <v>2129</v>
      </c>
      <c r="BJ208" t="s">
        <v>2129</v>
      </c>
      <c r="BK208" t="s">
        <v>2129</v>
      </c>
      <c r="BL208" t="s">
        <v>2129</v>
      </c>
      <c r="BM208" t="s">
        <v>2129</v>
      </c>
      <c r="BN208" t="s">
        <v>2129</v>
      </c>
      <c r="BO208" t="s">
        <v>2129</v>
      </c>
      <c r="BP208" t="s">
        <v>2129</v>
      </c>
      <c r="BS208" t="s">
        <v>2129</v>
      </c>
      <c r="BT208" t="s">
        <v>2129</v>
      </c>
      <c r="BW208" t="s">
        <v>2129</v>
      </c>
      <c r="BX208" t="s">
        <v>2129</v>
      </c>
      <c r="BY208" t="s">
        <v>2129</v>
      </c>
      <c r="BZ208" t="s">
        <v>4391</v>
      </c>
      <c r="CA208" t="s">
        <v>2129</v>
      </c>
      <c r="CB208" t="s">
        <v>2129</v>
      </c>
      <c r="CC208" t="s">
        <v>2129</v>
      </c>
      <c r="CD208" t="s">
        <v>2129</v>
      </c>
      <c r="CE208" t="s">
        <v>2129</v>
      </c>
      <c r="CF208" t="s">
        <v>2129</v>
      </c>
      <c r="CG208" t="s">
        <v>2129</v>
      </c>
      <c r="CH208" t="s">
        <v>2129</v>
      </c>
      <c r="CI208" t="s">
        <v>2129</v>
      </c>
      <c r="CJ208" t="s">
        <v>2129</v>
      </c>
      <c r="CK208" t="s">
        <v>2129</v>
      </c>
      <c r="CL208" t="s">
        <v>2129</v>
      </c>
      <c r="CM208" t="s">
        <v>3096</v>
      </c>
      <c r="CN208" t="s">
        <v>2129</v>
      </c>
      <c r="CO208" t="s">
        <v>2129</v>
      </c>
      <c r="CP208" t="s">
        <v>2129</v>
      </c>
      <c r="CQ208" t="s">
        <v>2129</v>
      </c>
      <c r="CR208" t="s">
        <v>2129</v>
      </c>
      <c r="CS208" t="s">
        <v>2129</v>
      </c>
      <c r="CT208" t="s">
        <v>3100</v>
      </c>
      <c r="CU208" t="s">
        <v>2129</v>
      </c>
      <c r="CV208" t="s">
        <v>2129</v>
      </c>
      <c r="CW208" t="s">
        <v>2129</v>
      </c>
      <c r="CX208" t="s">
        <v>2129</v>
      </c>
      <c r="CY208" t="s">
        <v>2129</v>
      </c>
      <c r="CZ208" t="s">
        <v>2129</v>
      </c>
      <c r="DA208" t="s">
        <v>2129</v>
      </c>
      <c r="DB208" t="s">
        <v>2129</v>
      </c>
      <c r="DC208" t="s">
        <v>2129</v>
      </c>
      <c r="DD208" t="s">
        <v>2129</v>
      </c>
      <c r="DE208" t="s">
        <v>2129</v>
      </c>
      <c r="DF208" t="s">
        <v>2129</v>
      </c>
      <c r="DG208" t="s">
        <v>2129</v>
      </c>
      <c r="DH208" t="s">
        <v>2129</v>
      </c>
      <c r="DJ208" t="s">
        <v>2129</v>
      </c>
      <c r="DK208" t="s">
        <v>2129</v>
      </c>
      <c r="DL208" t="s">
        <v>3097</v>
      </c>
      <c r="DM208" t="s">
        <v>2129</v>
      </c>
      <c r="DN208" t="s">
        <v>2129</v>
      </c>
      <c r="DO208" t="s">
        <v>2129</v>
      </c>
      <c r="DP208" t="s">
        <v>2129</v>
      </c>
      <c r="DQ208" t="s">
        <v>2129</v>
      </c>
      <c r="DR208" t="s">
        <v>2129</v>
      </c>
      <c r="DS208" t="s">
        <v>2129</v>
      </c>
      <c r="DT208" t="s">
        <v>2129</v>
      </c>
      <c r="DU208" t="s">
        <v>2129</v>
      </c>
      <c r="DV208" t="s">
        <v>2129</v>
      </c>
      <c r="DW208" t="s">
        <v>2129</v>
      </c>
      <c r="DX208" t="s">
        <v>2129</v>
      </c>
      <c r="DY208" t="s">
        <v>2129</v>
      </c>
      <c r="DZ208" t="s">
        <v>2129</v>
      </c>
      <c r="EA208" t="s">
        <v>2129</v>
      </c>
      <c r="EB208" t="s">
        <v>2129</v>
      </c>
      <c r="EC208" t="s">
        <v>2129</v>
      </c>
      <c r="ED208" t="s">
        <v>2129</v>
      </c>
      <c r="EE208" t="s">
        <v>2129</v>
      </c>
      <c r="EF208" t="s">
        <v>2129</v>
      </c>
      <c r="EG208" t="s">
        <v>2129</v>
      </c>
      <c r="EH208" t="s">
        <v>2129</v>
      </c>
    </row>
    <row r="209" spans="1:138" x14ac:dyDescent="0.25">
      <c r="A209" t="s">
        <v>3101</v>
      </c>
      <c r="B209" t="s">
        <v>3102</v>
      </c>
      <c r="C209">
        <v>23053</v>
      </c>
      <c r="E209" t="s">
        <v>14</v>
      </c>
      <c r="F209" t="s">
        <v>10</v>
      </c>
      <c r="G209" t="s">
        <v>3081</v>
      </c>
      <c r="H209" t="s">
        <v>991</v>
      </c>
      <c r="I209" t="s">
        <v>2127</v>
      </c>
      <c r="J209" t="s">
        <v>2152</v>
      </c>
      <c r="K209" t="s">
        <v>2129</v>
      </c>
      <c r="L209" t="s">
        <v>2129</v>
      </c>
      <c r="M209" t="s">
        <v>2130</v>
      </c>
      <c r="N209" t="s">
        <v>2129</v>
      </c>
      <c r="O209" t="s">
        <v>2141</v>
      </c>
      <c r="P209" t="s">
        <v>2145</v>
      </c>
      <c r="Q209" t="s">
        <v>2145</v>
      </c>
      <c r="R209" s="37">
        <v>46080.600694444445</v>
      </c>
      <c r="S209" s="37">
        <v>46093.628472222219</v>
      </c>
      <c r="T209" s="37">
        <v>46100.368750000001</v>
      </c>
      <c r="U209" s="37"/>
      <c r="V209" t="s">
        <v>2129</v>
      </c>
      <c r="W209" t="s">
        <v>2129</v>
      </c>
      <c r="X209" t="s">
        <v>2129</v>
      </c>
      <c r="Y209">
        <v>0</v>
      </c>
      <c r="Z209" t="s">
        <v>2129</v>
      </c>
      <c r="AA209" t="s">
        <v>4392</v>
      </c>
      <c r="AB209" t="s">
        <v>2129</v>
      </c>
      <c r="AC209" t="s">
        <v>2145</v>
      </c>
      <c r="AD209" t="s">
        <v>2129</v>
      </c>
      <c r="AE209" t="s">
        <v>2129</v>
      </c>
      <c r="AF209" t="s">
        <v>2129</v>
      </c>
      <c r="AG209" t="s">
        <v>2129</v>
      </c>
      <c r="AH209" t="s">
        <v>2129</v>
      </c>
      <c r="AI209" t="s">
        <v>2129</v>
      </c>
      <c r="AJ209" t="s">
        <v>2129</v>
      </c>
      <c r="AK209" t="s">
        <v>2129</v>
      </c>
      <c r="AL209" t="s">
        <v>2129</v>
      </c>
      <c r="AM209" t="s">
        <v>2129</v>
      </c>
      <c r="AN209" t="s">
        <v>2129</v>
      </c>
      <c r="AO209" t="s">
        <v>2129</v>
      </c>
      <c r="AP209" t="s">
        <v>2129</v>
      </c>
      <c r="AQ209" t="s">
        <v>2129</v>
      </c>
      <c r="AR209" t="s">
        <v>2129</v>
      </c>
      <c r="AS209" t="s">
        <v>2129</v>
      </c>
      <c r="AT209" t="s">
        <v>2129</v>
      </c>
      <c r="AU209" t="s">
        <v>2129</v>
      </c>
      <c r="AV209" t="s">
        <v>2129</v>
      </c>
      <c r="AW209" t="s">
        <v>2129</v>
      </c>
      <c r="AX209" t="s">
        <v>2129</v>
      </c>
      <c r="AY209" t="s">
        <v>2129</v>
      </c>
      <c r="AZ209" t="s">
        <v>2129</v>
      </c>
      <c r="BA209" t="s">
        <v>2129</v>
      </c>
      <c r="BB209" t="s">
        <v>2129</v>
      </c>
      <c r="BC209" t="s">
        <v>2129</v>
      </c>
      <c r="BD209" t="s">
        <v>2129</v>
      </c>
      <c r="BE209" t="s">
        <v>2129</v>
      </c>
      <c r="BF209" t="s">
        <v>2129</v>
      </c>
      <c r="BG209" t="s">
        <v>2129</v>
      </c>
      <c r="BH209" t="s">
        <v>2129</v>
      </c>
      <c r="BI209" t="s">
        <v>2129</v>
      </c>
      <c r="BJ209" t="s">
        <v>2129</v>
      </c>
      <c r="BK209" t="s">
        <v>2129</v>
      </c>
      <c r="BL209" t="s">
        <v>2129</v>
      </c>
      <c r="BM209" t="s">
        <v>2129</v>
      </c>
      <c r="BN209" t="s">
        <v>2129</v>
      </c>
      <c r="BO209" t="s">
        <v>2129</v>
      </c>
      <c r="BP209" t="s">
        <v>2129</v>
      </c>
      <c r="BS209" t="s">
        <v>2129</v>
      </c>
      <c r="BT209" t="s">
        <v>2129</v>
      </c>
      <c r="BW209" t="s">
        <v>2129</v>
      </c>
      <c r="BX209" t="s">
        <v>2129</v>
      </c>
      <c r="BY209" t="s">
        <v>2129</v>
      </c>
      <c r="BZ209" t="s">
        <v>4393</v>
      </c>
      <c r="CA209" t="s">
        <v>4394</v>
      </c>
      <c r="CB209" t="s">
        <v>4395</v>
      </c>
      <c r="CC209" t="s">
        <v>2129</v>
      </c>
      <c r="CD209" t="s">
        <v>2129</v>
      </c>
      <c r="CE209" t="s">
        <v>2129</v>
      </c>
      <c r="CF209" t="s">
        <v>2129</v>
      </c>
      <c r="CG209" t="s">
        <v>2129</v>
      </c>
      <c r="CH209" t="s">
        <v>2129</v>
      </c>
      <c r="CI209" t="s">
        <v>2129</v>
      </c>
      <c r="CJ209" t="s">
        <v>2129</v>
      </c>
      <c r="CK209" t="s">
        <v>2129</v>
      </c>
      <c r="CL209" t="s">
        <v>2129</v>
      </c>
      <c r="CM209" t="s">
        <v>3096</v>
      </c>
      <c r="CN209" t="s">
        <v>2129</v>
      </c>
      <c r="CO209" t="s">
        <v>2129</v>
      </c>
      <c r="CP209" t="s">
        <v>2129</v>
      </c>
      <c r="CQ209" t="s">
        <v>2129</v>
      </c>
      <c r="CR209" t="s">
        <v>2129</v>
      </c>
      <c r="CS209" t="s">
        <v>2129</v>
      </c>
      <c r="CT209" t="s">
        <v>3103</v>
      </c>
      <c r="CU209" t="s">
        <v>2129</v>
      </c>
      <c r="CV209" t="s">
        <v>2129</v>
      </c>
      <c r="CW209" t="s">
        <v>2129</v>
      </c>
      <c r="CX209" t="s">
        <v>2129</v>
      </c>
      <c r="CY209" t="s">
        <v>2129</v>
      </c>
      <c r="CZ209" t="s">
        <v>2129</v>
      </c>
      <c r="DA209" t="s">
        <v>2129</v>
      </c>
      <c r="DB209" t="s">
        <v>2129</v>
      </c>
      <c r="DC209" t="s">
        <v>2129</v>
      </c>
      <c r="DD209" t="s">
        <v>2129</v>
      </c>
      <c r="DE209" t="s">
        <v>2129</v>
      </c>
      <c r="DF209" t="s">
        <v>2129</v>
      </c>
      <c r="DG209" t="s">
        <v>2129</v>
      </c>
      <c r="DH209" t="s">
        <v>2129</v>
      </c>
      <c r="DJ209" t="s">
        <v>2129</v>
      </c>
      <c r="DK209" t="s">
        <v>2129</v>
      </c>
      <c r="DL209" t="s">
        <v>3104</v>
      </c>
      <c r="DM209" t="s">
        <v>2129</v>
      </c>
      <c r="DN209" t="s">
        <v>2129</v>
      </c>
      <c r="DO209" t="s">
        <v>2129</v>
      </c>
      <c r="DP209" t="s">
        <v>2129</v>
      </c>
      <c r="DQ209" t="s">
        <v>2129</v>
      </c>
      <c r="DR209" t="s">
        <v>2129</v>
      </c>
      <c r="DS209" t="s">
        <v>2129</v>
      </c>
      <c r="DT209" t="s">
        <v>2129</v>
      </c>
      <c r="DU209" t="s">
        <v>2129</v>
      </c>
      <c r="DV209" t="s">
        <v>2129</v>
      </c>
      <c r="DW209" t="s">
        <v>2129</v>
      </c>
      <c r="DX209" t="s">
        <v>2129</v>
      </c>
      <c r="DY209" t="s">
        <v>2129</v>
      </c>
      <c r="DZ209" t="s">
        <v>2129</v>
      </c>
      <c r="EA209" t="s">
        <v>2129</v>
      </c>
      <c r="EB209" t="s">
        <v>2129</v>
      </c>
      <c r="EC209" t="s">
        <v>2129</v>
      </c>
      <c r="ED209" t="s">
        <v>2129</v>
      </c>
      <c r="EE209" t="s">
        <v>2129</v>
      </c>
      <c r="EF209" t="s">
        <v>2129</v>
      </c>
      <c r="EG209" t="s">
        <v>2129</v>
      </c>
      <c r="EH209" t="s">
        <v>2129</v>
      </c>
    </row>
    <row r="210" spans="1:138" x14ac:dyDescent="0.25">
      <c r="A210" t="s">
        <v>3105</v>
      </c>
      <c r="B210" t="s">
        <v>3106</v>
      </c>
      <c r="C210">
        <v>22092</v>
      </c>
      <c r="E210" t="s">
        <v>14</v>
      </c>
      <c r="F210" t="s">
        <v>10</v>
      </c>
      <c r="G210" t="s">
        <v>3081</v>
      </c>
      <c r="H210" t="s">
        <v>991</v>
      </c>
      <c r="I210" t="s">
        <v>2127</v>
      </c>
      <c r="J210" t="s">
        <v>2152</v>
      </c>
      <c r="K210" t="s">
        <v>2129</v>
      </c>
      <c r="L210" t="s">
        <v>2129</v>
      </c>
      <c r="M210" t="s">
        <v>2130</v>
      </c>
      <c r="N210" t="s">
        <v>2129</v>
      </c>
      <c r="O210" t="s">
        <v>2141</v>
      </c>
      <c r="P210" t="s">
        <v>2145</v>
      </c>
      <c r="Q210" t="s">
        <v>2145</v>
      </c>
      <c r="R210" s="37">
        <v>45894.074999999997</v>
      </c>
      <c r="S210" s="37">
        <v>46099.458333333336</v>
      </c>
      <c r="T210" s="37">
        <v>46100.368750000001</v>
      </c>
      <c r="U210" s="37"/>
      <c r="V210" t="s">
        <v>2129</v>
      </c>
      <c r="W210" t="s">
        <v>2129</v>
      </c>
      <c r="X210" t="s">
        <v>2129</v>
      </c>
      <c r="Y210">
        <v>0</v>
      </c>
      <c r="Z210" t="s">
        <v>2129</v>
      </c>
      <c r="AA210" t="s">
        <v>3107</v>
      </c>
      <c r="AB210" t="s">
        <v>2129</v>
      </c>
      <c r="AC210" t="s">
        <v>2145</v>
      </c>
      <c r="AD210" t="s">
        <v>2129</v>
      </c>
      <c r="AE210" t="s">
        <v>2129</v>
      </c>
      <c r="AF210" t="s">
        <v>2129</v>
      </c>
      <c r="AG210" t="s">
        <v>2129</v>
      </c>
      <c r="AH210" t="s">
        <v>2129</v>
      </c>
      <c r="AI210" t="s">
        <v>2129</v>
      </c>
      <c r="AJ210" t="s">
        <v>2129</v>
      </c>
      <c r="AK210" t="s">
        <v>2129</v>
      </c>
      <c r="AL210" t="s">
        <v>2129</v>
      </c>
      <c r="AM210" t="s">
        <v>2129</v>
      </c>
      <c r="AN210" t="s">
        <v>2129</v>
      </c>
      <c r="AO210" t="s">
        <v>2129</v>
      </c>
      <c r="AP210" t="s">
        <v>2129</v>
      </c>
      <c r="AQ210" t="s">
        <v>2129</v>
      </c>
      <c r="AR210" t="s">
        <v>2129</v>
      </c>
      <c r="AS210" t="s">
        <v>2129</v>
      </c>
      <c r="AT210" t="s">
        <v>2129</v>
      </c>
      <c r="AU210" t="s">
        <v>2129</v>
      </c>
      <c r="AV210" t="s">
        <v>2129</v>
      </c>
      <c r="AW210" t="s">
        <v>2129</v>
      </c>
      <c r="AX210" t="s">
        <v>2129</v>
      </c>
      <c r="AY210" t="s">
        <v>2129</v>
      </c>
      <c r="AZ210" t="s">
        <v>2129</v>
      </c>
      <c r="BA210" t="s">
        <v>2129</v>
      </c>
      <c r="BB210" t="s">
        <v>2129</v>
      </c>
      <c r="BC210" t="s">
        <v>2129</v>
      </c>
      <c r="BD210" t="s">
        <v>2129</v>
      </c>
      <c r="BE210" t="s">
        <v>2129</v>
      </c>
      <c r="BF210" t="s">
        <v>2129</v>
      </c>
      <c r="BG210" t="s">
        <v>2129</v>
      </c>
      <c r="BH210" t="s">
        <v>2129</v>
      </c>
      <c r="BI210" t="s">
        <v>2129</v>
      </c>
      <c r="BJ210" t="s">
        <v>2129</v>
      </c>
      <c r="BK210" t="s">
        <v>2129</v>
      </c>
      <c r="BL210" t="s">
        <v>2129</v>
      </c>
      <c r="BM210" t="s">
        <v>2129</v>
      </c>
      <c r="BN210" t="s">
        <v>2129</v>
      </c>
      <c r="BO210" t="s">
        <v>2129</v>
      </c>
      <c r="BP210" t="s">
        <v>2129</v>
      </c>
      <c r="BS210" t="s">
        <v>2129</v>
      </c>
      <c r="BT210" t="s">
        <v>2129</v>
      </c>
      <c r="BW210" t="s">
        <v>2129</v>
      </c>
      <c r="BX210" t="s">
        <v>2129</v>
      </c>
      <c r="BY210" t="s">
        <v>2129</v>
      </c>
      <c r="BZ210" t="s">
        <v>2129</v>
      </c>
      <c r="CA210" t="s">
        <v>2129</v>
      </c>
      <c r="CB210" t="s">
        <v>2129</v>
      </c>
      <c r="CC210" t="s">
        <v>2129</v>
      </c>
      <c r="CD210" t="s">
        <v>2129</v>
      </c>
      <c r="CE210" t="s">
        <v>2129</v>
      </c>
      <c r="CF210" t="s">
        <v>2129</v>
      </c>
      <c r="CG210" t="s">
        <v>2129</v>
      </c>
      <c r="CH210" t="s">
        <v>2129</v>
      </c>
      <c r="CI210" t="s">
        <v>2129</v>
      </c>
      <c r="CJ210" t="s">
        <v>2129</v>
      </c>
      <c r="CK210" t="s">
        <v>2129</v>
      </c>
      <c r="CL210" t="s">
        <v>2129</v>
      </c>
      <c r="CM210" t="s">
        <v>3108</v>
      </c>
      <c r="CN210" t="s">
        <v>2129</v>
      </c>
      <c r="CO210" t="s">
        <v>2129</v>
      </c>
      <c r="CP210" t="s">
        <v>2129</v>
      </c>
      <c r="CQ210" t="s">
        <v>2129</v>
      </c>
      <c r="CR210" t="s">
        <v>2129</v>
      </c>
      <c r="CS210" t="s">
        <v>2129</v>
      </c>
      <c r="CT210" t="s">
        <v>4396</v>
      </c>
      <c r="CU210" t="s">
        <v>2129</v>
      </c>
      <c r="CV210" t="s">
        <v>2129</v>
      </c>
      <c r="CW210" t="s">
        <v>2129</v>
      </c>
      <c r="CX210" t="s">
        <v>2129</v>
      </c>
      <c r="CY210" t="s">
        <v>2129</v>
      </c>
      <c r="CZ210" t="s">
        <v>2129</v>
      </c>
      <c r="DA210" t="s">
        <v>2129</v>
      </c>
      <c r="DB210" t="s">
        <v>2129</v>
      </c>
      <c r="DC210" t="s">
        <v>2129</v>
      </c>
      <c r="DD210" t="s">
        <v>2129</v>
      </c>
      <c r="DE210" t="s">
        <v>2129</v>
      </c>
      <c r="DF210" t="s">
        <v>2129</v>
      </c>
      <c r="DG210" t="s">
        <v>2129</v>
      </c>
      <c r="DH210" t="s">
        <v>2129</v>
      </c>
      <c r="DJ210" t="s">
        <v>2129</v>
      </c>
      <c r="DK210" t="s">
        <v>2129</v>
      </c>
      <c r="DL210" t="s">
        <v>2129</v>
      </c>
      <c r="DM210" t="s">
        <v>2129</v>
      </c>
      <c r="DN210" t="s">
        <v>2129</v>
      </c>
      <c r="DO210" t="s">
        <v>2129</v>
      </c>
      <c r="DP210" t="s">
        <v>2129</v>
      </c>
      <c r="DQ210" t="s">
        <v>2129</v>
      </c>
      <c r="DR210" t="s">
        <v>2129</v>
      </c>
      <c r="DS210" t="s">
        <v>2129</v>
      </c>
      <c r="DT210" t="s">
        <v>2129</v>
      </c>
      <c r="DU210" t="s">
        <v>2129</v>
      </c>
      <c r="DV210" t="s">
        <v>2129</v>
      </c>
      <c r="DW210" t="s">
        <v>2129</v>
      </c>
      <c r="DX210" t="s">
        <v>2129</v>
      </c>
      <c r="DY210" t="s">
        <v>2129</v>
      </c>
      <c r="DZ210" t="s">
        <v>2129</v>
      </c>
      <c r="EA210" t="s">
        <v>2129</v>
      </c>
      <c r="EB210" t="s">
        <v>2129</v>
      </c>
      <c r="EC210" t="s">
        <v>2129</v>
      </c>
      <c r="ED210" t="s">
        <v>2129</v>
      </c>
      <c r="EE210" t="s">
        <v>2129</v>
      </c>
      <c r="EF210" t="s">
        <v>2129</v>
      </c>
      <c r="EG210" t="s">
        <v>2129</v>
      </c>
      <c r="EH210" t="s">
        <v>2129</v>
      </c>
    </row>
    <row r="211" spans="1:138" x14ac:dyDescent="0.25">
      <c r="A211" t="s">
        <v>4397</v>
      </c>
      <c r="B211" t="s">
        <v>1137</v>
      </c>
      <c r="C211">
        <v>21866</v>
      </c>
      <c r="E211" t="s">
        <v>14</v>
      </c>
      <c r="F211" t="s">
        <v>10</v>
      </c>
      <c r="G211" t="s">
        <v>3081</v>
      </c>
      <c r="H211" t="s">
        <v>991</v>
      </c>
      <c r="I211" t="s">
        <v>2127</v>
      </c>
      <c r="J211" t="s">
        <v>2152</v>
      </c>
      <c r="K211" t="s">
        <v>2129</v>
      </c>
      <c r="L211" t="s">
        <v>2129</v>
      </c>
      <c r="M211" t="s">
        <v>2130</v>
      </c>
      <c r="N211" t="s">
        <v>2129</v>
      </c>
      <c r="O211" t="s">
        <v>2141</v>
      </c>
      <c r="P211" t="s">
        <v>2145</v>
      </c>
      <c r="Q211" t="s">
        <v>2145</v>
      </c>
      <c r="R211" s="37">
        <v>45854.588888888888</v>
      </c>
      <c r="S211" s="37">
        <v>46099.458333333336</v>
      </c>
      <c r="T211" s="37">
        <v>46100.368750000001</v>
      </c>
      <c r="U211" s="37"/>
      <c r="V211" t="s">
        <v>2129</v>
      </c>
      <c r="W211" t="s">
        <v>3109</v>
      </c>
      <c r="X211" t="s">
        <v>2129</v>
      </c>
      <c r="Y211">
        <v>0</v>
      </c>
      <c r="Z211" t="s">
        <v>2129</v>
      </c>
      <c r="AA211" t="s">
        <v>4398</v>
      </c>
      <c r="AB211" t="s">
        <v>2129</v>
      </c>
      <c r="AC211" t="s">
        <v>2141</v>
      </c>
      <c r="AD211" t="s">
        <v>2145</v>
      </c>
      <c r="AE211" t="s">
        <v>2129</v>
      </c>
      <c r="AF211" t="s">
        <v>2129</v>
      </c>
      <c r="AG211" t="s">
        <v>2129</v>
      </c>
      <c r="AH211" t="s">
        <v>2129</v>
      </c>
      <c r="AI211" t="s">
        <v>2129</v>
      </c>
      <c r="AJ211" t="s">
        <v>2129</v>
      </c>
      <c r="AK211" t="s">
        <v>2129</v>
      </c>
      <c r="AL211" t="s">
        <v>2129</v>
      </c>
      <c r="AM211" t="s">
        <v>2129</v>
      </c>
      <c r="AN211" t="s">
        <v>2129</v>
      </c>
      <c r="AO211" t="s">
        <v>2129</v>
      </c>
      <c r="AP211" t="s">
        <v>2129</v>
      </c>
      <c r="AQ211" t="s">
        <v>2129</v>
      </c>
      <c r="AR211" t="s">
        <v>2129</v>
      </c>
      <c r="AS211" t="s">
        <v>2129</v>
      </c>
      <c r="AT211" t="s">
        <v>2129</v>
      </c>
      <c r="AU211" t="s">
        <v>2129</v>
      </c>
      <c r="AV211" t="s">
        <v>2129</v>
      </c>
      <c r="AW211" t="s">
        <v>2129</v>
      </c>
      <c r="AX211" t="s">
        <v>2129</v>
      </c>
      <c r="AY211" t="s">
        <v>2129</v>
      </c>
      <c r="AZ211" t="s">
        <v>2129</v>
      </c>
      <c r="BA211" t="s">
        <v>2129</v>
      </c>
      <c r="BB211" t="s">
        <v>2129</v>
      </c>
      <c r="BC211" t="s">
        <v>2129</v>
      </c>
      <c r="BD211" t="s">
        <v>2129</v>
      </c>
      <c r="BE211" t="s">
        <v>2129</v>
      </c>
      <c r="BF211" t="s">
        <v>2129</v>
      </c>
      <c r="BG211" t="s">
        <v>2129</v>
      </c>
      <c r="BH211" t="s">
        <v>2129</v>
      </c>
      <c r="BI211" t="s">
        <v>2129</v>
      </c>
      <c r="BJ211" t="s">
        <v>2129</v>
      </c>
      <c r="BK211" t="s">
        <v>2129</v>
      </c>
      <c r="BL211" t="s">
        <v>2129</v>
      </c>
      <c r="BM211" t="s">
        <v>2129</v>
      </c>
      <c r="BN211" t="s">
        <v>2129</v>
      </c>
      <c r="BO211" t="s">
        <v>2129</v>
      </c>
      <c r="BP211" t="s">
        <v>2129</v>
      </c>
      <c r="BS211" t="s">
        <v>2129</v>
      </c>
      <c r="BT211" t="s">
        <v>2129</v>
      </c>
      <c r="BW211" t="s">
        <v>2129</v>
      </c>
      <c r="BX211" t="s">
        <v>2129</v>
      </c>
      <c r="BY211" t="s">
        <v>2129</v>
      </c>
      <c r="BZ211" t="s">
        <v>3110</v>
      </c>
      <c r="CA211" t="s">
        <v>2129</v>
      </c>
      <c r="CB211" t="s">
        <v>2129</v>
      </c>
      <c r="CC211" t="s">
        <v>2129</v>
      </c>
      <c r="CD211" t="s">
        <v>2129</v>
      </c>
      <c r="CE211" t="s">
        <v>2129</v>
      </c>
      <c r="CF211" t="s">
        <v>2129</v>
      </c>
      <c r="CG211" t="s">
        <v>2129</v>
      </c>
      <c r="CH211" t="s">
        <v>2129</v>
      </c>
      <c r="CI211" t="s">
        <v>2129</v>
      </c>
      <c r="CJ211" t="s">
        <v>2129</v>
      </c>
      <c r="CK211" t="s">
        <v>2129</v>
      </c>
      <c r="CL211" t="s">
        <v>2129</v>
      </c>
      <c r="CM211" t="s">
        <v>4240</v>
      </c>
      <c r="CN211" t="s">
        <v>2129</v>
      </c>
      <c r="CO211" t="s">
        <v>2129</v>
      </c>
      <c r="CP211" t="s">
        <v>2129</v>
      </c>
      <c r="CQ211" t="s">
        <v>2129</v>
      </c>
      <c r="CR211" t="s">
        <v>2129</v>
      </c>
      <c r="CS211" t="s">
        <v>2129</v>
      </c>
      <c r="CT211" t="s">
        <v>4399</v>
      </c>
      <c r="CU211" t="s">
        <v>2129</v>
      </c>
      <c r="CV211" t="s">
        <v>2129</v>
      </c>
      <c r="CW211" t="s">
        <v>2129</v>
      </c>
      <c r="CX211" t="s">
        <v>2129</v>
      </c>
      <c r="CY211" t="s">
        <v>2129</v>
      </c>
      <c r="CZ211" t="s">
        <v>2129</v>
      </c>
      <c r="DA211" t="s">
        <v>2129</v>
      </c>
      <c r="DB211" t="s">
        <v>2129</v>
      </c>
      <c r="DC211" t="s">
        <v>2129</v>
      </c>
      <c r="DD211" t="s">
        <v>2129</v>
      </c>
      <c r="DE211" t="s">
        <v>2129</v>
      </c>
      <c r="DF211" t="s">
        <v>2129</v>
      </c>
      <c r="DG211" t="s">
        <v>2129</v>
      </c>
      <c r="DH211" t="s">
        <v>2129</v>
      </c>
      <c r="DJ211" t="s">
        <v>2129</v>
      </c>
      <c r="DK211" t="s">
        <v>2129</v>
      </c>
      <c r="DL211" t="s">
        <v>3112</v>
      </c>
      <c r="DM211" t="s">
        <v>3113</v>
      </c>
      <c r="DN211" t="s">
        <v>2129</v>
      </c>
      <c r="DO211" t="s">
        <v>2129</v>
      </c>
      <c r="DP211" t="s">
        <v>2129</v>
      </c>
      <c r="DQ211" t="s">
        <v>2129</v>
      </c>
      <c r="DR211" t="s">
        <v>2129</v>
      </c>
      <c r="DS211" t="s">
        <v>2129</v>
      </c>
      <c r="DT211" t="s">
        <v>2129</v>
      </c>
      <c r="DU211" t="s">
        <v>2129</v>
      </c>
      <c r="DV211" t="s">
        <v>2129</v>
      </c>
      <c r="DW211" t="s">
        <v>2129</v>
      </c>
      <c r="DX211" t="s">
        <v>2129</v>
      </c>
      <c r="DY211" t="s">
        <v>2129</v>
      </c>
      <c r="DZ211" t="s">
        <v>2129</v>
      </c>
      <c r="EA211" t="s">
        <v>2129</v>
      </c>
      <c r="EB211" t="s">
        <v>2129</v>
      </c>
      <c r="EC211" t="s">
        <v>2129</v>
      </c>
      <c r="ED211" t="s">
        <v>2129</v>
      </c>
      <c r="EE211" t="s">
        <v>2129</v>
      </c>
      <c r="EF211" t="s">
        <v>2129</v>
      </c>
      <c r="EG211" t="s">
        <v>2129</v>
      </c>
      <c r="EH211" t="s">
        <v>2129</v>
      </c>
    </row>
    <row r="212" spans="1:138" x14ac:dyDescent="0.25">
      <c r="A212" t="s">
        <v>1080</v>
      </c>
      <c r="B212" t="s">
        <v>1079</v>
      </c>
      <c r="C212">
        <v>21821</v>
      </c>
      <c r="E212" t="s">
        <v>14</v>
      </c>
      <c r="F212" t="s">
        <v>10</v>
      </c>
      <c r="G212" t="s">
        <v>3081</v>
      </c>
      <c r="H212" t="s">
        <v>991</v>
      </c>
      <c r="I212" t="s">
        <v>2127</v>
      </c>
      <c r="J212" t="s">
        <v>2152</v>
      </c>
      <c r="K212" t="s">
        <v>2129</v>
      </c>
      <c r="L212" t="s">
        <v>2129</v>
      </c>
      <c r="M212" t="s">
        <v>2130</v>
      </c>
      <c r="N212" t="s">
        <v>2129</v>
      </c>
      <c r="O212" t="s">
        <v>2141</v>
      </c>
      <c r="P212" t="s">
        <v>2145</v>
      </c>
      <c r="Q212" t="s">
        <v>2145</v>
      </c>
      <c r="R212" s="37">
        <v>45846.584027777775</v>
      </c>
      <c r="S212" s="37">
        <v>46099.458333333336</v>
      </c>
      <c r="T212" s="37">
        <v>46100.368750000001</v>
      </c>
      <c r="U212" s="37"/>
      <c r="V212" t="s">
        <v>2129</v>
      </c>
      <c r="W212" t="s">
        <v>2129</v>
      </c>
      <c r="X212" t="s">
        <v>2129</v>
      </c>
      <c r="Y212">
        <v>0</v>
      </c>
      <c r="Z212" t="s">
        <v>2129</v>
      </c>
      <c r="AA212" t="s">
        <v>4400</v>
      </c>
      <c r="AB212" t="s">
        <v>2129</v>
      </c>
      <c r="AC212" t="s">
        <v>2141</v>
      </c>
      <c r="AD212" t="s">
        <v>2145</v>
      </c>
      <c r="AE212" t="s">
        <v>2129</v>
      </c>
      <c r="AF212" t="s">
        <v>2129</v>
      </c>
      <c r="AG212" t="s">
        <v>2129</v>
      </c>
      <c r="AH212" t="s">
        <v>2129</v>
      </c>
      <c r="AI212" t="s">
        <v>2129</v>
      </c>
      <c r="AJ212" t="s">
        <v>2129</v>
      </c>
      <c r="AK212" t="s">
        <v>2129</v>
      </c>
      <c r="AL212" t="s">
        <v>2129</v>
      </c>
      <c r="AM212" t="s">
        <v>2129</v>
      </c>
      <c r="AN212" t="s">
        <v>2129</v>
      </c>
      <c r="AO212" t="s">
        <v>2129</v>
      </c>
      <c r="AP212" t="s">
        <v>2129</v>
      </c>
      <c r="AQ212" t="s">
        <v>2129</v>
      </c>
      <c r="AR212" t="s">
        <v>2129</v>
      </c>
      <c r="AS212" t="s">
        <v>2129</v>
      </c>
      <c r="AT212" t="s">
        <v>2129</v>
      </c>
      <c r="AU212" t="s">
        <v>2129</v>
      </c>
      <c r="AV212" t="s">
        <v>2129</v>
      </c>
      <c r="AW212" t="s">
        <v>2129</v>
      </c>
      <c r="AX212" t="s">
        <v>2129</v>
      </c>
      <c r="AY212" t="s">
        <v>2129</v>
      </c>
      <c r="AZ212" t="s">
        <v>2129</v>
      </c>
      <c r="BA212" t="s">
        <v>2129</v>
      </c>
      <c r="BB212" t="s">
        <v>2129</v>
      </c>
      <c r="BC212" t="s">
        <v>2129</v>
      </c>
      <c r="BD212" t="s">
        <v>2129</v>
      </c>
      <c r="BE212" t="s">
        <v>2129</v>
      </c>
      <c r="BF212" t="s">
        <v>2129</v>
      </c>
      <c r="BG212" t="s">
        <v>2129</v>
      </c>
      <c r="BH212" t="s">
        <v>2129</v>
      </c>
      <c r="BI212" t="s">
        <v>2129</v>
      </c>
      <c r="BJ212" t="s">
        <v>2129</v>
      </c>
      <c r="BK212" t="s">
        <v>2129</v>
      </c>
      <c r="BL212" t="s">
        <v>2129</v>
      </c>
      <c r="BM212" t="s">
        <v>2129</v>
      </c>
      <c r="BN212" t="s">
        <v>2129</v>
      </c>
      <c r="BO212" t="s">
        <v>2129</v>
      </c>
      <c r="BP212" t="s">
        <v>2129</v>
      </c>
      <c r="BS212" t="s">
        <v>2129</v>
      </c>
      <c r="BT212" t="s">
        <v>2129</v>
      </c>
      <c r="BW212" t="s">
        <v>2129</v>
      </c>
      <c r="BX212" t="s">
        <v>2129</v>
      </c>
      <c r="BY212" t="s">
        <v>2129</v>
      </c>
      <c r="BZ212" t="s">
        <v>2129</v>
      </c>
      <c r="CA212" t="s">
        <v>2129</v>
      </c>
      <c r="CB212" t="s">
        <v>2129</v>
      </c>
      <c r="CC212" t="s">
        <v>2129</v>
      </c>
      <c r="CD212" t="s">
        <v>2129</v>
      </c>
      <c r="CE212" t="s">
        <v>2129</v>
      </c>
      <c r="CF212" t="s">
        <v>2129</v>
      </c>
      <c r="CG212" t="s">
        <v>2129</v>
      </c>
      <c r="CH212" t="s">
        <v>2129</v>
      </c>
      <c r="CI212" t="s">
        <v>2129</v>
      </c>
      <c r="CJ212" t="s">
        <v>2129</v>
      </c>
      <c r="CK212" t="s">
        <v>2129</v>
      </c>
      <c r="CL212" t="s">
        <v>2129</v>
      </c>
      <c r="CM212" t="s">
        <v>3108</v>
      </c>
      <c r="CN212" t="s">
        <v>2129</v>
      </c>
      <c r="CO212" t="s">
        <v>2129</v>
      </c>
      <c r="CP212" t="s">
        <v>2129</v>
      </c>
      <c r="CQ212" t="s">
        <v>2129</v>
      </c>
      <c r="CR212" t="s">
        <v>2129</v>
      </c>
      <c r="CS212" t="s">
        <v>2129</v>
      </c>
      <c r="CT212" t="s">
        <v>4401</v>
      </c>
      <c r="CU212" t="s">
        <v>2129</v>
      </c>
      <c r="CV212" t="s">
        <v>2129</v>
      </c>
      <c r="CW212" t="s">
        <v>2129</v>
      </c>
      <c r="CX212" t="s">
        <v>2129</v>
      </c>
      <c r="CY212" t="s">
        <v>2129</v>
      </c>
      <c r="CZ212" t="s">
        <v>2129</v>
      </c>
      <c r="DA212" t="s">
        <v>2129</v>
      </c>
      <c r="DB212" t="s">
        <v>2129</v>
      </c>
      <c r="DC212" t="s">
        <v>2129</v>
      </c>
      <c r="DD212" t="s">
        <v>2129</v>
      </c>
      <c r="DE212" t="s">
        <v>2129</v>
      </c>
      <c r="DF212" t="s">
        <v>2129</v>
      </c>
      <c r="DG212" t="s">
        <v>2129</v>
      </c>
      <c r="DH212" t="s">
        <v>2129</v>
      </c>
      <c r="DJ212" t="s">
        <v>2129</v>
      </c>
      <c r="DK212" t="s">
        <v>2129</v>
      </c>
      <c r="DL212" t="s">
        <v>4402</v>
      </c>
      <c r="DM212" t="s">
        <v>2129</v>
      </c>
      <c r="DN212" t="s">
        <v>2129</v>
      </c>
      <c r="DO212" t="s">
        <v>2129</v>
      </c>
      <c r="DP212" t="s">
        <v>2129</v>
      </c>
      <c r="DQ212" t="s">
        <v>2129</v>
      </c>
      <c r="DR212" t="s">
        <v>2129</v>
      </c>
      <c r="DS212" t="s">
        <v>2129</v>
      </c>
      <c r="DT212" t="s">
        <v>2129</v>
      </c>
      <c r="DU212" t="s">
        <v>2129</v>
      </c>
      <c r="DV212" t="s">
        <v>2129</v>
      </c>
      <c r="DW212" t="s">
        <v>2129</v>
      </c>
      <c r="DX212" t="s">
        <v>2129</v>
      </c>
      <c r="DY212" t="s">
        <v>2129</v>
      </c>
      <c r="DZ212" t="s">
        <v>2129</v>
      </c>
      <c r="EA212" t="s">
        <v>2129</v>
      </c>
      <c r="EB212" t="s">
        <v>2129</v>
      </c>
      <c r="EC212" t="s">
        <v>2129</v>
      </c>
      <c r="ED212" t="s">
        <v>2129</v>
      </c>
      <c r="EE212" t="s">
        <v>2129</v>
      </c>
      <c r="EF212" t="s">
        <v>2129</v>
      </c>
      <c r="EG212" t="s">
        <v>2129</v>
      </c>
      <c r="EH212" t="s">
        <v>2129</v>
      </c>
    </row>
    <row r="213" spans="1:138" x14ac:dyDescent="0.25">
      <c r="A213" t="s">
        <v>1084</v>
      </c>
      <c r="B213" t="s">
        <v>1083</v>
      </c>
      <c r="C213">
        <v>21819</v>
      </c>
      <c r="E213" t="s">
        <v>14</v>
      </c>
      <c r="F213" t="s">
        <v>10</v>
      </c>
      <c r="G213" t="s">
        <v>3081</v>
      </c>
      <c r="H213" t="s">
        <v>991</v>
      </c>
      <c r="I213" t="s">
        <v>2127</v>
      </c>
      <c r="J213" t="s">
        <v>2152</v>
      </c>
      <c r="K213" t="s">
        <v>2129</v>
      </c>
      <c r="L213" t="s">
        <v>2129</v>
      </c>
      <c r="M213" t="s">
        <v>2130</v>
      </c>
      <c r="N213" t="s">
        <v>2129</v>
      </c>
      <c r="O213" t="s">
        <v>2141</v>
      </c>
      <c r="P213" t="s">
        <v>2145</v>
      </c>
      <c r="Q213" t="s">
        <v>2145</v>
      </c>
      <c r="R213" s="37">
        <v>45846.413888888892</v>
      </c>
      <c r="S213" s="37">
        <v>46098.431944444441</v>
      </c>
      <c r="T213" s="37">
        <v>46100.368750000001</v>
      </c>
      <c r="U213" s="37"/>
      <c r="V213" t="s">
        <v>2129</v>
      </c>
      <c r="W213" t="s">
        <v>2129</v>
      </c>
      <c r="X213" t="s">
        <v>2129</v>
      </c>
      <c r="Y213">
        <v>0</v>
      </c>
      <c r="Z213" t="s">
        <v>2129</v>
      </c>
      <c r="AA213" t="s">
        <v>4403</v>
      </c>
      <c r="AB213" t="s">
        <v>2129</v>
      </c>
      <c r="AC213" t="s">
        <v>2141</v>
      </c>
      <c r="AD213" t="s">
        <v>2145</v>
      </c>
      <c r="AE213" t="s">
        <v>2129</v>
      </c>
      <c r="AF213" t="s">
        <v>2129</v>
      </c>
      <c r="AG213" t="s">
        <v>2129</v>
      </c>
      <c r="AH213" t="s">
        <v>2129</v>
      </c>
      <c r="AI213" t="s">
        <v>2129</v>
      </c>
      <c r="AJ213" t="s">
        <v>2129</v>
      </c>
      <c r="AK213" t="s">
        <v>2129</v>
      </c>
      <c r="AL213" t="s">
        <v>2129</v>
      </c>
      <c r="AM213" t="s">
        <v>2129</v>
      </c>
      <c r="AN213" t="s">
        <v>2129</v>
      </c>
      <c r="AO213" t="s">
        <v>2129</v>
      </c>
      <c r="AP213" t="s">
        <v>2129</v>
      </c>
      <c r="AQ213" t="s">
        <v>2129</v>
      </c>
      <c r="AR213" t="s">
        <v>2129</v>
      </c>
      <c r="AS213" t="s">
        <v>2129</v>
      </c>
      <c r="AT213" t="s">
        <v>2129</v>
      </c>
      <c r="AU213" t="s">
        <v>2129</v>
      </c>
      <c r="AV213" t="s">
        <v>2129</v>
      </c>
      <c r="AW213" t="s">
        <v>2129</v>
      </c>
      <c r="AX213" t="s">
        <v>2129</v>
      </c>
      <c r="AY213" t="s">
        <v>2129</v>
      </c>
      <c r="AZ213" t="s">
        <v>2129</v>
      </c>
      <c r="BA213" t="s">
        <v>2129</v>
      </c>
      <c r="BB213" t="s">
        <v>2129</v>
      </c>
      <c r="BC213" t="s">
        <v>2129</v>
      </c>
      <c r="BD213" t="s">
        <v>2129</v>
      </c>
      <c r="BE213" t="s">
        <v>2129</v>
      </c>
      <c r="BF213" t="s">
        <v>2129</v>
      </c>
      <c r="BG213" t="s">
        <v>2129</v>
      </c>
      <c r="BH213" t="s">
        <v>2129</v>
      </c>
      <c r="BI213" t="s">
        <v>2129</v>
      </c>
      <c r="BJ213" t="s">
        <v>2129</v>
      </c>
      <c r="BK213" t="s">
        <v>2129</v>
      </c>
      <c r="BL213" t="s">
        <v>2129</v>
      </c>
      <c r="BM213" t="s">
        <v>2129</v>
      </c>
      <c r="BN213" t="s">
        <v>2129</v>
      </c>
      <c r="BO213" t="s">
        <v>2129</v>
      </c>
      <c r="BP213" t="s">
        <v>2129</v>
      </c>
      <c r="BS213" t="s">
        <v>2129</v>
      </c>
      <c r="BT213" t="s">
        <v>2129</v>
      </c>
      <c r="BW213" t="s">
        <v>2129</v>
      </c>
      <c r="BX213" t="s">
        <v>2129</v>
      </c>
      <c r="BY213" t="s">
        <v>2129</v>
      </c>
      <c r="BZ213" t="s">
        <v>2129</v>
      </c>
      <c r="CA213" t="s">
        <v>2129</v>
      </c>
      <c r="CB213" t="s">
        <v>2129</v>
      </c>
      <c r="CC213" t="s">
        <v>2129</v>
      </c>
      <c r="CD213" t="s">
        <v>2129</v>
      </c>
      <c r="CE213" t="s">
        <v>2129</v>
      </c>
      <c r="CF213" t="s">
        <v>2129</v>
      </c>
      <c r="CG213" t="s">
        <v>2129</v>
      </c>
      <c r="CH213" t="s">
        <v>2129</v>
      </c>
      <c r="CI213" t="s">
        <v>2129</v>
      </c>
      <c r="CJ213" t="s">
        <v>2129</v>
      </c>
      <c r="CK213" t="s">
        <v>2129</v>
      </c>
      <c r="CL213" t="s">
        <v>2129</v>
      </c>
      <c r="CM213" t="s">
        <v>3108</v>
      </c>
      <c r="CN213" t="s">
        <v>2129</v>
      </c>
      <c r="CO213" t="s">
        <v>2129</v>
      </c>
      <c r="CP213" t="s">
        <v>2129</v>
      </c>
      <c r="CQ213" t="s">
        <v>2129</v>
      </c>
      <c r="CR213" t="s">
        <v>2129</v>
      </c>
      <c r="CS213" t="s">
        <v>2129</v>
      </c>
      <c r="CT213" t="s">
        <v>4404</v>
      </c>
      <c r="CU213" t="s">
        <v>2129</v>
      </c>
      <c r="CV213" t="s">
        <v>2129</v>
      </c>
      <c r="CW213" t="s">
        <v>2129</v>
      </c>
      <c r="CX213" t="s">
        <v>2129</v>
      </c>
      <c r="CY213" t="s">
        <v>2129</v>
      </c>
      <c r="CZ213" t="s">
        <v>2129</v>
      </c>
      <c r="DA213" t="s">
        <v>2129</v>
      </c>
      <c r="DB213" t="s">
        <v>2129</v>
      </c>
      <c r="DC213" t="s">
        <v>2129</v>
      </c>
      <c r="DD213" t="s">
        <v>2129</v>
      </c>
      <c r="DE213" t="s">
        <v>2129</v>
      </c>
      <c r="DF213" t="s">
        <v>2129</v>
      </c>
      <c r="DG213" t="s">
        <v>2129</v>
      </c>
      <c r="DH213" t="s">
        <v>2129</v>
      </c>
      <c r="DJ213" t="s">
        <v>2129</v>
      </c>
      <c r="DK213" t="s">
        <v>2129</v>
      </c>
      <c r="DL213" t="s">
        <v>4405</v>
      </c>
      <c r="DM213" t="s">
        <v>2129</v>
      </c>
      <c r="DN213" t="s">
        <v>2129</v>
      </c>
      <c r="DO213" t="s">
        <v>2129</v>
      </c>
      <c r="DP213" t="s">
        <v>2129</v>
      </c>
      <c r="DQ213" t="s">
        <v>2129</v>
      </c>
      <c r="DR213" t="s">
        <v>2129</v>
      </c>
      <c r="DS213" t="s">
        <v>2129</v>
      </c>
      <c r="DT213" t="s">
        <v>2129</v>
      </c>
      <c r="DU213" t="s">
        <v>2129</v>
      </c>
      <c r="DV213" t="s">
        <v>2129</v>
      </c>
      <c r="DW213" t="s">
        <v>2129</v>
      </c>
      <c r="DX213" t="s">
        <v>2129</v>
      </c>
      <c r="DY213" t="s">
        <v>2129</v>
      </c>
      <c r="DZ213" t="s">
        <v>2129</v>
      </c>
      <c r="EA213" t="s">
        <v>2129</v>
      </c>
      <c r="EB213" t="s">
        <v>2129</v>
      </c>
      <c r="EC213" t="s">
        <v>2129</v>
      </c>
      <c r="ED213" t="s">
        <v>2129</v>
      </c>
      <c r="EE213" t="s">
        <v>2129</v>
      </c>
      <c r="EF213" t="s">
        <v>2129</v>
      </c>
      <c r="EG213" t="s">
        <v>2129</v>
      </c>
      <c r="EH213" t="s">
        <v>2129</v>
      </c>
    </row>
    <row r="214" spans="1:138" x14ac:dyDescent="0.25">
      <c r="A214" t="s">
        <v>3114</v>
      </c>
      <c r="B214" t="s">
        <v>3096</v>
      </c>
      <c r="C214">
        <v>21756</v>
      </c>
      <c r="E214" t="s">
        <v>2154</v>
      </c>
      <c r="F214" t="s">
        <v>10</v>
      </c>
      <c r="G214" t="s">
        <v>3081</v>
      </c>
      <c r="H214" t="s">
        <v>991</v>
      </c>
      <c r="I214" t="s">
        <v>2127</v>
      </c>
      <c r="J214" t="s">
        <v>2152</v>
      </c>
      <c r="K214" t="s">
        <v>2129</v>
      </c>
      <c r="L214" t="s">
        <v>2129</v>
      </c>
      <c r="M214" t="s">
        <v>2130</v>
      </c>
      <c r="N214" t="s">
        <v>2129</v>
      </c>
      <c r="O214" t="s">
        <v>2129</v>
      </c>
      <c r="P214" t="s">
        <v>2145</v>
      </c>
      <c r="Q214" t="s">
        <v>2145</v>
      </c>
      <c r="R214" s="37">
        <v>45834.411111111112</v>
      </c>
      <c r="S214" s="37">
        <v>46098.361805555556</v>
      </c>
      <c r="T214" s="37">
        <v>46100.368750000001</v>
      </c>
      <c r="U214" s="37"/>
      <c r="V214" t="s">
        <v>2129</v>
      </c>
      <c r="W214" t="s">
        <v>2129</v>
      </c>
      <c r="X214" t="s">
        <v>2129</v>
      </c>
      <c r="Y214">
        <v>0</v>
      </c>
      <c r="Z214" t="s">
        <v>3115</v>
      </c>
      <c r="AA214" t="s">
        <v>3116</v>
      </c>
      <c r="AB214" t="s">
        <v>2129</v>
      </c>
      <c r="AC214" t="s">
        <v>2145</v>
      </c>
      <c r="AD214" t="s">
        <v>2129</v>
      </c>
      <c r="AE214" t="s">
        <v>2129</v>
      </c>
      <c r="AF214" t="s">
        <v>2129</v>
      </c>
      <c r="AG214" t="s">
        <v>2129</v>
      </c>
      <c r="AH214" t="s">
        <v>2129</v>
      </c>
      <c r="AI214" t="s">
        <v>2129</v>
      </c>
      <c r="AJ214" t="s">
        <v>2129</v>
      </c>
      <c r="AK214" t="s">
        <v>2129</v>
      </c>
      <c r="AL214" t="s">
        <v>2129</v>
      </c>
      <c r="AM214" t="s">
        <v>2129</v>
      </c>
      <c r="AN214" t="s">
        <v>2129</v>
      </c>
      <c r="AO214" t="s">
        <v>2129</v>
      </c>
      <c r="AP214" t="s">
        <v>2129</v>
      </c>
      <c r="AQ214" t="s">
        <v>2129</v>
      </c>
      <c r="AR214" t="s">
        <v>2129</v>
      </c>
      <c r="AS214" t="s">
        <v>2129</v>
      </c>
      <c r="AT214" t="s">
        <v>2129</v>
      </c>
      <c r="AU214" t="s">
        <v>2129</v>
      </c>
      <c r="AV214" t="s">
        <v>2129</v>
      </c>
      <c r="AW214" t="s">
        <v>2129</v>
      </c>
      <c r="AX214" t="s">
        <v>2129</v>
      </c>
      <c r="AY214" t="s">
        <v>2129</v>
      </c>
      <c r="AZ214" t="s">
        <v>2129</v>
      </c>
      <c r="BA214" t="s">
        <v>2129</v>
      </c>
      <c r="BB214" t="s">
        <v>2129</v>
      </c>
      <c r="BC214" t="s">
        <v>2129</v>
      </c>
      <c r="BD214" t="s">
        <v>2129</v>
      </c>
      <c r="BE214" t="s">
        <v>2129</v>
      </c>
      <c r="BF214" t="s">
        <v>2129</v>
      </c>
      <c r="BG214" t="s">
        <v>2129</v>
      </c>
      <c r="BH214" t="s">
        <v>2129</v>
      </c>
      <c r="BI214" t="s">
        <v>2129</v>
      </c>
      <c r="BJ214" t="s">
        <v>2129</v>
      </c>
      <c r="BK214" t="s">
        <v>2129</v>
      </c>
      <c r="BL214" t="s">
        <v>2129</v>
      </c>
      <c r="BM214" t="s">
        <v>2129</v>
      </c>
      <c r="BN214" t="s">
        <v>2129</v>
      </c>
      <c r="BO214" t="s">
        <v>2129</v>
      </c>
      <c r="BP214" t="s">
        <v>2129</v>
      </c>
      <c r="BS214" t="s">
        <v>2129</v>
      </c>
      <c r="BT214" t="s">
        <v>2129</v>
      </c>
      <c r="BW214" t="s">
        <v>2129</v>
      </c>
      <c r="BX214" t="s">
        <v>2129</v>
      </c>
      <c r="BY214" t="s">
        <v>2129</v>
      </c>
      <c r="BZ214" t="s">
        <v>3117</v>
      </c>
      <c r="CA214" t="s">
        <v>3118</v>
      </c>
      <c r="CB214" t="s">
        <v>3119</v>
      </c>
      <c r="CC214" t="s">
        <v>2129</v>
      </c>
      <c r="CD214" t="s">
        <v>2129</v>
      </c>
      <c r="CE214" t="s">
        <v>2129</v>
      </c>
      <c r="CF214" t="s">
        <v>2129</v>
      </c>
      <c r="CG214" t="s">
        <v>2129</v>
      </c>
      <c r="CH214" t="s">
        <v>2129</v>
      </c>
      <c r="CI214" t="s">
        <v>2129</v>
      </c>
      <c r="CJ214" t="s">
        <v>2129</v>
      </c>
      <c r="CK214" t="s">
        <v>2129</v>
      </c>
      <c r="CL214" t="s">
        <v>2802</v>
      </c>
      <c r="CM214" t="s">
        <v>2129</v>
      </c>
      <c r="CN214" t="s">
        <v>3114</v>
      </c>
      <c r="CO214" t="s">
        <v>10</v>
      </c>
      <c r="CP214" t="s">
        <v>2129</v>
      </c>
      <c r="CQ214" t="s">
        <v>2129</v>
      </c>
      <c r="CR214" t="s">
        <v>2129</v>
      </c>
      <c r="CS214" t="s">
        <v>2129</v>
      </c>
      <c r="CT214" t="s">
        <v>3120</v>
      </c>
      <c r="CU214" t="s">
        <v>2129</v>
      </c>
      <c r="CV214" t="s">
        <v>2129</v>
      </c>
      <c r="CW214" t="s">
        <v>2129</v>
      </c>
      <c r="CX214" t="s">
        <v>2129</v>
      </c>
      <c r="CY214" t="s">
        <v>2129</v>
      </c>
      <c r="CZ214" t="s">
        <v>2129</v>
      </c>
      <c r="DA214" t="s">
        <v>2129</v>
      </c>
      <c r="DB214" t="s">
        <v>2129</v>
      </c>
      <c r="DC214" t="s">
        <v>2129</v>
      </c>
      <c r="DD214" t="s">
        <v>2129</v>
      </c>
      <c r="DE214" t="s">
        <v>2129</v>
      </c>
      <c r="DF214" t="s">
        <v>2129</v>
      </c>
      <c r="DG214" t="s">
        <v>2129</v>
      </c>
      <c r="DH214" t="s">
        <v>2129</v>
      </c>
      <c r="DJ214" t="s">
        <v>2129</v>
      </c>
      <c r="DK214" t="s">
        <v>2129</v>
      </c>
      <c r="DL214" t="s">
        <v>2129</v>
      </c>
      <c r="DM214" t="s">
        <v>2129</v>
      </c>
      <c r="DN214" t="s">
        <v>2129</v>
      </c>
      <c r="DO214" t="s">
        <v>2129</v>
      </c>
      <c r="DP214" t="s">
        <v>2129</v>
      </c>
      <c r="DQ214" t="s">
        <v>2129</v>
      </c>
      <c r="DR214" t="s">
        <v>2129</v>
      </c>
      <c r="DS214" t="s">
        <v>2129</v>
      </c>
      <c r="DT214" t="s">
        <v>2129</v>
      </c>
      <c r="DU214" t="s">
        <v>2129</v>
      </c>
      <c r="DV214" t="s">
        <v>2129</v>
      </c>
      <c r="DW214" t="s">
        <v>2129</v>
      </c>
      <c r="DX214" t="s">
        <v>2129</v>
      </c>
      <c r="DY214" t="s">
        <v>2129</v>
      </c>
      <c r="DZ214" t="s">
        <v>2129</v>
      </c>
      <c r="EA214" t="s">
        <v>2129</v>
      </c>
      <c r="EB214" t="s">
        <v>2129</v>
      </c>
      <c r="EC214" t="s">
        <v>2129</v>
      </c>
      <c r="ED214" t="s">
        <v>2129</v>
      </c>
      <c r="EE214" t="s">
        <v>2129</v>
      </c>
      <c r="EF214" t="s">
        <v>2129</v>
      </c>
      <c r="EG214" t="s">
        <v>2129</v>
      </c>
      <c r="EH214" t="s">
        <v>2129</v>
      </c>
    </row>
    <row r="215" spans="1:138" x14ac:dyDescent="0.25">
      <c r="A215" t="s">
        <v>4406</v>
      </c>
      <c r="B215" t="s">
        <v>3111</v>
      </c>
      <c r="C215">
        <v>21746</v>
      </c>
      <c r="E215" t="s">
        <v>2154</v>
      </c>
      <c r="F215" t="s">
        <v>10</v>
      </c>
      <c r="G215" t="s">
        <v>3081</v>
      </c>
      <c r="H215" t="s">
        <v>991</v>
      </c>
      <c r="I215" t="s">
        <v>2127</v>
      </c>
      <c r="J215" t="s">
        <v>2152</v>
      </c>
      <c r="K215" t="s">
        <v>2129</v>
      </c>
      <c r="L215" t="s">
        <v>2129</v>
      </c>
      <c r="M215" t="s">
        <v>2130</v>
      </c>
      <c r="N215" t="s">
        <v>2129</v>
      </c>
      <c r="O215" t="s">
        <v>2129</v>
      </c>
      <c r="P215" t="s">
        <v>2145</v>
      </c>
      <c r="Q215" t="s">
        <v>2145</v>
      </c>
      <c r="R215" s="37">
        <v>45834.407638888886</v>
      </c>
      <c r="S215" s="37">
        <v>46098.4375</v>
      </c>
      <c r="T215" s="37">
        <v>46100.368750000001</v>
      </c>
      <c r="U215" s="37"/>
      <c r="V215" t="s">
        <v>2129</v>
      </c>
      <c r="W215" t="s">
        <v>2129</v>
      </c>
      <c r="X215" t="s">
        <v>2129</v>
      </c>
      <c r="Y215">
        <v>0</v>
      </c>
      <c r="Z215" t="s">
        <v>3115</v>
      </c>
      <c r="AA215" t="s">
        <v>4407</v>
      </c>
      <c r="AB215" t="s">
        <v>2129</v>
      </c>
      <c r="AC215" t="s">
        <v>2145</v>
      </c>
      <c r="AD215" t="s">
        <v>2129</v>
      </c>
      <c r="AE215" t="s">
        <v>2129</v>
      </c>
      <c r="AF215" t="s">
        <v>2129</v>
      </c>
      <c r="AG215" t="s">
        <v>2129</v>
      </c>
      <c r="AH215" t="s">
        <v>2129</v>
      </c>
      <c r="AI215" t="s">
        <v>2129</v>
      </c>
      <c r="AJ215" t="s">
        <v>2129</v>
      </c>
      <c r="AK215" t="s">
        <v>2129</v>
      </c>
      <c r="AL215" t="s">
        <v>2129</v>
      </c>
      <c r="AM215" t="s">
        <v>2129</v>
      </c>
      <c r="AN215" t="s">
        <v>2129</v>
      </c>
      <c r="AO215" t="s">
        <v>2129</v>
      </c>
      <c r="AP215" t="s">
        <v>2129</v>
      </c>
      <c r="AQ215" t="s">
        <v>2129</v>
      </c>
      <c r="AR215" t="s">
        <v>2129</v>
      </c>
      <c r="AS215" t="s">
        <v>2129</v>
      </c>
      <c r="AT215" t="s">
        <v>2129</v>
      </c>
      <c r="AU215" t="s">
        <v>2129</v>
      </c>
      <c r="AV215" t="s">
        <v>2129</v>
      </c>
      <c r="AW215" t="s">
        <v>2129</v>
      </c>
      <c r="AX215" t="s">
        <v>2129</v>
      </c>
      <c r="AY215" t="s">
        <v>2129</v>
      </c>
      <c r="AZ215" t="s">
        <v>2129</v>
      </c>
      <c r="BA215" t="s">
        <v>2129</v>
      </c>
      <c r="BB215" t="s">
        <v>2129</v>
      </c>
      <c r="BC215" t="s">
        <v>2129</v>
      </c>
      <c r="BD215" t="s">
        <v>2129</v>
      </c>
      <c r="BE215" t="s">
        <v>2129</v>
      </c>
      <c r="BF215" t="s">
        <v>2129</v>
      </c>
      <c r="BG215" t="s">
        <v>2129</v>
      </c>
      <c r="BH215" t="s">
        <v>2129</v>
      </c>
      <c r="BI215" t="s">
        <v>2129</v>
      </c>
      <c r="BJ215" t="s">
        <v>2129</v>
      </c>
      <c r="BK215" t="s">
        <v>2129</v>
      </c>
      <c r="BL215" t="s">
        <v>2129</v>
      </c>
      <c r="BM215" t="s">
        <v>2129</v>
      </c>
      <c r="BN215" t="s">
        <v>2129</v>
      </c>
      <c r="BO215" t="s">
        <v>2129</v>
      </c>
      <c r="BP215" t="s">
        <v>2129</v>
      </c>
      <c r="BS215" t="s">
        <v>2129</v>
      </c>
      <c r="BT215" t="s">
        <v>2129</v>
      </c>
      <c r="BW215" t="s">
        <v>2129</v>
      </c>
      <c r="BX215" t="s">
        <v>2129</v>
      </c>
      <c r="BY215" t="s">
        <v>2129</v>
      </c>
      <c r="BZ215" t="s">
        <v>2129</v>
      </c>
      <c r="CA215" t="s">
        <v>2129</v>
      </c>
      <c r="CB215" t="s">
        <v>2129</v>
      </c>
      <c r="CC215" t="s">
        <v>2129</v>
      </c>
      <c r="CD215" t="s">
        <v>2129</v>
      </c>
      <c r="CE215" t="s">
        <v>2129</v>
      </c>
      <c r="CF215" t="s">
        <v>2129</v>
      </c>
      <c r="CG215" t="s">
        <v>2129</v>
      </c>
      <c r="CH215" t="s">
        <v>2129</v>
      </c>
      <c r="CI215" t="s">
        <v>2129</v>
      </c>
      <c r="CJ215" t="s">
        <v>2129</v>
      </c>
      <c r="CK215" t="s">
        <v>2129</v>
      </c>
      <c r="CL215" t="s">
        <v>4408</v>
      </c>
      <c r="CM215" t="s">
        <v>2129</v>
      </c>
      <c r="CN215" t="s">
        <v>4406</v>
      </c>
      <c r="CO215" t="s">
        <v>10</v>
      </c>
      <c r="CP215" t="s">
        <v>2129</v>
      </c>
      <c r="CQ215" t="s">
        <v>2129</v>
      </c>
      <c r="CR215" t="s">
        <v>2129</v>
      </c>
      <c r="CS215" t="s">
        <v>2129</v>
      </c>
      <c r="CT215" t="s">
        <v>4409</v>
      </c>
      <c r="CU215" t="s">
        <v>2129</v>
      </c>
      <c r="CV215" t="s">
        <v>2129</v>
      </c>
      <c r="CW215" t="s">
        <v>2129</v>
      </c>
      <c r="CX215" t="s">
        <v>2129</v>
      </c>
      <c r="CY215" t="s">
        <v>2129</v>
      </c>
      <c r="CZ215" t="s">
        <v>2129</v>
      </c>
      <c r="DA215" t="s">
        <v>2129</v>
      </c>
      <c r="DB215" t="s">
        <v>2129</v>
      </c>
      <c r="DC215" t="s">
        <v>2129</v>
      </c>
      <c r="DD215" t="s">
        <v>2129</v>
      </c>
      <c r="DE215" t="s">
        <v>2129</v>
      </c>
      <c r="DF215" t="s">
        <v>2129</v>
      </c>
      <c r="DG215" t="s">
        <v>2129</v>
      </c>
      <c r="DH215" t="s">
        <v>2129</v>
      </c>
      <c r="DJ215" t="s">
        <v>2129</v>
      </c>
      <c r="DK215" t="s">
        <v>2129</v>
      </c>
      <c r="DL215" t="s">
        <v>2129</v>
      </c>
      <c r="DM215" t="s">
        <v>2129</v>
      </c>
      <c r="DN215" t="s">
        <v>2129</v>
      </c>
      <c r="DO215" t="s">
        <v>2129</v>
      </c>
      <c r="DP215" t="s">
        <v>2129</v>
      </c>
      <c r="DQ215" t="s">
        <v>2129</v>
      </c>
      <c r="DR215" t="s">
        <v>2129</v>
      </c>
      <c r="DS215" t="s">
        <v>2129</v>
      </c>
      <c r="DT215" t="s">
        <v>2129</v>
      </c>
      <c r="DU215" t="s">
        <v>2129</v>
      </c>
      <c r="DV215" t="s">
        <v>2129</v>
      </c>
      <c r="DW215" t="s">
        <v>2129</v>
      </c>
      <c r="DX215" t="s">
        <v>2129</v>
      </c>
      <c r="DY215" t="s">
        <v>2129</v>
      </c>
      <c r="DZ215" t="s">
        <v>2129</v>
      </c>
      <c r="EA215" t="s">
        <v>2129</v>
      </c>
      <c r="EB215" t="s">
        <v>2129</v>
      </c>
      <c r="EC215" t="s">
        <v>2129</v>
      </c>
      <c r="ED215" t="s">
        <v>2129</v>
      </c>
      <c r="EE215" t="s">
        <v>2129</v>
      </c>
      <c r="EF215" t="s">
        <v>2129</v>
      </c>
      <c r="EG215" t="s">
        <v>2129</v>
      </c>
      <c r="EH215" t="s">
        <v>2129</v>
      </c>
    </row>
    <row r="216" spans="1:138" x14ac:dyDescent="0.25">
      <c r="A216" t="s">
        <v>3121</v>
      </c>
      <c r="B216" t="s">
        <v>3088</v>
      </c>
      <c r="C216">
        <v>21745</v>
      </c>
      <c r="E216" t="s">
        <v>2154</v>
      </c>
      <c r="F216" t="s">
        <v>10</v>
      </c>
      <c r="G216" t="s">
        <v>3081</v>
      </c>
      <c r="H216" t="s">
        <v>991</v>
      </c>
      <c r="I216" t="s">
        <v>2127</v>
      </c>
      <c r="J216" t="s">
        <v>2152</v>
      </c>
      <c r="K216" t="s">
        <v>2129</v>
      </c>
      <c r="L216" t="s">
        <v>2129</v>
      </c>
      <c r="M216" t="s">
        <v>2130</v>
      </c>
      <c r="N216" t="s">
        <v>2129</v>
      </c>
      <c r="O216" t="s">
        <v>2129</v>
      </c>
      <c r="P216" t="s">
        <v>2145</v>
      </c>
      <c r="Q216" t="s">
        <v>2145</v>
      </c>
      <c r="R216" s="37">
        <v>45834.406944444447</v>
      </c>
      <c r="S216" s="37">
        <v>46097.461111111108</v>
      </c>
      <c r="T216" s="37">
        <v>46100.368750000001</v>
      </c>
      <c r="U216" s="37"/>
      <c r="V216" t="s">
        <v>2129</v>
      </c>
      <c r="W216" t="s">
        <v>2129</v>
      </c>
      <c r="X216" t="s">
        <v>2129</v>
      </c>
      <c r="Y216">
        <v>0</v>
      </c>
      <c r="Z216" t="s">
        <v>3115</v>
      </c>
      <c r="AA216" t="s">
        <v>3122</v>
      </c>
      <c r="AB216" t="s">
        <v>2129</v>
      </c>
      <c r="AC216" t="s">
        <v>2145</v>
      </c>
      <c r="AD216" t="s">
        <v>2129</v>
      </c>
      <c r="AE216" t="s">
        <v>2129</v>
      </c>
      <c r="AF216" t="s">
        <v>2129</v>
      </c>
      <c r="AG216" t="s">
        <v>2129</v>
      </c>
      <c r="AH216" t="s">
        <v>2129</v>
      </c>
      <c r="AI216" t="s">
        <v>2129</v>
      </c>
      <c r="AJ216" t="s">
        <v>2129</v>
      </c>
      <c r="AK216" t="s">
        <v>2129</v>
      </c>
      <c r="AL216" t="s">
        <v>2129</v>
      </c>
      <c r="AM216" t="s">
        <v>2129</v>
      </c>
      <c r="AN216" t="s">
        <v>2129</v>
      </c>
      <c r="AO216" t="s">
        <v>2129</v>
      </c>
      <c r="AP216" t="s">
        <v>2129</v>
      </c>
      <c r="AQ216" t="s">
        <v>2129</v>
      </c>
      <c r="AR216" t="s">
        <v>2129</v>
      </c>
      <c r="AS216" t="s">
        <v>2129</v>
      </c>
      <c r="AT216" t="s">
        <v>2129</v>
      </c>
      <c r="AU216" t="s">
        <v>2129</v>
      </c>
      <c r="AV216" t="s">
        <v>2129</v>
      </c>
      <c r="AW216" t="s">
        <v>2129</v>
      </c>
      <c r="AX216" t="s">
        <v>2129</v>
      </c>
      <c r="AY216" t="s">
        <v>2129</v>
      </c>
      <c r="AZ216" t="s">
        <v>2129</v>
      </c>
      <c r="BA216" t="s">
        <v>2129</v>
      </c>
      <c r="BB216" t="s">
        <v>2129</v>
      </c>
      <c r="BC216" t="s">
        <v>2129</v>
      </c>
      <c r="BD216" t="s">
        <v>2129</v>
      </c>
      <c r="BE216" t="s">
        <v>2129</v>
      </c>
      <c r="BF216" t="s">
        <v>2129</v>
      </c>
      <c r="BG216" t="s">
        <v>2129</v>
      </c>
      <c r="BH216" t="s">
        <v>2129</v>
      </c>
      <c r="BI216" t="s">
        <v>2129</v>
      </c>
      <c r="BJ216" t="s">
        <v>2129</v>
      </c>
      <c r="BK216" t="s">
        <v>2129</v>
      </c>
      <c r="BL216" t="s">
        <v>2129</v>
      </c>
      <c r="BM216" t="s">
        <v>2129</v>
      </c>
      <c r="BN216" t="s">
        <v>2129</v>
      </c>
      <c r="BO216" t="s">
        <v>2129</v>
      </c>
      <c r="BP216" t="s">
        <v>2129</v>
      </c>
      <c r="BS216" t="s">
        <v>2129</v>
      </c>
      <c r="BT216" t="s">
        <v>2129</v>
      </c>
      <c r="BW216" t="s">
        <v>2129</v>
      </c>
      <c r="BX216" t="s">
        <v>2129</v>
      </c>
      <c r="BY216" t="s">
        <v>2129</v>
      </c>
      <c r="BZ216" t="s">
        <v>2129</v>
      </c>
      <c r="CA216" t="s">
        <v>2129</v>
      </c>
      <c r="CB216" t="s">
        <v>2129</v>
      </c>
      <c r="CC216" t="s">
        <v>2129</v>
      </c>
      <c r="CD216" t="s">
        <v>2129</v>
      </c>
      <c r="CE216" t="s">
        <v>2129</v>
      </c>
      <c r="CF216" t="s">
        <v>2129</v>
      </c>
      <c r="CG216" t="s">
        <v>2129</v>
      </c>
      <c r="CH216" t="s">
        <v>2129</v>
      </c>
      <c r="CI216" t="s">
        <v>2129</v>
      </c>
      <c r="CJ216" t="s">
        <v>2129</v>
      </c>
      <c r="CK216" t="s">
        <v>2129</v>
      </c>
      <c r="CL216" t="s">
        <v>3123</v>
      </c>
      <c r="CM216" t="s">
        <v>2129</v>
      </c>
      <c r="CN216" t="s">
        <v>3121</v>
      </c>
      <c r="CO216" t="s">
        <v>10</v>
      </c>
      <c r="CP216" t="s">
        <v>2129</v>
      </c>
      <c r="CQ216" t="s">
        <v>2129</v>
      </c>
      <c r="CR216" t="s">
        <v>2129</v>
      </c>
      <c r="CS216" t="s">
        <v>2129</v>
      </c>
      <c r="CT216" t="s">
        <v>3124</v>
      </c>
      <c r="CU216" t="s">
        <v>2129</v>
      </c>
      <c r="CV216" t="s">
        <v>2129</v>
      </c>
      <c r="CW216" t="s">
        <v>2129</v>
      </c>
      <c r="CX216" t="s">
        <v>2129</v>
      </c>
      <c r="CY216" t="s">
        <v>2129</v>
      </c>
      <c r="CZ216" t="s">
        <v>2129</v>
      </c>
      <c r="DA216" t="s">
        <v>2129</v>
      </c>
      <c r="DB216" t="s">
        <v>2129</v>
      </c>
      <c r="DC216" t="s">
        <v>2129</v>
      </c>
      <c r="DD216" t="s">
        <v>2129</v>
      </c>
      <c r="DE216" t="s">
        <v>2129</v>
      </c>
      <c r="DF216" t="s">
        <v>2129</v>
      </c>
      <c r="DG216" t="s">
        <v>2129</v>
      </c>
      <c r="DH216" t="s">
        <v>2129</v>
      </c>
      <c r="DJ216" t="s">
        <v>2129</v>
      </c>
      <c r="DK216" t="s">
        <v>2129</v>
      </c>
      <c r="DL216" t="s">
        <v>2129</v>
      </c>
      <c r="DM216" t="s">
        <v>2129</v>
      </c>
      <c r="DN216" t="s">
        <v>2129</v>
      </c>
      <c r="DO216" t="s">
        <v>2129</v>
      </c>
      <c r="DP216" t="s">
        <v>2129</v>
      </c>
      <c r="DQ216" t="s">
        <v>2129</v>
      </c>
      <c r="DR216" t="s">
        <v>2129</v>
      </c>
      <c r="DS216" t="s">
        <v>2129</v>
      </c>
      <c r="DT216" t="s">
        <v>2129</v>
      </c>
      <c r="DU216" t="s">
        <v>2129</v>
      </c>
      <c r="DV216" t="s">
        <v>2129</v>
      </c>
      <c r="DW216" t="s">
        <v>2129</v>
      </c>
      <c r="DX216" t="s">
        <v>2129</v>
      </c>
      <c r="DY216" t="s">
        <v>2129</v>
      </c>
      <c r="DZ216" t="s">
        <v>2129</v>
      </c>
      <c r="EA216" t="s">
        <v>2129</v>
      </c>
      <c r="EB216" t="s">
        <v>2129</v>
      </c>
      <c r="EC216" t="s">
        <v>2129</v>
      </c>
      <c r="ED216" t="s">
        <v>2129</v>
      </c>
      <c r="EE216" t="s">
        <v>2129</v>
      </c>
      <c r="EF216" t="s">
        <v>2129</v>
      </c>
      <c r="EG216" t="s">
        <v>2129</v>
      </c>
      <c r="EH216" t="s">
        <v>2129</v>
      </c>
    </row>
    <row r="217" spans="1:138" x14ac:dyDescent="0.25">
      <c r="A217" t="s">
        <v>4410</v>
      </c>
      <c r="B217" t="s">
        <v>4411</v>
      </c>
      <c r="C217">
        <v>23206</v>
      </c>
      <c r="E217" t="s">
        <v>4412</v>
      </c>
      <c r="F217" t="s">
        <v>10</v>
      </c>
      <c r="G217" t="s">
        <v>12</v>
      </c>
      <c r="H217" t="s">
        <v>12</v>
      </c>
      <c r="I217" t="s">
        <v>2127</v>
      </c>
      <c r="J217" t="s">
        <v>2198</v>
      </c>
      <c r="K217" t="s">
        <v>2129</v>
      </c>
      <c r="L217" t="s">
        <v>2199</v>
      </c>
      <c r="M217" t="s">
        <v>2130</v>
      </c>
      <c r="N217" t="s">
        <v>2129</v>
      </c>
      <c r="O217" t="s">
        <v>2198</v>
      </c>
      <c r="P217" t="s">
        <v>2198</v>
      </c>
      <c r="Q217" t="s">
        <v>2198</v>
      </c>
      <c r="R217" s="37">
        <v>46099.478472222225</v>
      </c>
      <c r="S217" s="37">
        <v>46099.530555555553</v>
      </c>
      <c r="T217" s="37">
        <v>46100.368750000001</v>
      </c>
      <c r="U217" s="37"/>
      <c r="V217" t="s">
        <v>2129</v>
      </c>
      <c r="W217" t="s">
        <v>2129</v>
      </c>
      <c r="X217" t="s">
        <v>2129</v>
      </c>
      <c r="Y217">
        <v>0</v>
      </c>
      <c r="Z217" t="s">
        <v>2129</v>
      </c>
      <c r="AA217" t="s">
        <v>4413</v>
      </c>
      <c r="AB217" t="s">
        <v>2129</v>
      </c>
      <c r="AC217" t="s">
        <v>2198</v>
      </c>
      <c r="AD217" t="s">
        <v>2129</v>
      </c>
      <c r="AE217" t="s">
        <v>2129</v>
      </c>
      <c r="AF217" t="s">
        <v>2129</v>
      </c>
      <c r="AG217" t="s">
        <v>2129</v>
      </c>
      <c r="AH217" t="s">
        <v>2129</v>
      </c>
      <c r="AI217" t="s">
        <v>2129</v>
      </c>
      <c r="AJ217" t="s">
        <v>2129</v>
      </c>
      <c r="AK217" t="s">
        <v>2129</v>
      </c>
      <c r="AL217" t="s">
        <v>2129</v>
      </c>
      <c r="AM217" t="s">
        <v>2129</v>
      </c>
      <c r="AN217" t="s">
        <v>2129</v>
      </c>
      <c r="AO217" t="s">
        <v>2129</v>
      </c>
      <c r="AP217" t="s">
        <v>2129</v>
      </c>
      <c r="AQ217" t="s">
        <v>2129</v>
      </c>
      <c r="AR217" t="s">
        <v>2129</v>
      </c>
      <c r="AS217" t="s">
        <v>2129</v>
      </c>
      <c r="AT217" t="s">
        <v>2129</v>
      </c>
      <c r="AU217" t="s">
        <v>2129</v>
      </c>
      <c r="AV217" t="s">
        <v>2129</v>
      </c>
      <c r="AW217" t="s">
        <v>2129</v>
      </c>
      <c r="AX217" t="s">
        <v>2129</v>
      </c>
      <c r="AY217" t="s">
        <v>2129</v>
      </c>
      <c r="AZ217" t="s">
        <v>2129</v>
      </c>
      <c r="BA217" t="s">
        <v>2129</v>
      </c>
      <c r="BB217" t="s">
        <v>2129</v>
      </c>
      <c r="BC217" t="s">
        <v>2129</v>
      </c>
      <c r="BD217" t="s">
        <v>2129</v>
      </c>
      <c r="BE217" t="s">
        <v>2129</v>
      </c>
      <c r="BF217" t="s">
        <v>2129</v>
      </c>
      <c r="BG217" t="s">
        <v>2129</v>
      </c>
      <c r="BH217" t="s">
        <v>2129</v>
      </c>
      <c r="BI217" t="s">
        <v>2129</v>
      </c>
      <c r="BJ217" t="s">
        <v>2129</v>
      </c>
      <c r="BK217" t="s">
        <v>2129</v>
      </c>
      <c r="BL217" t="s">
        <v>2129</v>
      </c>
      <c r="BM217" t="s">
        <v>2129</v>
      </c>
      <c r="BN217" t="s">
        <v>2129</v>
      </c>
      <c r="BO217" t="s">
        <v>2129</v>
      </c>
      <c r="BP217" t="s">
        <v>2129</v>
      </c>
      <c r="BS217" t="s">
        <v>2129</v>
      </c>
      <c r="BT217" t="s">
        <v>2129</v>
      </c>
      <c r="BW217" t="s">
        <v>2129</v>
      </c>
      <c r="BX217" t="s">
        <v>2129</v>
      </c>
      <c r="BY217" t="s">
        <v>2129</v>
      </c>
      <c r="BZ217" t="s">
        <v>2129</v>
      </c>
      <c r="CA217" t="s">
        <v>2129</v>
      </c>
      <c r="CB217" t="s">
        <v>2129</v>
      </c>
      <c r="CC217" t="s">
        <v>2129</v>
      </c>
      <c r="CD217" t="s">
        <v>2129</v>
      </c>
      <c r="CE217" t="s">
        <v>2129</v>
      </c>
      <c r="CF217" t="s">
        <v>2129</v>
      </c>
      <c r="CG217" t="s">
        <v>2129</v>
      </c>
      <c r="CH217" t="s">
        <v>2129</v>
      </c>
      <c r="CI217" t="s">
        <v>2129</v>
      </c>
      <c r="CJ217" t="s">
        <v>2129</v>
      </c>
      <c r="CK217" t="s">
        <v>2129</v>
      </c>
      <c r="CL217" t="s">
        <v>2129</v>
      </c>
      <c r="CM217" t="s">
        <v>2129</v>
      </c>
      <c r="CN217" t="s">
        <v>2129</v>
      </c>
      <c r="CO217" t="s">
        <v>2129</v>
      </c>
      <c r="CP217" t="s">
        <v>2129</v>
      </c>
      <c r="CQ217" t="s">
        <v>2129</v>
      </c>
      <c r="CR217" t="s">
        <v>2129</v>
      </c>
      <c r="CS217" t="s">
        <v>2129</v>
      </c>
      <c r="CT217" t="s">
        <v>4414</v>
      </c>
      <c r="CU217" t="s">
        <v>2129</v>
      </c>
      <c r="CV217" t="s">
        <v>2129</v>
      </c>
      <c r="CW217" t="s">
        <v>2129</v>
      </c>
      <c r="CX217" t="s">
        <v>2129</v>
      </c>
      <c r="CY217" t="s">
        <v>2129</v>
      </c>
      <c r="CZ217" t="s">
        <v>2129</v>
      </c>
      <c r="DA217" t="s">
        <v>2129</v>
      </c>
      <c r="DB217" t="s">
        <v>2129</v>
      </c>
      <c r="DC217" t="s">
        <v>2129</v>
      </c>
      <c r="DD217" t="s">
        <v>2129</v>
      </c>
      <c r="DE217" t="s">
        <v>2129</v>
      </c>
      <c r="DF217" t="s">
        <v>2129</v>
      </c>
      <c r="DG217" t="s">
        <v>2129</v>
      </c>
      <c r="DH217" t="s">
        <v>2129</v>
      </c>
      <c r="DJ217" t="s">
        <v>2129</v>
      </c>
      <c r="DK217" t="s">
        <v>2129</v>
      </c>
      <c r="DL217" t="s">
        <v>2129</v>
      </c>
      <c r="DM217" t="s">
        <v>2129</v>
      </c>
      <c r="DN217" t="s">
        <v>2129</v>
      </c>
      <c r="DO217" t="s">
        <v>2129</v>
      </c>
      <c r="DP217" t="s">
        <v>2129</v>
      </c>
      <c r="DQ217" t="s">
        <v>2129</v>
      </c>
      <c r="DR217" t="s">
        <v>2129</v>
      </c>
      <c r="DS217" t="s">
        <v>2129</v>
      </c>
      <c r="DT217" t="s">
        <v>2129</v>
      </c>
      <c r="DU217" t="s">
        <v>2129</v>
      </c>
      <c r="DV217" t="s">
        <v>2129</v>
      </c>
      <c r="DW217" t="s">
        <v>2129</v>
      </c>
      <c r="DX217" t="s">
        <v>2129</v>
      </c>
      <c r="DY217" t="s">
        <v>2129</v>
      </c>
      <c r="DZ217" t="s">
        <v>2129</v>
      </c>
      <c r="EA217" t="s">
        <v>2129</v>
      </c>
      <c r="EB217" t="s">
        <v>2129</v>
      </c>
      <c r="EC217" t="s">
        <v>2129</v>
      </c>
      <c r="ED217" t="s">
        <v>2129</v>
      </c>
      <c r="EE217" t="s">
        <v>2129</v>
      </c>
      <c r="EF217" t="s">
        <v>2129</v>
      </c>
      <c r="EG217" t="s">
        <v>2129</v>
      </c>
      <c r="EH217" t="s">
        <v>2129</v>
      </c>
    </row>
    <row r="218" spans="1:138" x14ac:dyDescent="0.25">
      <c r="A218" t="s">
        <v>4415</v>
      </c>
      <c r="B218" t="s">
        <v>4416</v>
      </c>
      <c r="C218">
        <v>23205</v>
      </c>
      <c r="E218" t="s">
        <v>4412</v>
      </c>
      <c r="F218" t="s">
        <v>10</v>
      </c>
      <c r="G218" t="s">
        <v>12</v>
      </c>
      <c r="H218" t="s">
        <v>12</v>
      </c>
      <c r="I218" t="s">
        <v>2127</v>
      </c>
      <c r="J218" t="s">
        <v>2198</v>
      </c>
      <c r="K218" t="s">
        <v>2129</v>
      </c>
      <c r="L218" t="s">
        <v>2199</v>
      </c>
      <c r="M218" t="s">
        <v>2130</v>
      </c>
      <c r="N218" t="s">
        <v>2129</v>
      </c>
      <c r="O218" t="s">
        <v>2198</v>
      </c>
      <c r="P218" t="s">
        <v>2198</v>
      </c>
      <c r="Q218" t="s">
        <v>2198</v>
      </c>
      <c r="R218" s="37">
        <v>46099.470138888886</v>
      </c>
      <c r="S218" s="37">
        <v>46099.470138888886</v>
      </c>
      <c r="T218" s="37">
        <v>46100.368750000001</v>
      </c>
      <c r="U218" s="37"/>
      <c r="V218" t="s">
        <v>2129</v>
      </c>
      <c r="W218" t="s">
        <v>2129</v>
      </c>
      <c r="X218" t="s">
        <v>2129</v>
      </c>
      <c r="Y218">
        <v>0</v>
      </c>
      <c r="Z218" t="s">
        <v>2129</v>
      </c>
      <c r="AA218" t="s">
        <v>4417</v>
      </c>
      <c r="AB218" t="s">
        <v>2129</v>
      </c>
      <c r="AC218" t="s">
        <v>2198</v>
      </c>
      <c r="AD218" t="s">
        <v>2129</v>
      </c>
      <c r="AE218" t="s">
        <v>2129</v>
      </c>
      <c r="AF218" t="s">
        <v>2129</v>
      </c>
      <c r="AG218" t="s">
        <v>2129</v>
      </c>
      <c r="AH218" t="s">
        <v>2129</v>
      </c>
      <c r="AI218" t="s">
        <v>2129</v>
      </c>
      <c r="AJ218" t="s">
        <v>2129</v>
      </c>
      <c r="AK218" t="s">
        <v>2129</v>
      </c>
      <c r="AL218" t="s">
        <v>2129</v>
      </c>
      <c r="AM218" t="s">
        <v>2129</v>
      </c>
      <c r="AN218" t="s">
        <v>2129</v>
      </c>
      <c r="AO218" t="s">
        <v>2129</v>
      </c>
      <c r="AP218" t="s">
        <v>2129</v>
      </c>
      <c r="AQ218" t="s">
        <v>2129</v>
      </c>
      <c r="AR218" t="s">
        <v>2129</v>
      </c>
      <c r="AS218" t="s">
        <v>2129</v>
      </c>
      <c r="AT218" t="s">
        <v>2129</v>
      </c>
      <c r="AU218" t="s">
        <v>2129</v>
      </c>
      <c r="AV218" t="s">
        <v>2129</v>
      </c>
      <c r="AW218" t="s">
        <v>2129</v>
      </c>
      <c r="AX218" t="s">
        <v>2129</v>
      </c>
      <c r="AY218" t="s">
        <v>2129</v>
      </c>
      <c r="AZ218" t="s">
        <v>2129</v>
      </c>
      <c r="BA218" t="s">
        <v>2129</v>
      </c>
      <c r="BB218" t="s">
        <v>2129</v>
      </c>
      <c r="BC218" t="s">
        <v>2129</v>
      </c>
      <c r="BD218" t="s">
        <v>2129</v>
      </c>
      <c r="BE218" t="s">
        <v>2129</v>
      </c>
      <c r="BF218" t="s">
        <v>2129</v>
      </c>
      <c r="BG218" t="s">
        <v>2129</v>
      </c>
      <c r="BH218" t="s">
        <v>2129</v>
      </c>
      <c r="BI218" t="s">
        <v>2129</v>
      </c>
      <c r="BJ218" t="s">
        <v>2129</v>
      </c>
      <c r="BK218" t="s">
        <v>2129</v>
      </c>
      <c r="BL218" t="s">
        <v>2129</v>
      </c>
      <c r="BM218" t="s">
        <v>2129</v>
      </c>
      <c r="BN218" t="s">
        <v>2129</v>
      </c>
      <c r="BO218" t="s">
        <v>2129</v>
      </c>
      <c r="BP218" t="s">
        <v>2129</v>
      </c>
      <c r="BS218" t="s">
        <v>2129</v>
      </c>
      <c r="BT218" t="s">
        <v>2129</v>
      </c>
      <c r="BW218" t="s">
        <v>2129</v>
      </c>
      <c r="BX218" t="s">
        <v>2129</v>
      </c>
      <c r="BY218" t="s">
        <v>2129</v>
      </c>
      <c r="BZ218" t="s">
        <v>2129</v>
      </c>
      <c r="CA218" t="s">
        <v>2129</v>
      </c>
      <c r="CB218" t="s">
        <v>2129</v>
      </c>
      <c r="CC218" t="s">
        <v>2129</v>
      </c>
      <c r="CD218" t="s">
        <v>2129</v>
      </c>
      <c r="CE218" t="s">
        <v>2129</v>
      </c>
      <c r="CF218" t="s">
        <v>2129</v>
      </c>
      <c r="CG218" t="s">
        <v>2129</v>
      </c>
      <c r="CH218" t="s">
        <v>2129</v>
      </c>
      <c r="CI218" t="s">
        <v>2129</v>
      </c>
      <c r="CJ218" t="s">
        <v>2129</v>
      </c>
      <c r="CK218" t="s">
        <v>2129</v>
      </c>
      <c r="CL218" t="s">
        <v>2129</v>
      </c>
      <c r="CM218" t="s">
        <v>2129</v>
      </c>
      <c r="CN218" t="s">
        <v>2129</v>
      </c>
      <c r="CO218" t="s">
        <v>2129</v>
      </c>
      <c r="CP218" t="s">
        <v>2129</v>
      </c>
      <c r="CQ218" t="s">
        <v>2129</v>
      </c>
      <c r="CR218" t="s">
        <v>2129</v>
      </c>
      <c r="CS218" t="s">
        <v>2129</v>
      </c>
      <c r="CT218" t="s">
        <v>4418</v>
      </c>
      <c r="CU218" t="s">
        <v>2129</v>
      </c>
      <c r="CV218" t="s">
        <v>2129</v>
      </c>
      <c r="CW218" t="s">
        <v>2129</v>
      </c>
      <c r="CX218" t="s">
        <v>2129</v>
      </c>
      <c r="CY218" t="s">
        <v>2129</v>
      </c>
      <c r="CZ218" t="s">
        <v>2129</v>
      </c>
      <c r="DA218" t="s">
        <v>2129</v>
      </c>
      <c r="DB218" t="s">
        <v>2129</v>
      </c>
      <c r="DC218" t="s">
        <v>2129</v>
      </c>
      <c r="DD218" t="s">
        <v>2129</v>
      </c>
      <c r="DE218" t="s">
        <v>2129</v>
      </c>
      <c r="DF218" t="s">
        <v>2129</v>
      </c>
      <c r="DG218" t="s">
        <v>2129</v>
      </c>
      <c r="DH218" t="s">
        <v>2129</v>
      </c>
      <c r="DJ218" t="s">
        <v>2129</v>
      </c>
      <c r="DK218" t="s">
        <v>2129</v>
      </c>
      <c r="DL218" t="s">
        <v>2129</v>
      </c>
      <c r="DM218" t="s">
        <v>2129</v>
      </c>
      <c r="DN218" t="s">
        <v>2129</v>
      </c>
      <c r="DO218" t="s">
        <v>2129</v>
      </c>
      <c r="DP218" t="s">
        <v>2129</v>
      </c>
      <c r="DQ218" t="s">
        <v>2129</v>
      </c>
      <c r="DR218" t="s">
        <v>2129</v>
      </c>
      <c r="DS218" t="s">
        <v>2129</v>
      </c>
      <c r="DT218" t="s">
        <v>2129</v>
      </c>
      <c r="DU218" t="s">
        <v>2129</v>
      </c>
      <c r="DV218" t="s">
        <v>2129</v>
      </c>
      <c r="DW218" t="s">
        <v>2129</v>
      </c>
      <c r="DX218" t="s">
        <v>2129</v>
      </c>
      <c r="DY218" t="s">
        <v>2129</v>
      </c>
      <c r="DZ218" t="s">
        <v>2129</v>
      </c>
      <c r="EA218" t="s">
        <v>2129</v>
      </c>
      <c r="EB218" t="s">
        <v>2129</v>
      </c>
      <c r="EC218" t="s">
        <v>2129</v>
      </c>
      <c r="ED218" t="s">
        <v>2129</v>
      </c>
      <c r="EE218" t="s">
        <v>2129</v>
      </c>
      <c r="EF218" t="s">
        <v>2129</v>
      </c>
      <c r="EG218" t="s">
        <v>2129</v>
      </c>
      <c r="EH218" t="s">
        <v>2129</v>
      </c>
    </row>
    <row r="219" spans="1:138" x14ac:dyDescent="0.25">
      <c r="A219" t="s">
        <v>4419</v>
      </c>
      <c r="B219" t="s">
        <v>4420</v>
      </c>
      <c r="C219">
        <v>23196</v>
      </c>
      <c r="E219" t="s">
        <v>4412</v>
      </c>
      <c r="F219" t="s">
        <v>10</v>
      </c>
      <c r="G219" t="s">
        <v>12</v>
      </c>
      <c r="H219" t="s">
        <v>12</v>
      </c>
      <c r="I219" t="s">
        <v>2127</v>
      </c>
      <c r="J219" t="s">
        <v>2198</v>
      </c>
      <c r="K219" t="s">
        <v>2129</v>
      </c>
      <c r="L219" t="s">
        <v>2199</v>
      </c>
      <c r="M219" t="s">
        <v>2130</v>
      </c>
      <c r="N219" t="s">
        <v>2129</v>
      </c>
      <c r="O219" t="s">
        <v>2198</v>
      </c>
      <c r="P219" t="s">
        <v>2198</v>
      </c>
      <c r="Q219" t="s">
        <v>2198</v>
      </c>
      <c r="R219" s="37">
        <v>46099.367361111108</v>
      </c>
      <c r="S219" s="37">
        <v>46099.367361111108</v>
      </c>
      <c r="T219" s="37">
        <v>46100.368750000001</v>
      </c>
      <c r="U219" s="37"/>
      <c r="V219" t="s">
        <v>2129</v>
      </c>
      <c r="W219" t="s">
        <v>2129</v>
      </c>
      <c r="X219" t="s">
        <v>2129</v>
      </c>
      <c r="Y219">
        <v>0</v>
      </c>
      <c r="Z219" t="s">
        <v>2129</v>
      </c>
      <c r="AA219" t="s">
        <v>4421</v>
      </c>
      <c r="AB219" t="s">
        <v>2129</v>
      </c>
      <c r="AC219" t="s">
        <v>2198</v>
      </c>
      <c r="AD219" t="s">
        <v>2129</v>
      </c>
      <c r="AE219" t="s">
        <v>2129</v>
      </c>
      <c r="AF219" t="s">
        <v>2129</v>
      </c>
      <c r="AG219" t="s">
        <v>2129</v>
      </c>
      <c r="AH219" t="s">
        <v>2129</v>
      </c>
      <c r="AI219" t="s">
        <v>2129</v>
      </c>
      <c r="AJ219" t="s">
        <v>2129</v>
      </c>
      <c r="AK219" t="s">
        <v>2129</v>
      </c>
      <c r="AL219" t="s">
        <v>2129</v>
      </c>
      <c r="AM219" t="s">
        <v>2129</v>
      </c>
      <c r="AN219" t="s">
        <v>2129</v>
      </c>
      <c r="AO219" t="s">
        <v>2129</v>
      </c>
      <c r="AP219" t="s">
        <v>2129</v>
      </c>
      <c r="AQ219" t="s">
        <v>2129</v>
      </c>
      <c r="AR219" t="s">
        <v>2129</v>
      </c>
      <c r="AS219" t="s">
        <v>2129</v>
      </c>
      <c r="AT219" t="s">
        <v>2129</v>
      </c>
      <c r="AU219" t="s">
        <v>2129</v>
      </c>
      <c r="AV219" t="s">
        <v>2129</v>
      </c>
      <c r="AW219" t="s">
        <v>2129</v>
      </c>
      <c r="AX219" t="s">
        <v>2129</v>
      </c>
      <c r="AY219" t="s">
        <v>2129</v>
      </c>
      <c r="AZ219" t="s">
        <v>2129</v>
      </c>
      <c r="BA219" t="s">
        <v>2129</v>
      </c>
      <c r="BB219" t="s">
        <v>2129</v>
      </c>
      <c r="BC219" t="s">
        <v>2129</v>
      </c>
      <c r="BD219" t="s">
        <v>2129</v>
      </c>
      <c r="BE219" t="s">
        <v>2129</v>
      </c>
      <c r="BF219" t="s">
        <v>2129</v>
      </c>
      <c r="BG219" t="s">
        <v>2129</v>
      </c>
      <c r="BH219" t="s">
        <v>2129</v>
      </c>
      <c r="BI219" t="s">
        <v>2129</v>
      </c>
      <c r="BJ219" t="s">
        <v>2129</v>
      </c>
      <c r="BK219" t="s">
        <v>2129</v>
      </c>
      <c r="BL219" t="s">
        <v>2129</v>
      </c>
      <c r="BM219" t="s">
        <v>2129</v>
      </c>
      <c r="BN219" t="s">
        <v>2129</v>
      </c>
      <c r="BO219" t="s">
        <v>2129</v>
      </c>
      <c r="BP219" t="s">
        <v>2129</v>
      </c>
      <c r="BS219" t="s">
        <v>2129</v>
      </c>
      <c r="BT219" t="s">
        <v>2129</v>
      </c>
      <c r="BW219" t="s">
        <v>2129</v>
      </c>
      <c r="BX219" t="s">
        <v>2129</v>
      </c>
      <c r="BY219" t="s">
        <v>2129</v>
      </c>
      <c r="BZ219" t="s">
        <v>2129</v>
      </c>
      <c r="CA219" t="s">
        <v>2129</v>
      </c>
      <c r="CB219" t="s">
        <v>2129</v>
      </c>
      <c r="CC219" t="s">
        <v>2129</v>
      </c>
      <c r="CD219" t="s">
        <v>2129</v>
      </c>
      <c r="CE219" t="s">
        <v>2129</v>
      </c>
      <c r="CF219" t="s">
        <v>2129</v>
      </c>
      <c r="CG219" t="s">
        <v>2129</v>
      </c>
      <c r="CH219" t="s">
        <v>2129</v>
      </c>
      <c r="CI219" t="s">
        <v>2129</v>
      </c>
      <c r="CJ219" t="s">
        <v>2129</v>
      </c>
      <c r="CK219" t="s">
        <v>2129</v>
      </c>
      <c r="CL219" t="s">
        <v>2129</v>
      </c>
      <c r="CM219" t="s">
        <v>2129</v>
      </c>
      <c r="CN219" t="s">
        <v>2129</v>
      </c>
      <c r="CO219" t="s">
        <v>2129</v>
      </c>
      <c r="CP219" t="s">
        <v>2129</v>
      </c>
      <c r="CQ219" t="s">
        <v>2129</v>
      </c>
      <c r="CR219" t="s">
        <v>2129</v>
      </c>
      <c r="CS219" t="s">
        <v>2129</v>
      </c>
      <c r="CT219" t="s">
        <v>4422</v>
      </c>
      <c r="CU219" t="s">
        <v>2129</v>
      </c>
      <c r="CV219" t="s">
        <v>2129</v>
      </c>
      <c r="CW219" t="s">
        <v>2129</v>
      </c>
      <c r="CX219" t="s">
        <v>2129</v>
      </c>
      <c r="CY219" t="s">
        <v>2129</v>
      </c>
      <c r="CZ219" t="s">
        <v>2129</v>
      </c>
      <c r="DA219" t="s">
        <v>2129</v>
      </c>
      <c r="DB219" t="s">
        <v>2129</v>
      </c>
      <c r="DC219" t="s">
        <v>2129</v>
      </c>
      <c r="DD219" t="s">
        <v>2129</v>
      </c>
      <c r="DE219" t="s">
        <v>2129</v>
      </c>
      <c r="DF219" t="s">
        <v>2129</v>
      </c>
      <c r="DG219" t="s">
        <v>2129</v>
      </c>
      <c r="DH219" t="s">
        <v>2129</v>
      </c>
      <c r="DJ219" t="s">
        <v>2129</v>
      </c>
      <c r="DK219" t="s">
        <v>2129</v>
      </c>
      <c r="DL219" t="s">
        <v>2129</v>
      </c>
      <c r="DM219" t="s">
        <v>2129</v>
      </c>
      <c r="DN219" t="s">
        <v>2129</v>
      </c>
      <c r="DO219" t="s">
        <v>2129</v>
      </c>
      <c r="DP219" t="s">
        <v>2129</v>
      </c>
      <c r="DQ219" t="s">
        <v>2129</v>
      </c>
      <c r="DR219" t="s">
        <v>2129</v>
      </c>
      <c r="DS219" t="s">
        <v>2129</v>
      </c>
      <c r="DT219" t="s">
        <v>2129</v>
      </c>
      <c r="DU219" t="s">
        <v>2129</v>
      </c>
      <c r="DV219" t="s">
        <v>2129</v>
      </c>
      <c r="DW219" t="s">
        <v>2129</v>
      </c>
      <c r="DX219" t="s">
        <v>2129</v>
      </c>
      <c r="DY219" t="s">
        <v>2129</v>
      </c>
      <c r="DZ219" t="s">
        <v>2129</v>
      </c>
      <c r="EA219" t="s">
        <v>2129</v>
      </c>
      <c r="EB219" t="s">
        <v>2129</v>
      </c>
      <c r="EC219" t="s">
        <v>2129</v>
      </c>
      <c r="ED219" t="s">
        <v>2129</v>
      </c>
      <c r="EE219" t="s">
        <v>2129</v>
      </c>
      <c r="EF219" t="s">
        <v>2129</v>
      </c>
      <c r="EG219" t="s">
        <v>2129</v>
      </c>
      <c r="EH219" t="s">
        <v>2129</v>
      </c>
    </row>
    <row r="220" spans="1:138" x14ac:dyDescent="0.25">
      <c r="A220" t="s">
        <v>3184</v>
      </c>
      <c r="B220" t="s">
        <v>3183</v>
      </c>
      <c r="C220">
        <v>23158</v>
      </c>
      <c r="E220" t="s">
        <v>14</v>
      </c>
      <c r="F220" t="s">
        <v>27</v>
      </c>
      <c r="G220" t="s">
        <v>12</v>
      </c>
      <c r="H220" t="s">
        <v>12</v>
      </c>
      <c r="I220" t="s">
        <v>2127</v>
      </c>
      <c r="J220" t="s">
        <v>2198</v>
      </c>
      <c r="K220" t="s">
        <v>2129</v>
      </c>
      <c r="L220" t="s">
        <v>2199</v>
      </c>
      <c r="M220" t="s">
        <v>2130</v>
      </c>
      <c r="N220" t="s">
        <v>2129</v>
      </c>
      <c r="O220" t="s">
        <v>2150</v>
      </c>
      <c r="P220" t="s">
        <v>2198</v>
      </c>
      <c r="Q220" t="s">
        <v>2198</v>
      </c>
      <c r="R220" s="37">
        <v>46094.65902777778</v>
      </c>
      <c r="S220" s="37">
        <v>46098.655555555553</v>
      </c>
      <c r="T220" s="37">
        <v>46100.368750000001</v>
      </c>
      <c r="U220" s="37"/>
      <c r="V220" t="s">
        <v>2129</v>
      </c>
      <c r="W220" t="s">
        <v>2129</v>
      </c>
      <c r="X220" t="s">
        <v>2129</v>
      </c>
      <c r="Y220">
        <v>0</v>
      </c>
      <c r="Z220" t="s">
        <v>2129</v>
      </c>
      <c r="AA220" t="s">
        <v>4423</v>
      </c>
      <c r="AB220" t="s">
        <v>2129</v>
      </c>
      <c r="AC220" t="s">
        <v>2200</v>
      </c>
      <c r="AD220" t="s">
        <v>2198</v>
      </c>
      <c r="AE220" t="s">
        <v>2129</v>
      </c>
      <c r="AF220" t="s">
        <v>2129</v>
      </c>
      <c r="AG220" t="s">
        <v>2129</v>
      </c>
      <c r="AH220" t="s">
        <v>2129</v>
      </c>
      <c r="AI220" t="s">
        <v>2129</v>
      </c>
      <c r="AJ220" t="s">
        <v>2129</v>
      </c>
      <c r="AK220" t="s">
        <v>2129</v>
      </c>
      <c r="AL220" t="s">
        <v>2129</v>
      </c>
      <c r="AM220" t="s">
        <v>2129</v>
      </c>
      <c r="AN220" t="s">
        <v>2129</v>
      </c>
      <c r="AO220" t="s">
        <v>2129</v>
      </c>
      <c r="AP220" t="s">
        <v>2129</v>
      </c>
      <c r="AQ220" t="s">
        <v>2129</v>
      </c>
      <c r="AR220" t="s">
        <v>2129</v>
      </c>
      <c r="AS220" t="s">
        <v>2129</v>
      </c>
      <c r="AT220" t="s">
        <v>2129</v>
      </c>
      <c r="AU220" t="s">
        <v>2129</v>
      </c>
      <c r="AV220" t="s">
        <v>2129</v>
      </c>
      <c r="AW220" t="s">
        <v>2129</v>
      </c>
      <c r="AX220" t="s">
        <v>2129</v>
      </c>
      <c r="AY220" t="s">
        <v>2129</v>
      </c>
      <c r="AZ220" t="s">
        <v>2129</v>
      </c>
      <c r="BA220" t="s">
        <v>2129</v>
      </c>
      <c r="BB220" t="s">
        <v>2129</v>
      </c>
      <c r="BC220" t="s">
        <v>2129</v>
      </c>
      <c r="BD220" t="s">
        <v>2129</v>
      </c>
      <c r="BE220" t="s">
        <v>2129</v>
      </c>
      <c r="BF220" t="s">
        <v>2129</v>
      </c>
      <c r="BG220" t="s">
        <v>2129</v>
      </c>
      <c r="BH220" t="s">
        <v>2129</v>
      </c>
      <c r="BI220" t="s">
        <v>2129</v>
      </c>
      <c r="BJ220" t="s">
        <v>2129</v>
      </c>
      <c r="BK220" t="s">
        <v>2129</v>
      </c>
      <c r="BL220" t="s">
        <v>2129</v>
      </c>
      <c r="BM220" t="s">
        <v>2129</v>
      </c>
      <c r="BN220" t="s">
        <v>2129</v>
      </c>
      <c r="BO220" t="s">
        <v>2129</v>
      </c>
      <c r="BP220" t="s">
        <v>2129</v>
      </c>
      <c r="BS220" t="s">
        <v>2129</v>
      </c>
      <c r="BT220" t="s">
        <v>2129</v>
      </c>
      <c r="BW220" t="s">
        <v>2129</v>
      </c>
      <c r="BX220" t="s">
        <v>2129</v>
      </c>
      <c r="BY220" t="s">
        <v>2129</v>
      </c>
      <c r="BZ220" t="s">
        <v>2129</v>
      </c>
      <c r="CA220" t="s">
        <v>2129</v>
      </c>
      <c r="CB220" t="s">
        <v>2129</v>
      </c>
      <c r="CC220" t="s">
        <v>2129</v>
      </c>
      <c r="CD220" t="s">
        <v>2129</v>
      </c>
      <c r="CE220" t="s">
        <v>2129</v>
      </c>
      <c r="CF220" t="s">
        <v>2129</v>
      </c>
      <c r="CG220" t="s">
        <v>2129</v>
      </c>
      <c r="CH220" t="s">
        <v>2129</v>
      </c>
      <c r="CI220" t="s">
        <v>2129</v>
      </c>
      <c r="CJ220" t="s">
        <v>2129</v>
      </c>
      <c r="CK220" t="s">
        <v>2129</v>
      </c>
      <c r="CL220" t="s">
        <v>2129</v>
      </c>
      <c r="CM220" t="s">
        <v>2129</v>
      </c>
      <c r="CN220" t="s">
        <v>2129</v>
      </c>
      <c r="CO220" t="s">
        <v>2129</v>
      </c>
      <c r="CP220" t="s">
        <v>2129</v>
      </c>
      <c r="CQ220" t="s">
        <v>2129</v>
      </c>
      <c r="CR220" t="s">
        <v>2129</v>
      </c>
      <c r="CS220" t="s">
        <v>2129</v>
      </c>
      <c r="CT220" t="s">
        <v>4424</v>
      </c>
      <c r="CU220" t="s">
        <v>4425</v>
      </c>
      <c r="CV220" t="s">
        <v>2129</v>
      </c>
      <c r="CW220" t="s">
        <v>2129</v>
      </c>
      <c r="CX220" t="s">
        <v>2129</v>
      </c>
      <c r="CY220" t="s">
        <v>2129</v>
      </c>
      <c r="CZ220" t="s">
        <v>2129</v>
      </c>
      <c r="DA220" t="s">
        <v>2129</v>
      </c>
      <c r="DB220" t="s">
        <v>2129</v>
      </c>
      <c r="DC220" t="s">
        <v>2129</v>
      </c>
      <c r="DD220" t="s">
        <v>2129</v>
      </c>
      <c r="DE220" t="s">
        <v>2129</v>
      </c>
      <c r="DF220" t="s">
        <v>2129</v>
      </c>
      <c r="DG220" t="s">
        <v>2129</v>
      </c>
      <c r="DH220" t="s">
        <v>2129</v>
      </c>
      <c r="DI220">
        <v>10</v>
      </c>
      <c r="DJ220" t="s">
        <v>2129</v>
      </c>
      <c r="DK220" t="s">
        <v>2129</v>
      </c>
      <c r="DL220" t="s">
        <v>4426</v>
      </c>
      <c r="DM220" t="s">
        <v>2129</v>
      </c>
      <c r="DN220" t="s">
        <v>2129</v>
      </c>
      <c r="DO220" t="s">
        <v>2129</v>
      </c>
      <c r="DP220" t="s">
        <v>2129</v>
      </c>
      <c r="DQ220" t="s">
        <v>2129</v>
      </c>
      <c r="DR220" t="s">
        <v>2129</v>
      </c>
      <c r="DS220" t="s">
        <v>2129</v>
      </c>
      <c r="DT220" t="s">
        <v>2129</v>
      </c>
      <c r="DU220" t="s">
        <v>2129</v>
      </c>
      <c r="DV220" t="s">
        <v>2129</v>
      </c>
      <c r="DW220" t="s">
        <v>2129</v>
      </c>
      <c r="DX220" t="s">
        <v>2129</v>
      </c>
      <c r="DY220" t="s">
        <v>2129</v>
      </c>
      <c r="DZ220" t="s">
        <v>2129</v>
      </c>
      <c r="EA220" t="s">
        <v>2129</v>
      </c>
      <c r="EB220" t="s">
        <v>2129</v>
      </c>
      <c r="EC220" t="s">
        <v>2129</v>
      </c>
      <c r="ED220" t="s">
        <v>2129</v>
      </c>
      <c r="EE220" t="s">
        <v>2129</v>
      </c>
      <c r="EF220" t="s">
        <v>2129</v>
      </c>
      <c r="EG220" t="s">
        <v>2129</v>
      </c>
      <c r="EH220" t="s">
        <v>2129</v>
      </c>
    </row>
    <row r="221" spans="1:138" x14ac:dyDescent="0.25">
      <c r="A221" t="s">
        <v>3188</v>
      </c>
      <c r="B221" t="s">
        <v>3186</v>
      </c>
      <c r="C221">
        <v>23142</v>
      </c>
      <c r="E221" t="s">
        <v>14</v>
      </c>
      <c r="F221" t="s">
        <v>10</v>
      </c>
      <c r="G221" t="s">
        <v>12</v>
      </c>
      <c r="H221" t="s">
        <v>12</v>
      </c>
      <c r="I221" t="s">
        <v>2127</v>
      </c>
      <c r="J221" t="s">
        <v>2198</v>
      </c>
      <c r="K221" t="s">
        <v>2129</v>
      </c>
      <c r="L221" t="s">
        <v>2199</v>
      </c>
      <c r="M221" t="s">
        <v>2130</v>
      </c>
      <c r="N221" t="s">
        <v>2129</v>
      </c>
      <c r="O221" t="s">
        <v>2198</v>
      </c>
      <c r="P221" t="s">
        <v>2198</v>
      </c>
      <c r="Q221" t="s">
        <v>2198</v>
      </c>
      <c r="R221" s="37">
        <v>46091.436805555553</v>
      </c>
      <c r="S221" s="37">
        <v>46092.364583333336</v>
      </c>
      <c r="T221" s="37">
        <v>46100.368750000001</v>
      </c>
      <c r="U221" s="37"/>
      <c r="V221" t="s">
        <v>2129</v>
      </c>
      <c r="W221" t="s">
        <v>2129</v>
      </c>
      <c r="X221" t="s">
        <v>2129</v>
      </c>
      <c r="Y221">
        <v>0</v>
      </c>
      <c r="Z221" t="s">
        <v>2129</v>
      </c>
      <c r="AA221" t="s">
        <v>4427</v>
      </c>
      <c r="AB221" t="s">
        <v>2129</v>
      </c>
      <c r="AC221" t="s">
        <v>2198</v>
      </c>
      <c r="AD221" t="s">
        <v>2129</v>
      </c>
      <c r="AE221" t="s">
        <v>2129</v>
      </c>
      <c r="AF221" t="s">
        <v>2129</v>
      </c>
      <c r="AG221" t="s">
        <v>2129</v>
      </c>
      <c r="AH221" t="s">
        <v>2129</v>
      </c>
      <c r="AI221" t="s">
        <v>2129</v>
      </c>
      <c r="AJ221" t="s">
        <v>2129</v>
      </c>
      <c r="AK221" t="s">
        <v>2129</v>
      </c>
      <c r="AL221" t="s">
        <v>2129</v>
      </c>
      <c r="AM221" t="s">
        <v>2129</v>
      </c>
      <c r="AN221" t="s">
        <v>2129</v>
      </c>
      <c r="AO221" t="s">
        <v>2129</v>
      </c>
      <c r="AP221" t="s">
        <v>2129</v>
      </c>
      <c r="AQ221" t="s">
        <v>2129</v>
      </c>
      <c r="AR221" t="s">
        <v>2129</v>
      </c>
      <c r="AS221" t="s">
        <v>2129</v>
      </c>
      <c r="AT221" t="s">
        <v>2129</v>
      </c>
      <c r="AU221" t="s">
        <v>2129</v>
      </c>
      <c r="AV221" t="s">
        <v>2129</v>
      </c>
      <c r="AW221" t="s">
        <v>2129</v>
      </c>
      <c r="AX221" t="s">
        <v>2129</v>
      </c>
      <c r="AY221" t="s">
        <v>2129</v>
      </c>
      <c r="AZ221" t="s">
        <v>2129</v>
      </c>
      <c r="BA221" t="s">
        <v>2129</v>
      </c>
      <c r="BB221" t="s">
        <v>2129</v>
      </c>
      <c r="BC221" t="s">
        <v>2129</v>
      </c>
      <c r="BD221" t="s">
        <v>2129</v>
      </c>
      <c r="BE221" t="s">
        <v>2129</v>
      </c>
      <c r="BF221" t="s">
        <v>2129</v>
      </c>
      <c r="BG221" t="s">
        <v>2129</v>
      </c>
      <c r="BH221" t="s">
        <v>2129</v>
      </c>
      <c r="BI221" t="s">
        <v>2129</v>
      </c>
      <c r="BJ221" t="s">
        <v>2129</v>
      </c>
      <c r="BK221" t="s">
        <v>2129</v>
      </c>
      <c r="BL221" t="s">
        <v>2129</v>
      </c>
      <c r="BM221" t="s">
        <v>2129</v>
      </c>
      <c r="BN221" t="s">
        <v>2129</v>
      </c>
      <c r="BO221" t="s">
        <v>2129</v>
      </c>
      <c r="BP221" t="s">
        <v>2129</v>
      </c>
      <c r="BS221" t="s">
        <v>2129</v>
      </c>
      <c r="BT221" t="s">
        <v>2129</v>
      </c>
      <c r="BW221" t="s">
        <v>2129</v>
      </c>
      <c r="BX221" t="s">
        <v>2129</v>
      </c>
      <c r="BY221" t="s">
        <v>2129</v>
      </c>
      <c r="BZ221" t="s">
        <v>2129</v>
      </c>
      <c r="CA221" t="s">
        <v>2129</v>
      </c>
      <c r="CB221" t="s">
        <v>2129</v>
      </c>
      <c r="CC221" t="s">
        <v>2129</v>
      </c>
      <c r="CD221" t="s">
        <v>2129</v>
      </c>
      <c r="CE221" t="s">
        <v>2129</v>
      </c>
      <c r="CF221" t="s">
        <v>2129</v>
      </c>
      <c r="CG221" t="s">
        <v>2129</v>
      </c>
      <c r="CH221" t="s">
        <v>2129</v>
      </c>
      <c r="CI221" t="s">
        <v>2129</v>
      </c>
      <c r="CJ221" t="s">
        <v>2129</v>
      </c>
      <c r="CK221" t="s">
        <v>2129</v>
      </c>
      <c r="CL221" t="s">
        <v>2129</v>
      </c>
      <c r="CM221" t="s">
        <v>2129</v>
      </c>
      <c r="CN221" t="s">
        <v>2129</v>
      </c>
      <c r="CO221" t="s">
        <v>2129</v>
      </c>
      <c r="CP221" t="s">
        <v>2129</v>
      </c>
      <c r="CQ221" t="s">
        <v>2129</v>
      </c>
      <c r="CR221" t="s">
        <v>2129</v>
      </c>
      <c r="CS221" t="s">
        <v>2129</v>
      </c>
      <c r="CT221" t="s">
        <v>4428</v>
      </c>
      <c r="CU221" t="s">
        <v>2129</v>
      </c>
      <c r="CV221" t="s">
        <v>2129</v>
      </c>
      <c r="CW221" t="s">
        <v>2129</v>
      </c>
      <c r="CX221" t="s">
        <v>2129</v>
      </c>
      <c r="CY221" t="s">
        <v>2129</v>
      </c>
      <c r="CZ221" t="s">
        <v>2129</v>
      </c>
      <c r="DA221" t="s">
        <v>2129</v>
      </c>
      <c r="DB221" t="s">
        <v>2129</v>
      </c>
      <c r="DC221" t="s">
        <v>2129</v>
      </c>
      <c r="DD221" t="s">
        <v>2129</v>
      </c>
      <c r="DE221" t="s">
        <v>2129</v>
      </c>
      <c r="DF221" t="s">
        <v>2129</v>
      </c>
      <c r="DG221" t="s">
        <v>2129</v>
      </c>
      <c r="DH221" t="s">
        <v>2129</v>
      </c>
      <c r="DI221">
        <v>20</v>
      </c>
      <c r="DJ221" t="s">
        <v>2129</v>
      </c>
      <c r="DK221" t="s">
        <v>2129</v>
      </c>
      <c r="DL221" t="s">
        <v>2129</v>
      </c>
      <c r="DM221" t="s">
        <v>2129</v>
      </c>
      <c r="DN221" t="s">
        <v>2129</v>
      </c>
      <c r="DO221" t="s">
        <v>2129</v>
      </c>
      <c r="DP221" t="s">
        <v>2129</v>
      </c>
      <c r="DQ221" t="s">
        <v>2129</v>
      </c>
      <c r="DR221" t="s">
        <v>2129</v>
      </c>
      <c r="DS221" t="s">
        <v>2129</v>
      </c>
      <c r="DT221" t="s">
        <v>2129</v>
      </c>
      <c r="DU221" t="s">
        <v>2129</v>
      </c>
      <c r="DV221" t="s">
        <v>2129</v>
      </c>
      <c r="DW221" t="s">
        <v>2129</v>
      </c>
      <c r="DX221" t="s">
        <v>2129</v>
      </c>
      <c r="DY221" t="s">
        <v>2129</v>
      </c>
      <c r="DZ221" t="s">
        <v>2129</v>
      </c>
      <c r="EA221" t="s">
        <v>2129</v>
      </c>
      <c r="EB221" t="s">
        <v>2129</v>
      </c>
      <c r="EC221" t="s">
        <v>2129</v>
      </c>
      <c r="ED221" t="s">
        <v>2129</v>
      </c>
      <c r="EE221" t="s">
        <v>2129</v>
      </c>
      <c r="EF221" t="s">
        <v>2129</v>
      </c>
      <c r="EG221" t="s">
        <v>2129</v>
      </c>
      <c r="EH221" t="s">
        <v>2129</v>
      </c>
    </row>
    <row r="222" spans="1:138" x14ac:dyDescent="0.25">
      <c r="A222" t="s">
        <v>3187</v>
      </c>
      <c r="B222" t="s">
        <v>3185</v>
      </c>
      <c r="C222">
        <v>23136</v>
      </c>
      <c r="E222" t="s">
        <v>14</v>
      </c>
      <c r="F222" t="s">
        <v>10</v>
      </c>
      <c r="G222" t="s">
        <v>12</v>
      </c>
      <c r="H222" t="s">
        <v>12</v>
      </c>
      <c r="I222" t="s">
        <v>2127</v>
      </c>
      <c r="J222" t="s">
        <v>2198</v>
      </c>
      <c r="K222" t="s">
        <v>2129</v>
      </c>
      <c r="L222" t="s">
        <v>2199</v>
      </c>
      <c r="M222" t="s">
        <v>2130</v>
      </c>
      <c r="N222" t="s">
        <v>2129</v>
      </c>
      <c r="O222" t="s">
        <v>2198</v>
      </c>
      <c r="P222" t="s">
        <v>2198</v>
      </c>
      <c r="Q222" t="s">
        <v>2198</v>
      </c>
      <c r="R222" s="37">
        <v>46090.6875</v>
      </c>
      <c r="S222" s="37">
        <v>46099.56527777778</v>
      </c>
      <c r="T222" s="37">
        <v>46100.368750000001</v>
      </c>
      <c r="U222" s="37"/>
      <c r="V222" t="s">
        <v>2129</v>
      </c>
      <c r="W222" t="s">
        <v>2129</v>
      </c>
      <c r="X222" t="s">
        <v>2129</v>
      </c>
      <c r="Y222">
        <v>0</v>
      </c>
      <c r="Z222" t="s">
        <v>2129</v>
      </c>
      <c r="AA222" t="s">
        <v>4429</v>
      </c>
      <c r="AB222" t="s">
        <v>2129</v>
      </c>
      <c r="AC222" t="s">
        <v>2198</v>
      </c>
      <c r="AD222" t="s">
        <v>2129</v>
      </c>
      <c r="AE222" t="s">
        <v>2129</v>
      </c>
      <c r="AF222" t="s">
        <v>2129</v>
      </c>
      <c r="AG222" t="s">
        <v>2129</v>
      </c>
      <c r="AH222" t="s">
        <v>2129</v>
      </c>
      <c r="AI222" t="s">
        <v>2129</v>
      </c>
      <c r="AJ222" t="s">
        <v>2129</v>
      </c>
      <c r="AK222" t="s">
        <v>2129</v>
      </c>
      <c r="AL222" t="s">
        <v>2129</v>
      </c>
      <c r="AM222" t="s">
        <v>2129</v>
      </c>
      <c r="AN222" t="s">
        <v>2129</v>
      </c>
      <c r="AO222" t="s">
        <v>2129</v>
      </c>
      <c r="AP222" t="s">
        <v>2129</v>
      </c>
      <c r="AQ222" t="s">
        <v>2129</v>
      </c>
      <c r="AR222" t="s">
        <v>2129</v>
      </c>
      <c r="AS222" t="s">
        <v>2129</v>
      </c>
      <c r="AT222" t="s">
        <v>2129</v>
      </c>
      <c r="AU222" t="s">
        <v>2129</v>
      </c>
      <c r="AV222" t="s">
        <v>2129</v>
      </c>
      <c r="AW222" t="s">
        <v>2129</v>
      </c>
      <c r="AX222" t="s">
        <v>2129</v>
      </c>
      <c r="AY222" t="s">
        <v>2129</v>
      </c>
      <c r="AZ222" t="s">
        <v>2129</v>
      </c>
      <c r="BA222" t="s">
        <v>2129</v>
      </c>
      <c r="BB222" t="s">
        <v>2129</v>
      </c>
      <c r="BC222" t="s">
        <v>2129</v>
      </c>
      <c r="BD222" t="s">
        <v>2129</v>
      </c>
      <c r="BE222" t="s">
        <v>2129</v>
      </c>
      <c r="BF222" t="s">
        <v>2129</v>
      </c>
      <c r="BG222" t="s">
        <v>2129</v>
      </c>
      <c r="BH222" t="s">
        <v>2129</v>
      </c>
      <c r="BI222" t="s">
        <v>2129</v>
      </c>
      <c r="BJ222" t="s">
        <v>2129</v>
      </c>
      <c r="BK222" t="s">
        <v>2129</v>
      </c>
      <c r="BL222" t="s">
        <v>2129</v>
      </c>
      <c r="BM222" t="s">
        <v>2129</v>
      </c>
      <c r="BN222" t="s">
        <v>2129</v>
      </c>
      <c r="BO222" t="s">
        <v>2129</v>
      </c>
      <c r="BP222" t="s">
        <v>2129</v>
      </c>
      <c r="BS222" t="s">
        <v>2129</v>
      </c>
      <c r="BT222" t="s">
        <v>2129</v>
      </c>
      <c r="BW222" t="s">
        <v>2129</v>
      </c>
      <c r="BX222" t="s">
        <v>2129</v>
      </c>
      <c r="BY222" t="s">
        <v>2129</v>
      </c>
      <c r="BZ222" t="s">
        <v>2129</v>
      </c>
      <c r="CA222" t="s">
        <v>2129</v>
      </c>
      <c r="CB222" t="s">
        <v>2129</v>
      </c>
      <c r="CC222" t="s">
        <v>2129</v>
      </c>
      <c r="CD222" t="s">
        <v>2129</v>
      </c>
      <c r="CE222" t="s">
        <v>2129</v>
      </c>
      <c r="CF222" t="s">
        <v>2129</v>
      </c>
      <c r="CG222" t="s">
        <v>2129</v>
      </c>
      <c r="CH222" t="s">
        <v>2129</v>
      </c>
      <c r="CI222" t="s">
        <v>2129</v>
      </c>
      <c r="CJ222" t="s">
        <v>2129</v>
      </c>
      <c r="CK222" t="s">
        <v>2129</v>
      </c>
      <c r="CL222" t="s">
        <v>2129</v>
      </c>
      <c r="CM222" t="s">
        <v>2801</v>
      </c>
      <c r="CN222" t="s">
        <v>2129</v>
      </c>
      <c r="CO222" t="s">
        <v>2129</v>
      </c>
      <c r="CP222" t="s">
        <v>2129</v>
      </c>
      <c r="CQ222" t="s">
        <v>2129</v>
      </c>
      <c r="CR222" t="s">
        <v>2129</v>
      </c>
      <c r="CS222" t="s">
        <v>2129</v>
      </c>
      <c r="CT222" t="s">
        <v>4430</v>
      </c>
      <c r="CU222" t="s">
        <v>2129</v>
      </c>
      <c r="CV222" t="s">
        <v>2129</v>
      </c>
      <c r="CW222" t="s">
        <v>2129</v>
      </c>
      <c r="CX222" t="s">
        <v>2129</v>
      </c>
      <c r="CY222" t="s">
        <v>2129</v>
      </c>
      <c r="CZ222" t="s">
        <v>2129</v>
      </c>
      <c r="DA222" t="s">
        <v>2129</v>
      </c>
      <c r="DB222" t="s">
        <v>2129</v>
      </c>
      <c r="DC222" t="s">
        <v>2129</v>
      </c>
      <c r="DD222" t="s">
        <v>2129</v>
      </c>
      <c r="DE222" t="s">
        <v>2129</v>
      </c>
      <c r="DF222" t="s">
        <v>2129</v>
      </c>
      <c r="DG222" t="s">
        <v>2129</v>
      </c>
      <c r="DH222" t="s">
        <v>2129</v>
      </c>
      <c r="DI222">
        <v>20</v>
      </c>
      <c r="DJ222" t="s">
        <v>2129</v>
      </c>
      <c r="DK222" t="s">
        <v>2129</v>
      </c>
      <c r="DL222" t="s">
        <v>2129</v>
      </c>
      <c r="DM222" t="s">
        <v>2129</v>
      </c>
      <c r="DN222" t="s">
        <v>2129</v>
      </c>
      <c r="DO222" t="s">
        <v>2129</v>
      </c>
      <c r="DP222" t="s">
        <v>2129</v>
      </c>
      <c r="DQ222" t="s">
        <v>2129</v>
      </c>
      <c r="DR222" t="s">
        <v>2129</v>
      </c>
      <c r="DS222" t="s">
        <v>2129</v>
      </c>
      <c r="DT222" t="s">
        <v>2129</v>
      </c>
      <c r="DU222" t="s">
        <v>2129</v>
      </c>
      <c r="DV222" t="s">
        <v>2129</v>
      </c>
      <c r="DW222" t="s">
        <v>2129</v>
      </c>
      <c r="DX222" t="s">
        <v>2129</v>
      </c>
      <c r="DY222" t="s">
        <v>2129</v>
      </c>
      <c r="DZ222" t="s">
        <v>2129</v>
      </c>
      <c r="EA222" t="s">
        <v>2129</v>
      </c>
      <c r="EB222" t="s">
        <v>2129</v>
      </c>
      <c r="EC222" t="s">
        <v>2129</v>
      </c>
      <c r="ED222" t="s">
        <v>2129</v>
      </c>
      <c r="EE222" t="s">
        <v>2129</v>
      </c>
      <c r="EF222" t="s">
        <v>2129</v>
      </c>
      <c r="EG222" t="s">
        <v>2129</v>
      </c>
      <c r="EH222" t="s">
        <v>2129</v>
      </c>
    </row>
    <row r="223" spans="1:138" x14ac:dyDescent="0.25">
      <c r="A223" t="s">
        <v>4431</v>
      </c>
      <c r="B223" t="s">
        <v>3181</v>
      </c>
      <c r="C223">
        <v>23135</v>
      </c>
      <c r="E223" t="s">
        <v>14</v>
      </c>
      <c r="F223" t="s">
        <v>16</v>
      </c>
      <c r="G223" t="s">
        <v>12</v>
      </c>
      <c r="H223" t="s">
        <v>12</v>
      </c>
      <c r="I223" t="s">
        <v>2127</v>
      </c>
      <c r="J223" t="s">
        <v>2198</v>
      </c>
      <c r="K223" t="s">
        <v>2129</v>
      </c>
      <c r="L223" t="s">
        <v>2199</v>
      </c>
      <c r="M223" t="s">
        <v>2130</v>
      </c>
      <c r="N223" t="s">
        <v>16</v>
      </c>
      <c r="O223" t="s">
        <v>2150</v>
      </c>
      <c r="P223" t="s">
        <v>2198</v>
      </c>
      <c r="Q223" t="s">
        <v>2198</v>
      </c>
      <c r="R223" s="37">
        <v>46090.607638888891</v>
      </c>
      <c r="S223" s="37">
        <v>46093.428472222222</v>
      </c>
      <c r="T223" s="37">
        <v>46090.663194444445</v>
      </c>
      <c r="U223" s="37">
        <v>46093.428472222222</v>
      </c>
      <c r="V223" t="s">
        <v>3136</v>
      </c>
      <c r="W223" t="s">
        <v>2129</v>
      </c>
      <c r="X223" t="s">
        <v>2129</v>
      </c>
      <c r="Y223">
        <v>0</v>
      </c>
      <c r="Z223" t="s">
        <v>2129</v>
      </c>
      <c r="AA223" t="s">
        <v>4432</v>
      </c>
      <c r="AB223" t="s">
        <v>2129</v>
      </c>
      <c r="AC223" t="s">
        <v>2200</v>
      </c>
      <c r="AD223" t="s">
        <v>2198</v>
      </c>
      <c r="AE223" t="s">
        <v>2129</v>
      </c>
      <c r="AF223" t="s">
        <v>2129</v>
      </c>
      <c r="AG223" t="s">
        <v>2129</v>
      </c>
      <c r="AH223" t="s">
        <v>2129</v>
      </c>
      <c r="AI223" t="s">
        <v>2129</v>
      </c>
      <c r="AJ223" t="s">
        <v>2129</v>
      </c>
      <c r="AK223" t="s">
        <v>2129</v>
      </c>
      <c r="AL223" t="s">
        <v>2129</v>
      </c>
      <c r="AM223" t="s">
        <v>2129</v>
      </c>
      <c r="AN223" t="s">
        <v>2129</v>
      </c>
      <c r="AO223" t="s">
        <v>2129</v>
      </c>
      <c r="AP223" t="s">
        <v>2129</v>
      </c>
      <c r="AQ223" t="s">
        <v>2129</v>
      </c>
      <c r="AR223" t="s">
        <v>2129</v>
      </c>
      <c r="AS223" t="s">
        <v>2129</v>
      </c>
      <c r="AT223" t="s">
        <v>2129</v>
      </c>
      <c r="AU223" t="s">
        <v>2129</v>
      </c>
      <c r="AV223" t="s">
        <v>2129</v>
      </c>
      <c r="AW223" t="s">
        <v>2129</v>
      </c>
      <c r="AX223" t="s">
        <v>2129</v>
      </c>
      <c r="AY223" t="s">
        <v>2129</v>
      </c>
      <c r="AZ223" t="s">
        <v>2129</v>
      </c>
      <c r="BA223" t="s">
        <v>2129</v>
      </c>
      <c r="BB223" t="s">
        <v>2129</v>
      </c>
      <c r="BC223" t="s">
        <v>2129</v>
      </c>
      <c r="BD223" t="s">
        <v>2129</v>
      </c>
      <c r="BE223" t="s">
        <v>2129</v>
      </c>
      <c r="BF223" t="s">
        <v>2129</v>
      </c>
      <c r="BG223" t="s">
        <v>2129</v>
      </c>
      <c r="BH223" t="s">
        <v>2129</v>
      </c>
      <c r="BI223" t="s">
        <v>2129</v>
      </c>
      <c r="BJ223" t="s">
        <v>2129</v>
      </c>
      <c r="BK223" t="s">
        <v>2129</v>
      </c>
      <c r="BL223" t="s">
        <v>2129</v>
      </c>
      <c r="BM223" t="s">
        <v>2129</v>
      </c>
      <c r="BN223" t="s">
        <v>2129</v>
      </c>
      <c r="BO223" t="s">
        <v>2129</v>
      </c>
      <c r="BP223" t="s">
        <v>2129</v>
      </c>
      <c r="BS223" t="s">
        <v>2129</v>
      </c>
      <c r="BT223" t="s">
        <v>2129</v>
      </c>
      <c r="BW223" t="s">
        <v>2129</v>
      </c>
      <c r="BX223" t="s">
        <v>2129</v>
      </c>
      <c r="BY223" t="s">
        <v>2129</v>
      </c>
      <c r="BZ223" t="s">
        <v>2129</v>
      </c>
      <c r="CA223" t="s">
        <v>2129</v>
      </c>
      <c r="CB223" t="s">
        <v>2129</v>
      </c>
      <c r="CC223" t="s">
        <v>2129</v>
      </c>
      <c r="CD223" t="s">
        <v>2129</v>
      </c>
      <c r="CE223" t="s">
        <v>2129</v>
      </c>
      <c r="CF223" t="s">
        <v>2129</v>
      </c>
      <c r="CG223" t="s">
        <v>2129</v>
      </c>
      <c r="CH223" t="s">
        <v>2129</v>
      </c>
      <c r="CI223" t="s">
        <v>2129</v>
      </c>
      <c r="CJ223" t="s">
        <v>2129</v>
      </c>
      <c r="CK223" t="s">
        <v>2129</v>
      </c>
      <c r="CL223" t="s">
        <v>2129</v>
      </c>
      <c r="CM223" t="s">
        <v>2129</v>
      </c>
      <c r="CN223" t="s">
        <v>2129</v>
      </c>
      <c r="CO223" t="s">
        <v>2129</v>
      </c>
      <c r="CP223" t="s">
        <v>2129</v>
      </c>
      <c r="CQ223" t="s">
        <v>2129</v>
      </c>
      <c r="CR223" t="s">
        <v>2129</v>
      </c>
      <c r="CS223" t="s">
        <v>2129</v>
      </c>
      <c r="CT223" t="s">
        <v>4433</v>
      </c>
      <c r="CU223" t="s">
        <v>4425</v>
      </c>
      <c r="CV223" t="s">
        <v>2129</v>
      </c>
      <c r="CW223" t="s">
        <v>2129</v>
      </c>
      <c r="CX223" t="s">
        <v>2129</v>
      </c>
      <c r="CY223" t="s">
        <v>2129</v>
      </c>
      <c r="CZ223" t="s">
        <v>2129</v>
      </c>
      <c r="DA223" t="s">
        <v>2129</v>
      </c>
      <c r="DB223" t="s">
        <v>2129</v>
      </c>
      <c r="DC223" t="s">
        <v>2129</v>
      </c>
      <c r="DD223" t="s">
        <v>2129</v>
      </c>
      <c r="DE223" t="s">
        <v>2129</v>
      </c>
      <c r="DF223" t="s">
        <v>2129</v>
      </c>
      <c r="DG223" t="s">
        <v>2129</v>
      </c>
      <c r="DH223" t="s">
        <v>2129</v>
      </c>
      <c r="DI223">
        <v>10</v>
      </c>
      <c r="DJ223" t="s">
        <v>2129</v>
      </c>
      <c r="DK223" t="s">
        <v>2129</v>
      </c>
      <c r="DL223" t="s">
        <v>4434</v>
      </c>
      <c r="DM223" t="s">
        <v>2129</v>
      </c>
      <c r="DN223" t="s">
        <v>2129</v>
      </c>
      <c r="DO223" t="s">
        <v>2129</v>
      </c>
      <c r="DP223" t="s">
        <v>2129</v>
      </c>
      <c r="DQ223" t="s">
        <v>2129</v>
      </c>
      <c r="DR223" t="s">
        <v>2129</v>
      </c>
      <c r="DS223" t="s">
        <v>2129</v>
      </c>
      <c r="DT223" t="s">
        <v>2129</v>
      </c>
      <c r="DU223" t="s">
        <v>2129</v>
      </c>
      <c r="DV223" t="s">
        <v>2129</v>
      </c>
      <c r="DW223" t="s">
        <v>2129</v>
      </c>
      <c r="DX223" t="s">
        <v>2129</v>
      </c>
      <c r="DY223" t="s">
        <v>2129</v>
      </c>
      <c r="DZ223" t="s">
        <v>2129</v>
      </c>
      <c r="EA223" t="s">
        <v>2129</v>
      </c>
      <c r="EB223" t="s">
        <v>2129</v>
      </c>
      <c r="EC223" t="s">
        <v>2129</v>
      </c>
      <c r="ED223" t="s">
        <v>2129</v>
      </c>
      <c r="EE223" t="s">
        <v>2129</v>
      </c>
      <c r="EF223" t="s">
        <v>2129</v>
      </c>
      <c r="EG223" t="s">
        <v>2129</v>
      </c>
      <c r="EH223" t="s">
        <v>2129</v>
      </c>
    </row>
    <row r="224" spans="1:138" x14ac:dyDescent="0.25">
      <c r="A224" t="s">
        <v>2135</v>
      </c>
      <c r="B224" t="s">
        <v>4435</v>
      </c>
      <c r="C224">
        <v>23114</v>
      </c>
      <c r="E224" t="s">
        <v>2136</v>
      </c>
      <c r="F224" t="s">
        <v>10</v>
      </c>
      <c r="G224" t="s">
        <v>12</v>
      </c>
      <c r="H224" t="s">
        <v>12</v>
      </c>
      <c r="I224" t="s">
        <v>2127</v>
      </c>
      <c r="J224" t="s">
        <v>2198</v>
      </c>
      <c r="K224" t="s">
        <v>2129</v>
      </c>
      <c r="L224" t="s">
        <v>2199</v>
      </c>
      <c r="M224" t="s">
        <v>2130</v>
      </c>
      <c r="N224" t="s">
        <v>2129</v>
      </c>
      <c r="O224" t="s">
        <v>2131</v>
      </c>
      <c r="P224" t="s">
        <v>2198</v>
      </c>
      <c r="Q224" t="s">
        <v>2198</v>
      </c>
      <c r="R224" s="37">
        <v>46087.625694444447</v>
      </c>
      <c r="S224" s="37">
        <v>46090.372916666667</v>
      </c>
      <c r="T224" s="37">
        <v>46100.368750000001</v>
      </c>
      <c r="U224" s="37"/>
      <c r="V224" t="s">
        <v>2129</v>
      </c>
      <c r="W224" t="s">
        <v>2129</v>
      </c>
      <c r="X224" t="s">
        <v>2129</v>
      </c>
      <c r="Y224">
        <v>0</v>
      </c>
      <c r="Z224" t="s">
        <v>2129</v>
      </c>
      <c r="AA224" t="s">
        <v>2129</v>
      </c>
      <c r="AB224" t="s">
        <v>2129</v>
      </c>
      <c r="AC224" t="s">
        <v>2198</v>
      </c>
      <c r="AD224" t="s">
        <v>2129</v>
      </c>
      <c r="AE224" t="s">
        <v>2129</v>
      </c>
      <c r="AF224" t="s">
        <v>2129</v>
      </c>
      <c r="AG224" t="s">
        <v>2129</v>
      </c>
      <c r="AH224" t="s">
        <v>2129</v>
      </c>
      <c r="AI224" t="s">
        <v>2129</v>
      </c>
      <c r="AJ224" t="s">
        <v>2129</v>
      </c>
      <c r="AK224" t="s">
        <v>2129</v>
      </c>
      <c r="AL224" t="s">
        <v>2129</v>
      </c>
      <c r="AM224" t="s">
        <v>2129</v>
      </c>
      <c r="AN224" t="s">
        <v>2129</v>
      </c>
      <c r="AO224" t="s">
        <v>2129</v>
      </c>
      <c r="AP224" t="s">
        <v>2129</v>
      </c>
      <c r="AQ224" t="s">
        <v>2129</v>
      </c>
      <c r="AR224" t="s">
        <v>2129</v>
      </c>
      <c r="AS224" t="s">
        <v>2129</v>
      </c>
      <c r="AT224" t="s">
        <v>2129</v>
      </c>
      <c r="AU224" t="s">
        <v>2129</v>
      </c>
      <c r="AV224" t="s">
        <v>2129</v>
      </c>
      <c r="AW224" t="s">
        <v>2129</v>
      </c>
      <c r="AX224" t="s">
        <v>2129</v>
      </c>
      <c r="AY224" t="s">
        <v>2129</v>
      </c>
      <c r="AZ224" t="s">
        <v>2129</v>
      </c>
      <c r="BA224" t="s">
        <v>2129</v>
      </c>
      <c r="BB224" t="s">
        <v>2129</v>
      </c>
      <c r="BC224" t="s">
        <v>2129</v>
      </c>
      <c r="BD224" t="s">
        <v>2129</v>
      </c>
      <c r="BE224" t="s">
        <v>2129</v>
      </c>
      <c r="BF224" t="s">
        <v>2129</v>
      </c>
      <c r="BG224" t="s">
        <v>2129</v>
      </c>
      <c r="BH224" t="s">
        <v>2129</v>
      </c>
      <c r="BI224" t="s">
        <v>2129</v>
      </c>
      <c r="BJ224" t="s">
        <v>2129</v>
      </c>
      <c r="BK224" t="s">
        <v>2129</v>
      </c>
      <c r="BL224" t="s">
        <v>2129</v>
      </c>
      <c r="BM224" t="s">
        <v>2129</v>
      </c>
      <c r="BN224" t="s">
        <v>2129</v>
      </c>
      <c r="BO224" t="s">
        <v>2129</v>
      </c>
      <c r="BP224" t="s">
        <v>2129</v>
      </c>
      <c r="BS224" t="s">
        <v>2129</v>
      </c>
      <c r="BT224" t="s">
        <v>2129</v>
      </c>
      <c r="BW224" t="s">
        <v>2129</v>
      </c>
      <c r="BX224" t="s">
        <v>2129</v>
      </c>
      <c r="BY224" t="s">
        <v>2129</v>
      </c>
      <c r="BZ224" t="s">
        <v>2129</v>
      </c>
      <c r="CA224" t="s">
        <v>2129</v>
      </c>
      <c r="CB224" t="s">
        <v>2129</v>
      </c>
      <c r="CC224" t="s">
        <v>2129</v>
      </c>
      <c r="CD224" t="s">
        <v>2129</v>
      </c>
      <c r="CE224" t="s">
        <v>2129</v>
      </c>
      <c r="CF224" t="s">
        <v>2129</v>
      </c>
      <c r="CG224" t="s">
        <v>2129</v>
      </c>
      <c r="CH224" t="s">
        <v>2129</v>
      </c>
      <c r="CI224" t="s">
        <v>2129</v>
      </c>
      <c r="CJ224" t="s">
        <v>2129</v>
      </c>
      <c r="CK224" t="s">
        <v>2129</v>
      </c>
      <c r="CL224" t="s">
        <v>2129</v>
      </c>
      <c r="CM224" t="s">
        <v>2129</v>
      </c>
      <c r="CN224" t="s">
        <v>2129</v>
      </c>
      <c r="CO224" t="s">
        <v>2129</v>
      </c>
      <c r="CP224" t="s">
        <v>2129</v>
      </c>
      <c r="CQ224" t="s">
        <v>2129</v>
      </c>
      <c r="CR224" t="s">
        <v>2129</v>
      </c>
      <c r="CS224" t="s">
        <v>2129</v>
      </c>
      <c r="CT224" t="s">
        <v>4436</v>
      </c>
      <c r="CU224" t="s">
        <v>4425</v>
      </c>
      <c r="CV224" t="s">
        <v>2129</v>
      </c>
      <c r="CW224" t="s">
        <v>2129</v>
      </c>
      <c r="CX224" t="s">
        <v>2129</v>
      </c>
      <c r="CY224" t="s">
        <v>2129</v>
      </c>
      <c r="CZ224" t="s">
        <v>2129</v>
      </c>
      <c r="DA224" t="s">
        <v>2129</v>
      </c>
      <c r="DB224" t="s">
        <v>2129</v>
      </c>
      <c r="DC224" t="s">
        <v>2129</v>
      </c>
      <c r="DD224" t="s">
        <v>2129</v>
      </c>
      <c r="DE224" t="s">
        <v>2129</v>
      </c>
      <c r="DF224" t="s">
        <v>2129</v>
      </c>
      <c r="DG224" t="s">
        <v>2129</v>
      </c>
      <c r="DH224" t="s">
        <v>2129</v>
      </c>
      <c r="DJ224" t="s">
        <v>2129</v>
      </c>
      <c r="DK224" t="s">
        <v>2129</v>
      </c>
      <c r="DL224" t="s">
        <v>2129</v>
      </c>
      <c r="DM224" t="s">
        <v>2129</v>
      </c>
      <c r="DN224" t="s">
        <v>2129</v>
      </c>
      <c r="DO224" t="s">
        <v>2129</v>
      </c>
      <c r="DP224" t="s">
        <v>2129</v>
      </c>
      <c r="DQ224" t="s">
        <v>2129</v>
      </c>
      <c r="DR224" t="s">
        <v>2129</v>
      </c>
      <c r="DS224" t="s">
        <v>2129</v>
      </c>
      <c r="DT224" t="s">
        <v>2129</v>
      </c>
      <c r="DU224" t="s">
        <v>2129</v>
      </c>
      <c r="DV224" t="s">
        <v>2129</v>
      </c>
      <c r="DW224" t="s">
        <v>2129</v>
      </c>
      <c r="DX224" t="s">
        <v>2129</v>
      </c>
      <c r="DY224" t="s">
        <v>2129</v>
      </c>
      <c r="DZ224" t="s">
        <v>2129</v>
      </c>
      <c r="EA224" t="s">
        <v>2129</v>
      </c>
      <c r="EB224" t="s">
        <v>2129</v>
      </c>
      <c r="EC224" t="s">
        <v>2129</v>
      </c>
      <c r="ED224" t="s">
        <v>2129</v>
      </c>
      <c r="EE224" t="s">
        <v>2129</v>
      </c>
      <c r="EF224" t="s">
        <v>2129</v>
      </c>
      <c r="EG224" t="s">
        <v>2129</v>
      </c>
      <c r="EH224" t="s">
        <v>2129</v>
      </c>
    </row>
    <row r="225" spans="1:138" x14ac:dyDescent="0.25">
      <c r="A225" t="s">
        <v>2135</v>
      </c>
      <c r="B225" t="s">
        <v>4437</v>
      </c>
      <c r="C225">
        <v>23113</v>
      </c>
      <c r="E225" t="s">
        <v>2136</v>
      </c>
      <c r="F225" t="s">
        <v>10</v>
      </c>
      <c r="G225" t="s">
        <v>12</v>
      </c>
      <c r="H225" t="s">
        <v>12</v>
      </c>
      <c r="I225" t="s">
        <v>2127</v>
      </c>
      <c r="J225" t="s">
        <v>2198</v>
      </c>
      <c r="K225" t="s">
        <v>2129</v>
      </c>
      <c r="L225" t="s">
        <v>2199</v>
      </c>
      <c r="M225" t="s">
        <v>2130</v>
      </c>
      <c r="N225" t="s">
        <v>2129</v>
      </c>
      <c r="O225" t="s">
        <v>2200</v>
      </c>
      <c r="P225" t="s">
        <v>2198</v>
      </c>
      <c r="Q225" t="s">
        <v>2198</v>
      </c>
      <c r="R225" s="37">
        <v>46087.625694444447</v>
      </c>
      <c r="S225" s="37">
        <v>46090.372916666667</v>
      </c>
      <c r="T225" s="37">
        <v>46100.368750000001</v>
      </c>
      <c r="U225" s="37"/>
      <c r="V225" t="s">
        <v>2129</v>
      </c>
      <c r="W225" t="s">
        <v>2129</v>
      </c>
      <c r="X225" t="s">
        <v>2129</v>
      </c>
      <c r="Y225">
        <v>0</v>
      </c>
      <c r="Z225" t="s">
        <v>2129</v>
      </c>
      <c r="AA225" t="s">
        <v>2129</v>
      </c>
      <c r="AB225" t="s">
        <v>2129</v>
      </c>
      <c r="AC225" t="s">
        <v>2198</v>
      </c>
      <c r="AD225" t="s">
        <v>2129</v>
      </c>
      <c r="AE225" t="s">
        <v>2129</v>
      </c>
      <c r="AF225" t="s">
        <v>2129</v>
      </c>
      <c r="AG225" t="s">
        <v>2129</v>
      </c>
      <c r="AH225" t="s">
        <v>2129</v>
      </c>
      <c r="AI225" t="s">
        <v>2129</v>
      </c>
      <c r="AJ225" t="s">
        <v>2129</v>
      </c>
      <c r="AK225" t="s">
        <v>2129</v>
      </c>
      <c r="AL225" t="s">
        <v>2129</v>
      </c>
      <c r="AM225" t="s">
        <v>2129</v>
      </c>
      <c r="AN225" t="s">
        <v>2129</v>
      </c>
      <c r="AO225" t="s">
        <v>2129</v>
      </c>
      <c r="AP225" t="s">
        <v>2129</v>
      </c>
      <c r="AQ225" t="s">
        <v>2129</v>
      </c>
      <c r="AR225" t="s">
        <v>2129</v>
      </c>
      <c r="AS225" t="s">
        <v>2129</v>
      </c>
      <c r="AT225" t="s">
        <v>2129</v>
      </c>
      <c r="AU225" t="s">
        <v>2129</v>
      </c>
      <c r="AV225" t="s">
        <v>2129</v>
      </c>
      <c r="AW225" t="s">
        <v>2129</v>
      </c>
      <c r="AX225" t="s">
        <v>2129</v>
      </c>
      <c r="AY225" t="s">
        <v>2129</v>
      </c>
      <c r="AZ225" t="s">
        <v>2129</v>
      </c>
      <c r="BA225" t="s">
        <v>2129</v>
      </c>
      <c r="BB225" t="s">
        <v>2129</v>
      </c>
      <c r="BC225" t="s">
        <v>2129</v>
      </c>
      <c r="BD225" t="s">
        <v>2129</v>
      </c>
      <c r="BE225" t="s">
        <v>2129</v>
      </c>
      <c r="BF225" t="s">
        <v>2129</v>
      </c>
      <c r="BG225" t="s">
        <v>2129</v>
      </c>
      <c r="BH225" t="s">
        <v>2129</v>
      </c>
      <c r="BI225" t="s">
        <v>2129</v>
      </c>
      <c r="BJ225" t="s">
        <v>2129</v>
      </c>
      <c r="BK225" t="s">
        <v>2129</v>
      </c>
      <c r="BL225" t="s">
        <v>2129</v>
      </c>
      <c r="BM225" t="s">
        <v>2129</v>
      </c>
      <c r="BN225" t="s">
        <v>2129</v>
      </c>
      <c r="BO225" t="s">
        <v>2129</v>
      </c>
      <c r="BP225" t="s">
        <v>2129</v>
      </c>
      <c r="BS225" t="s">
        <v>2129</v>
      </c>
      <c r="BT225" t="s">
        <v>2129</v>
      </c>
      <c r="BW225" t="s">
        <v>2129</v>
      </c>
      <c r="BX225" t="s">
        <v>2129</v>
      </c>
      <c r="BY225" t="s">
        <v>2129</v>
      </c>
      <c r="BZ225" t="s">
        <v>2129</v>
      </c>
      <c r="CA225" t="s">
        <v>2129</v>
      </c>
      <c r="CB225" t="s">
        <v>2129</v>
      </c>
      <c r="CC225" t="s">
        <v>2129</v>
      </c>
      <c r="CD225" t="s">
        <v>2129</v>
      </c>
      <c r="CE225" t="s">
        <v>2129</v>
      </c>
      <c r="CF225" t="s">
        <v>2129</v>
      </c>
      <c r="CG225" t="s">
        <v>2129</v>
      </c>
      <c r="CH225" t="s">
        <v>2129</v>
      </c>
      <c r="CI225" t="s">
        <v>2129</v>
      </c>
      <c r="CJ225" t="s">
        <v>2129</v>
      </c>
      <c r="CK225" t="s">
        <v>2129</v>
      </c>
      <c r="CL225" t="s">
        <v>2129</v>
      </c>
      <c r="CM225" t="s">
        <v>2129</v>
      </c>
      <c r="CN225" t="s">
        <v>2129</v>
      </c>
      <c r="CO225" t="s">
        <v>2129</v>
      </c>
      <c r="CP225" t="s">
        <v>2129</v>
      </c>
      <c r="CQ225" t="s">
        <v>2129</v>
      </c>
      <c r="CR225" t="s">
        <v>2129</v>
      </c>
      <c r="CS225" t="s">
        <v>2129</v>
      </c>
      <c r="CT225" t="s">
        <v>4438</v>
      </c>
      <c r="CU225" t="s">
        <v>4425</v>
      </c>
      <c r="CV225" t="s">
        <v>2129</v>
      </c>
      <c r="CW225" t="s">
        <v>2129</v>
      </c>
      <c r="CX225" t="s">
        <v>2129</v>
      </c>
      <c r="CY225" t="s">
        <v>2129</v>
      </c>
      <c r="CZ225" t="s">
        <v>2129</v>
      </c>
      <c r="DA225" t="s">
        <v>2129</v>
      </c>
      <c r="DB225" t="s">
        <v>2129</v>
      </c>
      <c r="DC225" t="s">
        <v>2129</v>
      </c>
      <c r="DD225" t="s">
        <v>2129</v>
      </c>
      <c r="DE225" t="s">
        <v>2129</v>
      </c>
      <c r="DF225" t="s">
        <v>2129</v>
      </c>
      <c r="DG225" t="s">
        <v>2129</v>
      </c>
      <c r="DH225" t="s">
        <v>2129</v>
      </c>
      <c r="DJ225" t="s">
        <v>2129</v>
      </c>
      <c r="DK225" t="s">
        <v>2129</v>
      </c>
      <c r="DL225" t="s">
        <v>2129</v>
      </c>
      <c r="DM225" t="s">
        <v>2129</v>
      </c>
      <c r="DN225" t="s">
        <v>2129</v>
      </c>
      <c r="DO225" t="s">
        <v>2129</v>
      </c>
      <c r="DP225" t="s">
        <v>2129</v>
      </c>
      <c r="DQ225" t="s">
        <v>2129</v>
      </c>
      <c r="DR225" t="s">
        <v>2129</v>
      </c>
      <c r="DS225" t="s">
        <v>2129</v>
      </c>
      <c r="DT225" t="s">
        <v>2129</v>
      </c>
      <c r="DU225" t="s">
        <v>2129</v>
      </c>
      <c r="DV225" t="s">
        <v>2129</v>
      </c>
      <c r="DW225" t="s">
        <v>2129</v>
      </c>
      <c r="DX225" t="s">
        <v>2129</v>
      </c>
      <c r="DY225" t="s">
        <v>2129</v>
      </c>
      <c r="DZ225" t="s">
        <v>2129</v>
      </c>
      <c r="EA225" t="s">
        <v>2129</v>
      </c>
      <c r="EB225" t="s">
        <v>2129</v>
      </c>
      <c r="EC225" t="s">
        <v>2129</v>
      </c>
      <c r="ED225" t="s">
        <v>2129</v>
      </c>
      <c r="EE225" t="s">
        <v>2129</v>
      </c>
      <c r="EF225" t="s">
        <v>2129</v>
      </c>
      <c r="EG225" t="s">
        <v>2129</v>
      </c>
      <c r="EH225" t="s">
        <v>2129</v>
      </c>
    </row>
    <row r="226" spans="1:138" x14ac:dyDescent="0.25">
      <c r="A226" t="s">
        <v>2870</v>
      </c>
      <c r="B226" t="s">
        <v>2869</v>
      </c>
      <c r="C226">
        <v>23103</v>
      </c>
      <c r="E226" t="s">
        <v>14</v>
      </c>
      <c r="F226" t="s">
        <v>26</v>
      </c>
      <c r="G226" t="s">
        <v>12</v>
      </c>
      <c r="H226" t="s">
        <v>12</v>
      </c>
      <c r="I226" t="s">
        <v>2127</v>
      </c>
      <c r="J226" t="s">
        <v>2198</v>
      </c>
      <c r="K226" t="s">
        <v>2129</v>
      </c>
      <c r="L226" t="s">
        <v>2199</v>
      </c>
      <c r="M226" t="s">
        <v>2130</v>
      </c>
      <c r="N226" t="s">
        <v>2129</v>
      </c>
      <c r="O226" t="s">
        <v>2131</v>
      </c>
      <c r="P226" t="s">
        <v>2198</v>
      </c>
      <c r="Q226" t="s">
        <v>2198</v>
      </c>
      <c r="R226" s="37">
        <v>46085.651388888888</v>
      </c>
      <c r="S226" s="37">
        <v>46098.363194444442</v>
      </c>
      <c r="T226" s="37">
        <v>46100.368750000001</v>
      </c>
      <c r="U226" s="37"/>
      <c r="V226" t="s">
        <v>2129</v>
      </c>
      <c r="W226" t="s">
        <v>2129</v>
      </c>
      <c r="X226" t="s">
        <v>2129</v>
      </c>
      <c r="Y226">
        <v>0</v>
      </c>
      <c r="Z226" t="s">
        <v>2129</v>
      </c>
      <c r="AA226" t="s">
        <v>4439</v>
      </c>
      <c r="AB226" t="s">
        <v>2129</v>
      </c>
      <c r="AC226" t="s">
        <v>2198</v>
      </c>
      <c r="AD226" t="s">
        <v>2129</v>
      </c>
      <c r="AE226" t="s">
        <v>2129</v>
      </c>
      <c r="AF226" t="s">
        <v>2129</v>
      </c>
      <c r="AG226" t="s">
        <v>2129</v>
      </c>
      <c r="AH226" t="s">
        <v>2129</v>
      </c>
      <c r="AI226" t="s">
        <v>2129</v>
      </c>
      <c r="AJ226" t="s">
        <v>2129</v>
      </c>
      <c r="AK226" t="s">
        <v>2129</v>
      </c>
      <c r="AL226" t="s">
        <v>2129</v>
      </c>
      <c r="AM226" t="s">
        <v>2129</v>
      </c>
      <c r="AN226" t="s">
        <v>2129</v>
      </c>
      <c r="AO226" t="s">
        <v>2129</v>
      </c>
      <c r="AP226" t="s">
        <v>2129</v>
      </c>
      <c r="AQ226" t="s">
        <v>2129</v>
      </c>
      <c r="AR226" t="s">
        <v>2129</v>
      </c>
      <c r="AS226" t="s">
        <v>2129</v>
      </c>
      <c r="AT226" t="s">
        <v>2129</v>
      </c>
      <c r="AU226" t="s">
        <v>2129</v>
      </c>
      <c r="AV226" t="s">
        <v>2129</v>
      </c>
      <c r="AW226" t="s">
        <v>2129</v>
      </c>
      <c r="AX226" t="s">
        <v>2129</v>
      </c>
      <c r="AY226" t="s">
        <v>2129</v>
      </c>
      <c r="AZ226" t="s">
        <v>2129</v>
      </c>
      <c r="BA226" t="s">
        <v>2129</v>
      </c>
      <c r="BB226" t="s">
        <v>2129</v>
      </c>
      <c r="BC226" t="s">
        <v>2129</v>
      </c>
      <c r="BD226" t="s">
        <v>2129</v>
      </c>
      <c r="BE226" t="s">
        <v>2129</v>
      </c>
      <c r="BF226" t="s">
        <v>2129</v>
      </c>
      <c r="BG226" t="s">
        <v>2129</v>
      </c>
      <c r="BH226" t="s">
        <v>2129</v>
      </c>
      <c r="BI226" t="s">
        <v>2129</v>
      </c>
      <c r="BJ226" t="s">
        <v>2129</v>
      </c>
      <c r="BK226" t="s">
        <v>2129</v>
      </c>
      <c r="BL226" t="s">
        <v>2129</v>
      </c>
      <c r="BM226" t="s">
        <v>2129</v>
      </c>
      <c r="BN226" t="s">
        <v>2129</v>
      </c>
      <c r="BO226" t="s">
        <v>2129</v>
      </c>
      <c r="BP226" t="s">
        <v>2129</v>
      </c>
      <c r="BS226" t="s">
        <v>2129</v>
      </c>
      <c r="BT226" t="s">
        <v>2129</v>
      </c>
      <c r="BW226" t="s">
        <v>2129</v>
      </c>
      <c r="BX226" t="s">
        <v>2129</v>
      </c>
      <c r="BY226" t="s">
        <v>2129</v>
      </c>
      <c r="BZ226" t="s">
        <v>2129</v>
      </c>
      <c r="CA226" t="s">
        <v>2129</v>
      </c>
      <c r="CB226" t="s">
        <v>2129</v>
      </c>
      <c r="CC226" t="s">
        <v>2129</v>
      </c>
      <c r="CD226" t="s">
        <v>2129</v>
      </c>
      <c r="CE226" t="s">
        <v>2129</v>
      </c>
      <c r="CF226" t="s">
        <v>2129</v>
      </c>
      <c r="CG226" t="s">
        <v>2129</v>
      </c>
      <c r="CH226" t="s">
        <v>2129</v>
      </c>
      <c r="CI226" t="s">
        <v>2129</v>
      </c>
      <c r="CJ226" t="s">
        <v>2129</v>
      </c>
      <c r="CK226" t="s">
        <v>2129</v>
      </c>
      <c r="CL226" t="s">
        <v>2129</v>
      </c>
      <c r="CM226" t="s">
        <v>2129</v>
      </c>
      <c r="CN226" t="s">
        <v>2129</v>
      </c>
      <c r="CO226" t="s">
        <v>2129</v>
      </c>
      <c r="CP226" t="s">
        <v>2129</v>
      </c>
      <c r="CQ226" t="s">
        <v>2129</v>
      </c>
      <c r="CR226" t="s">
        <v>2129</v>
      </c>
      <c r="CS226" t="s">
        <v>2129</v>
      </c>
      <c r="CT226" t="s">
        <v>4440</v>
      </c>
      <c r="CU226" t="s">
        <v>4425</v>
      </c>
      <c r="CV226" t="s">
        <v>2129</v>
      </c>
      <c r="CW226" t="s">
        <v>2129</v>
      </c>
      <c r="CX226" t="s">
        <v>2129</v>
      </c>
      <c r="CY226" t="s">
        <v>2129</v>
      </c>
      <c r="CZ226" t="s">
        <v>2129</v>
      </c>
      <c r="DA226" t="s">
        <v>2129</v>
      </c>
      <c r="DB226" t="s">
        <v>2129</v>
      </c>
      <c r="DC226" t="s">
        <v>2129</v>
      </c>
      <c r="DD226" t="s">
        <v>2129</v>
      </c>
      <c r="DE226" t="s">
        <v>2129</v>
      </c>
      <c r="DF226" t="s">
        <v>2129</v>
      </c>
      <c r="DG226" t="s">
        <v>2129</v>
      </c>
      <c r="DH226" t="s">
        <v>2129</v>
      </c>
      <c r="DI226">
        <v>50</v>
      </c>
      <c r="DJ226" t="s">
        <v>2129</v>
      </c>
      <c r="DK226" t="s">
        <v>2129</v>
      </c>
      <c r="DL226" t="s">
        <v>2129</v>
      </c>
      <c r="DM226" t="s">
        <v>2129</v>
      </c>
      <c r="DN226" t="s">
        <v>2129</v>
      </c>
      <c r="DO226" t="s">
        <v>2129</v>
      </c>
      <c r="DP226" t="s">
        <v>2129</v>
      </c>
      <c r="DQ226" t="s">
        <v>2129</v>
      </c>
      <c r="DR226" t="s">
        <v>2129</v>
      </c>
      <c r="DS226" t="s">
        <v>2129</v>
      </c>
      <c r="DT226" t="s">
        <v>2129</v>
      </c>
      <c r="DU226" t="s">
        <v>2129</v>
      </c>
      <c r="DV226" t="s">
        <v>2129</v>
      </c>
      <c r="DW226" t="s">
        <v>2129</v>
      </c>
      <c r="DX226" t="s">
        <v>2129</v>
      </c>
      <c r="DY226" t="s">
        <v>2129</v>
      </c>
      <c r="DZ226" t="s">
        <v>2129</v>
      </c>
      <c r="EA226" t="s">
        <v>2129</v>
      </c>
      <c r="EB226" t="s">
        <v>2129</v>
      </c>
      <c r="EC226" t="s">
        <v>2129</v>
      </c>
      <c r="ED226" t="s">
        <v>2129</v>
      </c>
      <c r="EE226" t="s">
        <v>2129</v>
      </c>
      <c r="EF226" t="s">
        <v>2129</v>
      </c>
      <c r="EG226" t="s">
        <v>2129</v>
      </c>
      <c r="EH226" t="s">
        <v>2129</v>
      </c>
    </row>
    <row r="227" spans="1:138" x14ac:dyDescent="0.25">
      <c r="A227" t="s">
        <v>2135</v>
      </c>
      <c r="B227" t="s">
        <v>3126</v>
      </c>
      <c r="C227">
        <v>23029</v>
      </c>
      <c r="E227" t="s">
        <v>2136</v>
      </c>
      <c r="F227" t="s">
        <v>16</v>
      </c>
      <c r="G227" t="s">
        <v>12</v>
      </c>
      <c r="H227" t="s">
        <v>12</v>
      </c>
      <c r="I227" t="s">
        <v>2127</v>
      </c>
      <c r="J227" t="s">
        <v>2198</v>
      </c>
      <c r="K227" t="s">
        <v>2129</v>
      </c>
      <c r="L227" t="s">
        <v>2199</v>
      </c>
      <c r="M227" t="s">
        <v>2130</v>
      </c>
      <c r="N227" t="s">
        <v>16</v>
      </c>
      <c r="O227" t="s">
        <v>2131</v>
      </c>
      <c r="P227" t="s">
        <v>2198</v>
      </c>
      <c r="Q227" t="s">
        <v>2198</v>
      </c>
      <c r="R227" s="37">
        <v>46076.367361111108</v>
      </c>
      <c r="S227" s="37">
        <v>46090.371527777781</v>
      </c>
      <c r="T227" s="37">
        <v>46100.368750000001</v>
      </c>
      <c r="U227" s="37">
        <v>46090.371527777781</v>
      </c>
      <c r="V227" t="s">
        <v>2129</v>
      </c>
      <c r="W227" t="s">
        <v>2129</v>
      </c>
      <c r="X227" t="s">
        <v>2129</v>
      </c>
      <c r="Y227">
        <v>0</v>
      </c>
      <c r="Z227" t="s">
        <v>2129</v>
      </c>
      <c r="AA227" t="s">
        <v>2129</v>
      </c>
      <c r="AB227" t="s">
        <v>2129</v>
      </c>
      <c r="AC227" t="s">
        <v>2198</v>
      </c>
      <c r="AD227" t="s">
        <v>2129</v>
      </c>
      <c r="AE227" t="s">
        <v>2129</v>
      </c>
      <c r="AF227" t="s">
        <v>2129</v>
      </c>
      <c r="AG227" t="s">
        <v>2129</v>
      </c>
      <c r="AH227" t="s">
        <v>2129</v>
      </c>
      <c r="AI227" t="s">
        <v>2129</v>
      </c>
      <c r="AJ227" t="s">
        <v>2129</v>
      </c>
      <c r="AK227" t="s">
        <v>2129</v>
      </c>
      <c r="AL227" t="s">
        <v>2129</v>
      </c>
      <c r="AM227" t="s">
        <v>2129</v>
      </c>
      <c r="AN227" t="s">
        <v>2129</v>
      </c>
      <c r="AO227" t="s">
        <v>2129</v>
      </c>
      <c r="AP227" t="s">
        <v>2129</v>
      </c>
      <c r="AQ227" t="s">
        <v>2129</v>
      </c>
      <c r="AR227" t="s">
        <v>2129</v>
      </c>
      <c r="AS227" t="s">
        <v>2129</v>
      </c>
      <c r="AT227" t="s">
        <v>2129</v>
      </c>
      <c r="AU227" t="s">
        <v>2129</v>
      </c>
      <c r="AV227" t="s">
        <v>2129</v>
      </c>
      <c r="AW227" t="s">
        <v>2129</v>
      </c>
      <c r="AX227" t="s">
        <v>2129</v>
      </c>
      <c r="AY227" t="s">
        <v>2129</v>
      </c>
      <c r="AZ227" t="s">
        <v>2129</v>
      </c>
      <c r="BA227" t="s">
        <v>2129</v>
      </c>
      <c r="BB227" t="s">
        <v>2129</v>
      </c>
      <c r="BC227" t="s">
        <v>2129</v>
      </c>
      <c r="BD227" t="s">
        <v>2129</v>
      </c>
      <c r="BE227" t="s">
        <v>2129</v>
      </c>
      <c r="BF227" t="s">
        <v>2129</v>
      </c>
      <c r="BG227" t="s">
        <v>2129</v>
      </c>
      <c r="BH227" t="s">
        <v>2129</v>
      </c>
      <c r="BI227" t="s">
        <v>2129</v>
      </c>
      <c r="BJ227" t="s">
        <v>2129</v>
      </c>
      <c r="BK227" t="s">
        <v>2129</v>
      </c>
      <c r="BL227" t="s">
        <v>2129</v>
      </c>
      <c r="BM227" t="s">
        <v>2129</v>
      </c>
      <c r="BN227" t="s">
        <v>2129</v>
      </c>
      <c r="BO227" t="s">
        <v>2129</v>
      </c>
      <c r="BP227" t="s">
        <v>2129</v>
      </c>
      <c r="BS227" t="s">
        <v>2129</v>
      </c>
      <c r="BT227" t="s">
        <v>2129</v>
      </c>
      <c r="BW227" t="s">
        <v>2129</v>
      </c>
      <c r="BX227" t="s">
        <v>2129</v>
      </c>
      <c r="BY227" t="s">
        <v>2129</v>
      </c>
      <c r="BZ227" t="s">
        <v>2129</v>
      </c>
      <c r="CA227" t="s">
        <v>2129</v>
      </c>
      <c r="CB227" t="s">
        <v>2129</v>
      </c>
      <c r="CC227" t="s">
        <v>2129</v>
      </c>
      <c r="CD227" t="s">
        <v>2129</v>
      </c>
      <c r="CE227" t="s">
        <v>2129</v>
      </c>
      <c r="CF227" t="s">
        <v>2129</v>
      </c>
      <c r="CG227" t="s">
        <v>2129</v>
      </c>
      <c r="CH227" t="s">
        <v>2129</v>
      </c>
      <c r="CI227" t="s">
        <v>2129</v>
      </c>
      <c r="CJ227" t="s">
        <v>2129</v>
      </c>
      <c r="CK227" t="s">
        <v>2129</v>
      </c>
      <c r="CL227" t="s">
        <v>2129</v>
      </c>
      <c r="CM227" t="s">
        <v>2129</v>
      </c>
      <c r="CN227" t="s">
        <v>2129</v>
      </c>
      <c r="CO227" t="s">
        <v>2129</v>
      </c>
      <c r="CP227" t="s">
        <v>2129</v>
      </c>
      <c r="CQ227" t="s">
        <v>2129</v>
      </c>
      <c r="CR227" t="s">
        <v>2129</v>
      </c>
      <c r="CS227" t="s">
        <v>2129</v>
      </c>
      <c r="CT227" t="s">
        <v>3127</v>
      </c>
      <c r="CU227" t="s">
        <v>3125</v>
      </c>
      <c r="CV227" t="s">
        <v>2129</v>
      </c>
      <c r="CW227" t="s">
        <v>2129</v>
      </c>
      <c r="CX227" t="s">
        <v>2129</v>
      </c>
      <c r="CY227" t="s">
        <v>2129</v>
      </c>
      <c r="CZ227" t="s">
        <v>2129</v>
      </c>
      <c r="DA227" t="s">
        <v>2129</v>
      </c>
      <c r="DB227" t="s">
        <v>2129</v>
      </c>
      <c r="DC227" t="s">
        <v>2129</v>
      </c>
      <c r="DD227" t="s">
        <v>2129</v>
      </c>
      <c r="DE227" t="s">
        <v>2129</v>
      </c>
      <c r="DF227" t="s">
        <v>2129</v>
      </c>
      <c r="DG227" t="s">
        <v>2129</v>
      </c>
      <c r="DH227" t="s">
        <v>2129</v>
      </c>
      <c r="DJ227" t="s">
        <v>2129</v>
      </c>
      <c r="DK227" t="s">
        <v>2129</v>
      </c>
      <c r="DL227" t="s">
        <v>2129</v>
      </c>
      <c r="DM227" t="s">
        <v>2129</v>
      </c>
      <c r="DN227" t="s">
        <v>2129</v>
      </c>
      <c r="DO227" t="s">
        <v>2129</v>
      </c>
      <c r="DP227" t="s">
        <v>2129</v>
      </c>
      <c r="DQ227" t="s">
        <v>2129</v>
      </c>
      <c r="DR227" t="s">
        <v>2129</v>
      </c>
      <c r="DS227" t="s">
        <v>2129</v>
      </c>
      <c r="DT227" t="s">
        <v>2129</v>
      </c>
      <c r="DU227" t="s">
        <v>2129</v>
      </c>
      <c r="DV227" t="s">
        <v>2129</v>
      </c>
      <c r="DW227" t="s">
        <v>2129</v>
      </c>
      <c r="DX227" t="s">
        <v>2129</v>
      </c>
      <c r="DY227" t="s">
        <v>2129</v>
      </c>
      <c r="DZ227" t="s">
        <v>2129</v>
      </c>
      <c r="EA227" t="s">
        <v>2129</v>
      </c>
      <c r="EB227" t="s">
        <v>2129</v>
      </c>
      <c r="EC227" t="s">
        <v>2129</v>
      </c>
      <c r="ED227" t="s">
        <v>2129</v>
      </c>
      <c r="EE227" t="s">
        <v>2129</v>
      </c>
      <c r="EF227" t="s">
        <v>2129</v>
      </c>
      <c r="EG227" t="s">
        <v>2129</v>
      </c>
      <c r="EH227" t="s">
        <v>2129</v>
      </c>
    </row>
    <row r="228" spans="1:138" x14ac:dyDescent="0.25">
      <c r="A228" t="s">
        <v>2135</v>
      </c>
      <c r="B228" t="s">
        <v>3128</v>
      </c>
      <c r="C228">
        <v>23028</v>
      </c>
      <c r="E228" t="s">
        <v>2136</v>
      </c>
      <c r="F228" t="s">
        <v>16</v>
      </c>
      <c r="G228" t="s">
        <v>12</v>
      </c>
      <c r="H228" t="s">
        <v>12</v>
      </c>
      <c r="I228" t="s">
        <v>2127</v>
      </c>
      <c r="J228" t="s">
        <v>2198</v>
      </c>
      <c r="K228" t="s">
        <v>2129</v>
      </c>
      <c r="L228" t="s">
        <v>2199</v>
      </c>
      <c r="M228" t="s">
        <v>2130</v>
      </c>
      <c r="N228" t="s">
        <v>16</v>
      </c>
      <c r="O228" t="s">
        <v>2200</v>
      </c>
      <c r="P228" t="s">
        <v>2198</v>
      </c>
      <c r="Q228" t="s">
        <v>2198</v>
      </c>
      <c r="R228" s="37">
        <v>46076.367361111108</v>
      </c>
      <c r="S228" s="37">
        <v>46090.371527777781</v>
      </c>
      <c r="T228" s="37">
        <v>46100.368750000001</v>
      </c>
      <c r="U228" s="37">
        <v>46090.371527777781</v>
      </c>
      <c r="V228" t="s">
        <v>2129</v>
      </c>
      <c r="W228" t="s">
        <v>2129</v>
      </c>
      <c r="X228" t="s">
        <v>2129</v>
      </c>
      <c r="Y228">
        <v>0</v>
      </c>
      <c r="Z228" t="s">
        <v>2129</v>
      </c>
      <c r="AA228" t="s">
        <v>2129</v>
      </c>
      <c r="AB228" t="s">
        <v>2129</v>
      </c>
      <c r="AC228" t="s">
        <v>2198</v>
      </c>
      <c r="AD228" t="s">
        <v>2129</v>
      </c>
      <c r="AE228" t="s">
        <v>2129</v>
      </c>
      <c r="AF228" t="s">
        <v>2129</v>
      </c>
      <c r="AG228" t="s">
        <v>2129</v>
      </c>
      <c r="AH228" t="s">
        <v>2129</v>
      </c>
      <c r="AI228" t="s">
        <v>2129</v>
      </c>
      <c r="AJ228" t="s">
        <v>2129</v>
      </c>
      <c r="AK228" t="s">
        <v>2129</v>
      </c>
      <c r="AL228" t="s">
        <v>2129</v>
      </c>
      <c r="AM228" t="s">
        <v>2129</v>
      </c>
      <c r="AN228" t="s">
        <v>2129</v>
      </c>
      <c r="AO228" t="s">
        <v>2129</v>
      </c>
      <c r="AP228" t="s">
        <v>2129</v>
      </c>
      <c r="AQ228" t="s">
        <v>2129</v>
      </c>
      <c r="AR228" t="s">
        <v>2129</v>
      </c>
      <c r="AS228" t="s">
        <v>2129</v>
      </c>
      <c r="AT228" t="s">
        <v>2129</v>
      </c>
      <c r="AU228" t="s">
        <v>2129</v>
      </c>
      <c r="AV228" t="s">
        <v>2129</v>
      </c>
      <c r="AW228" t="s">
        <v>2129</v>
      </c>
      <c r="AX228" t="s">
        <v>2129</v>
      </c>
      <c r="AY228" t="s">
        <v>2129</v>
      </c>
      <c r="AZ228" t="s">
        <v>2129</v>
      </c>
      <c r="BA228" t="s">
        <v>2129</v>
      </c>
      <c r="BB228" t="s">
        <v>2129</v>
      </c>
      <c r="BC228" t="s">
        <v>2129</v>
      </c>
      <c r="BD228" t="s">
        <v>2129</v>
      </c>
      <c r="BE228" t="s">
        <v>2129</v>
      </c>
      <c r="BF228" t="s">
        <v>2129</v>
      </c>
      <c r="BG228" t="s">
        <v>2129</v>
      </c>
      <c r="BH228" t="s">
        <v>2129</v>
      </c>
      <c r="BI228" t="s">
        <v>2129</v>
      </c>
      <c r="BJ228" t="s">
        <v>2129</v>
      </c>
      <c r="BK228" t="s">
        <v>2129</v>
      </c>
      <c r="BL228" t="s">
        <v>2129</v>
      </c>
      <c r="BM228" t="s">
        <v>2129</v>
      </c>
      <c r="BN228" t="s">
        <v>2129</v>
      </c>
      <c r="BO228" t="s">
        <v>2129</v>
      </c>
      <c r="BP228" t="s">
        <v>2129</v>
      </c>
      <c r="BS228" t="s">
        <v>2129</v>
      </c>
      <c r="BT228" t="s">
        <v>2129</v>
      </c>
      <c r="BW228" t="s">
        <v>2129</v>
      </c>
      <c r="BX228" t="s">
        <v>2129</v>
      </c>
      <c r="BY228" t="s">
        <v>2129</v>
      </c>
      <c r="BZ228" t="s">
        <v>2129</v>
      </c>
      <c r="CA228" t="s">
        <v>2129</v>
      </c>
      <c r="CB228" t="s">
        <v>2129</v>
      </c>
      <c r="CC228" t="s">
        <v>2129</v>
      </c>
      <c r="CD228" t="s">
        <v>2129</v>
      </c>
      <c r="CE228" t="s">
        <v>2129</v>
      </c>
      <c r="CF228" t="s">
        <v>2129</v>
      </c>
      <c r="CG228" t="s">
        <v>2129</v>
      </c>
      <c r="CH228" t="s">
        <v>2129</v>
      </c>
      <c r="CI228" t="s">
        <v>2129</v>
      </c>
      <c r="CJ228" t="s">
        <v>2129</v>
      </c>
      <c r="CK228" t="s">
        <v>2129</v>
      </c>
      <c r="CL228" t="s">
        <v>2129</v>
      </c>
      <c r="CM228" t="s">
        <v>2129</v>
      </c>
      <c r="CN228" t="s">
        <v>2129</v>
      </c>
      <c r="CO228" t="s">
        <v>2129</v>
      </c>
      <c r="CP228" t="s">
        <v>2129</v>
      </c>
      <c r="CQ228" t="s">
        <v>2129</v>
      </c>
      <c r="CR228" t="s">
        <v>2129</v>
      </c>
      <c r="CS228" t="s">
        <v>2129</v>
      </c>
      <c r="CT228" t="s">
        <v>3129</v>
      </c>
      <c r="CU228" t="s">
        <v>3125</v>
      </c>
      <c r="CV228" t="s">
        <v>2129</v>
      </c>
      <c r="CW228" t="s">
        <v>2129</v>
      </c>
      <c r="CX228" t="s">
        <v>2129</v>
      </c>
      <c r="CY228" t="s">
        <v>2129</v>
      </c>
      <c r="CZ228" t="s">
        <v>2129</v>
      </c>
      <c r="DA228" t="s">
        <v>2129</v>
      </c>
      <c r="DB228" t="s">
        <v>2129</v>
      </c>
      <c r="DC228" t="s">
        <v>2129</v>
      </c>
      <c r="DD228" t="s">
        <v>2129</v>
      </c>
      <c r="DE228" t="s">
        <v>2129</v>
      </c>
      <c r="DF228" t="s">
        <v>2129</v>
      </c>
      <c r="DG228" t="s">
        <v>2129</v>
      </c>
      <c r="DH228" t="s">
        <v>2129</v>
      </c>
      <c r="DJ228" t="s">
        <v>2129</v>
      </c>
      <c r="DK228" t="s">
        <v>2129</v>
      </c>
      <c r="DL228" t="s">
        <v>2129</v>
      </c>
      <c r="DM228" t="s">
        <v>2129</v>
      </c>
      <c r="DN228" t="s">
        <v>2129</v>
      </c>
      <c r="DO228" t="s">
        <v>2129</v>
      </c>
      <c r="DP228" t="s">
        <v>2129</v>
      </c>
      <c r="DQ228" t="s">
        <v>2129</v>
      </c>
      <c r="DR228" t="s">
        <v>2129</v>
      </c>
      <c r="DS228" t="s">
        <v>2129</v>
      </c>
      <c r="DT228" t="s">
        <v>2129</v>
      </c>
      <c r="DU228" t="s">
        <v>2129</v>
      </c>
      <c r="DV228" t="s">
        <v>2129</v>
      </c>
      <c r="DW228" t="s">
        <v>2129</v>
      </c>
      <c r="DX228" t="s">
        <v>2129</v>
      </c>
      <c r="DY228" t="s">
        <v>2129</v>
      </c>
      <c r="DZ228" t="s">
        <v>2129</v>
      </c>
      <c r="EA228" t="s">
        <v>2129</v>
      </c>
      <c r="EB228" t="s">
        <v>2129</v>
      </c>
      <c r="EC228" t="s">
        <v>2129</v>
      </c>
      <c r="ED228" t="s">
        <v>2129</v>
      </c>
      <c r="EE228" t="s">
        <v>2129</v>
      </c>
      <c r="EF228" t="s">
        <v>2129</v>
      </c>
      <c r="EG228" t="s">
        <v>2129</v>
      </c>
      <c r="EH228" t="s">
        <v>2129</v>
      </c>
    </row>
    <row r="229" spans="1:138" x14ac:dyDescent="0.25">
      <c r="A229" t="s">
        <v>2828</v>
      </c>
      <c r="B229" t="s">
        <v>2829</v>
      </c>
      <c r="C229">
        <v>22993</v>
      </c>
      <c r="E229" t="s">
        <v>14</v>
      </c>
      <c r="F229" t="s">
        <v>10</v>
      </c>
      <c r="G229" t="s">
        <v>12</v>
      </c>
      <c r="H229" t="s">
        <v>12</v>
      </c>
      <c r="I229" t="s">
        <v>2127</v>
      </c>
      <c r="J229" t="s">
        <v>2198</v>
      </c>
      <c r="K229" t="s">
        <v>2129</v>
      </c>
      <c r="L229" t="s">
        <v>2199</v>
      </c>
      <c r="M229" t="s">
        <v>2130</v>
      </c>
      <c r="N229" t="s">
        <v>2129</v>
      </c>
      <c r="O229" t="s">
        <v>2200</v>
      </c>
      <c r="P229" t="s">
        <v>2198</v>
      </c>
      <c r="Q229" t="s">
        <v>2198</v>
      </c>
      <c r="R229" s="37">
        <v>46072.618750000001</v>
      </c>
      <c r="S229" s="37">
        <v>46099.56527777778</v>
      </c>
      <c r="T229" s="37">
        <v>46100.368750000001</v>
      </c>
      <c r="U229" s="37"/>
      <c r="V229" t="s">
        <v>2129</v>
      </c>
      <c r="W229" t="s">
        <v>2129</v>
      </c>
      <c r="X229" t="s">
        <v>2129</v>
      </c>
      <c r="Y229">
        <v>0</v>
      </c>
      <c r="Z229" t="s">
        <v>2129</v>
      </c>
      <c r="AA229" t="s">
        <v>4441</v>
      </c>
      <c r="AB229" t="s">
        <v>2129</v>
      </c>
      <c r="AC229" t="s">
        <v>2198</v>
      </c>
      <c r="AD229" t="s">
        <v>2129</v>
      </c>
      <c r="AE229" t="s">
        <v>2129</v>
      </c>
      <c r="AF229" t="s">
        <v>2129</v>
      </c>
      <c r="AG229" t="s">
        <v>2129</v>
      </c>
      <c r="AH229" t="s">
        <v>2129</v>
      </c>
      <c r="AI229" t="s">
        <v>2129</v>
      </c>
      <c r="AJ229" t="s">
        <v>2129</v>
      </c>
      <c r="AK229" t="s">
        <v>2129</v>
      </c>
      <c r="AL229" t="s">
        <v>2129</v>
      </c>
      <c r="AM229" t="s">
        <v>2129</v>
      </c>
      <c r="AN229" t="s">
        <v>2129</v>
      </c>
      <c r="AO229" t="s">
        <v>2129</v>
      </c>
      <c r="AP229" t="s">
        <v>2129</v>
      </c>
      <c r="AQ229" t="s">
        <v>2129</v>
      </c>
      <c r="AR229" t="s">
        <v>2129</v>
      </c>
      <c r="AS229" t="s">
        <v>2129</v>
      </c>
      <c r="AT229" t="s">
        <v>2129</v>
      </c>
      <c r="AU229" t="s">
        <v>2129</v>
      </c>
      <c r="AV229" t="s">
        <v>2129</v>
      </c>
      <c r="AW229" t="s">
        <v>2129</v>
      </c>
      <c r="AX229" t="s">
        <v>2129</v>
      </c>
      <c r="AY229" t="s">
        <v>2129</v>
      </c>
      <c r="AZ229" t="s">
        <v>2129</v>
      </c>
      <c r="BA229" t="s">
        <v>2129</v>
      </c>
      <c r="BB229" t="s">
        <v>2129</v>
      </c>
      <c r="BC229" t="s">
        <v>2129</v>
      </c>
      <c r="BD229" t="s">
        <v>2129</v>
      </c>
      <c r="BE229" t="s">
        <v>2129</v>
      </c>
      <c r="BF229" t="s">
        <v>2129</v>
      </c>
      <c r="BG229" t="s">
        <v>2129</v>
      </c>
      <c r="BH229" t="s">
        <v>2129</v>
      </c>
      <c r="BI229" t="s">
        <v>2129</v>
      </c>
      <c r="BJ229" t="s">
        <v>2129</v>
      </c>
      <c r="BK229" t="s">
        <v>2129</v>
      </c>
      <c r="BL229" t="s">
        <v>2129</v>
      </c>
      <c r="BM229" t="s">
        <v>2129</v>
      </c>
      <c r="BN229" t="s">
        <v>2129</v>
      </c>
      <c r="BO229" t="s">
        <v>2129</v>
      </c>
      <c r="BP229" t="s">
        <v>2129</v>
      </c>
      <c r="BS229" t="s">
        <v>2129</v>
      </c>
      <c r="BT229" t="s">
        <v>2129</v>
      </c>
      <c r="BW229" t="s">
        <v>2129</v>
      </c>
      <c r="BX229" t="s">
        <v>2129</v>
      </c>
      <c r="BY229" t="s">
        <v>2129</v>
      </c>
      <c r="BZ229" t="s">
        <v>2129</v>
      </c>
      <c r="CA229" t="s">
        <v>2129</v>
      </c>
      <c r="CB229" t="s">
        <v>2129</v>
      </c>
      <c r="CC229" t="s">
        <v>2129</v>
      </c>
      <c r="CD229" t="s">
        <v>2129</v>
      </c>
      <c r="CE229" t="s">
        <v>2129</v>
      </c>
      <c r="CF229" t="s">
        <v>2129</v>
      </c>
      <c r="CG229" t="s">
        <v>2129</v>
      </c>
      <c r="CH229" t="s">
        <v>2129</v>
      </c>
      <c r="CI229" t="s">
        <v>2129</v>
      </c>
      <c r="CJ229" t="s">
        <v>2129</v>
      </c>
      <c r="CK229" t="s">
        <v>2129</v>
      </c>
      <c r="CL229" t="s">
        <v>2129</v>
      </c>
      <c r="CM229" t="s">
        <v>2801</v>
      </c>
      <c r="CN229" t="s">
        <v>2129</v>
      </c>
      <c r="CO229" t="s">
        <v>2129</v>
      </c>
      <c r="CP229" t="s">
        <v>2129</v>
      </c>
      <c r="CQ229" t="s">
        <v>2129</v>
      </c>
      <c r="CR229" t="s">
        <v>2129</v>
      </c>
      <c r="CS229" t="s">
        <v>2129</v>
      </c>
      <c r="CT229" t="s">
        <v>4442</v>
      </c>
      <c r="CU229" t="s">
        <v>4425</v>
      </c>
      <c r="CV229" t="s">
        <v>2129</v>
      </c>
      <c r="CW229" t="s">
        <v>2129</v>
      </c>
      <c r="CX229" t="s">
        <v>2129</v>
      </c>
      <c r="CY229" t="s">
        <v>2129</v>
      </c>
      <c r="CZ229" t="s">
        <v>2129</v>
      </c>
      <c r="DA229" t="s">
        <v>2129</v>
      </c>
      <c r="DB229" t="s">
        <v>2129</v>
      </c>
      <c r="DC229" t="s">
        <v>2129</v>
      </c>
      <c r="DD229" t="s">
        <v>2129</v>
      </c>
      <c r="DE229" t="s">
        <v>2129</v>
      </c>
      <c r="DF229" t="s">
        <v>2129</v>
      </c>
      <c r="DG229" t="s">
        <v>2129</v>
      </c>
      <c r="DH229" t="s">
        <v>2129</v>
      </c>
      <c r="DI229">
        <v>30</v>
      </c>
      <c r="DJ229" t="s">
        <v>2129</v>
      </c>
      <c r="DK229" t="s">
        <v>2129</v>
      </c>
      <c r="DL229" t="s">
        <v>2129</v>
      </c>
      <c r="DM229" t="s">
        <v>2129</v>
      </c>
      <c r="DN229" t="s">
        <v>2129</v>
      </c>
      <c r="DO229" t="s">
        <v>2129</v>
      </c>
      <c r="DP229" t="s">
        <v>2129</v>
      </c>
      <c r="DQ229" t="s">
        <v>2129</v>
      </c>
      <c r="DR229" t="s">
        <v>2129</v>
      </c>
      <c r="DS229" t="s">
        <v>2129</v>
      </c>
      <c r="DT229" t="s">
        <v>2129</v>
      </c>
      <c r="DU229" t="s">
        <v>2129</v>
      </c>
      <c r="DV229" t="s">
        <v>2129</v>
      </c>
      <c r="DW229" t="s">
        <v>2129</v>
      </c>
      <c r="DX229" t="s">
        <v>2129</v>
      </c>
      <c r="DY229" t="s">
        <v>2129</v>
      </c>
      <c r="DZ229" t="s">
        <v>2129</v>
      </c>
      <c r="EA229" t="s">
        <v>2129</v>
      </c>
      <c r="EB229" t="s">
        <v>2129</v>
      </c>
      <c r="EC229" t="s">
        <v>2129</v>
      </c>
      <c r="ED229" t="s">
        <v>2129</v>
      </c>
      <c r="EE229" t="s">
        <v>2129</v>
      </c>
      <c r="EF229" t="s">
        <v>2129</v>
      </c>
      <c r="EG229" t="s">
        <v>2129</v>
      </c>
      <c r="EH229" t="s">
        <v>2129</v>
      </c>
    </row>
    <row r="230" spans="1:138" x14ac:dyDescent="0.25">
      <c r="A230" t="s">
        <v>2774</v>
      </c>
      <c r="B230" t="s">
        <v>2768</v>
      </c>
      <c r="C230">
        <v>22988</v>
      </c>
      <c r="E230" t="s">
        <v>14</v>
      </c>
      <c r="F230" t="s">
        <v>16</v>
      </c>
      <c r="G230" t="s">
        <v>12</v>
      </c>
      <c r="H230" t="s">
        <v>12</v>
      </c>
      <c r="I230" t="s">
        <v>2127</v>
      </c>
      <c r="J230" t="s">
        <v>2198</v>
      </c>
      <c r="K230" t="s">
        <v>2129</v>
      </c>
      <c r="L230" t="s">
        <v>2199</v>
      </c>
      <c r="M230" t="s">
        <v>2130</v>
      </c>
      <c r="N230" t="s">
        <v>16</v>
      </c>
      <c r="O230" t="s">
        <v>2150</v>
      </c>
      <c r="P230" t="s">
        <v>2198</v>
      </c>
      <c r="Q230" t="s">
        <v>2198</v>
      </c>
      <c r="R230" s="37">
        <v>46072.507638888892</v>
      </c>
      <c r="S230" s="37">
        <v>46094.550694444442</v>
      </c>
      <c r="T230" s="37">
        <v>46087.727777777778</v>
      </c>
      <c r="U230" s="37">
        <v>46094.550694444442</v>
      </c>
      <c r="V230" t="s">
        <v>2129</v>
      </c>
      <c r="W230" t="s">
        <v>2129</v>
      </c>
      <c r="X230" t="s">
        <v>2129</v>
      </c>
      <c r="Y230">
        <v>0</v>
      </c>
      <c r="Z230" t="s">
        <v>2129</v>
      </c>
      <c r="AA230" t="s">
        <v>4443</v>
      </c>
      <c r="AB230" t="s">
        <v>2129</v>
      </c>
      <c r="AC230" t="s">
        <v>2198</v>
      </c>
      <c r="AD230" t="s">
        <v>2129</v>
      </c>
      <c r="AE230" t="s">
        <v>2129</v>
      </c>
      <c r="AF230" t="s">
        <v>2129</v>
      </c>
      <c r="AG230" t="s">
        <v>2129</v>
      </c>
      <c r="AH230" t="s">
        <v>4444</v>
      </c>
      <c r="AI230" t="s">
        <v>2129</v>
      </c>
      <c r="AJ230" t="s">
        <v>2129</v>
      </c>
      <c r="AK230" t="s">
        <v>2129</v>
      </c>
      <c r="AL230" t="s">
        <v>2129</v>
      </c>
      <c r="AM230" t="s">
        <v>2129</v>
      </c>
      <c r="AN230" t="s">
        <v>2129</v>
      </c>
      <c r="AO230" t="s">
        <v>2129</v>
      </c>
      <c r="AP230" t="s">
        <v>2129</v>
      </c>
      <c r="AQ230" t="s">
        <v>2129</v>
      </c>
      <c r="AR230" t="s">
        <v>2129</v>
      </c>
      <c r="AS230" t="s">
        <v>2129</v>
      </c>
      <c r="AT230" t="s">
        <v>2129</v>
      </c>
      <c r="AU230" t="s">
        <v>2129</v>
      </c>
      <c r="AV230" t="s">
        <v>2129</v>
      </c>
      <c r="AW230" t="s">
        <v>2129</v>
      </c>
      <c r="AX230" t="s">
        <v>2129</v>
      </c>
      <c r="AY230" t="s">
        <v>2129</v>
      </c>
      <c r="AZ230" t="s">
        <v>2129</v>
      </c>
      <c r="BA230" t="s">
        <v>2129</v>
      </c>
      <c r="BB230" t="s">
        <v>2129</v>
      </c>
      <c r="BC230" t="s">
        <v>2129</v>
      </c>
      <c r="BD230" t="s">
        <v>2129</v>
      </c>
      <c r="BE230" t="s">
        <v>2129</v>
      </c>
      <c r="BF230" t="s">
        <v>2129</v>
      </c>
      <c r="BG230" t="s">
        <v>2129</v>
      </c>
      <c r="BH230" t="s">
        <v>2129</v>
      </c>
      <c r="BI230" t="s">
        <v>2129</v>
      </c>
      <c r="BJ230" t="s">
        <v>2129</v>
      </c>
      <c r="BK230" t="s">
        <v>2129</v>
      </c>
      <c r="BL230" t="s">
        <v>2129</v>
      </c>
      <c r="BM230" t="s">
        <v>2129</v>
      </c>
      <c r="BN230" t="s">
        <v>2129</v>
      </c>
      <c r="BO230" t="s">
        <v>2129</v>
      </c>
      <c r="BP230" t="s">
        <v>2129</v>
      </c>
      <c r="BQ230">
        <v>0</v>
      </c>
      <c r="BR230">
        <v>7200</v>
      </c>
      <c r="BS230" t="s">
        <v>2129</v>
      </c>
      <c r="BT230" t="s">
        <v>2129</v>
      </c>
      <c r="BU230">
        <v>0</v>
      </c>
      <c r="BV230">
        <v>7200</v>
      </c>
      <c r="BW230" t="s">
        <v>2129</v>
      </c>
      <c r="BX230" t="s">
        <v>2129</v>
      </c>
      <c r="BY230" t="s">
        <v>2129</v>
      </c>
      <c r="BZ230" t="s">
        <v>4445</v>
      </c>
      <c r="CA230" t="s">
        <v>2129</v>
      </c>
      <c r="CB230" t="s">
        <v>2129</v>
      </c>
      <c r="CC230" t="s">
        <v>2129</v>
      </c>
      <c r="CD230" t="s">
        <v>2129</v>
      </c>
      <c r="CE230" t="s">
        <v>2129</v>
      </c>
      <c r="CF230" t="s">
        <v>2129</v>
      </c>
      <c r="CG230" t="s">
        <v>2129</v>
      </c>
      <c r="CH230" t="s">
        <v>2129</v>
      </c>
      <c r="CI230" t="s">
        <v>2129</v>
      </c>
      <c r="CJ230" t="s">
        <v>2129</v>
      </c>
      <c r="CK230" t="s">
        <v>2129</v>
      </c>
      <c r="CL230" t="s">
        <v>2129</v>
      </c>
      <c r="CM230" t="s">
        <v>2801</v>
      </c>
      <c r="CN230" t="s">
        <v>2129</v>
      </c>
      <c r="CO230" t="s">
        <v>2129</v>
      </c>
      <c r="CP230" t="s">
        <v>2129</v>
      </c>
      <c r="CQ230" t="s">
        <v>2129</v>
      </c>
      <c r="CR230" t="s">
        <v>2129</v>
      </c>
      <c r="CS230" t="s">
        <v>2129</v>
      </c>
      <c r="CT230" t="s">
        <v>4446</v>
      </c>
      <c r="CU230" t="s">
        <v>4425</v>
      </c>
      <c r="CV230" t="s">
        <v>2129</v>
      </c>
      <c r="CW230" t="s">
        <v>2129</v>
      </c>
      <c r="CX230" t="s">
        <v>2129</v>
      </c>
      <c r="CY230" t="s">
        <v>2129</v>
      </c>
      <c r="CZ230" t="s">
        <v>2129</v>
      </c>
      <c r="DA230" t="s">
        <v>2129</v>
      </c>
      <c r="DB230" t="s">
        <v>2129</v>
      </c>
      <c r="DC230" t="s">
        <v>2129</v>
      </c>
      <c r="DD230" t="s">
        <v>2129</v>
      </c>
      <c r="DE230" t="s">
        <v>2129</v>
      </c>
      <c r="DF230" t="s">
        <v>2129</v>
      </c>
      <c r="DG230" t="s">
        <v>2129</v>
      </c>
      <c r="DH230" t="s">
        <v>2129</v>
      </c>
      <c r="DI230">
        <v>50</v>
      </c>
      <c r="DJ230" t="s">
        <v>2129</v>
      </c>
      <c r="DK230" t="s">
        <v>2129</v>
      </c>
      <c r="DL230" t="s">
        <v>2129</v>
      </c>
      <c r="DM230" t="s">
        <v>2129</v>
      </c>
      <c r="DN230" t="s">
        <v>2129</v>
      </c>
      <c r="DO230" t="s">
        <v>2129</v>
      </c>
      <c r="DP230" t="s">
        <v>2129</v>
      </c>
      <c r="DQ230" t="s">
        <v>2129</v>
      </c>
      <c r="DR230" t="s">
        <v>2129</v>
      </c>
      <c r="DS230" t="s">
        <v>2129</v>
      </c>
      <c r="DT230" t="s">
        <v>2129</v>
      </c>
      <c r="DU230" t="s">
        <v>2129</v>
      </c>
      <c r="DV230" t="s">
        <v>2129</v>
      </c>
      <c r="DW230" t="s">
        <v>2129</v>
      </c>
      <c r="DX230" t="s">
        <v>2129</v>
      </c>
      <c r="DY230" t="s">
        <v>2129</v>
      </c>
      <c r="DZ230" t="s">
        <v>2129</v>
      </c>
      <c r="EA230" t="s">
        <v>2129</v>
      </c>
      <c r="EB230" t="s">
        <v>2129</v>
      </c>
      <c r="EC230" t="s">
        <v>2129</v>
      </c>
      <c r="ED230" t="s">
        <v>2129</v>
      </c>
      <c r="EE230" t="s">
        <v>2129</v>
      </c>
      <c r="EF230" t="s">
        <v>2129</v>
      </c>
      <c r="EG230" t="s">
        <v>2129</v>
      </c>
      <c r="EH230" t="s">
        <v>2129</v>
      </c>
    </row>
    <row r="231" spans="1:138" x14ac:dyDescent="0.25">
      <c r="A231" t="s">
        <v>2830</v>
      </c>
      <c r="B231" t="s">
        <v>2831</v>
      </c>
      <c r="C231">
        <v>22987</v>
      </c>
      <c r="E231" t="s">
        <v>14</v>
      </c>
      <c r="F231" t="s">
        <v>27</v>
      </c>
      <c r="G231" t="s">
        <v>12</v>
      </c>
      <c r="H231" t="s">
        <v>12</v>
      </c>
      <c r="I231" t="s">
        <v>2127</v>
      </c>
      <c r="J231" t="s">
        <v>2198</v>
      </c>
      <c r="K231" t="s">
        <v>2129</v>
      </c>
      <c r="L231" t="s">
        <v>2199</v>
      </c>
      <c r="M231" t="s">
        <v>2130</v>
      </c>
      <c r="N231" t="s">
        <v>2129</v>
      </c>
      <c r="O231" t="s">
        <v>2150</v>
      </c>
      <c r="P231" t="s">
        <v>2198</v>
      </c>
      <c r="Q231" t="s">
        <v>2198</v>
      </c>
      <c r="R231" s="37">
        <v>46072.493750000001</v>
      </c>
      <c r="S231" s="37">
        <v>46098.636111111111</v>
      </c>
      <c r="T231" s="37">
        <v>46100.368750000001</v>
      </c>
      <c r="U231" s="37"/>
      <c r="V231" t="s">
        <v>2129</v>
      </c>
      <c r="W231" t="s">
        <v>2129</v>
      </c>
      <c r="X231" t="s">
        <v>2129</v>
      </c>
      <c r="Y231">
        <v>0</v>
      </c>
      <c r="Z231" t="s">
        <v>2129</v>
      </c>
      <c r="AA231" t="s">
        <v>4447</v>
      </c>
      <c r="AB231" t="s">
        <v>2129</v>
      </c>
      <c r="AC231" t="s">
        <v>2200</v>
      </c>
      <c r="AD231" t="s">
        <v>2198</v>
      </c>
      <c r="AE231" t="s">
        <v>2129</v>
      </c>
      <c r="AF231" t="s">
        <v>2129</v>
      </c>
      <c r="AG231" t="s">
        <v>2129</v>
      </c>
      <c r="AH231" t="s">
        <v>4448</v>
      </c>
      <c r="AI231" t="s">
        <v>2129</v>
      </c>
      <c r="AJ231" t="s">
        <v>2129</v>
      </c>
      <c r="AK231" t="s">
        <v>2129</v>
      </c>
      <c r="AL231" t="s">
        <v>2129</v>
      </c>
      <c r="AM231" t="s">
        <v>2129</v>
      </c>
      <c r="AN231" t="s">
        <v>2129</v>
      </c>
      <c r="AO231" t="s">
        <v>2129</v>
      </c>
      <c r="AP231" t="s">
        <v>2129</v>
      </c>
      <c r="AQ231" t="s">
        <v>2129</v>
      </c>
      <c r="AR231" t="s">
        <v>2129</v>
      </c>
      <c r="AS231" t="s">
        <v>2129</v>
      </c>
      <c r="AT231" t="s">
        <v>2129</v>
      </c>
      <c r="AU231" t="s">
        <v>2129</v>
      </c>
      <c r="AV231" t="s">
        <v>2129</v>
      </c>
      <c r="AW231" t="s">
        <v>2129</v>
      </c>
      <c r="AX231" t="s">
        <v>2129</v>
      </c>
      <c r="AY231" t="s">
        <v>2129</v>
      </c>
      <c r="AZ231" t="s">
        <v>2129</v>
      </c>
      <c r="BA231" t="s">
        <v>2129</v>
      </c>
      <c r="BB231" t="s">
        <v>2129</v>
      </c>
      <c r="BC231" t="s">
        <v>2129</v>
      </c>
      <c r="BD231" t="s">
        <v>2129</v>
      </c>
      <c r="BE231" t="s">
        <v>2129</v>
      </c>
      <c r="BF231" t="s">
        <v>2129</v>
      </c>
      <c r="BG231" t="s">
        <v>2129</v>
      </c>
      <c r="BH231" t="s">
        <v>2129</v>
      </c>
      <c r="BI231" t="s">
        <v>2129</v>
      </c>
      <c r="BJ231" t="s">
        <v>2129</v>
      </c>
      <c r="BK231" t="s">
        <v>2129</v>
      </c>
      <c r="BL231" t="s">
        <v>2129</v>
      </c>
      <c r="BM231" t="s">
        <v>2129</v>
      </c>
      <c r="BN231" t="s">
        <v>2129</v>
      </c>
      <c r="BO231" t="s">
        <v>2129</v>
      </c>
      <c r="BP231" t="s">
        <v>2129</v>
      </c>
      <c r="BQ231">
        <v>0</v>
      </c>
      <c r="BR231">
        <v>3600</v>
      </c>
      <c r="BS231" t="s">
        <v>2129</v>
      </c>
      <c r="BT231" t="s">
        <v>2129</v>
      </c>
      <c r="BU231">
        <v>0</v>
      </c>
      <c r="BV231">
        <v>3600</v>
      </c>
      <c r="BW231" t="s">
        <v>2129</v>
      </c>
      <c r="BX231" t="s">
        <v>2129</v>
      </c>
      <c r="BY231" t="s">
        <v>2129</v>
      </c>
      <c r="BZ231" t="s">
        <v>2129</v>
      </c>
      <c r="CA231" t="s">
        <v>2129</v>
      </c>
      <c r="CB231" t="s">
        <v>2129</v>
      </c>
      <c r="CC231" t="s">
        <v>2129</v>
      </c>
      <c r="CD231" t="s">
        <v>2129</v>
      </c>
      <c r="CE231" t="s">
        <v>2129</v>
      </c>
      <c r="CF231" t="s">
        <v>2129</v>
      </c>
      <c r="CG231" t="s">
        <v>2129</v>
      </c>
      <c r="CH231" t="s">
        <v>2129</v>
      </c>
      <c r="CI231" t="s">
        <v>2129</v>
      </c>
      <c r="CJ231" t="s">
        <v>2129</v>
      </c>
      <c r="CK231" t="s">
        <v>2129</v>
      </c>
      <c r="CL231" t="s">
        <v>2129</v>
      </c>
      <c r="CM231" t="s">
        <v>2129</v>
      </c>
      <c r="CN231" t="s">
        <v>2129</v>
      </c>
      <c r="CO231" t="s">
        <v>2129</v>
      </c>
      <c r="CP231" t="s">
        <v>2129</v>
      </c>
      <c r="CQ231" t="s">
        <v>2129</v>
      </c>
      <c r="CR231" t="s">
        <v>2129</v>
      </c>
      <c r="CS231" t="s">
        <v>2129</v>
      </c>
      <c r="CT231" t="s">
        <v>4449</v>
      </c>
      <c r="CU231" t="s">
        <v>4425</v>
      </c>
      <c r="CV231" t="s">
        <v>2129</v>
      </c>
      <c r="CW231" t="s">
        <v>2129</v>
      </c>
      <c r="CX231" t="s">
        <v>2129</v>
      </c>
      <c r="CY231" t="s">
        <v>2129</v>
      </c>
      <c r="CZ231" t="s">
        <v>2129</v>
      </c>
      <c r="DA231" t="s">
        <v>2129</v>
      </c>
      <c r="DB231" t="s">
        <v>2129</v>
      </c>
      <c r="DC231" t="s">
        <v>2129</v>
      </c>
      <c r="DD231" t="s">
        <v>2129</v>
      </c>
      <c r="DE231" t="s">
        <v>2129</v>
      </c>
      <c r="DF231" t="s">
        <v>2129</v>
      </c>
      <c r="DG231" t="s">
        <v>2129</v>
      </c>
      <c r="DH231" t="s">
        <v>2129</v>
      </c>
      <c r="DI231">
        <v>20</v>
      </c>
      <c r="DJ231" t="s">
        <v>2129</v>
      </c>
      <c r="DK231" t="s">
        <v>2129</v>
      </c>
      <c r="DL231" t="s">
        <v>4450</v>
      </c>
      <c r="DM231" t="s">
        <v>4451</v>
      </c>
      <c r="DN231" t="s">
        <v>4452</v>
      </c>
      <c r="DO231" t="s">
        <v>2129</v>
      </c>
      <c r="DP231" t="s">
        <v>2129</v>
      </c>
      <c r="DQ231" t="s">
        <v>2129</v>
      </c>
      <c r="DR231" t="s">
        <v>2129</v>
      </c>
      <c r="DS231" t="s">
        <v>2129</v>
      </c>
      <c r="DT231" t="s">
        <v>2129</v>
      </c>
      <c r="DU231" t="s">
        <v>2129</v>
      </c>
      <c r="DV231" t="s">
        <v>2129</v>
      </c>
      <c r="DW231" t="s">
        <v>2129</v>
      </c>
      <c r="DX231" t="s">
        <v>2129</v>
      </c>
      <c r="DY231" t="s">
        <v>2129</v>
      </c>
      <c r="DZ231" t="s">
        <v>2129</v>
      </c>
      <c r="EA231" t="s">
        <v>2129</v>
      </c>
      <c r="EB231" t="s">
        <v>2129</v>
      </c>
      <c r="EC231" t="s">
        <v>2129</v>
      </c>
      <c r="ED231" t="s">
        <v>2129</v>
      </c>
      <c r="EE231" t="s">
        <v>2129</v>
      </c>
      <c r="EF231" t="s">
        <v>2129</v>
      </c>
      <c r="EG231" t="s">
        <v>2129</v>
      </c>
      <c r="EH231" t="s">
        <v>2129</v>
      </c>
    </row>
    <row r="232" spans="1:138" x14ac:dyDescent="0.25">
      <c r="A232" t="s">
        <v>2776</v>
      </c>
      <c r="B232" t="s">
        <v>2770</v>
      </c>
      <c r="C232">
        <v>22980</v>
      </c>
      <c r="E232" t="s">
        <v>14</v>
      </c>
      <c r="F232" t="s">
        <v>27</v>
      </c>
      <c r="G232" t="s">
        <v>12</v>
      </c>
      <c r="H232" t="s">
        <v>12</v>
      </c>
      <c r="I232" t="s">
        <v>2127</v>
      </c>
      <c r="J232" t="s">
        <v>2198</v>
      </c>
      <c r="K232" t="s">
        <v>2129</v>
      </c>
      <c r="L232" t="s">
        <v>2199</v>
      </c>
      <c r="M232" t="s">
        <v>2130</v>
      </c>
      <c r="N232" t="s">
        <v>2129</v>
      </c>
      <c r="O232" t="s">
        <v>2150</v>
      </c>
      <c r="P232" t="s">
        <v>2198</v>
      </c>
      <c r="Q232" t="s">
        <v>2198</v>
      </c>
      <c r="R232" s="37">
        <v>46071.40347222222</v>
      </c>
      <c r="S232" s="37">
        <v>46090.37222222222</v>
      </c>
      <c r="T232" s="37">
        <v>46100.368750000001</v>
      </c>
      <c r="U232" s="37"/>
      <c r="V232" t="s">
        <v>2129</v>
      </c>
      <c r="W232" t="s">
        <v>2129</v>
      </c>
      <c r="X232" t="s">
        <v>2129</v>
      </c>
      <c r="Y232">
        <v>0</v>
      </c>
      <c r="Z232" t="s">
        <v>2129</v>
      </c>
      <c r="AA232" t="s">
        <v>3130</v>
      </c>
      <c r="AB232" t="s">
        <v>2129</v>
      </c>
      <c r="AC232" t="s">
        <v>2198</v>
      </c>
      <c r="AD232" t="s">
        <v>2129</v>
      </c>
      <c r="AE232" t="s">
        <v>2129</v>
      </c>
      <c r="AF232" t="s">
        <v>2129</v>
      </c>
      <c r="AG232" t="s">
        <v>2129</v>
      </c>
      <c r="AH232" t="s">
        <v>3131</v>
      </c>
      <c r="AI232" t="s">
        <v>2129</v>
      </c>
      <c r="AJ232" t="s">
        <v>2129</v>
      </c>
      <c r="AK232" t="s">
        <v>2129</v>
      </c>
      <c r="AL232" t="s">
        <v>2129</v>
      </c>
      <c r="AM232" t="s">
        <v>2129</v>
      </c>
      <c r="AN232" t="s">
        <v>2129</v>
      </c>
      <c r="AO232" t="s">
        <v>2129</v>
      </c>
      <c r="AP232" t="s">
        <v>2129</v>
      </c>
      <c r="AQ232" t="s">
        <v>2129</v>
      </c>
      <c r="AR232" t="s">
        <v>2129</v>
      </c>
      <c r="AS232" t="s">
        <v>2129</v>
      </c>
      <c r="AT232" t="s">
        <v>2129</v>
      </c>
      <c r="AU232" t="s">
        <v>2129</v>
      </c>
      <c r="AV232" t="s">
        <v>2129</v>
      </c>
      <c r="AW232" t="s">
        <v>2129</v>
      </c>
      <c r="AX232" t="s">
        <v>2129</v>
      </c>
      <c r="AY232" t="s">
        <v>2129</v>
      </c>
      <c r="AZ232" t="s">
        <v>2129</v>
      </c>
      <c r="BA232" t="s">
        <v>2129</v>
      </c>
      <c r="BB232" t="s">
        <v>2129</v>
      </c>
      <c r="BC232" t="s">
        <v>2129</v>
      </c>
      <c r="BD232" t="s">
        <v>2129</v>
      </c>
      <c r="BE232" t="s">
        <v>2129</v>
      </c>
      <c r="BF232" t="s">
        <v>2129</v>
      </c>
      <c r="BG232" t="s">
        <v>2129</v>
      </c>
      <c r="BH232" t="s">
        <v>2129</v>
      </c>
      <c r="BI232" t="s">
        <v>2129</v>
      </c>
      <c r="BJ232" t="s">
        <v>2129</v>
      </c>
      <c r="BK232" t="s">
        <v>2129</v>
      </c>
      <c r="BL232" t="s">
        <v>2129</v>
      </c>
      <c r="BM232" t="s">
        <v>2129</v>
      </c>
      <c r="BN232" t="s">
        <v>2129</v>
      </c>
      <c r="BO232" t="s">
        <v>2129</v>
      </c>
      <c r="BP232" t="s">
        <v>2129</v>
      </c>
      <c r="BQ232">
        <v>0</v>
      </c>
      <c r="BR232">
        <v>7200</v>
      </c>
      <c r="BS232" t="s">
        <v>2129</v>
      </c>
      <c r="BT232" t="s">
        <v>2129</v>
      </c>
      <c r="BU232">
        <v>0</v>
      </c>
      <c r="BV232">
        <v>7200</v>
      </c>
      <c r="BW232" t="s">
        <v>2129</v>
      </c>
      <c r="BX232" t="s">
        <v>2129</v>
      </c>
      <c r="BY232" t="s">
        <v>2129</v>
      </c>
      <c r="BZ232" t="s">
        <v>2129</v>
      </c>
      <c r="CA232" t="s">
        <v>2129</v>
      </c>
      <c r="CB232" t="s">
        <v>2129</v>
      </c>
      <c r="CC232" t="s">
        <v>2129</v>
      </c>
      <c r="CD232" t="s">
        <v>2129</v>
      </c>
      <c r="CE232" t="s">
        <v>2129</v>
      </c>
      <c r="CF232" t="s">
        <v>2129</v>
      </c>
      <c r="CG232" t="s">
        <v>2129</v>
      </c>
      <c r="CH232" t="s">
        <v>2129</v>
      </c>
      <c r="CI232" t="s">
        <v>2129</v>
      </c>
      <c r="CJ232" t="s">
        <v>2129</v>
      </c>
      <c r="CK232" t="s">
        <v>2129</v>
      </c>
      <c r="CL232" t="s">
        <v>2129</v>
      </c>
      <c r="CM232" t="s">
        <v>2129</v>
      </c>
      <c r="CN232" t="s">
        <v>2129</v>
      </c>
      <c r="CO232" t="s">
        <v>2129</v>
      </c>
      <c r="CP232" t="s">
        <v>2129</v>
      </c>
      <c r="CQ232" t="s">
        <v>2129</v>
      </c>
      <c r="CR232" t="s">
        <v>2129</v>
      </c>
      <c r="CS232" t="s">
        <v>2129</v>
      </c>
      <c r="CT232" t="s">
        <v>4453</v>
      </c>
      <c r="CU232" t="s">
        <v>4425</v>
      </c>
      <c r="CV232" t="s">
        <v>2129</v>
      </c>
      <c r="CW232" t="s">
        <v>2129</v>
      </c>
      <c r="CX232" t="s">
        <v>2129</v>
      </c>
      <c r="CY232" t="s">
        <v>2129</v>
      </c>
      <c r="CZ232" t="s">
        <v>2129</v>
      </c>
      <c r="DA232" t="s">
        <v>2129</v>
      </c>
      <c r="DB232" t="s">
        <v>2129</v>
      </c>
      <c r="DC232" t="s">
        <v>2129</v>
      </c>
      <c r="DD232" t="s">
        <v>2129</v>
      </c>
      <c r="DE232" t="s">
        <v>2129</v>
      </c>
      <c r="DF232" t="s">
        <v>2129</v>
      </c>
      <c r="DG232" t="s">
        <v>2129</v>
      </c>
      <c r="DH232" t="s">
        <v>2129</v>
      </c>
      <c r="DI232">
        <v>30</v>
      </c>
      <c r="DJ232" t="s">
        <v>2129</v>
      </c>
      <c r="DK232" t="s">
        <v>2129</v>
      </c>
      <c r="DL232" t="s">
        <v>2129</v>
      </c>
      <c r="DM232" t="s">
        <v>2129</v>
      </c>
      <c r="DN232" t="s">
        <v>2129</v>
      </c>
      <c r="DO232" t="s">
        <v>2129</v>
      </c>
      <c r="DP232" t="s">
        <v>2129</v>
      </c>
      <c r="DQ232" t="s">
        <v>2129</v>
      </c>
      <c r="DR232" t="s">
        <v>2129</v>
      </c>
      <c r="DS232" t="s">
        <v>2129</v>
      </c>
      <c r="DT232" t="s">
        <v>2129</v>
      </c>
      <c r="DU232" t="s">
        <v>2129</v>
      </c>
      <c r="DV232" t="s">
        <v>2129</v>
      </c>
      <c r="DW232" t="s">
        <v>2129</v>
      </c>
      <c r="DX232" t="s">
        <v>2129</v>
      </c>
      <c r="DY232" t="s">
        <v>2129</v>
      </c>
      <c r="DZ232" t="s">
        <v>2129</v>
      </c>
      <c r="EA232" t="s">
        <v>2129</v>
      </c>
      <c r="EB232" t="s">
        <v>2129</v>
      </c>
      <c r="EC232" t="s">
        <v>2129</v>
      </c>
      <c r="ED232" t="s">
        <v>2129</v>
      </c>
      <c r="EE232" t="s">
        <v>2129</v>
      </c>
      <c r="EF232" t="s">
        <v>2129</v>
      </c>
      <c r="EG232" t="s">
        <v>2129</v>
      </c>
      <c r="EH232" t="s">
        <v>2129</v>
      </c>
    </row>
    <row r="233" spans="1:138" x14ac:dyDescent="0.25">
      <c r="A233" t="s">
        <v>2868</v>
      </c>
      <c r="B233" t="s">
        <v>2867</v>
      </c>
      <c r="C233">
        <v>22971</v>
      </c>
      <c r="E233" t="s">
        <v>14</v>
      </c>
      <c r="F233" t="s">
        <v>26</v>
      </c>
      <c r="G233" t="s">
        <v>12</v>
      </c>
      <c r="H233" t="s">
        <v>12</v>
      </c>
      <c r="I233" t="s">
        <v>2127</v>
      </c>
      <c r="J233" t="s">
        <v>2198</v>
      </c>
      <c r="K233" t="s">
        <v>2129</v>
      </c>
      <c r="L233" t="s">
        <v>2199</v>
      </c>
      <c r="M233" t="s">
        <v>2130</v>
      </c>
      <c r="N233" t="s">
        <v>2129</v>
      </c>
      <c r="O233" t="s">
        <v>2200</v>
      </c>
      <c r="P233" t="s">
        <v>2198</v>
      </c>
      <c r="Q233" t="s">
        <v>2198</v>
      </c>
      <c r="R233" s="37">
        <v>46065.674305555556</v>
      </c>
      <c r="S233" s="37">
        <v>46092.700694444444</v>
      </c>
      <c r="T233" s="37">
        <v>46100.368750000001</v>
      </c>
      <c r="U233" s="37"/>
      <c r="V233" t="s">
        <v>2129</v>
      </c>
      <c r="W233" t="s">
        <v>2129</v>
      </c>
      <c r="X233" t="s">
        <v>2129</v>
      </c>
      <c r="Y233">
        <v>0</v>
      </c>
      <c r="Z233" t="s">
        <v>2129</v>
      </c>
      <c r="AA233" t="s">
        <v>4454</v>
      </c>
      <c r="AB233" t="s">
        <v>2129</v>
      </c>
      <c r="AC233" t="s">
        <v>2198</v>
      </c>
      <c r="AD233" t="s">
        <v>2129</v>
      </c>
      <c r="AE233" t="s">
        <v>2129</v>
      </c>
      <c r="AF233" t="s">
        <v>2129</v>
      </c>
      <c r="AG233" t="s">
        <v>2129</v>
      </c>
      <c r="AH233" t="s">
        <v>2129</v>
      </c>
      <c r="AI233" t="s">
        <v>2129</v>
      </c>
      <c r="AJ233" t="s">
        <v>2129</v>
      </c>
      <c r="AK233" t="s">
        <v>2129</v>
      </c>
      <c r="AL233" t="s">
        <v>2129</v>
      </c>
      <c r="AM233" t="s">
        <v>2129</v>
      </c>
      <c r="AN233" t="s">
        <v>2129</v>
      </c>
      <c r="AO233" t="s">
        <v>2129</v>
      </c>
      <c r="AP233" t="s">
        <v>2129</v>
      </c>
      <c r="AQ233" t="s">
        <v>2129</v>
      </c>
      <c r="AR233" t="s">
        <v>2129</v>
      </c>
      <c r="AS233" t="s">
        <v>2129</v>
      </c>
      <c r="AT233" t="s">
        <v>2129</v>
      </c>
      <c r="AU233" t="s">
        <v>2129</v>
      </c>
      <c r="AV233" t="s">
        <v>2129</v>
      </c>
      <c r="AW233" t="s">
        <v>2129</v>
      </c>
      <c r="AX233" t="s">
        <v>2129</v>
      </c>
      <c r="AY233" t="s">
        <v>2129</v>
      </c>
      <c r="AZ233" t="s">
        <v>2129</v>
      </c>
      <c r="BA233" t="s">
        <v>2129</v>
      </c>
      <c r="BB233" t="s">
        <v>2129</v>
      </c>
      <c r="BC233" t="s">
        <v>2129</v>
      </c>
      <c r="BD233" t="s">
        <v>2129</v>
      </c>
      <c r="BE233" t="s">
        <v>2129</v>
      </c>
      <c r="BF233" t="s">
        <v>2129</v>
      </c>
      <c r="BG233" t="s">
        <v>2129</v>
      </c>
      <c r="BH233" t="s">
        <v>2129</v>
      </c>
      <c r="BI233" t="s">
        <v>2129</v>
      </c>
      <c r="BJ233" t="s">
        <v>2129</v>
      </c>
      <c r="BK233" t="s">
        <v>2129</v>
      </c>
      <c r="BL233" t="s">
        <v>2129</v>
      </c>
      <c r="BM233" t="s">
        <v>2129</v>
      </c>
      <c r="BN233" t="s">
        <v>2129</v>
      </c>
      <c r="BO233" t="s">
        <v>2129</v>
      </c>
      <c r="BP233" t="s">
        <v>2129</v>
      </c>
      <c r="BS233" t="s">
        <v>2129</v>
      </c>
      <c r="BT233" t="s">
        <v>2129</v>
      </c>
      <c r="BW233" t="s">
        <v>2129</v>
      </c>
      <c r="BX233" t="s">
        <v>2129</v>
      </c>
      <c r="BY233" t="s">
        <v>2129</v>
      </c>
      <c r="BZ233" t="s">
        <v>2129</v>
      </c>
      <c r="CA233" t="s">
        <v>2129</v>
      </c>
      <c r="CB233" t="s">
        <v>2129</v>
      </c>
      <c r="CC233" t="s">
        <v>2129</v>
      </c>
      <c r="CD233" t="s">
        <v>2129</v>
      </c>
      <c r="CE233" t="s">
        <v>2129</v>
      </c>
      <c r="CF233" t="s">
        <v>2129</v>
      </c>
      <c r="CG233" t="s">
        <v>2129</v>
      </c>
      <c r="CH233" t="s">
        <v>2129</v>
      </c>
      <c r="CI233" t="s">
        <v>2129</v>
      </c>
      <c r="CJ233" t="s">
        <v>2129</v>
      </c>
      <c r="CK233" t="s">
        <v>2129</v>
      </c>
      <c r="CL233" t="s">
        <v>2129</v>
      </c>
      <c r="CM233" t="s">
        <v>2129</v>
      </c>
      <c r="CN233" t="s">
        <v>2129</v>
      </c>
      <c r="CO233" t="s">
        <v>2129</v>
      </c>
      <c r="CP233" t="s">
        <v>2129</v>
      </c>
      <c r="CQ233" t="s">
        <v>2129</v>
      </c>
      <c r="CR233" t="s">
        <v>2129</v>
      </c>
      <c r="CS233" t="s">
        <v>2129</v>
      </c>
      <c r="CT233" t="s">
        <v>4455</v>
      </c>
      <c r="CU233" t="s">
        <v>4425</v>
      </c>
      <c r="CV233" t="s">
        <v>2129</v>
      </c>
      <c r="CW233" t="s">
        <v>2129</v>
      </c>
      <c r="CX233" t="s">
        <v>2129</v>
      </c>
      <c r="CY233" t="s">
        <v>2129</v>
      </c>
      <c r="CZ233" t="s">
        <v>2129</v>
      </c>
      <c r="DA233" t="s">
        <v>2129</v>
      </c>
      <c r="DB233" t="s">
        <v>2129</v>
      </c>
      <c r="DC233" t="s">
        <v>2129</v>
      </c>
      <c r="DD233" t="s">
        <v>2129</v>
      </c>
      <c r="DE233" t="s">
        <v>2129</v>
      </c>
      <c r="DF233" t="s">
        <v>2129</v>
      </c>
      <c r="DG233" t="s">
        <v>2129</v>
      </c>
      <c r="DH233" t="s">
        <v>2129</v>
      </c>
      <c r="DI233">
        <v>50</v>
      </c>
      <c r="DJ233" t="s">
        <v>2129</v>
      </c>
      <c r="DK233" t="s">
        <v>2129</v>
      </c>
      <c r="DL233" t="s">
        <v>2129</v>
      </c>
      <c r="DM233" t="s">
        <v>2129</v>
      </c>
      <c r="DN233" t="s">
        <v>2129</v>
      </c>
      <c r="DO233" t="s">
        <v>2129</v>
      </c>
      <c r="DP233" t="s">
        <v>2129</v>
      </c>
      <c r="DQ233" t="s">
        <v>2129</v>
      </c>
      <c r="DR233" t="s">
        <v>2129</v>
      </c>
      <c r="DS233" t="s">
        <v>2129</v>
      </c>
      <c r="DT233" t="s">
        <v>2129</v>
      </c>
      <c r="DU233" t="s">
        <v>2129</v>
      </c>
      <c r="DV233" t="s">
        <v>2129</v>
      </c>
      <c r="DW233" t="s">
        <v>2129</v>
      </c>
      <c r="DX233" t="s">
        <v>2129</v>
      </c>
      <c r="DY233" t="s">
        <v>2129</v>
      </c>
      <c r="DZ233" t="s">
        <v>2129</v>
      </c>
      <c r="EA233" t="s">
        <v>2129</v>
      </c>
      <c r="EB233" t="s">
        <v>2129</v>
      </c>
      <c r="EC233" t="s">
        <v>2129</v>
      </c>
      <c r="ED233" t="s">
        <v>2129</v>
      </c>
      <c r="EE233" t="s">
        <v>2129</v>
      </c>
      <c r="EF233" t="s">
        <v>2129</v>
      </c>
      <c r="EG233" t="s">
        <v>2129</v>
      </c>
      <c r="EH233" t="s">
        <v>2129</v>
      </c>
    </row>
    <row r="234" spans="1:138" x14ac:dyDescent="0.25">
      <c r="A234" t="s">
        <v>2772</v>
      </c>
      <c r="B234" t="s">
        <v>2766</v>
      </c>
      <c r="C234">
        <v>22969</v>
      </c>
      <c r="E234" t="s">
        <v>14</v>
      </c>
      <c r="F234" t="s">
        <v>16</v>
      </c>
      <c r="G234" t="s">
        <v>12</v>
      </c>
      <c r="H234" t="s">
        <v>12</v>
      </c>
      <c r="I234" t="s">
        <v>2127</v>
      </c>
      <c r="J234" t="s">
        <v>2198</v>
      </c>
      <c r="K234" t="s">
        <v>2129</v>
      </c>
      <c r="L234" t="s">
        <v>2199</v>
      </c>
      <c r="M234" t="s">
        <v>2130</v>
      </c>
      <c r="N234" t="s">
        <v>16</v>
      </c>
      <c r="O234" t="s">
        <v>2150</v>
      </c>
      <c r="P234" t="s">
        <v>2198</v>
      </c>
      <c r="Q234" t="s">
        <v>2198</v>
      </c>
      <c r="R234" s="37">
        <v>46064.565972222219</v>
      </c>
      <c r="S234" s="37">
        <v>46092.372916666667</v>
      </c>
      <c r="T234" s="37">
        <v>46087.727777777778</v>
      </c>
      <c r="U234" s="37">
        <v>46090.603472222225</v>
      </c>
      <c r="V234" t="s">
        <v>4456</v>
      </c>
      <c r="W234" t="s">
        <v>2129</v>
      </c>
      <c r="X234" t="s">
        <v>2129</v>
      </c>
      <c r="Y234">
        <v>0</v>
      </c>
      <c r="Z234" t="s">
        <v>2129</v>
      </c>
      <c r="AA234" t="s">
        <v>4457</v>
      </c>
      <c r="AB234" t="s">
        <v>2129</v>
      </c>
      <c r="AC234" t="s">
        <v>2200</v>
      </c>
      <c r="AD234" t="s">
        <v>2198</v>
      </c>
      <c r="AE234" t="s">
        <v>2129</v>
      </c>
      <c r="AF234" t="s">
        <v>2129</v>
      </c>
      <c r="AG234" t="s">
        <v>2129</v>
      </c>
      <c r="AH234" t="s">
        <v>4458</v>
      </c>
      <c r="AI234" t="s">
        <v>2129</v>
      </c>
      <c r="AJ234" t="s">
        <v>2129</v>
      </c>
      <c r="AK234" t="s">
        <v>2129</v>
      </c>
      <c r="AL234" t="s">
        <v>2129</v>
      </c>
      <c r="AM234" t="s">
        <v>2129</v>
      </c>
      <c r="AN234" t="s">
        <v>2129</v>
      </c>
      <c r="AO234" t="s">
        <v>2129</v>
      </c>
      <c r="AP234" t="s">
        <v>2129</v>
      </c>
      <c r="AQ234" t="s">
        <v>2129</v>
      </c>
      <c r="AR234" t="s">
        <v>2129</v>
      </c>
      <c r="AS234" t="s">
        <v>2129</v>
      </c>
      <c r="AT234" t="s">
        <v>2129</v>
      </c>
      <c r="AU234" t="s">
        <v>2129</v>
      </c>
      <c r="AV234" t="s">
        <v>2129</v>
      </c>
      <c r="AW234" t="s">
        <v>2129</v>
      </c>
      <c r="AX234" t="s">
        <v>2129</v>
      </c>
      <c r="AY234" t="s">
        <v>2129</v>
      </c>
      <c r="AZ234" t="s">
        <v>2129</v>
      </c>
      <c r="BA234" t="s">
        <v>2129</v>
      </c>
      <c r="BB234" t="s">
        <v>2129</v>
      </c>
      <c r="BC234" t="s">
        <v>2129</v>
      </c>
      <c r="BD234" t="s">
        <v>2129</v>
      </c>
      <c r="BE234" t="s">
        <v>2129</v>
      </c>
      <c r="BF234" t="s">
        <v>2129</v>
      </c>
      <c r="BG234" t="s">
        <v>2129</v>
      </c>
      <c r="BH234" t="s">
        <v>2129</v>
      </c>
      <c r="BI234" t="s">
        <v>2129</v>
      </c>
      <c r="BJ234" t="s">
        <v>2129</v>
      </c>
      <c r="BK234" t="s">
        <v>2129</v>
      </c>
      <c r="BL234" t="s">
        <v>2129</v>
      </c>
      <c r="BM234" t="s">
        <v>2129</v>
      </c>
      <c r="BN234" t="s">
        <v>2129</v>
      </c>
      <c r="BO234" t="s">
        <v>2129</v>
      </c>
      <c r="BP234" t="s">
        <v>2129</v>
      </c>
      <c r="BQ234">
        <v>0</v>
      </c>
      <c r="BR234">
        <v>64800</v>
      </c>
      <c r="BS234" t="s">
        <v>2129</v>
      </c>
      <c r="BT234" t="s">
        <v>2129</v>
      </c>
      <c r="BU234">
        <v>0</v>
      </c>
      <c r="BV234">
        <v>64800</v>
      </c>
      <c r="BW234" t="s">
        <v>2129</v>
      </c>
      <c r="BX234" t="s">
        <v>2129</v>
      </c>
      <c r="BY234" t="s">
        <v>2129</v>
      </c>
      <c r="BZ234" t="s">
        <v>2129</v>
      </c>
      <c r="CA234" t="s">
        <v>2129</v>
      </c>
      <c r="CB234" t="s">
        <v>2129</v>
      </c>
      <c r="CC234" t="s">
        <v>2129</v>
      </c>
      <c r="CD234" t="s">
        <v>2129</v>
      </c>
      <c r="CE234" t="s">
        <v>2129</v>
      </c>
      <c r="CF234" t="s">
        <v>2129</v>
      </c>
      <c r="CG234" t="s">
        <v>2129</v>
      </c>
      <c r="CH234" t="s">
        <v>2129</v>
      </c>
      <c r="CI234" t="s">
        <v>2129</v>
      </c>
      <c r="CJ234" t="s">
        <v>2129</v>
      </c>
      <c r="CK234" t="s">
        <v>2129</v>
      </c>
      <c r="CL234" t="s">
        <v>2129</v>
      </c>
      <c r="CM234" t="s">
        <v>3683</v>
      </c>
      <c r="CN234" t="s">
        <v>2129</v>
      </c>
      <c r="CO234" t="s">
        <v>2129</v>
      </c>
      <c r="CP234" t="s">
        <v>2129</v>
      </c>
      <c r="CQ234" t="s">
        <v>2129</v>
      </c>
      <c r="CR234" t="s">
        <v>2129</v>
      </c>
      <c r="CS234" t="s">
        <v>2129</v>
      </c>
      <c r="CT234" t="s">
        <v>4459</v>
      </c>
      <c r="CU234" t="s">
        <v>4425</v>
      </c>
      <c r="CV234" t="s">
        <v>2129</v>
      </c>
      <c r="CW234" t="s">
        <v>2129</v>
      </c>
      <c r="CX234" t="s">
        <v>2129</v>
      </c>
      <c r="CY234" t="s">
        <v>2129</v>
      </c>
      <c r="CZ234" t="s">
        <v>2129</v>
      </c>
      <c r="DA234" t="s">
        <v>2129</v>
      </c>
      <c r="DB234" t="s">
        <v>2129</v>
      </c>
      <c r="DC234" t="s">
        <v>2129</v>
      </c>
      <c r="DD234" t="s">
        <v>2129</v>
      </c>
      <c r="DE234" t="s">
        <v>2129</v>
      </c>
      <c r="DF234" t="s">
        <v>2129</v>
      </c>
      <c r="DG234" t="s">
        <v>2129</v>
      </c>
      <c r="DH234" t="s">
        <v>2129</v>
      </c>
      <c r="DI234">
        <v>50</v>
      </c>
      <c r="DJ234" t="s">
        <v>2129</v>
      </c>
      <c r="DK234" t="s">
        <v>2129</v>
      </c>
      <c r="DL234" t="s">
        <v>4460</v>
      </c>
      <c r="DM234" t="s">
        <v>4461</v>
      </c>
      <c r="DN234" t="s">
        <v>2129</v>
      </c>
      <c r="DO234" t="s">
        <v>2129</v>
      </c>
      <c r="DP234" t="s">
        <v>2129</v>
      </c>
      <c r="DQ234" t="s">
        <v>2129</v>
      </c>
      <c r="DR234" t="s">
        <v>2129</v>
      </c>
      <c r="DS234" t="s">
        <v>2129</v>
      </c>
      <c r="DT234" t="s">
        <v>2129</v>
      </c>
      <c r="DU234" t="s">
        <v>2129</v>
      </c>
      <c r="DV234" t="s">
        <v>2129</v>
      </c>
      <c r="DW234" t="s">
        <v>2129</v>
      </c>
      <c r="DX234" t="s">
        <v>2129</v>
      </c>
      <c r="DY234" t="s">
        <v>2129</v>
      </c>
      <c r="DZ234" t="s">
        <v>2129</v>
      </c>
      <c r="EA234" t="s">
        <v>2129</v>
      </c>
      <c r="EB234" t="s">
        <v>2129</v>
      </c>
      <c r="EC234" t="s">
        <v>2129</v>
      </c>
      <c r="ED234" t="s">
        <v>2129</v>
      </c>
      <c r="EE234" t="s">
        <v>2129</v>
      </c>
      <c r="EF234" t="s">
        <v>2129</v>
      </c>
      <c r="EG234" t="s">
        <v>2129</v>
      </c>
      <c r="EH234" t="s">
        <v>2129</v>
      </c>
    </row>
    <row r="235" spans="1:138" x14ac:dyDescent="0.25">
      <c r="A235" t="s">
        <v>2864</v>
      </c>
      <c r="B235" t="s">
        <v>2863</v>
      </c>
      <c r="C235">
        <v>22966</v>
      </c>
      <c r="E235" t="s">
        <v>14</v>
      </c>
      <c r="F235" t="s">
        <v>16</v>
      </c>
      <c r="G235" t="s">
        <v>12</v>
      </c>
      <c r="H235" t="s">
        <v>12</v>
      </c>
      <c r="I235" t="s">
        <v>2127</v>
      </c>
      <c r="J235" t="s">
        <v>2198</v>
      </c>
      <c r="K235" t="s">
        <v>2129</v>
      </c>
      <c r="L235" t="s">
        <v>2199</v>
      </c>
      <c r="M235" t="s">
        <v>2130</v>
      </c>
      <c r="N235" t="s">
        <v>16</v>
      </c>
      <c r="O235" t="s">
        <v>2150</v>
      </c>
      <c r="P235" t="s">
        <v>2198</v>
      </c>
      <c r="Q235" t="s">
        <v>2198</v>
      </c>
      <c r="R235" s="37">
        <v>46063.588888888888</v>
      </c>
      <c r="S235" s="37">
        <v>46092.364583333336</v>
      </c>
      <c r="T235" s="37">
        <v>46100.368750000001</v>
      </c>
      <c r="U235" s="37">
        <v>46086.678472222222</v>
      </c>
      <c r="V235" t="s">
        <v>4456</v>
      </c>
      <c r="W235" t="s">
        <v>2129</v>
      </c>
      <c r="X235" t="s">
        <v>2129</v>
      </c>
      <c r="Y235">
        <v>0</v>
      </c>
      <c r="Z235" t="s">
        <v>2129</v>
      </c>
      <c r="AA235" t="s">
        <v>3132</v>
      </c>
      <c r="AB235" t="s">
        <v>2129</v>
      </c>
      <c r="AC235" t="s">
        <v>2200</v>
      </c>
      <c r="AD235" t="s">
        <v>2198</v>
      </c>
      <c r="AE235" t="s">
        <v>2129</v>
      </c>
      <c r="AF235" t="s">
        <v>2129</v>
      </c>
      <c r="AG235" t="s">
        <v>2129</v>
      </c>
      <c r="AH235" t="s">
        <v>3133</v>
      </c>
      <c r="AI235" t="s">
        <v>2129</v>
      </c>
      <c r="AJ235" t="s">
        <v>2129</v>
      </c>
      <c r="AK235" t="s">
        <v>2129</v>
      </c>
      <c r="AL235" t="s">
        <v>2129</v>
      </c>
      <c r="AM235" t="s">
        <v>2129</v>
      </c>
      <c r="AN235" t="s">
        <v>2129</v>
      </c>
      <c r="AO235" t="s">
        <v>2129</v>
      </c>
      <c r="AP235" t="s">
        <v>2129</v>
      </c>
      <c r="AQ235" t="s">
        <v>2129</v>
      </c>
      <c r="AR235" t="s">
        <v>2129</v>
      </c>
      <c r="AS235" t="s">
        <v>2129</v>
      </c>
      <c r="AT235" t="s">
        <v>2129</v>
      </c>
      <c r="AU235" t="s">
        <v>2129</v>
      </c>
      <c r="AV235" t="s">
        <v>2129</v>
      </c>
      <c r="AW235" t="s">
        <v>2129</v>
      </c>
      <c r="AX235" t="s">
        <v>2129</v>
      </c>
      <c r="AY235" t="s">
        <v>2129</v>
      </c>
      <c r="AZ235" t="s">
        <v>2129</v>
      </c>
      <c r="BA235" t="s">
        <v>2129</v>
      </c>
      <c r="BB235" t="s">
        <v>2129</v>
      </c>
      <c r="BC235" t="s">
        <v>2129</v>
      </c>
      <c r="BD235" t="s">
        <v>2129</v>
      </c>
      <c r="BE235" t="s">
        <v>2129</v>
      </c>
      <c r="BF235" t="s">
        <v>2129</v>
      </c>
      <c r="BG235" t="s">
        <v>2129</v>
      </c>
      <c r="BH235" t="s">
        <v>2129</v>
      </c>
      <c r="BI235" t="s">
        <v>2129</v>
      </c>
      <c r="BJ235" t="s">
        <v>2129</v>
      </c>
      <c r="BK235" t="s">
        <v>2129</v>
      </c>
      <c r="BL235" t="s">
        <v>2129</v>
      </c>
      <c r="BM235" t="s">
        <v>2129</v>
      </c>
      <c r="BN235" t="s">
        <v>2129</v>
      </c>
      <c r="BO235" t="s">
        <v>2129</v>
      </c>
      <c r="BP235" t="s">
        <v>2129</v>
      </c>
      <c r="BQ235">
        <v>0</v>
      </c>
      <c r="BR235">
        <v>7200</v>
      </c>
      <c r="BS235" t="s">
        <v>2129</v>
      </c>
      <c r="BT235" t="s">
        <v>2129</v>
      </c>
      <c r="BU235">
        <v>0</v>
      </c>
      <c r="BV235">
        <v>7200</v>
      </c>
      <c r="BW235" t="s">
        <v>2129</v>
      </c>
      <c r="BX235" t="s">
        <v>2129</v>
      </c>
      <c r="BY235" t="s">
        <v>2129</v>
      </c>
      <c r="BZ235" t="s">
        <v>2129</v>
      </c>
      <c r="CA235" t="s">
        <v>2129</v>
      </c>
      <c r="CB235" t="s">
        <v>2129</v>
      </c>
      <c r="CC235" t="s">
        <v>2129</v>
      </c>
      <c r="CD235" t="s">
        <v>2129</v>
      </c>
      <c r="CE235" t="s">
        <v>2129</v>
      </c>
      <c r="CF235" t="s">
        <v>2129</v>
      </c>
      <c r="CG235" t="s">
        <v>2129</v>
      </c>
      <c r="CH235" t="s">
        <v>2129</v>
      </c>
      <c r="CI235" t="s">
        <v>2129</v>
      </c>
      <c r="CJ235" t="s">
        <v>2129</v>
      </c>
      <c r="CK235" t="s">
        <v>2129</v>
      </c>
      <c r="CL235" t="s">
        <v>2129</v>
      </c>
      <c r="CM235" t="s">
        <v>2129</v>
      </c>
      <c r="CN235" t="s">
        <v>2129</v>
      </c>
      <c r="CO235" t="s">
        <v>2129</v>
      </c>
      <c r="CP235" t="s">
        <v>2129</v>
      </c>
      <c r="CQ235" t="s">
        <v>2129</v>
      </c>
      <c r="CR235" t="s">
        <v>2129</v>
      </c>
      <c r="CS235" t="s">
        <v>2129</v>
      </c>
      <c r="CT235" t="s">
        <v>3134</v>
      </c>
      <c r="CU235" t="s">
        <v>3125</v>
      </c>
      <c r="CV235" t="s">
        <v>2129</v>
      </c>
      <c r="CW235" t="s">
        <v>2129</v>
      </c>
      <c r="CX235" t="s">
        <v>2129</v>
      </c>
      <c r="CY235" t="s">
        <v>2129</v>
      </c>
      <c r="CZ235" t="s">
        <v>2129</v>
      </c>
      <c r="DA235" t="s">
        <v>2129</v>
      </c>
      <c r="DB235" t="s">
        <v>2129</v>
      </c>
      <c r="DC235" t="s">
        <v>2129</v>
      </c>
      <c r="DD235" t="s">
        <v>2129</v>
      </c>
      <c r="DE235" t="s">
        <v>2129</v>
      </c>
      <c r="DF235" t="s">
        <v>2129</v>
      </c>
      <c r="DG235" t="s">
        <v>2129</v>
      </c>
      <c r="DH235" t="s">
        <v>2129</v>
      </c>
      <c r="DI235">
        <v>30</v>
      </c>
      <c r="DJ235" t="s">
        <v>2129</v>
      </c>
      <c r="DK235" t="s">
        <v>2129</v>
      </c>
      <c r="DL235" t="s">
        <v>3135</v>
      </c>
      <c r="DM235" t="s">
        <v>2129</v>
      </c>
      <c r="DN235" t="s">
        <v>2129</v>
      </c>
      <c r="DO235" t="s">
        <v>2129</v>
      </c>
      <c r="DP235" t="s">
        <v>2129</v>
      </c>
      <c r="DQ235" t="s">
        <v>2129</v>
      </c>
      <c r="DR235" t="s">
        <v>2129</v>
      </c>
      <c r="DS235" t="s">
        <v>2129</v>
      </c>
      <c r="DT235" t="s">
        <v>2129</v>
      </c>
      <c r="DU235" t="s">
        <v>2129</v>
      </c>
      <c r="DV235" t="s">
        <v>2129</v>
      </c>
      <c r="DW235" t="s">
        <v>2129</v>
      </c>
      <c r="DX235" t="s">
        <v>2129</v>
      </c>
      <c r="DY235" t="s">
        <v>2129</v>
      </c>
      <c r="DZ235" t="s">
        <v>2129</v>
      </c>
      <c r="EA235" t="s">
        <v>2129</v>
      </c>
      <c r="EB235" t="s">
        <v>2129</v>
      </c>
      <c r="EC235" t="s">
        <v>2129</v>
      </c>
      <c r="ED235" t="s">
        <v>2129</v>
      </c>
      <c r="EE235" t="s">
        <v>2129</v>
      </c>
      <c r="EF235" t="s">
        <v>2129</v>
      </c>
      <c r="EG235" t="s">
        <v>2129</v>
      </c>
      <c r="EH235" t="s">
        <v>2129</v>
      </c>
    </row>
    <row r="236" spans="1:138" x14ac:dyDescent="0.25">
      <c r="A236" t="s">
        <v>4462</v>
      </c>
      <c r="B236" t="s">
        <v>4463</v>
      </c>
      <c r="C236">
        <v>22965</v>
      </c>
      <c r="E236" t="s">
        <v>14</v>
      </c>
      <c r="F236" t="s">
        <v>10</v>
      </c>
      <c r="G236" t="s">
        <v>12</v>
      </c>
      <c r="H236" t="s">
        <v>12</v>
      </c>
      <c r="I236" t="s">
        <v>2127</v>
      </c>
      <c r="J236" t="s">
        <v>2198</v>
      </c>
      <c r="K236" t="s">
        <v>2129</v>
      </c>
      <c r="L236" t="s">
        <v>2199</v>
      </c>
      <c r="M236" t="s">
        <v>2130</v>
      </c>
      <c r="N236" t="s">
        <v>2129</v>
      </c>
      <c r="O236" t="s">
        <v>2198</v>
      </c>
      <c r="P236" t="s">
        <v>2198</v>
      </c>
      <c r="Q236" t="s">
        <v>2198</v>
      </c>
      <c r="R236" s="37">
        <v>46063.35</v>
      </c>
      <c r="S236" s="37">
        <v>46098.456250000003</v>
      </c>
      <c r="T236" s="37">
        <v>46100.368750000001</v>
      </c>
      <c r="U236" s="37"/>
      <c r="V236" t="s">
        <v>2129</v>
      </c>
      <c r="W236" t="s">
        <v>2129</v>
      </c>
      <c r="X236" t="s">
        <v>2129</v>
      </c>
      <c r="Y236">
        <v>0</v>
      </c>
      <c r="Z236" t="s">
        <v>2129</v>
      </c>
      <c r="AA236" t="s">
        <v>4464</v>
      </c>
      <c r="AB236" t="s">
        <v>2129</v>
      </c>
      <c r="AC236" t="s">
        <v>2198</v>
      </c>
      <c r="AD236" t="s">
        <v>2129</v>
      </c>
      <c r="AE236" t="s">
        <v>2129</v>
      </c>
      <c r="AF236" t="s">
        <v>2129</v>
      </c>
      <c r="AG236" t="s">
        <v>2129</v>
      </c>
      <c r="AH236" t="s">
        <v>2129</v>
      </c>
      <c r="AI236" t="s">
        <v>2129</v>
      </c>
      <c r="AJ236" t="s">
        <v>2129</v>
      </c>
      <c r="AK236" t="s">
        <v>2129</v>
      </c>
      <c r="AL236" t="s">
        <v>2129</v>
      </c>
      <c r="AM236" t="s">
        <v>2129</v>
      </c>
      <c r="AN236" t="s">
        <v>2129</v>
      </c>
      <c r="AO236" t="s">
        <v>2129</v>
      </c>
      <c r="AP236" t="s">
        <v>2129</v>
      </c>
      <c r="AQ236" t="s">
        <v>2129</v>
      </c>
      <c r="AR236" t="s">
        <v>2129</v>
      </c>
      <c r="AS236" t="s">
        <v>2129</v>
      </c>
      <c r="AT236" t="s">
        <v>2129</v>
      </c>
      <c r="AU236" t="s">
        <v>2129</v>
      </c>
      <c r="AV236" t="s">
        <v>2129</v>
      </c>
      <c r="AW236" t="s">
        <v>2129</v>
      </c>
      <c r="AX236" t="s">
        <v>2129</v>
      </c>
      <c r="AY236" t="s">
        <v>2129</v>
      </c>
      <c r="AZ236" t="s">
        <v>2129</v>
      </c>
      <c r="BA236" t="s">
        <v>2129</v>
      </c>
      <c r="BB236" t="s">
        <v>2129</v>
      </c>
      <c r="BC236" t="s">
        <v>2129</v>
      </c>
      <c r="BD236" t="s">
        <v>2129</v>
      </c>
      <c r="BE236" t="s">
        <v>2129</v>
      </c>
      <c r="BF236" t="s">
        <v>2129</v>
      </c>
      <c r="BG236" t="s">
        <v>2129</v>
      </c>
      <c r="BH236" t="s">
        <v>2129</v>
      </c>
      <c r="BI236" t="s">
        <v>2129</v>
      </c>
      <c r="BJ236" t="s">
        <v>2129</v>
      </c>
      <c r="BK236" t="s">
        <v>2129</v>
      </c>
      <c r="BL236" t="s">
        <v>2129</v>
      </c>
      <c r="BM236" t="s">
        <v>2129</v>
      </c>
      <c r="BN236" t="s">
        <v>2129</v>
      </c>
      <c r="BO236" t="s">
        <v>2129</v>
      </c>
      <c r="BP236" t="s">
        <v>2129</v>
      </c>
      <c r="BS236" t="s">
        <v>2129</v>
      </c>
      <c r="BT236" t="s">
        <v>2129</v>
      </c>
      <c r="BW236" t="s">
        <v>2129</v>
      </c>
      <c r="BX236" t="s">
        <v>2129</v>
      </c>
      <c r="BY236" t="s">
        <v>2129</v>
      </c>
      <c r="BZ236" t="s">
        <v>2129</v>
      </c>
      <c r="CA236" t="s">
        <v>2129</v>
      </c>
      <c r="CB236" t="s">
        <v>2129</v>
      </c>
      <c r="CC236" t="s">
        <v>2129</v>
      </c>
      <c r="CD236" t="s">
        <v>2129</v>
      </c>
      <c r="CE236" t="s">
        <v>2129</v>
      </c>
      <c r="CF236" t="s">
        <v>2129</v>
      </c>
      <c r="CG236" t="s">
        <v>2129</v>
      </c>
      <c r="CH236" t="s">
        <v>2129</v>
      </c>
      <c r="CI236" t="s">
        <v>2129</v>
      </c>
      <c r="CJ236" t="s">
        <v>2129</v>
      </c>
      <c r="CK236" t="s">
        <v>2129</v>
      </c>
      <c r="CL236" t="s">
        <v>2129</v>
      </c>
      <c r="CM236" t="s">
        <v>2129</v>
      </c>
      <c r="CN236" t="s">
        <v>2129</v>
      </c>
      <c r="CO236" t="s">
        <v>2129</v>
      </c>
      <c r="CP236" t="s">
        <v>2129</v>
      </c>
      <c r="CQ236" t="s">
        <v>2129</v>
      </c>
      <c r="CR236" t="s">
        <v>2129</v>
      </c>
      <c r="CS236" t="s">
        <v>2129</v>
      </c>
      <c r="CT236" t="s">
        <v>4465</v>
      </c>
      <c r="CU236" t="s">
        <v>2129</v>
      </c>
      <c r="CV236" t="s">
        <v>2129</v>
      </c>
      <c r="CW236" t="s">
        <v>2129</v>
      </c>
      <c r="CX236" t="s">
        <v>2129</v>
      </c>
      <c r="CY236" t="s">
        <v>2129</v>
      </c>
      <c r="CZ236" t="s">
        <v>2129</v>
      </c>
      <c r="DA236" t="s">
        <v>2129</v>
      </c>
      <c r="DB236" t="s">
        <v>2129</v>
      </c>
      <c r="DC236" t="s">
        <v>2129</v>
      </c>
      <c r="DD236" t="s">
        <v>2129</v>
      </c>
      <c r="DE236" t="s">
        <v>2129</v>
      </c>
      <c r="DF236" t="s">
        <v>2129</v>
      </c>
      <c r="DG236" t="s">
        <v>2129</v>
      </c>
      <c r="DH236" t="s">
        <v>2129</v>
      </c>
      <c r="DJ236" t="s">
        <v>2129</v>
      </c>
      <c r="DK236" t="s">
        <v>2129</v>
      </c>
      <c r="DL236" t="s">
        <v>2129</v>
      </c>
      <c r="DM236" t="s">
        <v>2129</v>
      </c>
      <c r="DN236" t="s">
        <v>2129</v>
      </c>
      <c r="DO236" t="s">
        <v>2129</v>
      </c>
      <c r="DP236" t="s">
        <v>2129</v>
      </c>
      <c r="DQ236" t="s">
        <v>2129</v>
      </c>
      <c r="DR236" t="s">
        <v>2129</v>
      </c>
      <c r="DS236" t="s">
        <v>2129</v>
      </c>
      <c r="DT236" t="s">
        <v>2129</v>
      </c>
      <c r="DU236" t="s">
        <v>2129</v>
      </c>
      <c r="DV236" t="s">
        <v>2129</v>
      </c>
      <c r="DW236" t="s">
        <v>2129</v>
      </c>
      <c r="DX236" t="s">
        <v>2129</v>
      </c>
      <c r="DY236" t="s">
        <v>2129</v>
      </c>
      <c r="DZ236" t="s">
        <v>2129</v>
      </c>
      <c r="EA236" t="s">
        <v>2129</v>
      </c>
      <c r="EB236" t="s">
        <v>2129</v>
      </c>
      <c r="EC236" t="s">
        <v>2129</v>
      </c>
      <c r="ED236" t="s">
        <v>2129</v>
      </c>
      <c r="EE236" t="s">
        <v>2129</v>
      </c>
      <c r="EF236" t="s">
        <v>2129</v>
      </c>
      <c r="EG236" t="s">
        <v>2129</v>
      </c>
      <c r="EH236" t="s">
        <v>2129</v>
      </c>
    </row>
    <row r="237" spans="1:138" x14ac:dyDescent="0.25">
      <c r="A237" t="s">
        <v>2833</v>
      </c>
      <c r="B237" t="s">
        <v>2834</v>
      </c>
      <c r="C237">
        <v>22943</v>
      </c>
      <c r="E237" t="s">
        <v>14</v>
      </c>
      <c r="F237" t="s">
        <v>27</v>
      </c>
      <c r="G237" t="s">
        <v>12</v>
      </c>
      <c r="H237" t="s">
        <v>12</v>
      </c>
      <c r="I237" t="s">
        <v>2127</v>
      </c>
      <c r="J237" t="s">
        <v>2198</v>
      </c>
      <c r="K237" t="s">
        <v>2129</v>
      </c>
      <c r="L237" t="s">
        <v>2199</v>
      </c>
      <c r="M237" t="s">
        <v>2130</v>
      </c>
      <c r="N237" t="s">
        <v>2129</v>
      </c>
      <c r="O237" t="s">
        <v>2150</v>
      </c>
      <c r="P237" t="s">
        <v>2198</v>
      </c>
      <c r="Q237" t="s">
        <v>2198</v>
      </c>
      <c r="R237" s="37">
        <v>46059.679861111108</v>
      </c>
      <c r="S237" s="37">
        <v>46092.700694444444</v>
      </c>
      <c r="T237" s="37">
        <v>46100.368750000001</v>
      </c>
      <c r="U237" s="37"/>
      <c r="V237" t="s">
        <v>2129</v>
      </c>
      <c r="W237" t="s">
        <v>2129</v>
      </c>
      <c r="X237" t="s">
        <v>2129</v>
      </c>
      <c r="Y237">
        <v>0</v>
      </c>
      <c r="Z237" t="s">
        <v>2129</v>
      </c>
      <c r="AA237" t="s">
        <v>4466</v>
      </c>
      <c r="AB237" t="s">
        <v>2129</v>
      </c>
      <c r="AC237" t="s">
        <v>2198</v>
      </c>
      <c r="AD237" t="s">
        <v>2129</v>
      </c>
      <c r="AE237" t="s">
        <v>2129</v>
      </c>
      <c r="AF237" t="s">
        <v>2129</v>
      </c>
      <c r="AG237" t="s">
        <v>2129</v>
      </c>
      <c r="AH237" t="s">
        <v>2129</v>
      </c>
      <c r="AI237" t="s">
        <v>2129</v>
      </c>
      <c r="AJ237" t="s">
        <v>2129</v>
      </c>
      <c r="AK237" t="s">
        <v>2129</v>
      </c>
      <c r="AL237" t="s">
        <v>2129</v>
      </c>
      <c r="AM237" t="s">
        <v>2129</v>
      </c>
      <c r="AN237" t="s">
        <v>2129</v>
      </c>
      <c r="AO237" t="s">
        <v>2129</v>
      </c>
      <c r="AP237" t="s">
        <v>2129</v>
      </c>
      <c r="AQ237" t="s">
        <v>2129</v>
      </c>
      <c r="AR237" t="s">
        <v>2129</v>
      </c>
      <c r="AS237" t="s">
        <v>2129</v>
      </c>
      <c r="AT237" t="s">
        <v>2129</v>
      </c>
      <c r="AU237" t="s">
        <v>2129</v>
      </c>
      <c r="AV237" t="s">
        <v>2129</v>
      </c>
      <c r="AW237" t="s">
        <v>2129</v>
      </c>
      <c r="AX237" t="s">
        <v>2129</v>
      </c>
      <c r="AY237" t="s">
        <v>2129</v>
      </c>
      <c r="AZ237" t="s">
        <v>2129</v>
      </c>
      <c r="BA237" t="s">
        <v>2129</v>
      </c>
      <c r="BB237" t="s">
        <v>2129</v>
      </c>
      <c r="BC237" t="s">
        <v>2129</v>
      </c>
      <c r="BD237" t="s">
        <v>2129</v>
      </c>
      <c r="BE237" t="s">
        <v>2129</v>
      </c>
      <c r="BF237" t="s">
        <v>2129</v>
      </c>
      <c r="BG237" t="s">
        <v>2129</v>
      </c>
      <c r="BH237" t="s">
        <v>2129</v>
      </c>
      <c r="BI237" t="s">
        <v>2129</v>
      </c>
      <c r="BJ237" t="s">
        <v>2129</v>
      </c>
      <c r="BK237" t="s">
        <v>2129</v>
      </c>
      <c r="BL237" t="s">
        <v>2129</v>
      </c>
      <c r="BM237" t="s">
        <v>2129</v>
      </c>
      <c r="BN237" t="s">
        <v>2129</v>
      </c>
      <c r="BO237" t="s">
        <v>2129</v>
      </c>
      <c r="BP237" t="s">
        <v>2129</v>
      </c>
      <c r="BS237" t="s">
        <v>2129</v>
      </c>
      <c r="BT237" t="s">
        <v>2129</v>
      </c>
      <c r="BW237" t="s">
        <v>2129</v>
      </c>
      <c r="BX237" t="s">
        <v>2129</v>
      </c>
      <c r="BY237" t="s">
        <v>2129</v>
      </c>
      <c r="BZ237" t="s">
        <v>2129</v>
      </c>
      <c r="CA237" t="s">
        <v>2129</v>
      </c>
      <c r="CB237" t="s">
        <v>2129</v>
      </c>
      <c r="CC237" t="s">
        <v>2129</v>
      </c>
      <c r="CD237" t="s">
        <v>2129</v>
      </c>
      <c r="CE237" t="s">
        <v>2129</v>
      </c>
      <c r="CF237" t="s">
        <v>2129</v>
      </c>
      <c r="CG237" t="s">
        <v>2129</v>
      </c>
      <c r="CH237" t="s">
        <v>2129</v>
      </c>
      <c r="CI237" t="s">
        <v>2129</v>
      </c>
      <c r="CJ237" t="s">
        <v>2129</v>
      </c>
      <c r="CK237" t="s">
        <v>2129</v>
      </c>
      <c r="CL237" t="s">
        <v>2129</v>
      </c>
      <c r="CM237" t="s">
        <v>2129</v>
      </c>
      <c r="CN237" t="s">
        <v>2129</v>
      </c>
      <c r="CO237" t="s">
        <v>2129</v>
      </c>
      <c r="CP237" t="s">
        <v>2129</v>
      </c>
      <c r="CQ237" t="s">
        <v>2129</v>
      </c>
      <c r="CR237" t="s">
        <v>2129</v>
      </c>
      <c r="CS237" t="s">
        <v>2129</v>
      </c>
      <c r="CT237" t="s">
        <v>4467</v>
      </c>
      <c r="CU237" t="s">
        <v>4425</v>
      </c>
      <c r="CV237" t="s">
        <v>2129</v>
      </c>
      <c r="CW237" t="s">
        <v>2129</v>
      </c>
      <c r="CX237" t="s">
        <v>2129</v>
      </c>
      <c r="CY237" t="s">
        <v>2129</v>
      </c>
      <c r="CZ237" t="s">
        <v>2129</v>
      </c>
      <c r="DA237" t="s">
        <v>2129</v>
      </c>
      <c r="DB237" t="s">
        <v>2129</v>
      </c>
      <c r="DC237" t="s">
        <v>2129</v>
      </c>
      <c r="DD237" t="s">
        <v>2129</v>
      </c>
      <c r="DE237" t="s">
        <v>2129</v>
      </c>
      <c r="DF237" t="s">
        <v>2129</v>
      </c>
      <c r="DG237" t="s">
        <v>2129</v>
      </c>
      <c r="DH237" t="s">
        <v>2129</v>
      </c>
      <c r="DI237">
        <v>30</v>
      </c>
      <c r="DJ237" t="s">
        <v>2129</v>
      </c>
      <c r="DK237" t="s">
        <v>2129</v>
      </c>
      <c r="DL237" t="s">
        <v>2129</v>
      </c>
      <c r="DM237" t="s">
        <v>2129</v>
      </c>
      <c r="DN237" t="s">
        <v>2129</v>
      </c>
      <c r="DO237" t="s">
        <v>2129</v>
      </c>
      <c r="DP237" t="s">
        <v>2129</v>
      </c>
      <c r="DQ237" t="s">
        <v>2129</v>
      </c>
      <c r="DR237" t="s">
        <v>2129</v>
      </c>
      <c r="DS237" t="s">
        <v>2129</v>
      </c>
      <c r="DT237" t="s">
        <v>2129</v>
      </c>
      <c r="DU237" t="s">
        <v>2129</v>
      </c>
      <c r="DV237" t="s">
        <v>2129</v>
      </c>
      <c r="DW237" t="s">
        <v>2129</v>
      </c>
      <c r="DX237" t="s">
        <v>2129</v>
      </c>
      <c r="DY237" t="s">
        <v>2129</v>
      </c>
      <c r="DZ237" t="s">
        <v>2129</v>
      </c>
      <c r="EA237" t="s">
        <v>2129</v>
      </c>
      <c r="EB237" t="s">
        <v>2129</v>
      </c>
      <c r="EC237" t="s">
        <v>2129</v>
      </c>
      <c r="ED237" t="s">
        <v>2129</v>
      </c>
      <c r="EE237" t="s">
        <v>2129</v>
      </c>
      <c r="EF237" t="s">
        <v>2129</v>
      </c>
      <c r="EG237" t="s">
        <v>2129</v>
      </c>
      <c r="EH237" t="s">
        <v>2129</v>
      </c>
    </row>
    <row r="238" spans="1:138" x14ac:dyDescent="0.25">
      <c r="A238" t="s">
        <v>2687</v>
      </c>
      <c r="B238" t="s">
        <v>2686</v>
      </c>
      <c r="C238">
        <v>22926</v>
      </c>
      <c r="E238" t="s">
        <v>14</v>
      </c>
      <c r="F238" t="s">
        <v>16</v>
      </c>
      <c r="G238" t="s">
        <v>12</v>
      </c>
      <c r="H238" t="s">
        <v>12</v>
      </c>
      <c r="I238" t="s">
        <v>2127</v>
      </c>
      <c r="J238" t="s">
        <v>2198</v>
      </c>
      <c r="K238" t="s">
        <v>2129</v>
      </c>
      <c r="L238" t="s">
        <v>2199</v>
      </c>
      <c r="M238" t="s">
        <v>2130</v>
      </c>
      <c r="N238" t="s">
        <v>16</v>
      </c>
      <c r="O238" t="s">
        <v>2150</v>
      </c>
      <c r="P238" t="s">
        <v>2198</v>
      </c>
      <c r="Q238" t="s">
        <v>2198</v>
      </c>
      <c r="R238" s="37">
        <v>46058.420138888891</v>
      </c>
      <c r="S238" s="37">
        <v>46092.37222222222</v>
      </c>
      <c r="T238" s="37">
        <v>46100.368750000001</v>
      </c>
      <c r="U238" s="37">
        <v>46059.652777777781</v>
      </c>
      <c r="V238" t="s">
        <v>4456</v>
      </c>
      <c r="W238" t="s">
        <v>2129</v>
      </c>
      <c r="X238" t="s">
        <v>2129</v>
      </c>
      <c r="Y238">
        <v>0</v>
      </c>
      <c r="Z238" t="s">
        <v>2129</v>
      </c>
      <c r="AA238" t="s">
        <v>4468</v>
      </c>
      <c r="AB238" t="s">
        <v>2129</v>
      </c>
      <c r="AC238" t="s">
        <v>2200</v>
      </c>
      <c r="AD238" t="s">
        <v>2198</v>
      </c>
      <c r="AE238" t="s">
        <v>2129</v>
      </c>
      <c r="AF238" t="s">
        <v>2129</v>
      </c>
      <c r="AG238" t="s">
        <v>2129</v>
      </c>
      <c r="AH238" t="s">
        <v>4469</v>
      </c>
      <c r="AI238" t="s">
        <v>2129</v>
      </c>
      <c r="AJ238" t="s">
        <v>2129</v>
      </c>
      <c r="AK238" t="s">
        <v>2129</v>
      </c>
      <c r="AL238" t="s">
        <v>2129</v>
      </c>
      <c r="AM238" t="s">
        <v>2129</v>
      </c>
      <c r="AN238" t="s">
        <v>2129</v>
      </c>
      <c r="AO238" t="s">
        <v>2129</v>
      </c>
      <c r="AP238" t="s">
        <v>2129</v>
      </c>
      <c r="AQ238" t="s">
        <v>2129</v>
      </c>
      <c r="AR238" t="s">
        <v>2129</v>
      </c>
      <c r="AS238" t="s">
        <v>2129</v>
      </c>
      <c r="AT238" t="s">
        <v>2129</v>
      </c>
      <c r="AU238" t="s">
        <v>2129</v>
      </c>
      <c r="AV238" t="s">
        <v>2129</v>
      </c>
      <c r="AW238" t="s">
        <v>2129</v>
      </c>
      <c r="AX238" t="s">
        <v>2129</v>
      </c>
      <c r="AY238" t="s">
        <v>2129</v>
      </c>
      <c r="AZ238" t="s">
        <v>2129</v>
      </c>
      <c r="BA238" t="s">
        <v>2129</v>
      </c>
      <c r="BB238" t="s">
        <v>2129</v>
      </c>
      <c r="BC238" t="s">
        <v>2129</v>
      </c>
      <c r="BD238" t="s">
        <v>2129</v>
      </c>
      <c r="BE238" t="s">
        <v>2129</v>
      </c>
      <c r="BF238" t="s">
        <v>2129</v>
      </c>
      <c r="BG238" t="s">
        <v>2129</v>
      </c>
      <c r="BH238" t="s">
        <v>2129</v>
      </c>
      <c r="BI238" t="s">
        <v>2129</v>
      </c>
      <c r="BJ238" t="s">
        <v>2129</v>
      </c>
      <c r="BK238" t="s">
        <v>2129</v>
      </c>
      <c r="BL238" t="s">
        <v>2129</v>
      </c>
      <c r="BM238" t="s">
        <v>2129</v>
      </c>
      <c r="BN238" t="s">
        <v>2129</v>
      </c>
      <c r="BO238" t="s">
        <v>2129</v>
      </c>
      <c r="BP238" t="s">
        <v>2129</v>
      </c>
      <c r="BQ238">
        <v>0</v>
      </c>
      <c r="BR238">
        <v>900</v>
      </c>
      <c r="BS238" t="s">
        <v>2129</v>
      </c>
      <c r="BT238" t="s">
        <v>2129</v>
      </c>
      <c r="BU238">
        <v>0</v>
      </c>
      <c r="BV238">
        <v>900</v>
      </c>
      <c r="BW238" t="s">
        <v>2129</v>
      </c>
      <c r="BX238" t="s">
        <v>2129</v>
      </c>
      <c r="BY238" t="s">
        <v>2129</v>
      </c>
      <c r="BZ238" t="s">
        <v>2129</v>
      </c>
      <c r="CA238" t="s">
        <v>2129</v>
      </c>
      <c r="CB238" t="s">
        <v>2129</v>
      </c>
      <c r="CC238" t="s">
        <v>2129</v>
      </c>
      <c r="CD238" t="s">
        <v>2129</v>
      </c>
      <c r="CE238" t="s">
        <v>2129</v>
      </c>
      <c r="CF238" t="s">
        <v>2129</v>
      </c>
      <c r="CG238" t="s">
        <v>2129</v>
      </c>
      <c r="CH238" t="s">
        <v>2129</v>
      </c>
      <c r="CI238" t="s">
        <v>2129</v>
      </c>
      <c r="CJ238" t="s">
        <v>2129</v>
      </c>
      <c r="CK238" t="s">
        <v>2129</v>
      </c>
      <c r="CL238" t="s">
        <v>2129</v>
      </c>
      <c r="CM238" t="s">
        <v>3683</v>
      </c>
      <c r="CN238" t="s">
        <v>2129</v>
      </c>
      <c r="CO238" t="s">
        <v>2129</v>
      </c>
      <c r="CP238" t="s">
        <v>2129</v>
      </c>
      <c r="CQ238" t="s">
        <v>2129</v>
      </c>
      <c r="CR238" t="s">
        <v>2129</v>
      </c>
      <c r="CS238" t="s">
        <v>2129</v>
      </c>
      <c r="CT238" t="s">
        <v>4470</v>
      </c>
      <c r="CU238" t="s">
        <v>2708</v>
      </c>
      <c r="CV238" t="s">
        <v>2129</v>
      </c>
      <c r="CW238" t="s">
        <v>2129</v>
      </c>
      <c r="CX238" t="s">
        <v>2129</v>
      </c>
      <c r="CY238" t="s">
        <v>2129</v>
      </c>
      <c r="CZ238" t="s">
        <v>2129</v>
      </c>
      <c r="DA238" t="s">
        <v>2129</v>
      </c>
      <c r="DB238" t="s">
        <v>2129</v>
      </c>
      <c r="DC238" t="s">
        <v>2129</v>
      </c>
      <c r="DD238" t="s">
        <v>2129</v>
      </c>
      <c r="DE238" t="s">
        <v>2129</v>
      </c>
      <c r="DF238" t="s">
        <v>2129</v>
      </c>
      <c r="DG238" t="s">
        <v>2129</v>
      </c>
      <c r="DH238" t="s">
        <v>2129</v>
      </c>
      <c r="DI238">
        <v>20</v>
      </c>
      <c r="DJ238" t="s">
        <v>2129</v>
      </c>
      <c r="DK238" t="s">
        <v>2129</v>
      </c>
      <c r="DL238" t="s">
        <v>4471</v>
      </c>
      <c r="DM238" t="s">
        <v>2129</v>
      </c>
      <c r="DN238" t="s">
        <v>2129</v>
      </c>
      <c r="DO238" t="s">
        <v>2129</v>
      </c>
      <c r="DP238" t="s">
        <v>2129</v>
      </c>
      <c r="DQ238" t="s">
        <v>2129</v>
      </c>
      <c r="DR238" t="s">
        <v>2129</v>
      </c>
      <c r="DS238" t="s">
        <v>2129</v>
      </c>
      <c r="DT238" t="s">
        <v>2129</v>
      </c>
      <c r="DU238" t="s">
        <v>2129</v>
      </c>
      <c r="DV238" t="s">
        <v>2129</v>
      </c>
      <c r="DW238" t="s">
        <v>2129</v>
      </c>
      <c r="DX238" t="s">
        <v>2129</v>
      </c>
      <c r="DY238" t="s">
        <v>2129</v>
      </c>
      <c r="DZ238" t="s">
        <v>2129</v>
      </c>
      <c r="EA238" t="s">
        <v>2129</v>
      </c>
      <c r="EB238" t="s">
        <v>2129</v>
      </c>
      <c r="EC238" t="s">
        <v>2129</v>
      </c>
      <c r="ED238" t="s">
        <v>2129</v>
      </c>
      <c r="EE238" t="s">
        <v>2129</v>
      </c>
      <c r="EF238" t="s">
        <v>2129</v>
      </c>
      <c r="EG238" t="s">
        <v>2129</v>
      </c>
      <c r="EH238" t="s">
        <v>2129</v>
      </c>
    </row>
    <row r="239" spans="1:138" x14ac:dyDescent="0.25">
      <c r="A239" t="s">
        <v>2696</v>
      </c>
      <c r="B239" t="s">
        <v>2691</v>
      </c>
      <c r="C239">
        <v>22906</v>
      </c>
      <c r="E239" t="s">
        <v>14</v>
      </c>
      <c r="F239" t="s">
        <v>16</v>
      </c>
      <c r="G239" t="s">
        <v>12</v>
      </c>
      <c r="H239" t="s">
        <v>12</v>
      </c>
      <c r="I239" t="s">
        <v>2127</v>
      </c>
      <c r="J239" t="s">
        <v>2198</v>
      </c>
      <c r="K239" t="s">
        <v>2129</v>
      </c>
      <c r="L239" t="s">
        <v>2199</v>
      </c>
      <c r="M239" t="s">
        <v>2130</v>
      </c>
      <c r="N239" t="s">
        <v>16</v>
      </c>
      <c r="O239" t="s">
        <v>2150</v>
      </c>
      <c r="P239" t="s">
        <v>2198</v>
      </c>
      <c r="Q239" t="s">
        <v>2198</v>
      </c>
      <c r="R239" s="37">
        <v>46050.371527777781</v>
      </c>
      <c r="S239" s="37">
        <v>46090.57708333333</v>
      </c>
      <c r="T239" s="37">
        <v>46100.368750000001</v>
      </c>
      <c r="U239" s="37">
        <v>46064.538194444445</v>
      </c>
      <c r="V239" t="s">
        <v>4456</v>
      </c>
      <c r="W239" t="s">
        <v>2129</v>
      </c>
      <c r="X239" t="s">
        <v>2129</v>
      </c>
      <c r="Y239">
        <v>0</v>
      </c>
      <c r="Z239" t="s">
        <v>2129</v>
      </c>
      <c r="AA239" t="s">
        <v>4472</v>
      </c>
      <c r="AB239" t="s">
        <v>2129</v>
      </c>
      <c r="AC239" t="s">
        <v>2200</v>
      </c>
      <c r="AD239" t="s">
        <v>2198</v>
      </c>
      <c r="AE239" t="s">
        <v>2129</v>
      </c>
      <c r="AF239" t="s">
        <v>2129</v>
      </c>
      <c r="AG239" t="s">
        <v>2129</v>
      </c>
      <c r="AH239" t="s">
        <v>4473</v>
      </c>
      <c r="AI239" t="s">
        <v>2129</v>
      </c>
      <c r="AJ239" t="s">
        <v>2129</v>
      </c>
      <c r="AK239" t="s">
        <v>2129</v>
      </c>
      <c r="AL239" t="s">
        <v>2129</v>
      </c>
      <c r="AM239" t="s">
        <v>2129</v>
      </c>
      <c r="AN239" t="s">
        <v>2129</v>
      </c>
      <c r="AO239" t="s">
        <v>2129</v>
      </c>
      <c r="AP239" t="s">
        <v>2129</v>
      </c>
      <c r="AQ239" t="s">
        <v>2129</v>
      </c>
      <c r="AR239" t="s">
        <v>2129</v>
      </c>
      <c r="AS239" t="s">
        <v>2129</v>
      </c>
      <c r="AT239" t="s">
        <v>2129</v>
      </c>
      <c r="AU239" t="s">
        <v>2129</v>
      </c>
      <c r="AV239" t="s">
        <v>2129</v>
      </c>
      <c r="AW239" t="s">
        <v>2129</v>
      </c>
      <c r="AX239" t="s">
        <v>2129</v>
      </c>
      <c r="AY239" t="s">
        <v>2129</v>
      </c>
      <c r="AZ239" t="s">
        <v>2129</v>
      </c>
      <c r="BA239" t="s">
        <v>2129</v>
      </c>
      <c r="BB239" t="s">
        <v>2129</v>
      </c>
      <c r="BC239" t="s">
        <v>2129</v>
      </c>
      <c r="BD239" t="s">
        <v>2129</v>
      </c>
      <c r="BE239" t="s">
        <v>2129</v>
      </c>
      <c r="BF239" t="s">
        <v>2129</v>
      </c>
      <c r="BG239" t="s">
        <v>2129</v>
      </c>
      <c r="BH239" t="s">
        <v>2129</v>
      </c>
      <c r="BI239" t="s">
        <v>2129</v>
      </c>
      <c r="BJ239" t="s">
        <v>2129</v>
      </c>
      <c r="BK239" t="s">
        <v>2129</v>
      </c>
      <c r="BL239" t="s">
        <v>2129</v>
      </c>
      <c r="BM239" t="s">
        <v>2129</v>
      </c>
      <c r="BN239" t="s">
        <v>2129</v>
      </c>
      <c r="BO239" t="s">
        <v>2129</v>
      </c>
      <c r="BP239" t="s">
        <v>2129</v>
      </c>
      <c r="BQ239">
        <v>0</v>
      </c>
      <c r="BR239">
        <v>3600</v>
      </c>
      <c r="BS239" t="s">
        <v>2129</v>
      </c>
      <c r="BT239" t="s">
        <v>2129</v>
      </c>
      <c r="BU239">
        <v>0</v>
      </c>
      <c r="BV239">
        <v>3600</v>
      </c>
      <c r="BW239" t="s">
        <v>2129</v>
      </c>
      <c r="BX239" t="s">
        <v>2129</v>
      </c>
      <c r="BY239" t="s">
        <v>2129</v>
      </c>
      <c r="BZ239" t="s">
        <v>4474</v>
      </c>
      <c r="CA239" t="s">
        <v>4475</v>
      </c>
      <c r="CB239" t="s">
        <v>4476</v>
      </c>
      <c r="CC239" t="s">
        <v>4477</v>
      </c>
      <c r="CD239" t="s">
        <v>2129</v>
      </c>
      <c r="CE239" t="s">
        <v>2129</v>
      </c>
      <c r="CF239" t="s">
        <v>2129</v>
      </c>
      <c r="CG239" t="s">
        <v>2129</v>
      </c>
      <c r="CH239" t="s">
        <v>2129</v>
      </c>
      <c r="CI239" t="s">
        <v>2129</v>
      </c>
      <c r="CJ239" t="s">
        <v>2129</v>
      </c>
      <c r="CK239" t="s">
        <v>2129</v>
      </c>
      <c r="CL239" t="s">
        <v>2129</v>
      </c>
      <c r="CM239" t="s">
        <v>3683</v>
      </c>
      <c r="CN239" t="s">
        <v>2129</v>
      </c>
      <c r="CO239" t="s">
        <v>2129</v>
      </c>
      <c r="CP239" t="s">
        <v>2129</v>
      </c>
      <c r="CQ239" t="s">
        <v>2129</v>
      </c>
      <c r="CR239" t="s">
        <v>2129</v>
      </c>
      <c r="CS239" t="s">
        <v>2129</v>
      </c>
      <c r="CT239" t="s">
        <v>4478</v>
      </c>
      <c r="CU239" t="s">
        <v>2832</v>
      </c>
      <c r="CV239" t="s">
        <v>2129</v>
      </c>
      <c r="CW239" t="s">
        <v>2129</v>
      </c>
      <c r="CX239" t="s">
        <v>2129</v>
      </c>
      <c r="CY239" t="s">
        <v>2129</v>
      </c>
      <c r="CZ239" t="s">
        <v>2129</v>
      </c>
      <c r="DA239" t="s">
        <v>2129</v>
      </c>
      <c r="DB239" t="s">
        <v>2129</v>
      </c>
      <c r="DC239" t="s">
        <v>2129</v>
      </c>
      <c r="DD239" t="s">
        <v>2129</v>
      </c>
      <c r="DE239" t="s">
        <v>2129</v>
      </c>
      <c r="DF239" t="s">
        <v>2129</v>
      </c>
      <c r="DG239" t="s">
        <v>2129</v>
      </c>
      <c r="DH239" t="s">
        <v>2129</v>
      </c>
      <c r="DI239">
        <v>30</v>
      </c>
      <c r="DJ239" t="s">
        <v>2129</v>
      </c>
      <c r="DK239" t="s">
        <v>2129</v>
      </c>
      <c r="DL239" t="s">
        <v>4479</v>
      </c>
      <c r="DM239" t="s">
        <v>2129</v>
      </c>
      <c r="DN239" t="s">
        <v>2129</v>
      </c>
      <c r="DO239" t="s">
        <v>2129</v>
      </c>
      <c r="DP239" t="s">
        <v>2129</v>
      </c>
      <c r="DQ239" t="s">
        <v>2129</v>
      </c>
      <c r="DR239" t="s">
        <v>2129</v>
      </c>
      <c r="DS239" t="s">
        <v>2129</v>
      </c>
      <c r="DT239" t="s">
        <v>2129</v>
      </c>
      <c r="DU239" t="s">
        <v>2129</v>
      </c>
      <c r="DV239" t="s">
        <v>2129</v>
      </c>
      <c r="DW239" t="s">
        <v>2129</v>
      </c>
      <c r="DX239" t="s">
        <v>2129</v>
      </c>
      <c r="DY239" t="s">
        <v>2129</v>
      </c>
      <c r="DZ239" t="s">
        <v>2129</v>
      </c>
      <c r="EA239" t="s">
        <v>2129</v>
      </c>
      <c r="EB239" t="s">
        <v>2129</v>
      </c>
      <c r="EC239" t="s">
        <v>2129</v>
      </c>
      <c r="ED239" t="s">
        <v>2129</v>
      </c>
      <c r="EE239" t="s">
        <v>2129</v>
      </c>
      <c r="EF239" t="s">
        <v>2129</v>
      </c>
      <c r="EG239" t="s">
        <v>2129</v>
      </c>
      <c r="EH239" t="s">
        <v>2129</v>
      </c>
    </row>
    <row r="240" spans="1:138" x14ac:dyDescent="0.25">
      <c r="A240" t="s">
        <v>2569</v>
      </c>
      <c r="B240" t="s">
        <v>2568</v>
      </c>
      <c r="C240">
        <v>22862</v>
      </c>
      <c r="E240" t="s">
        <v>14</v>
      </c>
      <c r="F240" t="s">
        <v>27</v>
      </c>
      <c r="G240" t="s">
        <v>12</v>
      </c>
      <c r="H240" t="s">
        <v>12</v>
      </c>
      <c r="I240" t="s">
        <v>2127</v>
      </c>
      <c r="J240" t="s">
        <v>2198</v>
      </c>
      <c r="K240" t="s">
        <v>2129</v>
      </c>
      <c r="L240" t="s">
        <v>2199</v>
      </c>
      <c r="M240" t="s">
        <v>2130</v>
      </c>
      <c r="N240" t="s">
        <v>2129</v>
      </c>
      <c r="O240" t="s">
        <v>2150</v>
      </c>
      <c r="P240" t="s">
        <v>2198</v>
      </c>
      <c r="Q240" t="s">
        <v>2198</v>
      </c>
      <c r="R240" s="37">
        <v>46043.611111111109</v>
      </c>
      <c r="S240" s="37">
        <v>46090.37222222222</v>
      </c>
      <c r="T240" s="37">
        <v>46100.368750000001</v>
      </c>
      <c r="U240" s="37"/>
      <c r="V240" t="s">
        <v>2129</v>
      </c>
      <c r="W240" t="s">
        <v>2129</v>
      </c>
      <c r="X240" t="s">
        <v>2129</v>
      </c>
      <c r="Y240">
        <v>0</v>
      </c>
      <c r="Z240" t="s">
        <v>2129</v>
      </c>
      <c r="AA240" t="s">
        <v>2709</v>
      </c>
      <c r="AB240" t="s">
        <v>2129</v>
      </c>
      <c r="AC240" t="s">
        <v>2198</v>
      </c>
      <c r="AD240" t="s">
        <v>2129</v>
      </c>
      <c r="AE240" t="s">
        <v>2129</v>
      </c>
      <c r="AF240" t="s">
        <v>2129</v>
      </c>
      <c r="AG240" t="s">
        <v>2129</v>
      </c>
      <c r="AH240" t="s">
        <v>2710</v>
      </c>
      <c r="AI240" t="s">
        <v>2711</v>
      </c>
      <c r="AJ240" t="s">
        <v>2712</v>
      </c>
      <c r="AK240" t="s">
        <v>2129</v>
      </c>
      <c r="AL240" t="s">
        <v>2129</v>
      </c>
      <c r="AM240" t="s">
        <v>2129</v>
      </c>
      <c r="AN240" t="s">
        <v>2129</v>
      </c>
      <c r="AO240" t="s">
        <v>2129</v>
      </c>
      <c r="AP240" t="s">
        <v>2129</v>
      </c>
      <c r="AQ240" t="s">
        <v>2129</v>
      </c>
      <c r="AR240" t="s">
        <v>2129</v>
      </c>
      <c r="AS240" t="s">
        <v>2129</v>
      </c>
      <c r="AT240" t="s">
        <v>2129</v>
      </c>
      <c r="AU240" t="s">
        <v>2129</v>
      </c>
      <c r="AV240" t="s">
        <v>2129</v>
      </c>
      <c r="AW240" t="s">
        <v>2129</v>
      </c>
      <c r="AX240" t="s">
        <v>2129</v>
      </c>
      <c r="AY240" t="s">
        <v>2129</v>
      </c>
      <c r="AZ240" t="s">
        <v>2129</v>
      </c>
      <c r="BA240" t="s">
        <v>2129</v>
      </c>
      <c r="BB240" t="s">
        <v>2129</v>
      </c>
      <c r="BC240" t="s">
        <v>2129</v>
      </c>
      <c r="BD240" t="s">
        <v>2129</v>
      </c>
      <c r="BE240" t="s">
        <v>2129</v>
      </c>
      <c r="BF240" t="s">
        <v>2129</v>
      </c>
      <c r="BG240" t="s">
        <v>2129</v>
      </c>
      <c r="BH240" t="s">
        <v>2129</v>
      </c>
      <c r="BI240" t="s">
        <v>2129</v>
      </c>
      <c r="BJ240" t="s">
        <v>2129</v>
      </c>
      <c r="BK240" t="s">
        <v>2129</v>
      </c>
      <c r="BL240" t="s">
        <v>2129</v>
      </c>
      <c r="BM240" t="s">
        <v>2129</v>
      </c>
      <c r="BN240" t="s">
        <v>2129</v>
      </c>
      <c r="BO240" t="s">
        <v>2129</v>
      </c>
      <c r="BP240" t="s">
        <v>2129</v>
      </c>
      <c r="BQ240">
        <v>0</v>
      </c>
      <c r="BR240">
        <v>54000</v>
      </c>
      <c r="BS240" t="s">
        <v>2129</v>
      </c>
      <c r="BT240" t="s">
        <v>2129</v>
      </c>
      <c r="BU240">
        <v>0</v>
      </c>
      <c r="BV240">
        <v>54000</v>
      </c>
      <c r="BW240" t="s">
        <v>2129</v>
      </c>
      <c r="BX240" t="s">
        <v>2129</v>
      </c>
      <c r="BY240" t="s">
        <v>2129</v>
      </c>
      <c r="BZ240" t="s">
        <v>2129</v>
      </c>
      <c r="CA240" t="s">
        <v>2129</v>
      </c>
      <c r="CB240" t="s">
        <v>2129</v>
      </c>
      <c r="CC240" t="s">
        <v>2129</v>
      </c>
      <c r="CD240" t="s">
        <v>2129</v>
      </c>
      <c r="CE240" t="s">
        <v>2129</v>
      </c>
      <c r="CF240" t="s">
        <v>2129</v>
      </c>
      <c r="CG240" t="s">
        <v>2129</v>
      </c>
      <c r="CH240" t="s">
        <v>2129</v>
      </c>
      <c r="CI240" t="s">
        <v>2129</v>
      </c>
      <c r="CJ240" t="s">
        <v>2129</v>
      </c>
      <c r="CK240" t="s">
        <v>2129</v>
      </c>
      <c r="CL240" t="s">
        <v>2129</v>
      </c>
      <c r="CM240" t="s">
        <v>2129</v>
      </c>
      <c r="CN240" t="s">
        <v>2129</v>
      </c>
      <c r="CO240" t="s">
        <v>2129</v>
      </c>
      <c r="CP240" t="s">
        <v>2129</v>
      </c>
      <c r="CQ240" t="s">
        <v>2129</v>
      </c>
      <c r="CR240" t="s">
        <v>2129</v>
      </c>
      <c r="CS240" t="s">
        <v>2129</v>
      </c>
      <c r="CT240" t="s">
        <v>4480</v>
      </c>
      <c r="CU240" t="s">
        <v>4425</v>
      </c>
      <c r="CV240" t="s">
        <v>2129</v>
      </c>
      <c r="CW240" t="s">
        <v>2129</v>
      </c>
      <c r="CX240" t="s">
        <v>2129</v>
      </c>
      <c r="CY240" t="s">
        <v>2129</v>
      </c>
      <c r="CZ240" t="s">
        <v>2129</v>
      </c>
      <c r="DA240" t="s">
        <v>2129</v>
      </c>
      <c r="DB240" t="s">
        <v>2129</v>
      </c>
      <c r="DC240" t="s">
        <v>2129</v>
      </c>
      <c r="DD240" t="s">
        <v>2129</v>
      </c>
      <c r="DE240" t="s">
        <v>2129</v>
      </c>
      <c r="DF240" t="s">
        <v>2129</v>
      </c>
      <c r="DG240" t="s">
        <v>2129</v>
      </c>
      <c r="DH240" t="s">
        <v>2129</v>
      </c>
      <c r="DI240">
        <v>50</v>
      </c>
      <c r="DJ240" t="s">
        <v>2129</v>
      </c>
      <c r="DK240" t="s">
        <v>2129</v>
      </c>
      <c r="DL240" t="s">
        <v>2129</v>
      </c>
      <c r="DM240" t="s">
        <v>2129</v>
      </c>
      <c r="DN240" t="s">
        <v>2129</v>
      </c>
      <c r="DO240" t="s">
        <v>2129</v>
      </c>
      <c r="DP240" t="s">
        <v>2129</v>
      </c>
      <c r="DQ240" t="s">
        <v>2129</v>
      </c>
      <c r="DR240" t="s">
        <v>2129</v>
      </c>
      <c r="DS240" t="s">
        <v>2129</v>
      </c>
      <c r="DT240" t="s">
        <v>2129</v>
      </c>
      <c r="DU240" t="s">
        <v>2129</v>
      </c>
      <c r="DV240" t="s">
        <v>2129</v>
      </c>
      <c r="DW240" t="s">
        <v>2129</v>
      </c>
      <c r="DX240" t="s">
        <v>2129</v>
      </c>
      <c r="DY240" t="s">
        <v>2129</v>
      </c>
      <c r="DZ240" t="s">
        <v>2129</v>
      </c>
      <c r="EA240" t="s">
        <v>2129</v>
      </c>
      <c r="EB240" t="s">
        <v>2129</v>
      </c>
      <c r="EC240" t="s">
        <v>2129</v>
      </c>
      <c r="ED240" t="s">
        <v>2129</v>
      </c>
      <c r="EE240" t="s">
        <v>2129</v>
      </c>
      <c r="EF240" t="s">
        <v>2129</v>
      </c>
      <c r="EG240" t="s">
        <v>2129</v>
      </c>
      <c r="EH240" t="s">
        <v>2129</v>
      </c>
    </row>
    <row r="241" spans="1:138" x14ac:dyDescent="0.25">
      <c r="A241" t="s">
        <v>2567</v>
      </c>
      <c r="B241" t="s">
        <v>2566</v>
      </c>
      <c r="C241">
        <v>22827</v>
      </c>
      <c r="E241" t="s">
        <v>14</v>
      </c>
      <c r="F241" t="s">
        <v>27</v>
      </c>
      <c r="G241" t="s">
        <v>12</v>
      </c>
      <c r="H241" t="s">
        <v>12</v>
      </c>
      <c r="I241" t="s">
        <v>2127</v>
      </c>
      <c r="J241" t="s">
        <v>2198</v>
      </c>
      <c r="K241" t="s">
        <v>2129</v>
      </c>
      <c r="L241" t="s">
        <v>2199</v>
      </c>
      <c r="M241" t="s">
        <v>2130</v>
      </c>
      <c r="N241" t="s">
        <v>2129</v>
      </c>
      <c r="O241" t="s">
        <v>2131</v>
      </c>
      <c r="P241" t="s">
        <v>2198</v>
      </c>
      <c r="Q241" t="s">
        <v>2198</v>
      </c>
      <c r="R241" s="37">
        <v>46035.381249999999</v>
      </c>
      <c r="S241" s="37">
        <v>46090.37222222222</v>
      </c>
      <c r="T241" s="37">
        <v>46100.368750000001</v>
      </c>
      <c r="U241" s="37"/>
      <c r="V241" t="s">
        <v>2129</v>
      </c>
      <c r="W241" t="s">
        <v>2129</v>
      </c>
      <c r="X241" t="s">
        <v>2129</v>
      </c>
      <c r="Y241">
        <v>0</v>
      </c>
      <c r="Z241" t="s">
        <v>2129</v>
      </c>
      <c r="AA241" t="s">
        <v>2637</v>
      </c>
      <c r="AB241" t="s">
        <v>2129</v>
      </c>
      <c r="AC241" t="s">
        <v>2131</v>
      </c>
      <c r="AD241" t="s">
        <v>2198</v>
      </c>
      <c r="AE241" t="s">
        <v>2129</v>
      </c>
      <c r="AF241" t="s">
        <v>2129</v>
      </c>
      <c r="AG241" t="s">
        <v>2129</v>
      </c>
      <c r="AH241" t="s">
        <v>2638</v>
      </c>
      <c r="AI241" t="s">
        <v>2639</v>
      </c>
      <c r="AJ241" t="s">
        <v>2129</v>
      </c>
      <c r="AK241" t="s">
        <v>2129</v>
      </c>
      <c r="AL241" t="s">
        <v>2129</v>
      </c>
      <c r="AM241" t="s">
        <v>2129</v>
      </c>
      <c r="AN241" t="s">
        <v>2129</v>
      </c>
      <c r="AO241" t="s">
        <v>2129</v>
      </c>
      <c r="AP241" t="s">
        <v>2129</v>
      </c>
      <c r="AQ241" t="s">
        <v>2129</v>
      </c>
      <c r="AR241" t="s">
        <v>2129</v>
      </c>
      <c r="AS241" t="s">
        <v>2129</v>
      </c>
      <c r="AT241" t="s">
        <v>2129</v>
      </c>
      <c r="AU241" t="s">
        <v>2129</v>
      </c>
      <c r="AV241" t="s">
        <v>2129</v>
      </c>
      <c r="AW241" t="s">
        <v>2129</v>
      </c>
      <c r="AX241" t="s">
        <v>2129</v>
      </c>
      <c r="AY241" t="s">
        <v>2129</v>
      </c>
      <c r="AZ241" t="s">
        <v>2129</v>
      </c>
      <c r="BA241" t="s">
        <v>2129</v>
      </c>
      <c r="BB241" t="s">
        <v>2129</v>
      </c>
      <c r="BC241" t="s">
        <v>2129</v>
      </c>
      <c r="BD241" t="s">
        <v>2129</v>
      </c>
      <c r="BE241" t="s">
        <v>2129</v>
      </c>
      <c r="BF241" t="s">
        <v>2129</v>
      </c>
      <c r="BG241" t="s">
        <v>2129</v>
      </c>
      <c r="BH241" t="s">
        <v>2129</v>
      </c>
      <c r="BI241" t="s">
        <v>2129</v>
      </c>
      <c r="BJ241" t="s">
        <v>2129</v>
      </c>
      <c r="BK241" t="s">
        <v>2129</v>
      </c>
      <c r="BL241" t="s">
        <v>2129</v>
      </c>
      <c r="BM241" t="s">
        <v>2129</v>
      </c>
      <c r="BN241" t="s">
        <v>2129</v>
      </c>
      <c r="BO241" t="s">
        <v>2129</v>
      </c>
      <c r="BP241" t="s">
        <v>2129</v>
      </c>
      <c r="BQ241">
        <v>0</v>
      </c>
      <c r="BR241">
        <v>32400</v>
      </c>
      <c r="BS241" t="s">
        <v>2129</v>
      </c>
      <c r="BT241" t="s">
        <v>2129</v>
      </c>
      <c r="BU241">
        <v>0</v>
      </c>
      <c r="BV241">
        <v>32400</v>
      </c>
      <c r="BW241" t="s">
        <v>2129</v>
      </c>
      <c r="BX241" t="s">
        <v>2129</v>
      </c>
      <c r="BY241" t="s">
        <v>2129</v>
      </c>
      <c r="BZ241" t="s">
        <v>2129</v>
      </c>
      <c r="CA241" t="s">
        <v>2129</v>
      </c>
      <c r="CB241" t="s">
        <v>2129</v>
      </c>
      <c r="CC241" t="s">
        <v>2129</v>
      </c>
      <c r="CD241" t="s">
        <v>2129</v>
      </c>
      <c r="CE241" t="s">
        <v>2129</v>
      </c>
      <c r="CF241" t="s">
        <v>2129</v>
      </c>
      <c r="CG241" t="s">
        <v>2129</v>
      </c>
      <c r="CH241" t="s">
        <v>2129</v>
      </c>
      <c r="CI241" t="s">
        <v>2129</v>
      </c>
      <c r="CJ241" t="s">
        <v>2129</v>
      </c>
      <c r="CK241" t="s">
        <v>2129</v>
      </c>
      <c r="CL241" t="s">
        <v>2129</v>
      </c>
      <c r="CM241" t="s">
        <v>9</v>
      </c>
      <c r="CN241" t="s">
        <v>2129</v>
      </c>
      <c r="CO241" t="s">
        <v>2129</v>
      </c>
      <c r="CP241" t="s">
        <v>2129</v>
      </c>
      <c r="CQ241" t="s">
        <v>2129</v>
      </c>
      <c r="CR241" t="s">
        <v>2129</v>
      </c>
      <c r="CS241" t="s">
        <v>2129</v>
      </c>
      <c r="CT241" t="s">
        <v>4481</v>
      </c>
      <c r="CU241" t="s">
        <v>4425</v>
      </c>
      <c r="CV241" t="s">
        <v>2129</v>
      </c>
      <c r="CW241" t="s">
        <v>2129</v>
      </c>
      <c r="CX241" t="s">
        <v>2129</v>
      </c>
      <c r="CY241" t="s">
        <v>2129</v>
      </c>
      <c r="CZ241" t="s">
        <v>2129</v>
      </c>
      <c r="DA241" t="s">
        <v>2129</v>
      </c>
      <c r="DB241" t="s">
        <v>2129</v>
      </c>
      <c r="DC241" t="s">
        <v>2129</v>
      </c>
      <c r="DD241" t="s">
        <v>2129</v>
      </c>
      <c r="DE241" t="s">
        <v>2129</v>
      </c>
      <c r="DF241" t="s">
        <v>2129</v>
      </c>
      <c r="DG241" t="s">
        <v>2129</v>
      </c>
      <c r="DH241" t="s">
        <v>2129</v>
      </c>
      <c r="DI241">
        <v>50</v>
      </c>
      <c r="DJ241" t="s">
        <v>2129</v>
      </c>
      <c r="DK241" t="s">
        <v>2129</v>
      </c>
      <c r="DL241" t="s">
        <v>2640</v>
      </c>
      <c r="DM241" t="s">
        <v>2129</v>
      </c>
      <c r="DN241" t="s">
        <v>2129</v>
      </c>
      <c r="DO241" t="s">
        <v>2129</v>
      </c>
      <c r="DP241" t="s">
        <v>2129</v>
      </c>
      <c r="DQ241" t="s">
        <v>2129</v>
      </c>
      <c r="DR241" t="s">
        <v>2129</v>
      </c>
      <c r="DS241" t="s">
        <v>2129</v>
      </c>
      <c r="DT241" t="s">
        <v>2129</v>
      </c>
      <c r="DU241" t="s">
        <v>2129</v>
      </c>
      <c r="DV241" t="s">
        <v>2129</v>
      </c>
      <c r="DW241" t="s">
        <v>2129</v>
      </c>
      <c r="DX241" t="s">
        <v>2129</v>
      </c>
      <c r="DY241" t="s">
        <v>2129</v>
      </c>
      <c r="DZ241" t="s">
        <v>2129</v>
      </c>
      <c r="EA241" t="s">
        <v>2129</v>
      </c>
      <c r="EB241" t="s">
        <v>2129</v>
      </c>
      <c r="EC241" t="s">
        <v>2129</v>
      </c>
      <c r="ED241" t="s">
        <v>2129</v>
      </c>
      <c r="EE241" t="s">
        <v>2129</v>
      </c>
      <c r="EF241" t="s">
        <v>2129</v>
      </c>
      <c r="EG241" t="s">
        <v>2129</v>
      </c>
      <c r="EH241" t="s">
        <v>2129</v>
      </c>
    </row>
    <row r="242" spans="1:138" x14ac:dyDescent="0.25">
      <c r="A242" t="s">
        <v>2541</v>
      </c>
      <c r="B242" t="s">
        <v>2542</v>
      </c>
      <c r="C242">
        <v>22755</v>
      </c>
      <c r="E242" t="s">
        <v>14</v>
      </c>
      <c r="F242" t="s">
        <v>10</v>
      </c>
      <c r="G242" t="s">
        <v>12</v>
      </c>
      <c r="H242" t="s">
        <v>12</v>
      </c>
      <c r="I242" t="s">
        <v>2127</v>
      </c>
      <c r="J242" t="s">
        <v>2198</v>
      </c>
      <c r="K242" t="s">
        <v>2129</v>
      </c>
      <c r="L242" t="s">
        <v>2199</v>
      </c>
      <c r="M242" t="s">
        <v>2130</v>
      </c>
      <c r="N242" t="s">
        <v>2129</v>
      </c>
      <c r="O242" t="s">
        <v>2131</v>
      </c>
      <c r="P242" t="s">
        <v>2198</v>
      </c>
      <c r="Q242" t="s">
        <v>2198</v>
      </c>
      <c r="R242" s="37">
        <v>46021.393750000003</v>
      </c>
      <c r="S242" s="37">
        <v>46090.374305555553</v>
      </c>
      <c r="T242" s="37">
        <v>46100.368750000001</v>
      </c>
      <c r="U242" s="37"/>
      <c r="V242" t="s">
        <v>2129</v>
      </c>
      <c r="W242" t="s">
        <v>2129</v>
      </c>
      <c r="X242" t="s">
        <v>2129</v>
      </c>
      <c r="Y242">
        <v>0</v>
      </c>
      <c r="Z242" t="s">
        <v>2129</v>
      </c>
      <c r="AA242" t="s">
        <v>2713</v>
      </c>
      <c r="AB242" t="s">
        <v>2129</v>
      </c>
      <c r="AC242" t="s">
        <v>2198</v>
      </c>
      <c r="AD242" t="s">
        <v>2129</v>
      </c>
      <c r="AE242" t="s">
        <v>2129</v>
      </c>
      <c r="AF242" t="s">
        <v>2129</v>
      </c>
      <c r="AG242" t="s">
        <v>2129</v>
      </c>
      <c r="AH242" t="s">
        <v>2129</v>
      </c>
      <c r="AI242" t="s">
        <v>2129</v>
      </c>
      <c r="AJ242" t="s">
        <v>2129</v>
      </c>
      <c r="AK242" t="s">
        <v>2129</v>
      </c>
      <c r="AL242" t="s">
        <v>2129</v>
      </c>
      <c r="AM242" t="s">
        <v>2129</v>
      </c>
      <c r="AN242" t="s">
        <v>2129</v>
      </c>
      <c r="AO242" t="s">
        <v>2129</v>
      </c>
      <c r="AP242" t="s">
        <v>2129</v>
      </c>
      <c r="AQ242" t="s">
        <v>2129</v>
      </c>
      <c r="AR242" t="s">
        <v>2129</v>
      </c>
      <c r="AS242" t="s">
        <v>2129</v>
      </c>
      <c r="AT242" t="s">
        <v>2129</v>
      </c>
      <c r="AU242" t="s">
        <v>2129</v>
      </c>
      <c r="AV242" t="s">
        <v>2129</v>
      </c>
      <c r="AW242" t="s">
        <v>2129</v>
      </c>
      <c r="AX242" t="s">
        <v>2129</v>
      </c>
      <c r="AY242" t="s">
        <v>2129</v>
      </c>
      <c r="AZ242" t="s">
        <v>2129</v>
      </c>
      <c r="BA242" t="s">
        <v>2129</v>
      </c>
      <c r="BB242" t="s">
        <v>2129</v>
      </c>
      <c r="BC242" t="s">
        <v>2129</v>
      </c>
      <c r="BD242" t="s">
        <v>2129</v>
      </c>
      <c r="BE242" t="s">
        <v>2129</v>
      </c>
      <c r="BF242" t="s">
        <v>2129</v>
      </c>
      <c r="BG242" t="s">
        <v>2129</v>
      </c>
      <c r="BH242" t="s">
        <v>2129</v>
      </c>
      <c r="BI242" t="s">
        <v>2129</v>
      </c>
      <c r="BJ242" t="s">
        <v>2129</v>
      </c>
      <c r="BK242" t="s">
        <v>2129</v>
      </c>
      <c r="BL242" t="s">
        <v>2129</v>
      </c>
      <c r="BM242" t="s">
        <v>2129</v>
      </c>
      <c r="BN242" t="s">
        <v>2129</v>
      </c>
      <c r="BO242" t="s">
        <v>2129</v>
      </c>
      <c r="BP242" t="s">
        <v>2129</v>
      </c>
      <c r="BS242" t="s">
        <v>2129</v>
      </c>
      <c r="BT242" t="s">
        <v>2129</v>
      </c>
      <c r="BW242" t="s">
        <v>2129</v>
      </c>
      <c r="BX242" t="s">
        <v>2129</v>
      </c>
      <c r="BY242" t="s">
        <v>2129</v>
      </c>
      <c r="BZ242" t="s">
        <v>2714</v>
      </c>
      <c r="CA242" t="s">
        <v>2129</v>
      </c>
      <c r="CB242" t="s">
        <v>2129</v>
      </c>
      <c r="CC242" t="s">
        <v>2129</v>
      </c>
      <c r="CD242" t="s">
        <v>2129</v>
      </c>
      <c r="CE242" t="s">
        <v>2129</v>
      </c>
      <c r="CF242" t="s">
        <v>2129</v>
      </c>
      <c r="CG242" t="s">
        <v>2129</v>
      </c>
      <c r="CH242" t="s">
        <v>2129</v>
      </c>
      <c r="CI242" t="s">
        <v>2129</v>
      </c>
      <c r="CJ242" t="s">
        <v>2129</v>
      </c>
      <c r="CK242" t="s">
        <v>2129</v>
      </c>
      <c r="CL242" t="s">
        <v>2129</v>
      </c>
      <c r="CM242" t="s">
        <v>2129</v>
      </c>
      <c r="CN242" t="s">
        <v>2129</v>
      </c>
      <c r="CO242" t="s">
        <v>2129</v>
      </c>
      <c r="CP242" t="s">
        <v>2129</v>
      </c>
      <c r="CQ242" t="s">
        <v>2129</v>
      </c>
      <c r="CR242" t="s">
        <v>2129</v>
      </c>
      <c r="CS242" t="s">
        <v>2129</v>
      </c>
      <c r="CT242" t="s">
        <v>4482</v>
      </c>
      <c r="CU242" t="s">
        <v>4425</v>
      </c>
      <c r="CV242" t="s">
        <v>2129</v>
      </c>
      <c r="CW242" t="s">
        <v>2129</v>
      </c>
      <c r="CX242" t="s">
        <v>2129</v>
      </c>
      <c r="CY242" t="s">
        <v>2129</v>
      </c>
      <c r="CZ242" t="s">
        <v>2129</v>
      </c>
      <c r="DA242" t="s">
        <v>2129</v>
      </c>
      <c r="DB242" t="s">
        <v>2129</v>
      </c>
      <c r="DC242" t="s">
        <v>2129</v>
      </c>
      <c r="DD242" t="s">
        <v>2129</v>
      </c>
      <c r="DE242" t="s">
        <v>2129</v>
      </c>
      <c r="DF242" t="s">
        <v>2129</v>
      </c>
      <c r="DG242" t="s">
        <v>2129</v>
      </c>
      <c r="DH242" t="s">
        <v>2129</v>
      </c>
      <c r="DI242">
        <v>50</v>
      </c>
      <c r="DJ242" t="s">
        <v>2129</v>
      </c>
      <c r="DK242" t="s">
        <v>2129</v>
      </c>
      <c r="DL242" t="s">
        <v>2129</v>
      </c>
      <c r="DM242" t="s">
        <v>2129</v>
      </c>
      <c r="DN242" t="s">
        <v>2129</v>
      </c>
      <c r="DO242" t="s">
        <v>2129</v>
      </c>
      <c r="DP242" t="s">
        <v>2129</v>
      </c>
      <c r="DQ242" t="s">
        <v>2129</v>
      </c>
      <c r="DR242" t="s">
        <v>2129</v>
      </c>
      <c r="DS242" t="s">
        <v>2129</v>
      </c>
      <c r="DT242" t="s">
        <v>2129</v>
      </c>
      <c r="DU242" t="s">
        <v>2129</v>
      </c>
      <c r="DV242" t="s">
        <v>2129</v>
      </c>
      <c r="DW242" t="s">
        <v>2129</v>
      </c>
      <c r="DX242" t="s">
        <v>2129</v>
      </c>
      <c r="DY242" t="s">
        <v>2129</v>
      </c>
      <c r="DZ242" t="s">
        <v>2129</v>
      </c>
      <c r="EA242" t="s">
        <v>2129</v>
      </c>
      <c r="EB242" t="s">
        <v>2129</v>
      </c>
      <c r="EC242" t="s">
        <v>2129</v>
      </c>
      <c r="ED242" t="s">
        <v>2129</v>
      </c>
      <c r="EE242" t="s">
        <v>2129</v>
      </c>
      <c r="EF242" t="s">
        <v>2129</v>
      </c>
      <c r="EG242" t="s">
        <v>2129</v>
      </c>
      <c r="EH242" t="s">
        <v>2129</v>
      </c>
    </row>
    <row r="243" spans="1:138" x14ac:dyDescent="0.25">
      <c r="A243" t="s">
        <v>2775</v>
      </c>
      <c r="B243" t="s">
        <v>2769</v>
      </c>
      <c r="C243">
        <v>22739</v>
      </c>
      <c r="E243" t="s">
        <v>14</v>
      </c>
      <c r="F243" t="s">
        <v>27</v>
      </c>
      <c r="G243" t="s">
        <v>12</v>
      </c>
      <c r="H243" t="s">
        <v>12</v>
      </c>
      <c r="I243" t="s">
        <v>2127</v>
      </c>
      <c r="J243" t="s">
        <v>2198</v>
      </c>
      <c r="K243" t="s">
        <v>2129</v>
      </c>
      <c r="L243" t="s">
        <v>2199</v>
      </c>
      <c r="M243" t="s">
        <v>2130</v>
      </c>
      <c r="N243" t="s">
        <v>2129</v>
      </c>
      <c r="O243" t="s">
        <v>2150</v>
      </c>
      <c r="P243" t="s">
        <v>2198</v>
      </c>
      <c r="Q243" t="s">
        <v>2198</v>
      </c>
      <c r="R243" s="37">
        <v>46017.706250000003</v>
      </c>
      <c r="S243" s="37">
        <v>46090.37222222222</v>
      </c>
      <c r="T243" s="37">
        <v>46100.368750000001</v>
      </c>
      <c r="U243" s="37"/>
      <c r="V243" t="s">
        <v>2129</v>
      </c>
      <c r="W243" t="s">
        <v>2129</v>
      </c>
      <c r="X243" t="s">
        <v>2129</v>
      </c>
      <c r="Y243">
        <v>0</v>
      </c>
      <c r="Z243" t="s">
        <v>2129</v>
      </c>
      <c r="AA243" t="s">
        <v>3137</v>
      </c>
      <c r="AB243" t="s">
        <v>2129</v>
      </c>
      <c r="AC243" t="s">
        <v>2198</v>
      </c>
      <c r="AD243" t="s">
        <v>2129</v>
      </c>
      <c r="AE243" t="s">
        <v>2129</v>
      </c>
      <c r="AF243" t="s">
        <v>2129</v>
      </c>
      <c r="AG243" t="s">
        <v>2129</v>
      </c>
      <c r="AH243" t="s">
        <v>3138</v>
      </c>
      <c r="AI243" t="s">
        <v>3139</v>
      </c>
      <c r="AJ243" t="s">
        <v>2129</v>
      </c>
      <c r="AK243" t="s">
        <v>2129</v>
      </c>
      <c r="AL243" t="s">
        <v>2129</v>
      </c>
      <c r="AM243" t="s">
        <v>2129</v>
      </c>
      <c r="AN243" t="s">
        <v>2129</v>
      </c>
      <c r="AO243" t="s">
        <v>2129</v>
      </c>
      <c r="AP243" t="s">
        <v>2129</v>
      </c>
      <c r="AQ243" t="s">
        <v>2129</v>
      </c>
      <c r="AR243" t="s">
        <v>2129</v>
      </c>
      <c r="AS243" t="s">
        <v>2129</v>
      </c>
      <c r="AT243" t="s">
        <v>2129</v>
      </c>
      <c r="AU243" t="s">
        <v>2129</v>
      </c>
      <c r="AV243" t="s">
        <v>2129</v>
      </c>
      <c r="AW243" t="s">
        <v>2129</v>
      </c>
      <c r="AX243" t="s">
        <v>2129</v>
      </c>
      <c r="AY243" t="s">
        <v>2129</v>
      </c>
      <c r="AZ243" t="s">
        <v>2129</v>
      </c>
      <c r="BA243" t="s">
        <v>2129</v>
      </c>
      <c r="BB243" t="s">
        <v>2129</v>
      </c>
      <c r="BC243" t="s">
        <v>2129</v>
      </c>
      <c r="BD243" t="s">
        <v>2129</v>
      </c>
      <c r="BE243" t="s">
        <v>2129</v>
      </c>
      <c r="BF243" t="s">
        <v>2129</v>
      </c>
      <c r="BG243" t="s">
        <v>2129</v>
      </c>
      <c r="BH243" t="s">
        <v>2129</v>
      </c>
      <c r="BI243" t="s">
        <v>2129</v>
      </c>
      <c r="BJ243" t="s">
        <v>2129</v>
      </c>
      <c r="BK243" t="s">
        <v>2129</v>
      </c>
      <c r="BL243" t="s">
        <v>2129</v>
      </c>
      <c r="BM243" t="s">
        <v>2129</v>
      </c>
      <c r="BN243" t="s">
        <v>2129</v>
      </c>
      <c r="BO243" t="s">
        <v>2129</v>
      </c>
      <c r="BP243" t="s">
        <v>2129</v>
      </c>
      <c r="BQ243">
        <v>0</v>
      </c>
      <c r="BR243">
        <v>21600</v>
      </c>
      <c r="BS243" t="s">
        <v>2129</v>
      </c>
      <c r="BT243" t="s">
        <v>2129</v>
      </c>
      <c r="BU243">
        <v>0</v>
      </c>
      <c r="BV243">
        <v>21600</v>
      </c>
      <c r="BW243" t="s">
        <v>2129</v>
      </c>
      <c r="BX243" t="s">
        <v>2129</v>
      </c>
      <c r="BY243" t="s">
        <v>2129</v>
      </c>
      <c r="BZ243" t="s">
        <v>2129</v>
      </c>
      <c r="CA243" t="s">
        <v>2129</v>
      </c>
      <c r="CB243" t="s">
        <v>2129</v>
      </c>
      <c r="CC243" t="s">
        <v>2129</v>
      </c>
      <c r="CD243" t="s">
        <v>2129</v>
      </c>
      <c r="CE243" t="s">
        <v>2129</v>
      </c>
      <c r="CF243" t="s">
        <v>2129</v>
      </c>
      <c r="CG243" t="s">
        <v>2129</v>
      </c>
      <c r="CH243" t="s">
        <v>2129</v>
      </c>
      <c r="CI243" t="s">
        <v>2129</v>
      </c>
      <c r="CJ243" t="s">
        <v>2129</v>
      </c>
      <c r="CK243" t="s">
        <v>2129</v>
      </c>
      <c r="CL243" t="s">
        <v>2129</v>
      </c>
      <c r="CM243" t="s">
        <v>2129</v>
      </c>
      <c r="CN243" t="s">
        <v>2129</v>
      </c>
      <c r="CO243" t="s">
        <v>2129</v>
      </c>
      <c r="CP243" t="s">
        <v>2129</v>
      </c>
      <c r="CQ243" t="s">
        <v>2129</v>
      </c>
      <c r="CR243" t="s">
        <v>2129</v>
      </c>
      <c r="CS243" t="s">
        <v>2129</v>
      </c>
      <c r="CT243" t="s">
        <v>4483</v>
      </c>
      <c r="CU243" t="s">
        <v>4425</v>
      </c>
      <c r="CV243" t="s">
        <v>2129</v>
      </c>
      <c r="CW243" t="s">
        <v>2129</v>
      </c>
      <c r="CX243" t="s">
        <v>2129</v>
      </c>
      <c r="CY243" t="s">
        <v>2129</v>
      </c>
      <c r="CZ243" t="s">
        <v>2129</v>
      </c>
      <c r="DA243" t="s">
        <v>2129</v>
      </c>
      <c r="DB243" t="s">
        <v>2129</v>
      </c>
      <c r="DC243" t="s">
        <v>2129</v>
      </c>
      <c r="DD243" t="s">
        <v>2129</v>
      </c>
      <c r="DE243" t="s">
        <v>2129</v>
      </c>
      <c r="DF243" t="s">
        <v>2129</v>
      </c>
      <c r="DG243" t="s">
        <v>2129</v>
      </c>
      <c r="DH243" t="s">
        <v>2129</v>
      </c>
      <c r="DI243">
        <v>30</v>
      </c>
      <c r="DJ243" t="s">
        <v>2129</v>
      </c>
      <c r="DK243" t="s">
        <v>2129</v>
      </c>
      <c r="DL243" t="s">
        <v>2129</v>
      </c>
      <c r="DM243" t="s">
        <v>2129</v>
      </c>
      <c r="DN243" t="s">
        <v>2129</v>
      </c>
      <c r="DO243" t="s">
        <v>2129</v>
      </c>
      <c r="DP243" t="s">
        <v>2129</v>
      </c>
      <c r="DQ243" t="s">
        <v>2129</v>
      </c>
      <c r="DR243" t="s">
        <v>2129</v>
      </c>
      <c r="DS243" t="s">
        <v>2129</v>
      </c>
      <c r="DT243" t="s">
        <v>2129</v>
      </c>
      <c r="DU243" t="s">
        <v>2129</v>
      </c>
      <c r="DV243" t="s">
        <v>2129</v>
      </c>
      <c r="DW243" t="s">
        <v>2129</v>
      </c>
      <c r="DX243" t="s">
        <v>2129</v>
      </c>
      <c r="DY243" t="s">
        <v>2129</v>
      </c>
      <c r="DZ243" t="s">
        <v>2129</v>
      </c>
      <c r="EA243" t="s">
        <v>2129</v>
      </c>
      <c r="EB243" t="s">
        <v>2129</v>
      </c>
      <c r="EC243" t="s">
        <v>2129</v>
      </c>
      <c r="ED243" t="s">
        <v>2129</v>
      </c>
      <c r="EE243" t="s">
        <v>2129</v>
      </c>
      <c r="EF243" t="s">
        <v>2129</v>
      </c>
      <c r="EG243" t="s">
        <v>2129</v>
      </c>
      <c r="EH243" t="s">
        <v>2129</v>
      </c>
    </row>
    <row r="244" spans="1:138" x14ac:dyDescent="0.25">
      <c r="A244" t="s">
        <v>2641</v>
      </c>
      <c r="B244" t="s">
        <v>2427</v>
      </c>
      <c r="C244">
        <v>22697</v>
      </c>
      <c r="E244" t="s">
        <v>14</v>
      </c>
      <c r="F244" t="s">
        <v>27</v>
      </c>
      <c r="G244" t="s">
        <v>12</v>
      </c>
      <c r="H244" t="s">
        <v>12</v>
      </c>
      <c r="I244" t="s">
        <v>2127</v>
      </c>
      <c r="J244" t="s">
        <v>2198</v>
      </c>
      <c r="K244" t="s">
        <v>2129</v>
      </c>
      <c r="L244" t="s">
        <v>2199</v>
      </c>
      <c r="M244" t="s">
        <v>2130</v>
      </c>
      <c r="N244" t="s">
        <v>2129</v>
      </c>
      <c r="O244" t="s">
        <v>2131</v>
      </c>
      <c r="P244" t="s">
        <v>2198</v>
      </c>
      <c r="Q244" t="s">
        <v>2198</v>
      </c>
      <c r="R244" s="37">
        <v>46015.429861111108</v>
      </c>
      <c r="S244" s="37">
        <v>46090.37222222222</v>
      </c>
      <c r="T244" s="37">
        <v>46100.368750000001</v>
      </c>
      <c r="U244" s="37"/>
      <c r="V244" t="s">
        <v>2129</v>
      </c>
      <c r="W244" t="s">
        <v>2129</v>
      </c>
      <c r="X244" t="s">
        <v>2129</v>
      </c>
      <c r="Y244">
        <v>0</v>
      </c>
      <c r="Z244" t="s">
        <v>2129</v>
      </c>
      <c r="AA244" t="s">
        <v>2642</v>
      </c>
      <c r="AB244" t="s">
        <v>2129</v>
      </c>
      <c r="AC244" t="s">
        <v>2131</v>
      </c>
      <c r="AD244" t="s">
        <v>2198</v>
      </c>
      <c r="AE244" t="s">
        <v>2129</v>
      </c>
      <c r="AF244" t="s">
        <v>2129</v>
      </c>
      <c r="AG244" t="s">
        <v>2129</v>
      </c>
      <c r="AH244" t="s">
        <v>2643</v>
      </c>
      <c r="AI244" t="s">
        <v>2129</v>
      </c>
      <c r="AJ244" t="s">
        <v>2129</v>
      </c>
      <c r="AK244" t="s">
        <v>2129</v>
      </c>
      <c r="AL244" t="s">
        <v>2129</v>
      </c>
      <c r="AM244" t="s">
        <v>2129</v>
      </c>
      <c r="AN244" t="s">
        <v>2129</v>
      </c>
      <c r="AO244" t="s">
        <v>2129</v>
      </c>
      <c r="AP244" t="s">
        <v>2129</v>
      </c>
      <c r="AQ244" t="s">
        <v>2129</v>
      </c>
      <c r="AR244" t="s">
        <v>2129</v>
      </c>
      <c r="AS244" t="s">
        <v>2129</v>
      </c>
      <c r="AT244" t="s">
        <v>2129</v>
      </c>
      <c r="AU244" t="s">
        <v>2129</v>
      </c>
      <c r="AV244" t="s">
        <v>2129</v>
      </c>
      <c r="AW244" t="s">
        <v>2129</v>
      </c>
      <c r="AX244" t="s">
        <v>2129</v>
      </c>
      <c r="AY244" t="s">
        <v>2129</v>
      </c>
      <c r="AZ244" t="s">
        <v>2129</v>
      </c>
      <c r="BA244" t="s">
        <v>2129</v>
      </c>
      <c r="BB244" t="s">
        <v>2129</v>
      </c>
      <c r="BC244" t="s">
        <v>2129</v>
      </c>
      <c r="BD244" t="s">
        <v>2129</v>
      </c>
      <c r="BE244" t="s">
        <v>2129</v>
      </c>
      <c r="BF244" t="s">
        <v>2129</v>
      </c>
      <c r="BG244" t="s">
        <v>2129</v>
      </c>
      <c r="BH244" t="s">
        <v>2129</v>
      </c>
      <c r="BI244" t="s">
        <v>2129</v>
      </c>
      <c r="BJ244" t="s">
        <v>2129</v>
      </c>
      <c r="BK244" t="s">
        <v>2129</v>
      </c>
      <c r="BL244" t="s">
        <v>2129</v>
      </c>
      <c r="BM244" t="s">
        <v>2129</v>
      </c>
      <c r="BN244" t="s">
        <v>2129</v>
      </c>
      <c r="BO244" t="s">
        <v>2129</v>
      </c>
      <c r="BP244" t="s">
        <v>2129</v>
      </c>
      <c r="BQ244">
        <v>0</v>
      </c>
      <c r="BR244">
        <v>25200</v>
      </c>
      <c r="BS244" t="s">
        <v>2129</v>
      </c>
      <c r="BT244" t="s">
        <v>2129</v>
      </c>
      <c r="BU244">
        <v>0</v>
      </c>
      <c r="BV244">
        <v>25200</v>
      </c>
      <c r="BW244" t="s">
        <v>2129</v>
      </c>
      <c r="BX244" t="s">
        <v>2129</v>
      </c>
      <c r="BY244" t="s">
        <v>2129</v>
      </c>
      <c r="BZ244" t="s">
        <v>2129</v>
      </c>
      <c r="CA244" t="s">
        <v>2129</v>
      </c>
      <c r="CB244" t="s">
        <v>2129</v>
      </c>
      <c r="CC244" t="s">
        <v>2129</v>
      </c>
      <c r="CD244" t="s">
        <v>2129</v>
      </c>
      <c r="CE244" t="s">
        <v>2129</v>
      </c>
      <c r="CF244" t="s">
        <v>2129</v>
      </c>
      <c r="CG244" t="s">
        <v>2129</v>
      </c>
      <c r="CH244" t="s">
        <v>2129</v>
      </c>
      <c r="CI244" t="s">
        <v>2129</v>
      </c>
      <c r="CJ244" t="s">
        <v>2129</v>
      </c>
      <c r="CK244" t="s">
        <v>2129</v>
      </c>
      <c r="CL244" t="s">
        <v>2129</v>
      </c>
      <c r="CM244" t="s">
        <v>9</v>
      </c>
      <c r="CN244" t="s">
        <v>2129</v>
      </c>
      <c r="CO244" t="s">
        <v>2129</v>
      </c>
      <c r="CP244" t="s">
        <v>2129</v>
      </c>
      <c r="CQ244" t="s">
        <v>2129</v>
      </c>
      <c r="CR244" t="s">
        <v>2129</v>
      </c>
      <c r="CS244" t="s">
        <v>2129</v>
      </c>
      <c r="CT244" t="s">
        <v>4484</v>
      </c>
      <c r="CU244" t="s">
        <v>4425</v>
      </c>
      <c r="CV244" t="s">
        <v>2129</v>
      </c>
      <c r="CW244" t="s">
        <v>2129</v>
      </c>
      <c r="CX244" t="s">
        <v>2129</v>
      </c>
      <c r="CY244" t="s">
        <v>2129</v>
      </c>
      <c r="CZ244" t="s">
        <v>2129</v>
      </c>
      <c r="DA244" t="s">
        <v>2129</v>
      </c>
      <c r="DB244" t="s">
        <v>2129</v>
      </c>
      <c r="DC244" t="s">
        <v>2129</v>
      </c>
      <c r="DD244" t="s">
        <v>2129</v>
      </c>
      <c r="DE244" t="s">
        <v>2129</v>
      </c>
      <c r="DF244" t="s">
        <v>2129</v>
      </c>
      <c r="DG244" t="s">
        <v>2129</v>
      </c>
      <c r="DH244" t="s">
        <v>2129</v>
      </c>
      <c r="DI244">
        <v>30</v>
      </c>
      <c r="DJ244" t="s">
        <v>2129</v>
      </c>
      <c r="DK244" t="s">
        <v>2129</v>
      </c>
      <c r="DL244" t="s">
        <v>2644</v>
      </c>
      <c r="DM244" t="s">
        <v>2129</v>
      </c>
      <c r="DN244" t="s">
        <v>2129</v>
      </c>
      <c r="DO244" t="s">
        <v>2129</v>
      </c>
      <c r="DP244" t="s">
        <v>2129</v>
      </c>
      <c r="DQ244" t="s">
        <v>2129</v>
      </c>
      <c r="DR244" t="s">
        <v>2129</v>
      </c>
      <c r="DS244" t="s">
        <v>2129</v>
      </c>
      <c r="DT244" t="s">
        <v>2129</v>
      </c>
      <c r="DU244" t="s">
        <v>2129</v>
      </c>
      <c r="DV244" t="s">
        <v>2129</v>
      </c>
      <c r="DW244" t="s">
        <v>2129</v>
      </c>
      <c r="DX244" t="s">
        <v>2129</v>
      </c>
      <c r="DY244" t="s">
        <v>2129</v>
      </c>
      <c r="DZ244" t="s">
        <v>2129</v>
      </c>
      <c r="EA244" t="s">
        <v>2129</v>
      </c>
      <c r="EB244" t="s">
        <v>2129</v>
      </c>
      <c r="EC244" t="s">
        <v>2129</v>
      </c>
      <c r="ED244" t="s">
        <v>2129</v>
      </c>
      <c r="EE244" t="s">
        <v>2129</v>
      </c>
      <c r="EF244" t="s">
        <v>2129</v>
      </c>
      <c r="EG244" t="s">
        <v>2129</v>
      </c>
      <c r="EH244" t="s">
        <v>2129</v>
      </c>
    </row>
    <row r="245" spans="1:138" x14ac:dyDescent="0.25">
      <c r="A245" t="s">
        <v>2471</v>
      </c>
      <c r="B245" t="s">
        <v>2430</v>
      </c>
      <c r="C245">
        <v>22683</v>
      </c>
      <c r="E245" t="s">
        <v>14</v>
      </c>
      <c r="F245" t="s">
        <v>27</v>
      </c>
      <c r="G245" t="s">
        <v>12</v>
      </c>
      <c r="H245" t="s">
        <v>12</v>
      </c>
      <c r="I245" t="s">
        <v>2127</v>
      </c>
      <c r="J245" t="s">
        <v>2198</v>
      </c>
      <c r="K245" t="s">
        <v>2129</v>
      </c>
      <c r="L245" t="s">
        <v>2199</v>
      </c>
      <c r="M245" t="s">
        <v>2130</v>
      </c>
      <c r="N245" t="s">
        <v>2129</v>
      </c>
      <c r="O245" t="s">
        <v>2150</v>
      </c>
      <c r="P245" t="s">
        <v>2198</v>
      </c>
      <c r="Q245" t="s">
        <v>2198</v>
      </c>
      <c r="R245" s="37">
        <v>46013.538888888892</v>
      </c>
      <c r="S245" s="37">
        <v>46090.37222222222</v>
      </c>
      <c r="T245" s="37">
        <v>46100.368750000001</v>
      </c>
      <c r="U245" s="37"/>
      <c r="V245" t="s">
        <v>2129</v>
      </c>
      <c r="W245" t="s">
        <v>2129</v>
      </c>
      <c r="X245" t="s">
        <v>2129</v>
      </c>
      <c r="Y245">
        <v>0</v>
      </c>
      <c r="Z245" t="s">
        <v>2129</v>
      </c>
      <c r="AA245" t="s">
        <v>3141</v>
      </c>
      <c r="AB245" t="s">
        <v>2129</v>
      </c>
      <c r="AC245" t="s">
        <v>2200</v>
      </c>
      <c r="AD245" t="s">
        <v>2150</v>
      </c>
      <c r="AE245" t="s">
        <v>2198</v>
      </c>
      <c r="AF245" t="s">
        <v>2129</v>
      </c>
      <c r="AG245" t="s">
        <v>2129</v>
      </c>
      <c r="AH245" t="s">
        <v>3142</v>
      </c>
      <c r="AI245" t="s">
        <v>3143</v>
      </c>
      <c r="AJ245" t="s">
        <v>3144</v>
      </c>
      <c r="AK245" t="s">
        <v>2129</v>
      </c>
      <c r="AL245" t="s">
        <v>2129</v>
      </c>
      <c r="AM245" t="s">
        <v>2129</v>
      </c>
      <c r="AN245" t="s">
        <v>2129</v>
      </c>
      <c r="AO245" t="s">
        <v>2129</v>
      </c>
      <c r="AP245" t="s">
        <v>2129</v>
      </c>
      <c r="AQ245" t="s">
        <v>2129</v>
      </c>
      <c r="AR245" t="s">
        <v>2129</v>
      </c>
      <c r="AS245" t="s">
        <v>2129</v>
      </c>
      <c r="AT245" t="s">
        <v>2129</v>
      </c>
      <c r="AU245" t="s">
        <v>2129</v>
      </c>
      <c r="AV245" t="s">
        <v>2129</v>
      </c>
      <c r="AW245" t="s">
        <v>2129</v>
      </c>
      <c r="AX245" t="s">
        <v>2129</v>
      </c>
      <c r="AY245" t="s">
        <v>2129</v>
      </c>
      <c r="AZ245" t="s">
        <v>2129</v>
      </c>
      <c r="BA245" t="s">
        <v>2129</v>
      </c>
      <c r="BB245" t="s">
        <v>2129</v>
      </c>
      <c r="BC245" t="s">
        <v>2129</v>
      </c>
      <c r="BD245" t="s">
        <v>2129</v>
      </c>
      <c r="BE245" t="s">
        <v>2129</v>
      </c>
      <c r="BF245" t="s">
        <v>2129</v>
      </c>
      <c r="BG245" t="s">
        <v>2129</v>
      </c>
      <c r="BH245" t="s">
        <v>2129</v>
      </c>
      <c r="BI245" t="s">
        <v>2129</v>
      </c>
      <c r="BJ245" t="s">
        <v>2129</v>
      </c>
      <c r="BK245" t="s">
        <v>2129</v>
      </c>
      <c r="BL245" t="s">
        <v>2129</v>
      </c>
      <c r="BM245" t="s">
        <v>2129</v>
      </c>
      <c r="BN245" t="s">
        <v>2129</v>
      </c>
      <c r="BO245" t="s">
        <v>2129</v>
      </c>
      <c r="BP245" t="s">
        <v>2129</v>
      </c>
      <c r="BQ245">
        <v>0</v>
      </c>
      <c r="BR245">
        <v>57600</v>
      </c>
      <c r="BS245" t="s">
        <v>2129</v>
      </c>
      <c r="BT245" t="s">
        <v>2129</v>
      </c>
      <c r="BU245">
        <v>0</v>
      </c>
      <c r="BV245">
        <v>57600</v>
      </c>
      <c r="BW245" t="s">
        <v>2129</v>
      </c>
      <c r="BX245" t="s">
        <v>2129</v>
      </c>
      <c r="BY245" t="s">
        <v>2147</v>
      </c>
      <c r="BZ245" t="s">
        <v>2129</v>
      </c>
      <c r="CA245" t="s">
        <v>2129</v>
      </c>
      <c r="CB245" t="s">
        <v>2129</v>
      </c>
      <c r="CC245" t="s">
        <v>2129</v>
      </c>
      <c r="CD245" t="s">
        <v>2129</v>
      </c>
      <c r="CE245" t="s">
        <v>2129</v>
      </c>
      <c r="CF245" t="s">
        <v>2129</v>
      </c>
      <c r="CG245" t="s">
        <v>2129</v>
      </c>
      <c r="CH245" t="s">
        <v>2129</v>
      </c>
      <c r="CI245" t="s">
        <v>2129</v>
      </c>
      <c r="CJ245" t="s">
        <v>2129</v>
      </c>
      <c r="CK245" t="s">
        <v>2129</v>
      </c>
      <c r="CL245" t="s">
        <v>2129</v>
      </c>
      <c r="CM245" t="s">
        <v>2129</v>
      </c>
      <c r="CN245" t="s">
        <v>2129</v>
      </c>
      <c r="CO245" t="s">
        <v>2129</v>
      </c>
      <c r="CP245" t="s">
        <v>2129</v>
      </c>
      <c r="CQ245" t="s">
        <v>2129</v>
      </c>
      <c r="CR245" t="s">
        <v>2129</v>
      </c>
      <c r="CS245" t="s">
        <v>2129</v>
      </c>
      <c r="CT245" t="s">
        <v>4485</v>
      </c>
      <c r="CU245" t="s">
        <v>4425</v>
      </c>
      <c r="CV245" t="s">
        <v>2129</v>
      </c>
      <c r="CW245" t="s">
        <v>2129</v>
      </c>
      <c r="CX245" t="s">
        <v>2129</v>
      </c>
      <c r="CY245" t="s">
        <v>2129</v>
      </c>
      <c r="CZ245" t="s">
        <v>2129</v>
      </c>
      <c r="DA245" t="s">
        <v>2129</v>
      </c>
      <c r="DB245" t="s">
        <v>2129</v>
      </c>
      <c r="DC245" t="s">
        <v>2129</v>
      </c>
      <c r="DD245" t="s">
        <v>2129</v>
      </c>
      <c r="DE245" t="s">
        <v>2129</v>
      </c>
      <c r="DF245" t="s">
        <v>2129</v>
      </c>
      <c r="DG245" t="s">
        <v>2129</v>
      </c>
      <c r="DH245" t="s">
        <v>2129</v>
      </c>
      <c r="DI245">
        <v>30</v>
      </c>
      <c r="DJ245" t="s">
        <v>2129</v>
      </c>
      <c r="DK245" t="s">
        <v>2129</v>
      </c>
      <c r="DL245" t="s">
        <v>3145</v>
      </c>
      <c r="DM245" t="s">
        <v>3146</v>
      </c>
      <c r="DN245" t="s">
        <v>3147</v>
      </c>
      <c r="DO245" t="s">
        <v>3148</v>
      </c>
      <c r="DP245" t="s">
        <v>3149</v>
      </c>
      <c r="DQ245" t="s">
        <v>3150</v>
      </c>
      <c r="DR245" t="s">
        <v>3151</v>
      </c>
      <c r="DS245" t="s">
        <v>3152</v>
      </c>
      <c r="DT245" t="s">
        <v>3153</v>
      </c>
      <c r="DU245" t="s">
        <v>3154</v>
      </c>
      <c r="DV245" t="s">
        <v>3155</v>
      </c>
      <c r="DW245" t="s">
        <v>3156</v>
      </c>
      <c r="DX245" t="s">
        <v>3157</v>
      </c>
      <c r="DY245" t="s">
        <v>3158</v>
      </c>
      <c r="DZ245" t="s">
        <v>2129</v>
      </c>
      <c r="EA245" t="s">
        <v>2129</v>
      </c>
      <c r="EB245" t="s">
        <v>2129</v>
      </c>
      <c r="EC245" t="s">
        <v>2129</v>
      </c>
      <c r="ED245" t="s">
        <v>2129</v>
      </c>
      <c r="EE245" t="s">
        <v>2129</v>
      </c>
      <c r="EF245" t="s">
        <v>2129</v>
      </c>
      <c r="EG245" t="s">
        <v>2129</v>
      </c>
      <c r="EH245" t="s">
        <v>2129</v>
      </c>
    </row>
    <row r="246" spans="1:138" x14ac:dyDescent="0.25">
      <c r="A246" t="s">
        <v>2431</v>
      </c>
      <c r="B246" t="s">
        <v>2432</v>
      </c>
      <c r="C246">
        <v>22673</v>
      </c>
      <c r="E246" t="s">
        <v>14</v>
      </c>
      <c r="F246" t="s">
        <v>27</v>
      </c>
      <c r="G246" t="s">
        <v>12</v>
      </c>
      <c r="H246" t="s">
        <v>12</v>
      </c>
      <c r="I246" t="s">
        <v>2127</v>
      </c>
      <c r="J246" t="s">
        <v>2198</v>
      </c>
      <c r="K246" t="s">
        <v>2129</v>
      </c>
      <c r="L246" t="s">
        <v>2199</v>
      </c>
      <c r="M246" t="s">
        <v>2130</v>
      </c>
      <c r="N246" t="s">
        <v>2129</v>
      </c>
      <c r="O246" t="s">
        <v>2198</v>
      </c>
      <c r="P246" t="s">
        <v>2198</v>
      </c>
      <c r="Q246" t="s">
        <v>2198</v>
      </c>
      <c r="R246" s="37">
        <v>46007.686805555553</v>
      </c>
      <c r="S246" s="37">
        <v>46090.37222222222</v>
      </c>
      <c r="T246" s="37">
        <v>46064.451388888891</v>
      </c>
      <c r="U246" s="37"/>
      <c r="V246" t="s">
        <v>2129</v>
      </c>
      <c r="W246" t="s">
        <v>2129</v>
      </c>
      <c r="X246" t="s">
        <v>2129</v>
      </c>
      <c r="Y246">
        <v>0</v>
      </c>
      <c r="Z246" t="s">
        <v>2129</v>
      </c>
      <c r="AA246" t="s">
        <v>2433</v>
      </c>
      <c r="AB246" t="s">
        <v>2129</v>
      </c>
      <c r="AC246" t="s">
        <v>2200</v>
      </c>
      <c r="AD246" t="s">
        <v>2198</v>
      </c>
      <c r="AE246" t="s">
        <v>2129</v>
      </c>
      <c r="AF246" t="s">
        <v>2129</v>
      </c>
      <c r="AG246" t="s">
        <v>2129</v>
      </c>
      <c r="AH246" t="s">
        <v>2645</v>
      </c>
      <c r="AI246" t="s">
        <v>2129</v>
      </c>
      <c r="AJ246" t="s">
        <v>2129</v>
      </c>
      <c r="AK246" t="s">
        <v>2129</v>
      </c>
      <c r="AL246" t="s">
        <v>2129</v>
      </c>
      <c r="AM246" t="s">
        <v>2129</v>
      </c>
      <c r="AN246" t="s">
        <v>2129</v>
      </c>
      <c r="AO246" t="s">
        <v>2129</v>
      </c>
      <c r="AP246" t="s">
        <v>2129</v>
      </c>
      <c r="AQ246" t="s">
        <v>2129</v>
      </c>
      <c r="AR246" t="s">
        <v>2129</v>
      </c>
      <c r="AS246" t="s">
        <v>2129</v>
      </c>
      <c r="AT246" t="s">
        <v>2129</v>
      </c>
      <c r="AU246" t="s">
        <v>2129</v>
      </c>
      <c r="AV246" t="s">
        <v>2129</v>
      </c>
      <c r="AW246" t="s">
        <v>2129</v>
      </c>
      <c r="AX246" t="s">
        <v>2129</v>
      </c>
      <c r="AY246" t="s">
        <v>2129</v>
      </c>
      <c r="AZ246" t="s">
        <v>2129</v>
      </c>
      <c r="BA246" t="s">
        <v>2129</v>
      </c>
      <c r="BB246" t="s">
        <v>2129</v>
      </c>
      <c r="BC246" t="s">
        <v>2129</v>
      </c>
      <c r="BD246" t="s">
        <v>2129</v>
      </c>
      <c r="BE246" t="s">
        <v>2129</v>
      </c>
      <c r="BF246" t="s">
        <v>2129</v>
      </c>
      <c r="BG246" t="s">
        <v>2129</v>
      </c>
      <c r="BH246" t="s">
        <v>2129</v>
      </c>
      <c r="BI246" t="s">
        <v>2129</v>
      </c>
      <c r="BJ246" t="s">
        <v>2129</v>
      </c>
      <c r="BK246" t="s">
        <v>2129</v>
      </c>
      <c r="BL246" t="s">
        <v>2129</v>
      </c>
      <c r="BM246" t="s">
        <v>2129</v>
      </c>
      <c r="BN246" t="s">
        <v>2129</v>
      </c>
      <c r="BO246" t="s">
        <v>2129</v>
      </c>
      <c r="BP246" t="s">
        <v>2129</v>
      </c>
      <c r="BQ246">
        <v>437400</v>
      </c>
      <c r="BR246">
        <v>48600</v>
      </c>
      <c r="BS246" t="s">
        <v>2129</v>
      </c>
      <c r="BT246" t="s">
        <v>2129</v>
      </c>
      <c r="BU246">
        <v>437400</v>
      </c>
      <c r="BV246">
        <v>48600</v>
      </c>
      <c r="BW246" t="s">
        <v>2129</v>
      </c>
      <c r="BX246" t="s">
        <v>2129</v>
      </c>
      <c r="BY246" t="s">
        <v>2129</v>
      </c>
      <c r="BZ246" t="s">
        <v>2129</v>
      </c>
      <c r="CA246" t="s">
        <v>2129</v>
      </c>
      <c r="CB246" t="s">
        <v>2129</v>
      </c>
      <c r="CC246" t="s">
        <v>2129</v>
      </c>
      <c r="CD246" t="s">
        <v>2129</v>
      </c>
      <c r="CE246" t="s">
        <v>2129</v>
      </c>
      <c r="CF246" t="s">
        <v>2129</v>
      </c>
      <c r="CG246" t="s">
        <v>2129</v>
      </c>
      <c r="CH246" t="s">
        <v>2129</v>
      </c>
      <c r="CI246" t="s">
        <v>2129</v>
      </c>
      <c r="CJ246" t="s">
        <v>2129</v>
      </c>
      <c r="CK246" t="s">
        <v>2129</v>
      </c>
      <c r="CL246" t="s">
        <v>2129</v>
      </c>
      <c r="CM246" t="s">
        <v>1696</v>
      </c>
      <c r="CN246" t="s">
        <v>2129</v>
      </c>
      <c r="CO246" t="s">
        <v>2129</v>
      </c>
      <c r="CP246" t="s">
        <v>2129</v>
      </c>
      <c r="CQ246" t="s">
        <v>2129</v>
      </c>
      <c r="CR246" t="s">
        <v>2129</v>
      </c>
      <c r="CS246" t="s">
        <v>2129</v>
      </c>
      <c r="CT246" t="s">
        <v>4486</v>
      </c>
      <c r="CU246" t="s">
        <v>4425</v>
      </c>
      <c r="CV246" t="s">
        <v>2129</v>
      </c>
      <c r="CW246" t="s">
        <v>2129</v>
      </c>
      <c r="CX246" t="s">
        <v>2129</v>
      </c>
      <c r="CY246" t="s">
        <v>2129</v>
      </c>
      <c r="CZ246" t="s">
        <v>2129</v>
      </c>
      <c r="DA246" t="s">
        <v>2129</v>
      </c>
      <c r="DB246" t="s">
        <v>2129</v>
      </c>
      <c r="DC246" t="s">
        <v>2129</v>
      </c>
      <c r="DD246" t="s">
        <v>2129</v>
      </c>
      <c r="DE246" t="s">
        <v>2129</v>
      </c>
      <c r="DF246" t="s">
        <v>2129</v>
      </c>
      <c r="DG246" t="s">
        <v>2129</v>
      </c>
      <c r="DH246" t="s">
        <v>2129</v>
      </c>
      <c r="DI246">
        <v>50</v>
      </c>
      <c r="DJ246" t="s">
        <v>2129</v>
      </c>
      <c r="DK246" t="s">
        <v>2129</v>
      </c>
      <c r="DL246" t="s">
        <v>2646</v>
      </c>
      <c r="DM246" t="s">
        <v>2129</v>
      </c>
      <c r="DN246" t="s">
        <v>2129</v>
      </c>
      <c r="DO246" t="s">
        <v>2129</v>
      </c>
      <c r="DP246" t="s">
        <v>2129</v>
      </c>
      <c r="DQ246" t="s">
        <v>2129</v>
      </c>
      <c r="DR246" t="s">
        <v>2129</v>
      </c>
      <c r="DS246" t="s">
        <v>2129</v>
      </c>
      <c r="DT246" t="s">
        <v>2129</v>
      </c>
      <c r="DU246" t="s">
        <v>2129</v>
      </c>
      <c r="DV246" t="s">
        <v>2129</v>
      </c>
      <c r="DW246" t="s">
        <v>2129</v>
      </c>
      <c r="DX246" t="s">
        <v>2129</v>
      </c>
      <c r="DY246" t="s">
        <v>2129</v>
      </c>
      <c r="DZ246" t="s">
        <v>2129</v>
      </c>
      <c r="EA246" t="s">
        <v>2129</v>
      </c>
      <c r="EB246" t="s">
        <v>2129</v>
      </c>
      <c r="EC246" t="s">
        <v>2129</v>
      </c>
      <c r="ED246" t="s">
        <v>2129</v>
      </c>
      <c r="EE246" t="s">
        <v>2129</v>
      </c>
      <c r="EF246" t="s">
        <v>2129</v>
      </c>
      <c r="EG246" t="s">
        <v>2129</v>
      </c>
      <c r="EH246" t="s">
        <v>2129</v>
      </c>
    </row>
    <row r="247" spans="1:138" x14ac:dyDescent="0.25">
      <c r="A247" t="s">
        <v>2697</v>
      </c>
      <c r="B247" t="s">
        <v>2692</v>
      </c>
      <c r="C247">
        <v>22672</v>
      </c>
      <c r="E247" t="s">
        <v>14</v>
      </c>
      <c r="F247" t="s">
        <v>27</v>
      </c>
      <c r="G247" t="s">
        <v>12</v>
      </c>
      <c r="H247" t="s">
        <v>12</v>
      </c>
      <c r="I247" t="s">
        <v>2127</v>
      </c>
      <c r="J247" t="s">
        <v>2198</v>
      </c>
      <c r="K247" t="s">
        <v>2129</v>
      </c>
      <c r="L247" t="s">
        <v>2199</v>
      </c>
      <c r="M247" t="s">
        <v>2130</v>
      </c>
      <c r="N247" t="s">
        <v>2129</v>
      </c>
      <c r="O247" t="s">
        <v>2150</v>
      </c>
      <c r="P247" t="s">
        <v>2198</v>
      </c>
      <c r="Q247" t="s">
        <v>2198</v>
      </c>
      <c r="R247" s="37">
        <v>46007.55</v>
      </c>
      <c r="S247" s="37">
        <v>46090.37222222222</v>
      </c>
      <c r="T247" s="37">
        <v>46100.368750000001</v>
      </c>
      <c r="U247" s="37"/>
      <c r="V247" t="s">
        <v>2129</v>
      </c>
      <c r="W247" t="s">
        <v>2129</v>
      </c>
      <c r="X247" t="s">
        <v>2129</v>
      </c>
      <c r="Y247">
        <v>0</v>
      </c>
      <c r="Z247" t="s">
        <v>2129</v>
      </c>
      <c r="AA247" t="s">
        <v>3159</v>
      </c>
      <c r="AB247" t="s">
        <v>2129</v>
      </c>
      <c r="AC247" t="s">
        <v>2200</v>
      </c>
      <c r="AD247" t="s">
        <v>2198</v>
      </c>
      <c r="AE247" t="s">
        <v>2129</v>
      </c>
      <c r="AF247" t="s">
        <v>2129</v>
      </c>
      <c r="AG247" t="s">
        <v>2129</v>
      </c>
      <c r="AH247" t="s">
        <v>2129</v>
      </c>
      <c r="AI247" t="s">
        <v>2129</v>
      </c>
      <c r="AJ247" t="s">
        <v>2129</v>
      </c>
      <c r="AK247" t="s">
        <v>2129</v>
      </c>
      <c r="AL247" t="s">
        <v>2129</v>
      </c>
      <c r="AM247" t="s">
        <v>2129</v>
      </c>
      <c r="AN247" t="s">
        <v>2129</v>
      </c>
      <c r="AO247" t="s">
        <v>2129</v>
      </c>
      <c r="AP247" t="s">
        <v>2129</v>
      </c>
      <c r="AQ247" t="s">
        <v>2129</v>
      </c>
      <c r="AR247" t="s">
        <v>2129</v>
      </c>
      <c r="AS247" t="s">
        <v>2129</v>
      </c>
      <c r="AT247" t="s">
        <v>2129</v>
      </c>
      <c r="AU247" t="s">
        <v>2129</v>
      </c>
      <c r="AV247" t="s">
        <v>2129</v>
      </c>
      <c r="AW247" t="s">
        <v>2129</v>
      </c>
      <c r="AX247" t="s">
        <v>2129</v>
      </c>
      <c r="AY247" t="s">
        <v>2129</v>
      </c>
      <c r="AZ247" t="s">
        <v>2129</v>
      </c>
      <c r="BA247" t="s">
        <v>2129</v>
      </c>
      <c r="BB247" t="s">
        <v>2129</v>
      </c>
      <c r="BC247" t="s">
        <v>2129</v>
      </c>
      <c r="BD247" t="s">
        <v>2129</v>
      </c>
      <c r="BE247" t="s">
        <v>2129</v>
      </c>
      <c r="BF247" t="s">
        <v>2129</v>
      </c>
      <c r="BG247" t="s">
        <v>2129</v>
      </c>
      <c r="BH247" t="s">
        <v>2129</v>
      </c>
      <c r="BI247" t="s">
        <v>2129</v>
      </c>
      <c r="BJ247" t="s">
        <v>2129</v>
      </c>
      <c r="BK247" t="s">
        <v>2129</v>
      </c>
      <c r="BL247" t="s">
        <v>2129</v>
      </c>
      <c r="BM247" t="s">
        <v>2129</v>
      </c>
      <c r="BN247" t="s">
        <v>2129</v>
      </c>
      <c r="BO247" t="s">
        <v>2129</v>
      </c>
      <c r="BP247" t="s">
        <v>2129</v>
      </c>
      <c r="BS247" t="s">
        <v>2129</v>
      </c>
      <c r="BT247" t="s">
        <v>2129</v>
      </c>
      <c r="BW247" t="s">
        <v>2129</v>
      </c>
      <c r="BX247" t="s">
        <v>2129</v>
      </c>
      <c r="BY247" t="s">
        <v>2129</v>
      </c>
      <c r="BZ247" t="s">
        <v>2129</v>
      </c>
      <c r="CA247" t="s">
        <v>2129</v>
      </c>
      <c r="CB247" t="s">
        <v>2129</v>
      </c>
      <c r="CC247" t="s">
        <v>2129</v>
      </c>
      <c r="CD247" t="s">
        <v>2129</v>
      </c>
      <c r="CE247" t="s">
        <v>2129</v>
      </c>
      <c r="CF247" t="s">
        <v>2129</v>
      </c>
      <c r="CG247" t="s">
        <v>2129</v>
      </c>
      <c r="CH247" t="s">
        <v>2129</v>
      </c>
      <c r="CI247" t="s">
        <v>2129</v>
      </c>
      <c r="CJ247" t="s">
        <v>2129</v>
      </c>
      <c r="CK247" t="s">
        <v>2129</v>
      </c>
      <c r="CL247" t="s">
        <v>2129</v>
      </c>
      <c r="CM247" t="s">
        <v>1696</v>
      </c>
      <c r="CN247" t="s">
        <v>2129</v>
      </c>
      <c r="CO247" t="s">
        <v>2129</v>
      </c>
      <c r="CP247" t="s">
        <v>2129</v>
      </c>
      <c r="CQ247" t="s">
        <v>2129</v>
      </c>
      <c r="CR247" t="s">
        <v>2129</v>
      </c>
      <c r="CS247" t="s">
        <v>2129</v>
      </c>
      <c r="CT247" t="s">
        <v>4487</v>
      </c>
      <c r="CU247" t="s">
        <v>4425</v>
      </c>
      <c r="CV247" t="s">
        <v>2129</v>
      </c>
      <c r="CW247" t="s">
        <v>2129</v>
      </c>
      <c r="CX247" t="s">
        <v>2129</v>
      </c>
      <c r="CY247" t="s">
        <v>2129</v>
      </c>
      <c r="CZ247" t="s">
        <v>2129</v>
      </c>
      <c r="DA247" t="s">
        <v>2129</v>
      </c>
      <c r="DB247" t="s">
        <v>2129</v>
      </c>
      <c r="DC247" t="s">
        <v>2129</v>
      </c>
      <c r="DD247" t="s">
        <v>2129</v>
      </c>
      <c r="DE247" t="s">
        <v>2129</v>
      </c>
      <c r="DF247" t="s">
        <v>2129</v>
      </c>
      <c r="DG247" t="s">
        <v>2129</v>
      </c>
      <c r="DH247" t="s">
        <v>2129</v>
      </c>
      <c r="DI247">
        <v>20</v>
      </c>
      <c r="DJ247" t="s">
        <v>2129</v>
      </c>
      <c r="DK247" t="s">
        <v>2129</v>
      </c>
      <c r="DL247" t="s">
        <v>3160</v>
      </c>
      <c r="DM247" t="s">
        <v>2129</v>
      </c>
      <c r="DN247" t="s">
        <v>2129</v>
      </c>
      <c r="DO247" t="s">
        <v>2129</v>
      </c>
      <c r="DP247" t="s">
        <v>2129</v>
      </c>
      <c r="DQ247" t="s">
        <v>2129</v>
      </c>
      <c r="DR247" t="s">
        <v>2129</v>
      </c>
      <c r="DS247" t="s">
        <v>2129</v>
      </c>
      <c r="DT247" t="s">
        <v>2129</v>
      </c>
      <c r="DU247" t="s">
        <v>2129</v>
      </c>
      <c r="DV247" t="s">
        <v>2129</v>
      </c>
      <c r="DW247" t="s">
        <v>2129</v>
      </c>
      <c r="DX247" t="s">
        <v>2129</v>
      </c>
      <c r="DY247" t="s">
        <v>2129</v>
      </c>
      <c r="DZ247" t="s">
        <v>2129</v>
      </c>
      <c r="EA247" t="s">
        <v>2129</v>
      </c>
      <c r="EB247" t="s">
        <v>2129</v>
      </c>
      <c r="EC247" t="s">
        <v>2129</v>
      </c>
      <c r="ED247" t="s">
        <v>2129</v>
      </c>
      <c r="EE247" t="s">
        <v>2129</v>
      </c>
      <c r="EF247" t="s">
        <v>2129</v>
      </c>
      <c r="EG247" t="s">
        <v>2129</v>
      </c>
      <c r="EH247" t="s">
        <v>2129</v>
      </c>
    </row>
    <row r="248" spans="1:138" x14ac:dyDescent="0.25">
      <c r="A248" t="s">
        <v>2547</v>
      </c>
      <c r="B248" t="s">
        <v>2548</v>
      </c>
      <c r="C248">
        <v>22632</v>
      </c>
      <c r="E248" t="s">
        <v>14</v>
      </c>
      <c r="F248" t="s">
        <v>27</v>
      </c>
      <c r="G248" t="s">
        <v>12</v>
      </c>
      <c r="H248" t="s">
        <v>12</v>
      </c>
      <c r="I248" t="s">
        <v>2127</v>
      </c>
      <c r="J248" t="s">
        <v>2198</v>
      </c>
      <c r="K248" t="s">
        <v>2129</v>
      </c>
      <c r="L248" t="s">
        <v>2199</v>
      </c>
      <c r="M248" t="s">
        <v>2130</v>
      </c>
      <c r="N248" t="s">
        <v>2129</v>
      </c>
      <c r="O248" t="s">
        <v>2150</v>
      </c>
      <c r="P248" t="s">
        <v>2198</v>
      </c>
      <c r="Q248" t="s">
        <v>2198</v>
      </c>
      <c r="R248" s="37">
        <v>46002.363194444442</v>
      </c>
      <c r="S248" s="37">
        <v>46090.37222222222</v>
      </c>
      <c r="T248" s="37">
        <v>46100.368750000001</v>
      </c>
      <c r="U248" s="37"/>
      <c r="V248" t="s">
        <v>2129</v>
      </c>
      <c r="W248" t="s">
        <v>2129</v>
      </c>
      <c r="X248" t="s">
        <v>2129</v>
      </c>
      <c r="Y248">
        <v>0</v>
      </c>
      <c r="Z248" t="s">
        <v>2129</v>
      </c>
      <c r="AA248" t="s">
        <v>2835</v>
      </c>
      <c r="AB248" t="s">
        <v>2129</v>
      </c>
      <c r="AC248" t="s">
        <v>2200</v>
      </c>
      <c r="AD248" t="s">
        <v>2198</v>
      </c>
      <c r="AE248" t="s">
        <v>2129</v>
      </c>
      <c r="AF248" t="s">
        <v>2129</v>
      </c>
      <c r="AG248" t="s">
        <v>2129</v>
      </c>
      <c r="AH248" t="s">
        <v>2129</v>
      </c>
      <c r="AI248" t="s">
        <v>2129</v>
      </c>
      <c r="AJ248" t="s">
        <v>2129</v>
      </c>
      <c r="AK248" t="s">
        <v>2129</v>
      </c>
      <c r="AL248" t="s">
        <v>2129</v>
      </c>
      <c r="AM248" t="s">
        <v>2129</v>
      </c>
      <c r="AN248" t="s">
        <v>2129</v>
      </c>
      <c r="AO248" t="s">
        <v>2129</v>
      </c>
      <c r="AP248" t="s">
        <v>2129</v>
      </c>
      <c r="AQ248" t="s">
        <v>2129</v>
      </c>
      <c r="AR248" t="s">
        <v>2129</v>
      </c>
      <c r="AS248" t="s">
        <v>2129</v>
      </c>
      <c r="AT248" t="s">
        <v>2129</v>
      </c>
      <c r="AU248" t="s">
        <v>2129</v>
      </c>
      <c r="AV248" t="s">
        <v>2129</v>
      </c>
      <c r="AW248" t="s">
        <v>2129</v>
      </c>
      <c r="AX248" t="s">
        <v>2129</v>
      </c>
      <c r="AY248" t="s">
        <v>2129</v>
      </c>
      <c r="AZ248" t="s">
        <v>2129</v>
      </c>
      <c r="BA248" t="s">
        <v>2129</v>
      </c>
      <c r="BB248" t="s">
        <v>2129</v>
      </c>
      <c r="BC248" t="s">
        <v>2129</v>
      </c>
      <c r="BD248" t="s">
        <v>2129</v>
      </c>
      <c r="BE248" t="s">
        <v>2129</v>
      </c>
      <c r="BF248" t="s">
        <v>2129</v>
      </c>
      <c r="BG248" t="s">
        <v>2129</v>
      </c>
      <c r="BH248" t="s">
        <v>2129</v>
      </c>
      <c r="BI248" t="s">
        <v>2129</v>
      </c>
      <c r="BJ248" t="s">
        <v>2129</v>
      </c>
      <c r="BK248" t="s">
        <v>2129</v>
      </c>
      <c r="BL248" t="s">
        <v>2129</v>
      </c>
      <c r="BM248" t="s">
        <v>2129</v>
      </c>
      <c r="BN248" t="s">
        <v>2129</v>
      </c>
      <c r="BO248" t="s">
        <v>2129</v>
      </c>
      <c r="BP248" t="s">
        <v>2129</v>
      </c>
      <c r="BS248" t="s">
        <v>2129</v>
      </c>
      <c r="BT248" t="s">
        <v>2129</v>
      </c>
      <c r="BW248" t="s">
        <v>2129</v>
      </c>
      <c r="BX248" t="s">
        <v>2129</v>
      </c>
      <c r="BY248" t="s">
        <v>2129</v>
      </c>
      <c r="BZ248" t="s">
        <v>2129</v>
      </c>
      <c r="CA248" t="s">
        <v>2129</v>
      </c>
      <c r="CB248" t="s">
        <v>2129</v>
      </c>
      <c r="CC248" t="s">
        <v>2129</v>
      </c>
      <c r="CD248" t="s">
        <v>2129</v>
      </c>
      <c r="CE248" t="s">
        <v>2129</v>
      </c>
      <c r="CF248" t="s">
        <v>2129</v>
      </c>
      <c r="CG248" t="s">
        <v>2129</v>
      </c>
      <c r="CH248" t="s">
        <v>2129</v>
      </c>
      <c r="CI248" t="s">
        <v>2129</v>
      </c>
      <c r="CJ248" t="s">
        <v>2129</v>
      </c>
      <c r="CK248" t="s">
        <v>2129</v>
      </c>
      <c r="CL248" t="s">
        <v>2129</v>
      </c>
      <c r="CM248" t="s">
        <v>2129</v>
      </c>
      <c r="CN248" t="s">
        <v>2129</v>
      </c>
      <c r="CO248" t="s">
        <v>2129</v>
      </c>
      <c r="CP248" t="s">
        <v>2129</v>
      </c>
      <c r="CQ248" t="s">
        <v>2129</v>
      </c>
      <c r="CR248" t="s">
        <v>2129</v>
      </c>
      <c r="CS248" t="s">
        <v>2129</v>
      </c>
      <c r="CT248" t="s">
        <v>4488</v>
      </c>
      <c r="CU248" t="s">
        <v>4425</v>
      </c>
      <c r="CV248" t="s">
        <v>2129</v>
      </c>
      <c r="CW248" t="s">
        <v>2129</v>
      </c>
      <c r="CX248" t="s">
        <v>2129</v>
      </c>
      <c r="CY248" t="s">
        <v>2129</v>
      </c>
      <c r="CZ248" t="s">
        <v>2129</v>
      </c>
      <c r="DA248" t="s">
        <v>2129</v>
      </c>
      <c r="DB248" t="s">
        <v>2129</v>
      </c>
      <c r="DC248" t="s">
        <v>2129</v>
      </c>
      <c r="DD248" t="s">
        <v>2129</v>
      </c>
      <c r="DE248" t="s">
        <v>2129</v>
      </c>
      <c r="DF248" t="s">
        <v>2129</v>
      </c>
      <c r="DG248" t="s">
        <v>2129</v>
      </c>
      <c r="DH248" t="s">
        <v>2129</v>
      </c>
      <c r="DI248">
        <v>30</v>
      </c>
      <c r="DJ248" t="s">
        <v>2129</v>
      </c>
      <c r="DK248" t="s">
        <v>2129</v>
      </c>
      <c r="DL248" t="s">
        <v>2836</v>
      </c>
      <c r="DM248" t="s">
        <v>2837</v>
      </c>
      <c r="DN248" t="s">
        <v>3161</v>
      </c>
      <c r="DO248" t="s">
        <v>2129</v>
      </c>
      <c r="DP248" t="s">
        <v>2129</v>
      </c>
      <c r="DQ248" t="s">
        <v>2129</v>
      </c>
      <c r="DR248" t="s">
        <v>2129</v>
      </c>
      <c r="DS248" t="s">
        <v>2129</v>
      </c>
      <c r="DT248" t="s">
        <v>2129</v>
      </c>
      <c r="DU248" t="s">
        <v>2129</v>
      </c>
      <c r="DV248" t="s">
        <v>2129</v>
      </c>
      <c r="DW248" t="s">
        <v>2129</v>
      </c>
      <c r="DX248" t="s">
        <v>2129</v>
      </c>
      <c r="DY248" t="s">
        <v>2129</v>
      </c>
      <c r="DZ248" t="s">
        <v>2129</v>
      </c>
      <c r="EA248" t="s">
        <v>2129</v>
      </c>
      <c r="EB248" t="s">
        <v>2129</v>
      </c>
      <c r="EC248" t="s">
        <v>2129</v>
      </c>
      <c r="ED248" t="s">
        <v>2129</v>
      </c>
      <c r="EE248" t="s">
        <v>2129</v>
      </c>
      <c r="EF248" t="s">
        <v>2129</v>
      </c>
      <c r="EG248" t="s">
        <v>2129</v>
      </c>
      <c r="EH248" t="s">
        <v>2129</v>
      </c>
    </row>
    <row r="249" spans="1:138" x14ac:dyDescent="0.25">
      <c r="A249" t="s">
        <v>2297</v>
      </c>
      <c r="B249" t="s">
        <v>2296</v>
      </c>
      <c r="C249">
        <v>22609</v>
      </c>
      <c r="E249" t="s">
        <v>14</v>
      </c>
      <c r="F249" t="s">
        <v>27</v>
      </c>
      <c r="G249" t="s">
        <v>12</v>
      </c>
      <c r="H249" t="s">
        <v>12</v>
      </c>
      <c r="I249" t="s">
        <v>2127</v>
      </c>
      <c r="J249" t="s">
        <v>2198</v>
      </c>
      <c r="K249" t="s">
        <v>2129</v>
      </c>
      <c r="L249" t="s">
        <v>2199</v>
      </c>
      <c r="M249" t="s">
        <v>2130</v>
      </c>
      <c r="N249" t="s">
        <v>2129</v>
      </c>
      <c r="O249" t="s">
        <v>2198</v>
      </c>
      <c r="P249" t="s">
        <v>2198</v>
      </c>
      <c r="Q249" t="s">
        <v>2198</v>
      </c>
      <c r="R249" s="37">
        <v>45996.401388888888</v>
      </c>
      <c r="S249" s="37">
        <v>46090.37222222222</v>
      </c>
      <c r="T249" s="37">
        <v>46100.368750000001</v>
      </c>
      <c r="U249" s="37"/>
      <c r="V249" t="s">
        <v>2129</v>
      </c>
      <c r="W249" t="s">
        <v>2129</v>
      </c>
      <c r="X249" t="s">
        <v>2129</v>
      </c>
      <c r="Y249">
        <v>0</v>
      </c>
      <c r="Z249" t="s">
        <v>2129</v>
      </c>
      <c r="AA249" t="s">
        <v>2321</v>
      </c>
      <c r="AB249" t="s">
        <v>2129</v>
      </c>
      <c r="AC249" t="s">
        <v>2200</v>
      </c>
      <c r="AD249" t="s">
        <v>2198</v>
      </c>
      <c r="AE249" t="s">
        <v>2129</v>
      </c>
      <c r="AF249" t="s">
        <v>2129</v>
      </c>
      <c r="AG249" t="s">
        <v>2129</v>
      </c>
      <c r="AH249" t="s">
        <v>2322</v>
      </c>
      <c r="AI249" t="s">
        <v>2129</v>
      </c>
      <c r="AJ249" t="s">
        <v>2129</v>
      </c>
      <c r="AK249" t="s">
        <v>2129</v>
      </c>
      <c r="AL249" t="s">
        <v>2129</v>
      </c>
      <c r="AM249" t="s">
        <v>2129</v>
      </c>
      <c r="AN249" t="s">
        <v>2129</v>
      </c>
      <c r="AO249" t="s">
        <v>2129</v>
      </c>
      <c r="AP249" t="s">
        <v>2129</v>
      </c>
      <c r="AQ249" t="s">
        <v>2129</v>
      </c>
      <c r="AR249" t="s">
        <v>2129</v>
      </c>
      <c r="AS249" t="s">
        <v>2129</v>
      </c>
      <c r="AT249" t="s">
        <v>2129</v>
      </c>
      <c r="AU249" t="s">
        <v>2129</v>
      </c>
      <c r="AV249" t="s">
        <v>2129</v>
      </c>
      <c r="AW249" t="s">
        <v>2129</v>
      </c>
      <c r="AX249" t="s">
        <v>2129</v>
      </c>
      <c r="AY249" t="s">
        <v>2129</v>
      </c>
      <c r="AZ249" t="s">
        <v>2129</v>
      </c>
      <c r="BA249" t="s">
        <v>2129</v>
      </c>
      <c r="BB249" t="s">
        <v>2129</v>
      </c>
      <c r="BC249" t="s">
        <v>2129</v>
      </c>
      <c r="BD249" t="s">
        <v>2129</v>
      </c>
      <c r="BE249" t="s">
        <v>2129</v>
      </c>
      <c r="BF249" t="s">
        <v>2129</v>
      </c>
      <c r="BG249" t="s">
        <v>2129</v>
      </c>
      <c r="BH249" t="s">
        <v>2129</v>
      </c>
      <c r="BI249" t="s">
        <v>2129</v>
      </c>
      <c r="BJ249" t="s">
        <v>2129</v>
      </c>
      <c r="BK249" t="s">
        <v>2129</v>
      </c>
      <c r="BL249" t="s">
        <v>2129</v>
      </c>
      <c r="BM249" t="s">
        <v>2129</v>
      </c>
      <c r="BN249" t="s">
        <v>2129</v>
      </c>
      <c r="BO249" t="s">
        <v>2129</v>
      </c>
      <c r="BP249" t="s">
        <v>2129</v>
      </c>
      <c r="BQ249">
        <v>0</v>
      </c>
      <c r="BR249">
        <v>1800</v>
      </c>
      <c r="BS249" t="s">
        <v>2129</v>
      </c>
      <c r="BT249" t="s">
        <v>2129</v>
      </c>
      <c r="BU249">
        <v>0</v>
      </c>
      <c r="BV249">
        <v>1800</v>
      </c>
      <c r="BW249" t="s">
        <v>2129</v>
      </c>
      <c r="BX249" t="s">
        <v>2129</v>
      </c>
      <c r="BY249" t="s">
        <v>2129</v>
      </c>
      <c r="BZ249" t="s">
        <v>2129</v>
      </c>
      <c r="CA249" t="s">
        <v>2129</v>
      </c>
      <c r="CB249" t="s">
        <v>2129</v>
      </c>
      <c r="CC249" t="s">
        <v>2129</v>
      </c>
      <c r="CD249" t="s">
        <v>2129</v>
      </c>
      <c r="CE249" t="s">
        <v>2129</v>
      </c>
      <c r="CF249" t="s">
        <v>2129</v>
      </c>
      <c r="CG249" t="s">
        <v>2129</v>
      </c>
      <c r="CH249" t="s">
        <v>2129</v>
      </c>
      <c r="CI249" t="s">
        <v>2129</v>
      </c>
      <c r="CJ249" t="s">
        <v>2129</v>
      </c>
      <c r="CK249" t="s">
        <v>2129</v>
      </c>
      <c r="CL249" t="s">
        <v>2129</v>
      </c>
      <c r="CM249" t="s">
        <v>2129</v>
      </c>
      <c r="CN249" t="s">
        <v>2129</v>
      </c>
      <c r="CO249" t="s">
        <v>2129</v>
      </c>
      <c r="CP249" t="s">
        <v>2129</v>
      </c>
      <c r="CQ249" t="s">
        <v>2129</v>
      </c>
      <c r="CR249" t="s">
        <v>2129</v>
      </c>
      <c r="CS249" t="s">
        <v>2129</v>
      </c>
      <c r="CT249" t="s">
        <v>4489</v>
      </c>
      <c r="CU249" t="s">
        <v>4425</v>
      </c>
      <c r="CV249" t="s">
        <v>2129</v>
      </c>
      <c r="CW249" t="s">
        <v>2129</v>
      </c>
      <c r="CX249" t="s">
        <v>2129</v>
      </c>
      <c r="CY249" t="s">
        <v>2129</v>
      </c>
      <c r="CZ249" t="s">
        <v>2129</v>
      </c>
      <c r="DA249" t="s">
        <v>2129</v>
      </c>
      <c r="DB249" t="s">
        <v>2129</v>
      </c>
      <c r="DC249" t="s">
        <v>2129</v>
      </c>
      <c r="DD249" t="s">
        <v>2129</v>
      </c>
      <c r="DE249" t="s">
        <v>2129</v>
      </c>
      <c r="DF249" t="s">
        <v>2129</v>
      </c>
      <c r="DG249" t="s">
        <v>2129</v>
      </c>
      <c r="DH249" t="s">
        <v>2129</v>
      </c>
      <c r="DI249">
        <v>10</v>
      </c>
      <c r="DJ249" t="s">
        <v>2129</v>
      </c>
      <c r="DK249" t="s">
        <v>2129</v>
      </c>
      <c r="DL249" t="s">
        <v>2323</v>
      </c>
      <c r="DM249" t="s">
        <v>2129</v>
      </c>
      <c r="DN249" t="s">
        <v>2129</v>
      </c>
      <c r="DO249" t="s">
        <v>2129</v>
      </c>
      <c r="DP249" t="s">
        <v>2129</v>
      </c>
      <c r="DQ249" t="s">
        <v>2129</v>
      </c>
      <c r="DR249" t="s">
        <v>2129</v>
      </c>
      <c r="DS249" t="s">
        <v>2129</v>
      </c>
      <c r="DT249" t="s">
        <v>2129</v>
      </c>
      <c r="DU249" t="s">
        <v>2129</v>
      </c>
      <c r="DV249" t="s">
        <v>2129</v>
      </c>
      <c r="DW249" t="s">
        <v>2129</v>
      </c>
      <c r="DX249" t="s">
        <v>2129</v>
      </c>
      <c r="DY249" t="s">
        <v>2129</v>
      </c>
      <c r="DZ249" t="s">
        <v>2129</v>
      </c>
      <c r="EA249" t="s">
        <v>2129</v>
      </c>
      <c r="EB249" t="s">
        <v>2129</v>
      </c>
      <c r="EC249" t="s">
        <v>2129</v>
      </c>
      <c r="ED249" t="s">
        <v>2129</v>
      </c>
      <c r="EE249" t="s">
        <v>2129</v>
      </c>
      <c r="EF249" t="s">
        <v>2129</v>
      </c>
      <c r="EG249" t="s">
        <v>2129</v>
      </c>
      <c r="EH249" t="s">
        <v>2129</v>
      </c>
    </row>
    <row r="250" spans="1:138" x14ac:dyDescent="0.25">
      <c r="A250" t="s">
        <v>2206</v>
      </c>
      <c r="B250" t="s">
        <v>2207</v>
      </c>
      <c r="C250">
        <v>22521</v>
      </c>
      <c r="E250" t="s">
        <v>14</v>
      </c>
      <c r="F250" t="s">
        <v>27</v>
      </c>
      <c r="G250" t="s">
        <v>12</v>
      </c>
      <c r="H250" t="s">
        <v>12</v>
      </c>
      <c r="I250" t="s">
        <v>2127</v>
      </c>
      <c r="J250" t="s">
        <v>2198</v>
      </c>
      <c r="K250" t="s">
        <v>2129</v>
      </c>
      <c r="L250" t="s">
        <v>2199</v>
      </c>
      <c r="M250" t="s">
        <v>2130</v>
      </c>
      <c r="N250" t="s">
        <v>2129</v>
      </c>
      <c r="O250" t="s">
        <v>2150</v>
      </c>
      <c r="P250" t="s">
        <v>2198</v>
      </c>
      <c r="Q250" t="s">
        <v>2198</v>
      </c>
      <c r="R250" s="37">
        <v>45981.620833333334</v>
      </c>
      <c r="S250" s="37">
        <v>46090.37222222222</v>
      </c>
      <c r="T250" s="37">
        <v>46100.368750000001</v>
      </c>
      <c r="U250" s="37"/>
      <c r="V250" t="s">
        <v>2129</v>
      </c>
      <c r="W250" t="s">
        <v>2129</v>
      </c>
      <c r="X250" t="s">
        <v>2129</v>
      </c>
      <c r="Y250">
        <v>0</v>
      </c>
      <c r="Z250" t="s">
        <v>2129</v>
      </c>
      <c r="AA250" t="s">
        <v>3162</v>
      </c>
      <c r="AB250" t="s">
        <v>2129</v>
      </c>
      <c r="AC250" t="s">
        <v>2198</v>
      </c>
      <c r="AD250" t="s">
        <v>2129</v>
      </c>
      <c r="AE250" t="s">
        <v>2129</v>
      </c>
      <c r="AF250" t="s">
        <v>2129</v>
      </c>
      <c r="AG250" t="s">
        <v>2129</v>
      </c>
      <c r="AH250" t="s">
        <v>2647</v>
      </c>
      <c r="AI250" t="s">
        <v>2648</v>
      </c>
      <c r="AJ250" t="s">
        <v>3163</v>
      </c>
      <c r="AK250" t="s">
        <v>2129</v>
      </c>
      <c r="AL250" t="s">
        <v>2129</v>
      </c>
      <c r="AM250" t="s">
        <v>2129</v>
      </c>
      <c r="AN250" t="s">
        <v>2129</v>
      </c>
      <c r="AO250" t="s">
        <v>2129</v>
      </c>
      <c r="AP250" t="s">
        <v>2129</v>
      </c>
      <c r="AQ250" t="s">
        <v>2129</v>
      </c>
      <c r="AR250" t="s">
        <v>2129</v>
      </c>
      <c r="AS250" t="s">
        <v>2129</v>
      </c>
      <c r="AT250" t="s">
        <v>2129</v>
      </c>
      <c r="AU250" t="s">
        <v>2129</v>
      </c>
      <c r="AV250" t="s">
        <v>2129</v>
      </c>
      <c r="AW250" t="s">
        <v>2129</v>
      </c>
      <c r="AX250" t="s">
        <v>2129</v>
      </c>
      <c r="AY250" t="s">
        <v>2129</v>
      </c>
      <c r="AZ250" t="s">
        <v>2129</v>
      </c>
      <c r="BA250" t="s">
        <v>2129</v>
      </c>
      <c r="BB250" t="s">
        <v>2129</v>
      </c>
      <c r="BC250" t="s">
        <v>2129</v>
      </c>
      <c r="BD250" t="s">
        <v>2129</v>
      </c>
      <c r="BE250" t="s">
        <v>2129</v>
      </c>
      <c r="BF250" t="s">
        <v>2129</v>
      </c>
      <c r="BG250" t="s">
        <v>2129</v>
      </c>
      <c r="BH250" t="s">
        <v>2129</v>
      </c>
      <c r="BI250" t="s">
        <v>2129</v>
      </c>
      <c r="BJ250" t="s">
        <v>2129</v>
      </c>
      <c r="BK250" t="s">
        <v>2129</v>
      </c>
      <c r="BL250" t="s">
        <v>2129</v>
      </c>
      <c r="BM250" t="s">
        <v>2129</v>
      </c>
      <c r="BN250" t="s">
        <v>2129</v>
      </c>
      <c r="BO250" t="s">
        <v>2129</v>
      </c>
      <c r="BP250" t="s">
        <v>2129</v>
      </c>
      <c r="BQ250">
        <v>0</v>
      </c>
      <c r="BR250">
        <v>39600</v>
      </c>
      <c r="BS250" t="s">
        <v>2129</v>
      </c>
      <c r="BT250" t="s">
        <v>2129</v>
      </c>
      <c r="BU250">
        <v>0</v>
      </c>
      <c r="BV250">
        <v>39600</v>
      </c>
      <c r="BW250" t="s">
        <v>2129</v>
      </c>
      <c r="BX250" t="s">
        <v>2129</v>
      </c>
      <c r="BY250" t="s">
        <v>2129</v>
      </c>
      <c r="BZ250" t="s">
        <v>2129</v>
      </c>
      <c r="CA250" t="s">
        <v>2129</v>
      </c>
      <c r="CB250" t="s">
        <v>2129</v>
      </c>
      <c r="CC250" t="s">
        <v>2129</v>
      </c>
      <c r="CD250" t="s">
        <v>2129</v>
      </c>
      <c r="CE250" t="s">
        <v>2129</v>
      </c>
      <c r="CF250" t="s">
        <v>2129</v>
      </c>
      <c r="CG250" t="s">
        <v>2129</v>
      </c>
      <c r="CH250" t="s">
        <v>2129</v>
      </c>
      <c r="CI250" t="s">
        <v>2129</v>
      </c>
      <c r="CJ250" t="s">
        <v>2129</v>
      </c>
      <c r="CK250" t="s">
        <v>2129</v>
      </c>
      <c r="CL250" t="s">
        <v>2129</v>
      </c>
      <c r="CM250" t="s">
        <v>2205</v>
      </c>
      <c r="CN250" t="s">
        <v>2129</v>
      </c>
      <c r="CO250" t="s">
        <v>2129</v>
      </c>
      <c r="CP250" t="s">
        <v>2129</v>
      </c>
      <c r="CQ250" t="s">
        <v>2129</v>
      </c>
      <c r="CR250" t="s">
        <v>2129</v>
      </c>
      <c r="CS250" t="s">
        <v>2129</v>
      </c>
      <c r="CT250" t="s">
        <v>4490</v>
      </c>
      <c r="CU250" t="s">
        <v>4425</v>
      </c>
      <c r="CV250" t="s">
        <v>2129</v>
      </c>
      <c r="CW250" t="s">
        <v>2129</v>
      </c>
      <c r="CX250" t="s">
        <v>2129</v>
      </c>
      <c r="CY250" t="s">
        <v>2129</v>
      </c>
      <c r="CZ250" t="s">
        <v>2129</v>
      </c>
      <c r="DA250" t="s">
        <v>2129</v>
      </c>
      <c r="DB250" t="s">
        <v>2129</v>
      </c>
      <c r="DC250" t="s">
        <v>2129</v>
      </c>
      <c r="DD250" t="s">
        <v>2129</v>
      </c>
      <c r="DE250" t="s">
        <v>2129</v>
      </c>
      <c r="DF250" t="s">
        <v>2129</v>
      </c>
      <c r="DG250" t="s">
        <v>2129</v>
      </c>
      <c r="DH250" t="s">
        <v>2129</v>
      </c>
      <c r="DI250">
        <v>30</v>
      </c>
      <c r="DJ250" t="s">
        <v>2129</v>
      </c>
      <c r="DK250" t="s">
        <v>2129</v>
      </c>
      <c r="DL250" t="s">
        <v>2129</v>
      </c>
      <c r="DM250" t="s">
        <v>2129</v>
      </c>
      <c r="DN250" t="s">
        <v>2129</v>
      </c>
      <c r="DO250" t="s">
        <v>2129</v>
      </c>
      <c r="DP250" t="s">
        <v>2129</v>
      </c>
      <c r="DQ250" t="s">
        <v>2129</v>
      </c>
      <c r="DR250" t="s">
        <v>2129</v>
      </c>
      <c r="DS250" t="s">
        <v>2129</v>
      </c>
      <c r="DT250" t="s">
        <v>2129</v>
      </c>
      <c r="DU250" t="s">
        <v>2129</v>
      </c>
      <c r="DV250" t="s">
        <v>2129</v>
      </c>
      <c r="DW250" t="s">
        <v>2129</v>
      </c>
      <c r="DX250" t="s">
        <v>2129</v>
      </c>
      <c r="DY250" t="s">
        <v>2129</v>
      </c>
      <c r="DZ250" t="s">
        <v>2129</v>
      </c>
      <c r="EA250" t="s">
        <v>2129</v>
      </c>
      <c r="EB250" t="s">
        <v>2129</v>
      </c>
      <c r="EC250" t="s">
        <v>2129</v>
      </c>
      <c r="ED250" t="s">
        <v>2129</v>
      </c>
      <c r="EE250" t="s">
        <v>2129</v>
      </c>
      <c r="EF250" t="s">
        <v>2129</v>
      </c>
      <c r="EG250" t="s">
        <v>2129</v>
      </c>
      <c r="EH250" t="s">
        <v>2129</v>
      </c>
    </row>
    <row r="251" spans="1:138" x14ac:dyDescent="0.25">
      <c r="A251" t="s">
        <v>2208</v>
      </c>
      <c r="B251" t="s">
        <v>2209</v>
      </c>
      <c r="C251">
        <v>22520</v>
      </c>
      <c r="E251" t="s">
        <v>14</v>
      </c>
      <c r="F251" t="s">
        <v>28</v>
      </c>
      <c r="G251" t="s">
        <v>12</v>
      </c>
      <c r="H251" t="s">
        <v>12</v>
      </c>
      <c r="I251" t="s">
        <v>2127</v>
      </c>
      <c r="J251" t="s">
        <v>2198</v>
      </c>
      <c r="K251" t="s">
        <v>2129</v>
      </c>
      <c r="L251" t="s">
        <v>2199</v>
      </c>
      <c r="M251" t="s">
        <v>2130</v>
      </c>
      <c r="N251" t="s">
        <v>2129</v>
      </c>
      <c r="O251" t="s">
        <v>2150</v>
      </c>
      <c r="P251" t="s">
        <v>2198</v>
      </c>
      <c r="Q251" t="s">
        <v>2198</v>
      </c>
      <c r="R251" s="37">
        <v>45981.620833333334</v>
      </c>
      <c r="S251" s="37">
        <v>46090.37222222222</v>
      </c>
      <c r="T251" s="37">
        <v>46100.368750000001</v>
      </c>
      <c r="U251" s="37"/>
      <c r="V251" t="s">
        <v>2129</v>
      </c>
      <c r="W251" t="s">
        <v>2129</v>
      </c>
      <c r="X251" t="s">
        <v>2129</v>
      </c>
      <c r="Y251">
        <v>0</v>
      </c>
      <c r="Z251" t="s">
        <v>2129</v>
      </c>
      <c r="AA251" t="s">
        <v>2549</v>
      </c>
      <c r="AB251" t="s">
        <v>2129</v>
      </c>
      <c r="AC251" t="s">
        <v>2131</v>
      </c>
      <c r="AD251" t="s">
        <v>2150</v>
      </c>
      <c r="AE251" t="s">
        <v>2198</v>
      </c>
      <c r="AF251" t="s">
        <v>2129</v>
      </c>
      <c r="AG251" t="s">
        <v>2129</v>
      </c>
      <c r="AH251" t="s">
        <v>2434</v>
      </c>
      <c r="AI251" t="s">
        <v>2435</v>
      </c>
      <c r="AJ251" t="s">
        <v>2550</v>
      </c>
      <c r="AK251" t="s">
        <v>2551</v>
      </c>
      <c r="AL251" t="s">
        <v>2552</v>
      </c>
      <c r="AM251" t="s">
        <v>2553</v>
      </c>
      <c r="AN251" t="s">
        <v>2649</v>
      </c>
      <c r="AO251" t="s">
        <v>2129</v>
      </c>
      <c r="AP251" t="s">
        <v>2129</v>
      </c>
      <c r="AQ251" t="s">
        <v>2129</v>
      </c>
      <c r="AR251" t="s">
        <v>2129</v>
      </c>
      <c r="AS251" t="s">
        <v>2129</v>
      </c>
      <c r="AT251" t="s">
        <v>2129</v>
      </c>
      <c r="AU251" t="s">
        <v>2129</v>
      </c>
      <c r="AV251" t="s">
        <v>2129</v>
      </c>
      <c r="AW251" t="s">
        <v>2129</v>
      </c>
      <c r="AX251" t="s">
        <v>2129</v>
      </c>
      <c r="AY251" t="s">
        <v>2129</v>
      </c>
      <c r="AZ251" t="s">
        <v>2129</v>
      </c>
      <c r="BA251" t="s">
        <v>2129</v>
      </c>
      <c r="BB251" t="s">
        <v>2129</v>
      </c>
      <c r="BC251" t="s">
        <v>2129</v>
      </c>
      <c r="BD251" t="s">
        <v>2129</v>
      </c>
      <c r="BE251" t="s">
        <v>2129</v>
      </c>
      <c r="BF251" t="s">
        <v>2129</v>
      </c>
      <c r="BG251" t="s">
        <v>2129</v>
      </c>
      <c r="BH251" t="s">
        <v>2129</v>
      </c>
      <c r="BI251" t="s">
        <v>2129</v>
      </c>
      <c r="BJ251" t="s">
        <v>2129</v>
      </c>
      <c r="BK251" t="s">
        <v>2129</v>
      </c>
      <c r="BL251" t="s">
        <v>2129</v>
      </c>
      <c r="BM251" t="s">
        <v>2129</v>
      </c>
      <c r="BN251" t="s">
        <v>2129</v>
      </c>
      <c r="BO251" t="s">
        <v>2129</v>
      </c>
      <c r="BP251" t="s">
        <v>2129</v>
      </c>
      <c r="BQ251">
        <v>0</v>
      </c>
      <c r="BR251">
        <v>30600</v>
      </c>
      <c r="BS251" t="s">
        <v>2129</v>
      </c>
      <c r="BT251" t="s">
        <v>2129</v>
      </c>
      <c r="BU251">
        <v>0</v>
      </c>
      <c r="BV251">
        <v>30600</v>
      </c>
      <c r="BW251" t="s">
        <v>2129</v>
      </c>
      <c r="BX251" t="s">
        <v>2129</v>
      </c>
      <c r="BY251" t="s">
        <v>2129</v>
      </c>
      <c r="BZ251" t="s">
        <v>2554</v>
      </c>
      <c r="CA251" t="s">
        <v>2129</v>
      </c>
      <c r="CB251" t="s">
        <v>2129</v>
      </c>
      <c r="CC251" t="s">
        <v>2129</v>
      </c>
      <c r="CD251" t="s">
        <v>2129</v>
      </c>
      <c r="CE251" t="s">
        <v>2129</v>
      </c>
      <c r="CF251" t="s">
        <v>2129</v>
      </c>
      <c r="CG251" t="s">
        <v>2129</v>
      </c>
      <c r="CH251" t="s">
        <v>2129</v>
      </c>
      <c r="CI251" t="s">
        <v>2129</v>
      </c>
      <c r="CJ251" t="s">
        <v>2129</v>
      </c>
      <c r="CK251" t="s">
        <v>2129</v>
      </c>
      <c r="CL251" t="s">
        <v>2129</v>
      </c>
      <c r="CM251" t="s">
        <v>2205</v>
      </c>
      <c r="CN251" t="s">
        <v>2129</v>
      </c>
      <c r="CO251" t="s">
        <v>2129</v>
      </c>
      <c r="CP251" t="s">
        <v>2129</v>
      </c>
      <c r="CQ251" t="s">
        <v>2129</v>
      </c>
      <c r="CR251" t="s">
        <v>2129</v>
      </c>
      <c r="CS251" t="s">
        <v>2129</v>
      </c>
      <c r="CT251" t="s">
        <v>4491</v>
      </c>
      <c r="CU251" t="s">
        <v>4425</v>
      </c>
      <c r="CV251" t="s">
        <v>2129</v>
      </c>
      <c r="CW251" t="s">
        <v>2129</v>
      </c>
      <c r="CX251" t="s">
        <v>2129</v>
      </c>
      <c r="CY251" t="s">
        <v>2129</v>
      </c>
      <c r="CZ251" t="s">
        <v>2129</v>
      </c>
      <c r="DA251" t="s">
        <v>2129</v>
      </c>
      <c r="DB251" t="s">
        <v>2129</v>
      </c>
      <c r="DC251" t="s">
        <v>2129</v>
      </c>
      <c r="DD251" t="s">
        <v>2129</v>
      </c>
      <c r="DE251" t="s">
        <v>2129</v>
      </c>
      <c r="DF251" t="s">
        <v>2129</v>
      </c>
      <c r="DG251" t="s">
        <v>2129</v>
      </c>
      <c r="DH251" t="s">
        <v>2129</v>
      </c>
      <c r="DI251">
        <v>20</v>
      </c>
      <c r="DJ251" t="s">
        <v>2129</v>
      </c>
      <c r="DK251" t="s">
        <v>2129</v>
      </c>
      <c r="DL251" t="s">
        <v>2436</v>
      </c>
      <c r="DM251" t="s">
        <v>2437</v>
      </c>
      <c r="DN251" t="s">
        <v>2438</v>
      </c>
      <c r="DO251" t="s">
        <v>2555</v>
      </c>
      <c r="DP251" t="s">
        <v>2556</v>
      </c>
      <c r="DQ251" t="s">
        <v>2557</v>
      </c>
      <c r="DR251" t="s">
        <v>2650</v>
      </c>
      <c r="DS251" t="s">
        <v>3164</v>
      </c>
      <c r="DT251" t="s">
        <v>2129</v>
      </c>
      <c r="DU251" t="s">
        <v>2129</v>
      </c>
      <c r="DV251" t="s">
        <v>2129</v>
      </c>
      <c r="DW251" t="s">
        <v>2129</v>
      </c>
      <c r="DX251" t="s">
        <v>2129</v>
      </c>
      <c r="DY251" t="s">
        <v>2129</v>
      </c>
      <c r="DZ251" t="s">
        <v>2129</v>
      </c>
      <c r="EA251" t="s">
        <v>2129</v>
      </c>
      <c r="EB251" t="s">
        <v>2129</v>
      </c>
      <c r="EC251" t="s">
        <v>2129</v>
      </c>
      <c r="ED251" t="s">
        <v>2129</v>
      </c>
      <c r="EE251" t="s">
        <v>2129</v>
      </c>
      <c r="EF251" t="s">
        <v>2129</v>
      </c>
      <c r="EG251" t="s">
        <v>2129</v>
      </c>
      <c r="EH251" t="s">
        <v>2129</v>
      </c>
    </row>
    <row r="252" spans="1:138" x14ac:dyDescent="0.25">
      <c r="A252" t="s">
        <v>1993</v>
      </c>
      <c r="B252" t="s">
        <v>1992</v>
      </c>
      <c r="C252">
        <v>22504</v>
      </c>
      <c r="E252" t="s">
        <v>14</v>
      </c>
      <c r="F252" t="s">
        <v>16</v>
      </c>
      <c r="G252" t="s">
        <v>12</v>
      </c>
      <c r="H252" t="s">
        <v>12</v>
      </c>
      <c r="I252" t="s">
        <v>2127</v>
      </c>
      <c r="J252" t="s">
        <v>2198</v>
      </c>
      <c r="K252" t="s">
        <v>2129</v>
      </c>
      <c r="L252" t="s">
        <v>2199</v>
      </c>
      <c r="M252" t="s">
        <v>2130</v>
      </c>
      <c r="N252" t="s">
        <v>16</v>
      </c>
      <c r="O252" t="s">
        <v>2150</v>
      </c>
      <c r="P252" t="s">
        <v>2198</v>
      </c>
      <c r="Q252" t="s">
        <v>2198</v>
      </c>
      <c r="R252" s="37">
        <v>45978.689583333333</v>
      </c>
      <c r="S252" s="37">
        <v>46090.576388888891</v>
      </c>
      <c r="T252" s="37">
        <v>46100.368750000001</v>
      </c>
      <c r="U252" s="37">
        <v>46035.552777777775</v>
      </c>
      <c r="V252" t="s">
        <v>4456</v>
      </c>
      <c r="W252" t="s">
        <v>2129</v>
      </c>
      <c r="X252" t="s">
        <v>2129</v>
      </c>
      <c r="Y252">
        <v>0</v>
      </c>
      <c r="Z252" t="s">
        <v>2129</v>
      </c>
      <c r="AA252" t="s">
        <v>4492</v>
      </c>
      <c r="AB252" t="s">
        <v>2129</v>
      </c>
      <c r="AC252" t="s">
        <v>2198</v>
      </c>
      <c r="AD252" t="s">
        <v>2129</v>
      </c>
      <c r="AE252" t="s">
        <v>2129</v>
      </c>
      <c r="AF252" t="s">
        <v>2129</v>
      </c>
      <c r="AG252" t="s">
        <v>2129</v>
      </c>
      <c r="AH252" t="s">
        <v>4493</v>
      </c>
      <c r="AI252" t="s">
        <v>4494</v>
      </c>
      <c r="AJ252" t="s">
        <v>4495</v>
      </c>
      <c r="AK252" t="s">
        <v>2129</v>
      </c>
      <c r="AL252" t="s">
        <v>2129</v>
      </c>
      <c r="AM252" t="s">
        <v>2129</v>
      </c>
      <c r="AN252" t="s">
        <v>2129</v>
      </c>
      <c r="AO252" t="s">
        <v>2129</v>
      </c>
      <c r="AP252" t="s">
        <v>2129</v>
      </c>
      <c r="AQ252" t="s">
        <v>2129</v>
      </c>
      <c r="AR252" t="s">
        <v>2129</v>
      </c>
      <c r="AS252" t="s">
        <v>2129</v>
      </c>
      <c r="AT252" t="s">
        <v>2129</v>
      </c>
      <c r="AU252" t="s">
        <v>2129</v>
      </c>
      <c r="AV252" t="s">
        <v>2129</v>
      </c>
      <c r="AW252" t="s">
        <v>2129</v>
      </c>
      <c r="AX252" t="s">
        <v>2129</v>
      </c>
      <c r="AY252" t="s">
        <v>2129</v>
      </c>
      <c r="AZ252" t="s">
        <v>2129</v>
      </c>
      <c r="BA252" t="s">
        <v>2129</v>
      </c>
      <c r="BB252" t="s">
        <v>2129</v>
      </c>
      <c r="BC252" t="s">
        <v>2129</v>
      </c>
      <c r="BD252" t="s">
        <v>2129</v>
      </c>
      <c r="BE252" t="s">
        <v>2129</v>
      </c>
      <c r="BF252" t="s">
        <v>2129</v>
      </c>
      <c r="BG252" t="s">
        <v>2129</v>
      </c>
      <c r="BH252" t="s">
        <v>2129</v>
      </c>
      <c r="BI252" t="s">
        <v>2129</v>
      </c>
      <c r="BJ252" t="s">
        <v>2129</v>
      </c>
      <c r="BK252" t="s">
        <v>2129</v>
      </c>
      <c r="BL252" t="s">
        <v>2129</v>
      </c>
      <c r="BM252" t="s">
        <v>2129</v>
      </c>
      <c r="BN252" t="s">
        <v>2129</v>
      </c>
      <c r="BO252" t="s">
        <v>2129</v>
      </c>
      <c r="BP252" t="s">
        <v>2129</v>
      </c>
      <c r="BQ252">
        <v>0</v>
      </c>
      <c r="BR252">
        <v>169200</v>
      </c>
      <c r="BS252" t="s">
        <v>2129</v>
      </c>
      <c r="BT252" t="s">
        <v>2129</v>
      </c>
      <c r="BU252">
        <v>0</v>
      </c>
      <c r="BV252">
        <v>169200</v>
      </c>
      <c r="BW252" t="s">
        <v>2129</v>
      </c>
      <c r="BX252" t="s">
        <v>2129</v>
      </c>
      <c r="BY252" t="s">
        <v>2129</v>
      </c>
      <c r="BZ252" t="s">
        <v>2129</v>
      </c>
      <c r="CA252" t="s">
        <v>2129</v>
      </c>
      <c r="CB252" t="s">
        <v>2129</v>
      </c>
      <c r="CC252" t="s">
        <v>2129</v>
      </c>
      <c r="CD252" t="s">
        <v>2129</v>
      </c>
      <c r="CE252" t="s">
        <v>2129</v>
      </c>
      <c r="CF252" t="s">
        <v>2129</v>
      </c>
      <c r="CG252" t="s">
        <v>2129</v>
      </c>
      <c r="CH252" t="s">
        <v>2129</v>
      </c>
      <c r="CI252" t="s">
        <v>2129</v>
      </c>
      <c r="CJ252" t="s">
        <v>2129</v>
      </c>
      <c r="CK252" t="s">
        <v>2129</v>
      </c>
      <c r="CL252" t="s">
        <v>2129</v>
      </c>
      <c r="CM252" t="s">
        <v>3683</v>
      </c>
      <c r="CN252" t="s">
        <v>2129</v>
      </c>
      <c r="CO252" t="s">
        <v>2129</v>
      </c>
      <c r="CP252" t="s">
        <v>2129</v>
      </c>
      <c r="CQ252" t="s">
        <v>2129</v>
      </c>
      <c r="CR252" t="s">
        <v>2129</v>
      </c>
      <c r="CS252" t="s">
        <v>2129</v>
      </c>
      <c r="CT252" t="s">
        <v>4496</v>
      </c>
      <c r="CU252" t="s">
        <v>3140</v>
      </c>
      <c r="CV252" t="s">
        <v>2129</v>
      </c>
      <c r="CW252" t="s">
        <v>2129</v>
      </c>
      <c r="CX252" t="s">
        <v>2129</v>
      </c>
      <c r="CY252" t="s">
        <v>2129</v>
      </c>
      <c r="CZ252" t="s">
        <v>2129</v>
      </c>
      <c r="DA252" t="s">
        <v>2129</v>
      </c>
      <c r="DB252" t="s">
        <v>2129</v>
      </c>
      <c r="DC252" t="s">
        <v>2129</v>
      </c>
      <c r="DD252" t="s">
        <v>2129</v>
      </c>
      <c r="DE252" t="s">
        <v>2129</v>
      </c>
      <c r="DF252" t="s">
        <v>2129</v>
      </c>
      <c r="DG252" t="s">
        <v>2129</v>
      </c>
      <c r="DH252" t="s">
        <v>2129</v>
      </c>
      <c r="DI252">
        <v>30</v>
      </c>
      <c r="DJ252" t="s">
        <v>2129</v>
      </c>
      <c r="DK252" t="s">
        <v>2129</v>
      </c>
      <c r="DL252" t="s">
        <v>2129</v>
      </c>
      <c r="DM252" t="s">
        <v>2129</v>
      </c>
      <c r="DN252" t="s">
        <v>2129</v>
      </c>
      <c r="DO252" t="s">
        <v>2129</v>
      </c>
      <c r="DP252" t="s">
        <v>2129</v>
      </c>
      <c r="DQ252" t="s">
        <v>2129</v>
      </c>
      <c r="DR252" t="s">
        <v>2129</v>
      </c>
      <c r="DS252" t="s">
        <v>2129</v>
      </c>
      <c r="DT252" t="s">
        <v>2129</v>
      </c>
      <c r="DU252" t="s">
        <v>2129</v>
      </c>
      <c r="DV252" t="s">
        <v>2129</v>
      </c>
      <c r="DW252" t="s">
        <v>2129</v>
      </c>
      <c r="DX252" t="s">
        <v>2129</v>
      </c>
      <c r="DY252" t="s">
        <v>2129</v>
      </c>
      <c r="DZ252" t="s">
        <v>2129</v>
      </c>
      <c r="EA252" t="s">
        <v>2129</v>
      </c>
      <c r="EB252" t="s">
        <v>2129</v>
      </c>
      <c r="EC252" t="s">
        <v>2129</v>
      </c>
      <c r="ED252" t="s">
        <v>2129</v>
      </c>
      <c r="EE252" t="s">
        <v>2129</v>
      </c>
      <c r="EF252" t="s">
        <v>2129</v>
      </c>
      <c r="EG252" t="s">
        <v>2129</v>
      </c>
      <c r="EH252" t="s">
        <v>2129</v>
      </c>
    </row>
    <row r="253" spans="1:138" x14ac:dyDescent="0.25">
      <c r="A253" t="s">
        <v>1808</v>
      </c>
      <c r="B253" t="s">
        <v>1807</v>
      </c>
      <c r="C253">
        <v>22141</v>
      </c>
      <c r="E253" t="s">
        <v>14</v>
      </c>
      <c r="F253" t="s">
        <v>27</v>
      </c>
      <c r="G253" t="s">
        <v>12</v>
      </c>
      <c r="H253" t="s">
        <v>12</v>
      </c>
      <c r="I253" t="s">
        <v>2127</v>
      </c>
      <c r="J253" t="s">
        <v>2198</v>
      </c>
      <c r="K253" t="s">
        <v>2129</v>
      </c>
      <c r="L253" t="s">
        <v>2199</v>
      </c>
      <c r="M253" t="s">
        <v>2130</v>
      </c>
      <c r="N253" t="s">
        <v>2129</v>
      </c>
      <c r="O253" t="s">
        <v>2150</v>
      </c>
      <c r="P253" t="s">
        <v>2198</v>
      </c>
      <c r="Q253" t="s">
        <v>2198</v>
      </c>
      <c r="R253" s="37">
        <v>45904.48541666667</v>
      </c>
      <c r="S253" s="37">
        <v>46090.37222222222</v>
      </c>
      <c r="T253" s="37">
        <v>46100.368750000001</v>
      </c>
      <c r="U253" s="37"/>
      <c r="V253" t="s">
        <v>2129</v>
      </c>
      <c r="W253" t="s">
        <v>2129</v>
      </c>
      <c r="X253" t="s">
        <v>2129</v>
      </c>
      <c r="Y253">
        <v>0</v>
      </c>
      <c r="Z253" t="s">
        <v>2129</v>
      </c>
      <c r="AA253" t="s">
        <v>2216</v>
      </c>
      <c r="AB253" t="s">
        <v>2129</v>
      </c>
      <c r="AC253" t="s">
        <v>2131</v>
      </c>
      <c r="AD253" t="s">
        <v>2198</v>
      </c>
      <c r="AE253" t="s">
        <v>2129</v>
      </c>
      <c r="AF253" t="s">
        <v>2129</v>
      </c>
      <c r="AG253" t="s">
        <v>2129</v>
      </c>
      <c r="AH253" t="s">
        <v>2217</v>
      </c>
      <c r="AI253" t="s">
        <v>2218</v>
      </c>
      <c r="AJ253" t="s">
        <v>2129</v>
      </c>
      <c r="AK253" t="s">
        <v>2129</v>
      </c>
      <c r="AL253" t="s">
        <v>2129</v>
      </c>
      <c r="AM253" t="s">
        <v>2129</v>
      </c>
      <c r="AN253" t="s">
        <v>2129</v>
      </c>
      <c r="AO253" t="s">
        <v>2129</v>
      </c>
      <c r="AP253" t="s">
        <v>2129</v>
      </c>
      <c r="AQ253" t="s">
        <v>2129</v>
      </c>
      <c r="AR253" t="s">
        <v>2129</v>
      </c>
      <c r="AS253" t="s">
        <v>2129</v>
      </c>
      <c r="AT253" t="s">
        <v>2129</v>
      </c>
      <c r="AU253" t="s">
        <v>2129</v>
      </c>
      <c r="AV253" t="s">
        <v>2129</v>
      </c>
      <c r="AW253" t="s">
        <v>2129</v>
      </c>
      <c r="AX253" t="s">
        <v>2129</v>
      </c>
      <c r="AY253" t="s">
        <v>2129</v>
      </c>
      <c r="AZ253" t="s">
        <v>2129</v>
      </c>
      <c r="BA253" t="s">
        <v>2129</v>
      </c>
      <c r="BB253" t="s">
        <v>2129</v>
      </c>
      <c r="BC253" t="s">
        <v>2129</v>
      </c>
      <c r="BD253" t="s">
        <v>2129</v>
      </c>
      <c r="BE253" t="s">
        <v>2129</v>
      </c>
      <c r="BF253" t="s">
        <v>2129</v>
      </c>
      <c r="BG253" t="s">
        <v>2129</v>
      </c>
      <c r="BH253" t="s">
        <v>2129</v>
      </c>
      <c r="BI253" t="s">
        <v>2129</v>
      </c>
      <c r="BJ253" t="s">
        <v>2129</v>
      </c>
      <c r="BK253" t="s">
        <v>2129</v>
      </c>
      <c r="BL253" t="s">
        <v>2129</v>
      </c>
      <c r="BM253" t="s">
        <v>2129</v>
      </c>
      <c r="BN253" t="s">
        <v>2129</v>
      </c>
      <c r="BO253" t="s">
        <v>2129</v>
      </c>
      <c r="BP253" t="s">
        <v>2129</v>
      </c>
      <c r="BQ253">
        <v>0</v>
      </c>
      <c r="BR253">
        <v>18000</v>
      </c>
      <c r="BS253" t="s">
        <v>2129</v>
      </c>
      <c r="BT253" t="s">
        <v>2129</v>
      </c>
      <c r="BU253">
        <v>0</v>
      </c>
      <c r="BV253">
        <v>18000</v>
      </c>
      <c r="BW253" t="s">
        <v>2129</v>
      </c>
      <c r="BX253" t="s">
        <v>2129</v>
      </c>
      <c r="BY253" t="s">
        <v>2129</v>
      </c>
      <c r="BZ253" t="s">
        <v>2219</v>
      </c>
      <c r="CA253" t="s">
        <v>2220</v>
      </c>
      <c r="CB253" t="s">
        <v>2221</v>
      </c>
      <c r="CC253" t="s">
        <v>2129</v>
      </c>
      <c r="CD253" t="s">
        <v>2129</v>
      </c>
      <c r="CE253" t="s">
        <v>2129</v>
      </c>
      <c r="CF253" t="s">
        <v>2129</v>
      </c>
      <c r="CG253" t="s">
        <v>2129</v>
      </c>
      <c r="CH253" t="s">
        <v>2129</v>
      </c>
      <c r="CI253" t="s">
        <v>2129</v>
      </c>
      <c r="CJ253" t="s">
        <v>2129</v>
      </c>
      <c r="CK253" t="s">
        <v>2129</v>
      </c>
      <c r="CL253" t="s">
        <v>2129</v>
      </c>
      <c r="CM253" t="s">
        <v>2129</v>
      </c>
      <c r="CN253" t="s">
        <v>2129</v>
      </c>
      <c r="CO253" t="s">
        <v>2129</v>
      </c>
      <c r="CP253" t="s">
        <v>2129</v>
      </c>
      <c r="CQ253" t="s">
        <v>2129</v>
      </c>
      <c r="CR253" t="s">
        <v>2129</v>
      </c>
      <c r="CS253" t="s">
        <v>2129</v>
      </c>
      <c r="CT253" t="s">
        <v>4497</v>
      </c>
      <c r="CU253" t="s">
        <v>4425</v>
      </c>
      <c r="CV253" t="s">
        <v>2129</v>
      </c>
      <c r="CW253" t="s">
        <v>2129</v>
      </c>
      <c r="CX253" t="s">
        <v>2129</v>
      </c>
      <c r="CY253" t="s">
        <v>2129</v>
      </c>
      <c r="CZ253" t="s">
        <v>2129</v>
      </c>
      <c r="DA253" t="s">
        <v>2129</v>
      </c>
      <c r="DB253" t="s">
        <v>2129</v>
      </c>
      <c r="DC253" t="s">
        <v>2129</v>
      </c>
      <c r="DD253" t="s">
        <v>2129</v>
      </c>
      <c r="DE253" t="s">
        <v>2129</v>
      </c>
      <c r="DF253" t="s">
        <v>2129</v>
      </c>
      <c r="DG253" t="s">
        <v>2129</v>
      </c>
      <c r="DH253" t="s">
        <v>2129</v>
      </c>
      <c r="DI253">
        <v>20</v>
      </c>
      <c r="DJ253" t="s">
        <v>2129</v>
      </c>
      <c r="DK253" t="s">
        <v>2129</v>
      </c>
      <c r="DL253" t="s">
        <v>2222</v>
      </c>
      <c r="DM253" t="s">
        <v>2223</v>
      </c>
      <c r="DN253" t="s">
        <v>2224</v>
      </c>
      <c r="DO253" t="s">
        <v>2225</v>
      </c>
      <c r="DP253" t="s">
        <v>2129</v>
      </c>
      <c r="DQ253" t="s">
        <v>2129</v>
      </c>
      <c r="DR253" t="s">
        <v>2129</v>
      </c>
      <c r="DS253" t="s">
        <v>2129</v>
      </c>
      <c r="DT253" t="s">
        <v>2129</v>
      </c>
      <c r="DU253" t="s">
        <v>2129</v>
      </c>
      <c r="DV253" t="s">
        <v>2129</v>
      </c>
      <c r="DW253" t="s">
        <v>2129</v>
      </c>
      <c r="DX253" t="s">
        <v>2129</v>
      </c>
      <c r="DY253" t="s">
        <v>2129</v>
      </c>
      <c r="DZ253" t="s">
        <v>2129</v>
      </c>
      <c r="EA253" t="s">
        <v>2129</v>
      </c>
      <c r="EB253" t="s">
        <v>2129</v>
      </c>
      <c r="EC253" t="s">
        <v>2129</v>
      </c>
      <c r="ED253" t="s">
        <v>2129</v>
      </c>
      <c r="EE253" t="s">
        <v>2129</v>
      </c>
      <c r="EF253" t="s">
        <v>2129</v>
      </c>
      <c r="EG253" t="s">
        <v>2129</v>
      </c>
      <c r="EH253" t="s">
        <v>2129</v>
      </c>
    </row>
    <row r="254" spans="1:138" x14ac:dyDescent="0.25">
      <c r="A254" t="s">
        <v>1096</v>
      </c>
      <c r="B254" t="s">
        <v>1095</v>
      </c>
      <c r="C254">
        <v>21824</v>
      </c>
      <c r="E254" t="s">
        <v>14</v>
      </c>
      <c r="F254" t="s">
        <v>27</v>
      </c>
      <c r="G254" t="s">
        <v>12</v>
      </c>
      <c r="H254" t="s">
        <v>12</v>
      </c>
      <c r="I254" t="s">
        <v>2127</v>
      </c>
      <c r="J254" t="s">
        <v>2198</v>
      </c>
      <c r="K254" t="s">
        <v>2129</v>
      </c>
      <c r="L254" t="s">
        <v>2199</v>
      </c>
      <c r="M254" t="s">
        <v>2130</v>
      </c>
      <c r="N254" t="s">
        <v>2129</v>
      </c>
      <c r="O254" t="s">
        <v>2150</v>
      </c>
      <c r="P254" t="s">
        <v>2198</v>
      </c>
      <c r="Q254" t="s">
        <v>2198</v>
      </c>
      <c r="R254" s="37">
        <v>45847.464583333334</v>
      </c>
      <c r="S254" s="37">
        <v>46090.37222222222</v>
      </c>
      <c r="T254" s="37">
        <v>46100.368750000001</v>
      </c>
      <c r="U254" s="37"/>
      <c r="V254" t="s">
        <v>2226</v>
      </c>
      <c r="W254" t="s">
        <v>2129</v>
      </c>
      <c r="X254" t="s">
        <v>2129</v>
      </c>
      <c r="Y254">
        <v>0</v>
      </c>
      <c r="Z254" t="s">
        <v>2129</v>
      </c>
      <c r="AA254" t="s">
        <v>2227</v>
      </c>
      <c r="AB254" t="s">
        <v>2129</v>
      </c>
      <c r="AC254" t="s">
        <v>2200</v>
      </c>
      <c r="AD254" t="s">
        <v>2198</v>
      </c>
      <c r="AE254" t="s">
        <v>2129</v>
      </c>
      <c r="AF254" t="s">
        <v>2129</v>
      </c>
      <c r="AG254" t="s">
        <v>2129</v>
      </c>
      <c r="AH254" t="s">
        <v>2228</v>
      </c>
      <c r="AI254" t="s">
        <v>2229</v>
      </c>
      <c r="AJ254" t="s">
        <v>2230</v>
      </c>
      <c r="AK254" t="s">
        <v>2129</v>
      </c>
      <c r="AL254" t="s">
        <v>2129</v>
      </c>
      <c r="AM254" t="s">
        <v>2129</v>
      </c>
      <c r="AN254" t="s">
        <v>2129</v>
      </c>
      <c r="AO254" t="s">
        <v>2129</v>
      </c>
      <c r="AP254" t="s">
        <v>2129</v>
      </c>
      <c r="AQ254" t="s">
        <v>2129</v>
      </c>
      <c r="AR254" t="s">
        <v>2129</v>
      </c>
      <c r="AS254" t="s">
        <v>2129</v>
      </c>
      <c r="AT254" t="s">
        <v>2129</v>
      </c>
      <c r="AU254" t="s">
        <v>2129</v>
      </c>
      <c r="AV254" t="s">
        <v>2129</v>
      </c>
      <c r="AW254" t="s">
        <v>2129</v>
      </c>
      <c r="AX254" t="s">
        <v>2129</v>
      </c>
      <c r="AY254" t="s">
        <v>2129</v>
      </c>
      <c r="AZ254" t="s">
        <v>2129</v>
      </c>
      <c r="BA254" t="s">
        <v>2129</v>
      </c>
      <c r="BB254" t="s">
        <v>2129</v>
      </c>
      <c r="BC254" t="s">
        <v>2129</v>
      </c>
      <c r="BD254" t="s">
        <v>2129</v>
      </c>
      <c r="BE254" t="s">
        <v>2129</v>
      </c>
      <c r="BF254" t="s">
        <v>2129</v>
      </c>
      <c r="BG254" t="s">
        <v>2129</v>
      </c>
      <c r="BH254" t="s">
        <v>2129</v>
      </c>
      <c r="BI254" t="s">
        <v>2129</v>
      </c>
      <c r="BJ254" t="s">
        <v>2129</v>
      </c>
      <c r="BK254" t="s">
        <v>2129</v>
      </c>
      <c r="BL254" t="s">
        <v>2129</v>
      </c>
      <c r="BM254" t="s">
        <v>2129</v>
      </c>
      <c r="BN254" t="s">
        <v>2129</v>
      </c>
      <c r="BO254" t="s">
        <v>2129</v>
      </c>
      <c r="BP254" t="s">
        <v>2129</v>
      </c>
      <c r="BQ254">
        <v>0</v>
      </c>
      <c r="BR254">
        <v>129600</v>
      </c>
      <c r="BS254" t="s">
        <v>2129</v>
      </c>
      <c r="BT254" t="s">
        <v>2129</v>
      </c>
      <c r="BU254">
        <v>0</v>
      </c>
      <c r="BV254">
        <v>129600</v>
      </c>
      <c r="BW254" t="s">
        <v>2129</v>
      </c>
      <c r="BX254" t="s">
        <v>2129</v>
      </c>
      <c r="BY254" t="s">
        <v>2129</v>
      </c>
      <c r="BZ254" t="s">
        <v>2231</v>
      </c>
      <c r="CA254" t="s">
        <v>2129</v>
      </c>
      <c r="CB254" t="s">
        <v>2129</v>
      </c>
      <c r="CC254" t="s">
        <v>2129</v>
      </c>
      <c r="CD254" t="s">
        <v>2129</v>
      </c>
      <c r="CE254" t="s">
        <v>2129</v>
      </c>
      <c r="CF254" t="s">
        <v>2129</v>
      </c>
      <c r="CG254" t="s">
        <v>2129</v>
      </c>
      <c r="CH254" t="s">
        <v>2129</v>
      </c>
      <c r="CI254" t="s">
        <v>2129</v>
      </c>
      <c r="CJ254" t="s">
        <v>2129</v>
      </c>
      <c r="CK254" t="s">
        <v>2129</v>
      </c>
      <c r="CL254" t="s">
        <v>2129</v>
      </c>
      <c r="CM254" t="s">
        <v>2129</v>
      </c>
      <c r="CN254" t="s">
        <v>2129</v>
      </c>
      <c r="CO254" t="s">
        <v>2129</v>
      </c>
      <c r="CP254" t="s">
        <v>2129</v>
      </c>
      <c r="CQ254" t="s">
        <v>2129</v>
      </c>
      <c r="CR254" t="s">
        <v>2129</v>
      </c>
      <c r="CS254" t="s">
        <v>2129</v>
      </c>
      <c r="CT254" t="s">
        <v>4498</v>
      </c>
      <c r="CU254" t="s">
        <v>4425</v>
      </c>
      <c r="CV254" t="s">
        <v>2129</v>
      </c>
      <c r="CW254" t="s">
        <v>2129</v>
      </c>
      <c r="CX254" t="s">
        <v>2129</v>
      </c>
      <c r="CY254" t="s">
        <v>2129</v>
      </c>
      <c r="CZ254" t="s">
        <v>2129</v>
      </c>
      <c r="DA254" t="s">
        <v>2129</v>
      </c>
      <c r="DB254" t="s">
        <v>2129</v>
      </c>
      <c r="DC254" t="s">
        <v>2129</v>
      </c>
      <c r="DD254" t="s">
        <v>2129</v>
      </c>
      <c r="DE254" t="s">
        <v>2129</v>
      </c>
      <c r="DF254" t="s">
        <v>2129</v>
      </c>
      <c r="DG254" t="s">
        <v>2129</v>
      </c>
      <c r="DH254" t="s">
        <v>2129</v>
      </c>
      <c r="DI254">
        <v>30</v>
      </c>
      <c r="DJ254" t="s">
        <v>2129</v>
      </c>
      <c r="DK254" t="s">
        <v>2129</v>
      </c>
      <c r="DL254" t="s">
        <v>2232</v>
      </c>
      <c r="DM254" t="s">
        <v>2129</v>
      </c>
      <c r="DN254" t="s">
        <v>2129</v>
      </c>
      <c r="DO254" t="s">
        <v>2129</v>
      </c>
      <c r="DP254" t="s">
        <v>2129</v>
      </c>
      <c r="DQ254" t="s">
        <v>2129</v>
      </c>
      <c r="DR254" t="s">
        <v>2129</v>
      </c>
      <c r="DS254" t="s">
        <v>2129</v>
      </c>
      <c r="DT254" t="s">
        <v>2129</v>
      </c>
      <c r="DU254" t="s">
        <v>2129</v>
      </c>
      <c r="DV254" t="s">
        <v>2129</v>
      </c>
      <c r="DW254" t="s">
        <v>2129</v>
      </c>
      <c r="DX254" t="s">
        <v>2129</v>
      </c>
      <c r="DY254" t="s">
        <v>2129</v>
      </c>
      <c r="DZ254" t="s">
        <v>2129</v>
      </c>
      <c r="EA254" t="s">
        <v>2129</v>
      </c>
      <c r="EB254" t="s">
        <v>2129</v>
      </c>
      <c r="EC254" t="s">
        <v>2129</v>
      </c>
      <c r="ED254" t="s">
        <v>2129</v>
      </c>
      <c r="EE254" t="s">
        <v>2129</v>
      </c>
      <c r="EF254" t="s">
        <v>2129</v>
      </c>
      <c r="EG254" t="s">
        <v>2129</v>
      </c>
      <c r="EH254" t="s">
        <v>2129</v>
      </c>
    </row>
    <row r="255" spans="1:138" x14ac:dyDescent="0.25">
      <c r="A255" t="s">
        <v>1987</v>
      </c>
      <c r="B255" t="s">
        <v>1004</v>
      </c>
      <c r="C255">
        <v>21725</v>
      </c>
      <c r="E255" t="s">
        <v>14</v>
      </c>
      <c r="F255" t="s">
        <v>28</v>
      </c>
      <c r="G255" t="s">
        <v>12</v>
      </c>
      <c r="H255" t="s">
        <v>12</v>
      </c>
      <c r="I255" t="s">
        <v>2127</v>
      </c>
      <c r="J255" t="s">
        <v>2198</v>
      </c>
      <c r="K255" t="s">
        <v>2129</v>
      </c>
      <c r="L255" t="s">
        <v>2199</v>
      </c>
      <c r="M255" t="s">
        <v>2130</v>
      </c>
      <c r="N255" t="s">
        <v>2129</v>
      </c>
      <c r="O255" t="s">
        <v>2131</v>
      </c>
      <c r="P255" t="s">
        <v>2152</v>
      </c>
      <c r="Q255" t="s">
        <v>2152</v>
      </c>
      <c r="R255" s="37">
        <v>45832.611805555556</v>
      </c>
      <c r="S255" s="37">
        <v>46093.428472222222</v>
      </c>
      <c r="T255" s="37">
        <v>46100.368750000001</v>
      </c>
      <c r="U255" s="37"/>
      <c r="V255" t="s">
        <v>2233</v>
      </c>
      <c r="W255" t="s">
        <v>2129</v>
      </c>
      <c r="X255" t="s">
        <v>2129</v>
      </c>
      <c r="Y255">
        <v>0</v>
      </c>
      <c r="Z255" t="s">
        <v>2129</v>
      </c>
      <c r="AA255" t="s">
        <v>2234</v>
      </c>
      <c r="AB255" t="s">
        <v>2129</v>
      </c>
      <c r="AC255" t="s">
        <v>2131</v>
      </c>
      <c r="AD255" t="s">
        <v>2150</v>
      </c>
      <c r="AE255" t="s">
        <v>2152</v>
      </c>
      <c r="AF255" t="s">
        <v>2198</v>
      </c>
      <c r="AG255" t="s">
        <v>2129</v>
      </c>
      <c r="AH255" t="s">
        <v>2235</v>
      </c>
      <c r="AI255" t="s">
        <v>2236</v>
      </c>
      <c r="AJ255" t="s">
        <v>2441</v>
      </c>
      <c r="AK255" t="s">
        <v>2129</v>
      </c>
      <c r="AL255" t="s">
        <v>2129</v>
      </c>
      <c r="AM255" t="s">
        <v>2129</v>
      </c>
      <c r="AN255" t="s">
        <v>2129</v>
      </c>
      <c r="AO255" t="s">
        <v>2129</v>
      </c>
      <c r="AP255" t="s">
        <v>2129</v>
      </c>
      <c r="AQ255" t="s">
        <v>2129</v>
      </c>
      <c r="AR255" t="s">
        <v>2129</v>
      </c>
      <c r="AS255" t="s">
        <v>2129</v>
      </c>
      <c r="AT255" t="s">
        <v>2129</v>
      </c>
      <c r="AU255" t="s">
        <v>2129</v>
      </c>
      <c r="AV255" t="s">
        <v>2129</v>
      </c>
      <c r="AW255" t="s">
        <v>2129</v>
      </c>
      <c r="AX255" t="s">
        <v>2129</v>
      </c>
      <c r="AY255" t="s">
        <v>2129</v>
      </c>
      <c r="AZ255" t="s">
        <v>2129</v>
      </c>
      <c r="BA255" t="s">
        <v>2129</v>
      </c>
      <c r="BB255" t="s">
        <v>2129</v>
      </c>
      <c r="BC255" t="s">
        <v>2129</v>
      </c>
      <c r="BD255" t="s">
        <v>2129</v>
      </c>
      <c r="BE255" t="s">
        <v>2129</v>
      </c>
      <c r="BF255" t="s">
        <v>2129</v>
      </c>
      <c r="BG255" t="s">
        <v>2129</v>
      </c>
      <c r="BH255" t="s">
        <v>2129</v>
      </c>
      <c r="BI255" t="s">
        <v>2129</v>
      </c>
      <c r="BJ255" t="s">
        <v>2129</v>
      </c>
      <c r="BK255" t="s">
        <v>2129</v>
      </c>
      <c r="BL255" t="s">
        <v>2129</v>
      </c>
      <c r="BM255" t="s">
        <v>2129</v>
      </c>
      <c r="BN255" t="s">
        <v>2129</v>
      </c>
      <c r="BO255" t="s">
        <v>2129</v>
      </c>
      <c r="BP255" t="s">
        <v>2129</v>
      </c>
      <c r="BQ255">
        <v>0</v>
      </c>
      <c r="BR255">
        <v>9000</v>
      </c>
      <c r="BS255" t="s">
        <v>2129</v>
      </c>
      <c r="BT255" t="s">
        <v>2129</v>
      </c>
      <c r="BU255">
        <v>0</v>
      </c>
      <c r="BV255">
        <v>52200</v>
      </c>
      <c r="BW255" t="s">
        <v>2129</v>
      </c>
      <c r="BX255" t="s">
        <v>2129</v>
      </c>
      <c r="BY255" t="s">
        <v>2129</v>
      </c>
      <c r="BZ255" t="s">
        <v>2129</v>
      </c>
      <c r="CA255" t="s">
        <v>2129</v>
      </c>
      <c r="CB255" t="s">
        <v>2129</v>
      </c>
      <c r="CC255" t="s">
        <v>2129</v>
      </c>
      <c r="CD255" t="s">
        <v>2129</v>
      </c>
      <c r="CE255" t="s">
        <v>2129</v>
      </c>
      <c r="CF255" t="s">
        <v>2129</v>
      </c>
      <c r="CG255" t="s">
        <v>2129</v>
      </c>
      <c r="CH255" t="s">
        <v>2129</v>
      </c>
      <c r="CI255" t="s">
        <v>2129</v>
      </c>
      <c r="CJ255" t="s">
        <v>2129</v>
      </c>
      <c r="CK255" t="s">
        <v>2129</v>
      </c>
      <c r="CL255" t="s">
        <v>2129</v>
      </c>
      <c r="CM255" t="s">
        <v>2129</v>
      </c>
      <c r="CN255" t="s">
        <v>2129</v>
      </c>
      <c r="CO255" t="s">
        <v>2129</v>
      </c>
      <c r="CP255" t="s">
        <v>2129</v>
      </c>
      <c r="CQ255" t="s">
        <v>2129</v>
      </c>
      <c r="CR255" t="s">
        <v>2129</v>
      </c>
      <c r="CS255" t="s">
        <v>2129</v>
      </c>
      <c r="CT255" t="s">
        <v>4499</v>
      </c>
      <c r="CU255" t="s">
        <v>4425</v>
      </c>
      <c r="CV255" t="s">
        <v>2129</v>
      </c>
      <c r="CW255" t="s">
        <v>2129</v>
      </c>
      <c r="CX255" t="s">
        <v>2129</v>
      </c>
      <c r="CY255" t="s">
        <v>2129</v>
      </c>
      <c r="CZ255" t="s">
        <v>2129</v>
      </c>
      <c r="DA255" t="s">
        <v>2129</v>
      </c>
      <c r="DB255" t="s">
        <v>2129</v>
      </c>
      <c r="DC255" t="s">
        <v>2129</v>
      </c>
      <c r="DD255" t="s">
        <v>2129</v>
      </c>
      <c r="DE255" t="s">
        <v>2129</v>
      </c>
      <c r="DF255" t="s">
        <v>2129</v>
      </c>
      <c r="DG255" t="s">
        <v>2129</v>
      </c>
      <c r="DH255" t="s">
        <v>2129</v>
      </c>
      <c r="DI255">
        <v>50</v>
      </c>
      <c r="DJ255" t="s">
        <v>2129</v>
      </c>
      <c r="DK255" t="s">
        <v>2129</v>
      </c>
      <c r="DL255" t="s">
        <v>2237</v>
      </c>
      <c r="DM255" t="s">
        <v>2238</v>
      </c>
      <c r="DN255" t="s">
        <v>2442</v>
      </c>
      <c r="DO255" t="s">
        <v>2239</v>
      </c>
      <c r="DP255" t="s">
        <v>2443</v>
      </c>
      <c r="DQ255" t="s">
        <v>2444</v>
      </c>
      <c r="DR255" t="s">
        <v>2129</v>
      </c>
      <c r="DS255" t="s">
        <v>2129</v>
      </c>
      <c r="DT255" t="s">
        <v>2129</v>
      </c>
      <c r="DU255" t="s">
        <v>2129</v>
      </c>
      <c r="DV255" t="s">
        <v>2129</v>
      </c>
      <c r="DW255" t="s">
        <v>2129</v>
      </c>
      <c r="DX255" t="s">
        <v>2129</v>
      </c>
      <c r="DY255" t="s">
        <v>2129</v>
      </c>
      <c r="DZ255" t="s">
        <v>2129</v>
      </c>
      <c r="EA255" t="s">
        <v>2129</v>
      </c>
      <c r="EB255" t="s">
        <v>2129</v>
      </c>
      <c r="EC255" t="s">
        <v>2129</v>
      </c>
      <c r="ED255" t="s">
        <v>2129</v>
      </c>
      <c r="EE255" t="s">
        <v>2129</v>
      </c>
      <c r="EF255" t="s">
        <v>2129</v>
      </c>
      <c r="EG255" t="s">
        <v>2129</v>
      </c>
      <c r="EH255" t="s">
        <v>2129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E25376-730F-4AD6-A2DE-42E27E579F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özet</vt:lpstr>
      <vt:lpstr>Ürün İş Listesi</vt:lpstr>
      <vt:lpstr>Devam Eden Sprint</vt:lpstr>
      <vt:lpstr>Gelecek Sprint</vt:lpstr>
      <vt:lpstr>Türkkep Jira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Oran</dc:creator>
  <cp:lastModifiedBy>Aykut Kutlusan</cp:lastModifiedBy>
  <dcterms:created xsi:type="dcterms:W3CDTF">2025-11-27T09:10:36Z</dcterms:created>
  <dcterms:modified xsi:type="dcterms:W3CDTF">2026-03-19T10:38:37Z</dcterms:modified>
</cp:coreProperties>
</file>